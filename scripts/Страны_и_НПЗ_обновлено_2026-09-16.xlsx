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887079E5-DB13-4A3B-A7B4-1D8C29ED237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untry_world_globalpetrolprice" sheetId="1" r:id="rId1"/>
    <sheet name="Аудит" sheetId="2" r:id="rId2"/>
    <sheet name="Сводка НПЗ" sheetId="3" r:id="rId3"/>
    <sheet name="НПЗ Oilmap" sheetId="4" r:id="rId4"/>
    <sheet name="НПЗ свежие реестры" sheetId="5" r:id="rId5"/>
    <sheet name="Обновление 2026-09-16" sheetId="6" r:id="rId6"/>
  </sheets>
  <calcPr calcId="191029"/>
</workbook>
</file>

<file path=xl/calcChain.xml><?xml version="1.0" encoding="utf-8"?>
<calcChain xmlns="http://schemas.openxmlformats.org/spreadsheetml/2006/main">
  <c r="F259" i="3" l="1"/>
  <c r="E259" i="3" s="1"/>
  <c r="D259" i="3"/>
  <c r="G259" i="3" s="1"/>
  <c r="F258" i="3"/>
  <c r="E258" i="3" s="1"/>
  <c r="D258" i="3"/>
  <c r="G258" i="3" s="1"/>
  <c r="F257" i="3"/>
  <c r="E257" i="3" s="1"/>
  <c r="D257" i="3"/>
  <c r="G257" i="3" s="1"/>
  <c r="F256" i="3"/>
  <c r="E256" i="3" s="1"/>
  <c r="D256" i="3"/>
  <c r="G256" i="3" s="1"/>
  <c r="F255" i="3"/>
  <c r="E255" i="3" s="1"/>
  <c r="D255" i="3"/>
  <c r="G255" i="3" s="1"/>
  <c r="AL255" i="1" s="1"/>
  <c r="F254" i="3"/>
  <c r="E254" i="3" s="1"/>
  <c r="D254" i="3"/>
  <c r="G254" i="3" s="1"/>
  <c r="AL254" i="1" s="1"/>
  <c r="F253" i="3"/>
  <c r="E253" i="3" s="1"/>
  <c r="D253" i="3"/>
  <c r="G253" i="3" s="1"/>
  <c r="F252" i="3"/>
  <c r="E252" i="3" s="1"/>
  <c r="D252" i="3"/>
  <c r="G252" i="3" s="1"/>
  <c r="AL252" i="1" s="1"/>
  <c r="F251" i="3"/>
  <c r="E251" i="3" s="1"/>
  <c r="D251" i="3"/>
  <c r="G251" i="3" s="1"/>
  <c r="F250" i="3"/>
  <c r="E250" i="3" s="1"/>
  <c r="D250" i="3"/>
  <c r="F249" i="3"/>
  <c r="E249" i="3" s="1"/>
  <c r="D249" i="3"/>
  <c r="G249" i="3" s="1"/>
  <c r="AL249" i="1" s="1"/>
  <c r="F248" i="3"/>
  <c r="E248" i="3"/>
  <c r="D248" i="3"/>
  <c r="G248" i="3" s="1"/>
  <c r="F247" i="3"/>
  <c r="E247" i="3" s="1"/>
  <c r="D247" i="3"/>
  <c r="G246" i="3"/>
  <c r="F246" i="3"/>
  <c r="E246" i="3" s="1"/>
  <c r="D246" i="3"/>
  <c r="G245" i="3"/>
  <c r="F245" i="3"/>
  <c r="E245" i="3"/>
  <c r="D245" i="3"/>
  <c r="F244" i="3"/>
  <c r="E244" i="3" s="1"/>
  <c r="D244" i="3"/>
  <c r="G244" i="3" s="1"/>
  <c r="F243" i="3"/>
  <c r="E243" i="3" s="1"/>
  <c r="D243" i="3"/>
  <c r="G243" i="3" s="1"/>
  <c r="AL243" i="1" s="1"/>
  <c r="F242" i="3"/>
  <c r="E242" i="3" s="1"/>
  <c r="D242" i="3"/>
  <c r="G242" i="3" s="1"/>
  <c r="F241" i="3"/>
  <c r="E241" i="3" s="1"/>
  <c r="D241" i="3"/>
  <c r="G241" i="3" s="1"/>
  <c r="F240" i="3"/>
  <c r="E240" i="3" s="1"/>
  <c r="D240" i="3"/>
  <c r="G240" i="3" s="1"/>
  <c r="AL240" i="1" s="1"/>
  <c r="F239" i="3"/>
  <c r="E239" i="3" s="1"/>
  <c r="D239" i="3"/>
  <c r="G239" i="3" s="1"/>
  <c r="F238" i="3"/>
  <c r="E238" i="3" s="1"/>
  <c r="D238" i="3"/>
  <c r="F237" i="3"/>
  <c r="E237" i="3" s="1"/>
  <c r="D237" i="3"/>
  <c r="G237" i="3" s="1"/>
  <c r="AL237" i="1" s="1"/>
  <c r="F236" i="3"/>
  <c r="E236" i="3"/>
  <c r="D236" i="3"/>
  <c r="G236" i="3" s="1"/>
  <c r="F235" i="3"/>
  <c r="E235" i="3" s="1"/>
  <c r="D235" i="3"/>
  <c r="F234" i="3"/>
  <c r="E234" i="3" s="1"/>
  <c r="D234" i="3"/>
  <c r="G233" i="3"/>
  <c r="AL233" i="1" s="1"/>
  <c r="F233" i="3"/>
  <c r="E233" i="3"/>
  <c r="D233" i="3"/>
  <c r="F232" i="3"/>
  <c r="E232" i="3" s="1"/>
  <c r="D232" i="3"/>
  <c r="G232" i="3" s="1"/>
  <c r="F231" i="3"/>
  <c r="E231" i="3" s="1"/>
  <c r="D231" i="3"/>
  <c r="G231" i="3" s="1"/>
  <c r="AL231" i="1" s="1"/>
  <c r="F230" i="3"/>
  <c r="E230" i="3" s="1"/>
  <c r="D230" i="3"/>
  <c r="G230" i="3" s="1"/>
  <c r="F229" i="3"/>
  <c r="E229" i="3" s="1"/>
  <c r="D229" i="3"/>
  <c r="G229" i="3" s="1"/>
  <c r="F228" i="3"/>
  <c r="E228" i="3" s="1"/>
  <c r="D228" i="3"/>
  <c r="G228" i="3" s="1"/>
  <c r="AL228" i="1" s="1"/>
  <c r="F227" i="3"/>
  <c r="E227" i="3" s="1"/>
  <c r="D227" i="3"/>
  <c r="G227" i="3" s="1"/>
  <c r="F226" i="3"/>
  <c r="E226" i="3" s="1"/>
  <c r="D226" i="3"/>
  <c r="G225" i="3"/>
  <c r="AL225" i="1" s="1"/>
  <c r="F225" i="3"/>
  <c r="E225" i="3" s="1"/>
  <c r="D225" i="3"/>
  <c r="F224" i="3"/>
  <c r="E224" i="3"/>
  <c r="D224" i="3"/>
  <c r="G224" i="3" s="1"/>
  <c r="F223" i="3"/>
  <c r="E223" i="3" s="1"/>
  <c r="D223" i="3"/>
  <c r="F222" i="3"/>
  <c r="E222" i="3" s="1"/>
  <c r="D222" i="3"/>
  <c r="G221" i="3"/>
  <c r="F221" i="3"/>
  <c r="E221" i="3"/>
  <c r="D221" i="3"/>
  <c r="F220" i="3"/>
  <c r="E220" i="3" s="1"/>
  <c r="D220" i="3"/>
  <c r="G220" i="3" s="1"/>
  <c r="F219" i="3"/>
  <c r="E219" i="3" s="1"/>
  <c r="D219" i="3"/>
  <c r="G219" i="3" s="1"/>
  <c r="AL219" i="1" s="1"/>
  <c r="F218" i="3"/>
  <c r="E218" i="3" s="1"/>
  <c r="D218" i="3"/>
  <c r="G218" i="3" s="1"/>
  <c r="F217" i="3"/>
  <c r="E217" i="3" s="1"/>
  <c r="D217" i="3"/>
  <c r="G217" i="3" s="1"/>
  <c r="F216" i="3"/>
  <c r="E216" i="3" s="1"/>
  <c r="D216" i="3"/>
  <c r="G216" i="3" s="1"/>
  <c r="AL216" i="1" s="1"/>
  <c r="F215" i="3"/>
  <c r="E215" i="3" s="1"/>
  <c r="D215" i="3"/>
  <c r="G215" i="3" s="1"/>
  <c r="F214" i="3"/>
  <c r="E214" i="3" s="1"/>
  <c r="D214" i="3"/>
  <c r="F213" i="3"/>
  <c r="E213" i="3" s="1"/>
  <c r="D213" i="3"/>
  <c r="G213" i="3" s="1"/>
  <c r="AL213" i="1" s="1"/>
  <c r="F212" i="3"/>
  <c r="E212" i="3"/>
  <c r="D212" i="3"/>
  <c r="G212" i="3" s="1"/>
  <c r="F211" i="3"/>
  <c r="E211" i="3" s="1"/>
  <c r="D211" i="3"/>
  <c r="F210" i="3"/>
  <c r="E210" i="3" s="1"/>
  <c r="D210" i="3"/>
  <c r="G209" i="3"/>
  <c r="F209" i="3"/>
  <c r="E209" i="3"/>
  <c r="D209" i="3"/>
  <c r="F208" i="3"/>
  <c r="E208" i="3" s="1"/>
  <c r="D208" i="3"/>
  <c r="G208" i="3" s="1"/>
  <c r="F207" i="3"/>
  <c r="E207" i="3" s="1"/>
  <c r="D207" i="3"/>
  <c r="G207" i="3" s="1"/>
  <c r="AL207" i="1" s="1"/>
  <c r="F206" i="3"/>
  <c r="E206" i="3" s="1"/>
  <c r="D206" i="3"/>
  <c r="G206" i="3" s="1"/>
  <c r="F205" i="3"/>
  <c r="E205" i="3" s="1"/>
  <c r="D205" i="3"/>
  <c r="G205" i="3" s="1"/>
  <c r="F204" i="3"/>
  <c r="E204" i="3" s="1"/>
  <c r="D204" i="3"/>
  <c r="G204" i="3" s="1"/>
  <c r="AL204" i="1" s="1"/>
  <c r="F203" i="3"/>
  <c r="E203" i="3" s="1"/>
  <c r="D203" i="3"/>
  <c r="G203" i="3" s="1"/>
  <c r="F202" i="3"/>
  <c r="E202" i="3" s="1"/>
  <c r="D202" i="3"/>
  <c r="F201" i="3"/>
  <c r="E201" i="3" s="1"/>
  <c r="D201" i="3"/>
  <c r="G201" i="3" s="1"/>
  <c r="AL201" i="1" s="1"/>
  <c r="F200" i="3"/>
  <c r="E200" i="3"/>
  <c r="D200" i="3"/>
  <c r="G200" i="3" s="1"/>
  <c r="F199" i="3"/>
  <c r="E199" i="3" s="1"/>
  <c r="D199" i="3"/>
  <c r="F198" i="3"/>
  <c r="E198" i="3" s="1"/>
  <c r="D198" i="3"/>
  <c r="G197" i="3"/>
  <c r="AL197" i="1" s="1"/>
  <c r="F197" i="3"/>
  <c r="E197" i="3"/>
  <c r="D197" i="3"/>
  <c r="F196" i="3"/>
  <c r="E196" i="3" s="1"/>
  <c r="D196" i="3"/>
  <c r="G196" i="3" s="1"/>
  <c r="F195" i="3"/>
  <c r="E195" i="3" s="1"/>
  <c r="D195" i="3"/>
  <c r="G195" i="3" s="1"/>
  <c r="AL195" i="1" s="1"/>
  <c r="F194" i="3"/>
  <c r="E194" i="3" s="1"/>
  <c r="D194" i="3"/>
  <c r="G194" i="3" s="1"/>
  <c r="F193" i="3"/>
  <c r="E193" i="3" s="1"/>
  <c r="D193" i="3"/>
  <c r="G193" i="3" s="1"/>
  <c r="F192" i="3"/>
  <c r="E192" i="3" s="1"/>
  <c r="D192" i="3"/>
  <c r="G192" i="3" s="1"/>
  <c r="AL192" i="1" s="1"/>
  <c r="F191" i="3"/>
  <c r="E191" i="3" s="1"/>
  <c r="D191" i="3"/>
  <c r="G191" i="3" s="1"/>
  <c r="F190" i="3"/>
  <c r="E190" i="3" s="1"/>
  <c r="D190" i="3"/>
  <c r="G189" i="3"/>
  <c r="AL189" i="1" s="1"/>
  <c r="F189" i="3"/>
  <c r="E189" i="3" s="1"/>
  <c r="D189" i="3"/>
  <c r="F188" i="3"/>
  <c r="E188" i="3"/>
  <c r="D188" i="3"/>
  <c r="G188" i="3" s="1"/>
  <c r="F187" i="3"/>
  <c r="E187" i="3" s="1"/>
  <c r="D187" i="3"/>
  <c r="F186" i="3"/>
  <c r="E186" i="3" s="1"/>
  <c r="D186" i="3"/>
  <c r="G185" i="3"/>
  <c r="F185" i="3"/>
  <c r="E185" i="3"/>
  <c r="D185" i="3"/>
  <c r="F184" i="3"/>
  <c r="E184" i="3" s="1"/>
  <c r="D184" i="3"/>
  <c r="G184" i="3" s="1"/>
  <c r="F183" i="3"/>
  <c r="E183" i="3" s="1"/>
  <c r="D183" i="3"/>
  <c r="G183" i="3" s="1"/>
  <c r="AL183" i="1" s="1"/>
  <c r="F182" i="3"/>
  <c r="E182" i="3" s="1"/>
  <c r="D182" i="3"/>
  <c r="G182" i="3" s="1"/>
  <c r="F181" i="3"/>
  <c r="E181" i="3" s="1"/>
  <c r="D181" i="3"/>
  <c r="G181" i="3" s="1"/>
  <c r="F180" i="3"/>
  <c r="E180" i="3" s="1"/>
  <c r="D180" i="3"/>
  <c r="G180" i="3" s="1"/>
  <c r="AL180" i="1" s="1"/>
  <c r="F179" i="3"/>
  <c r="E179" i="3" s="1"/>
  <c r="D179" i="3"/>
  <c r="G179" i="3" s="1"/>
  <c r="F178" i="3"/>
  <c r="E178" i="3" s="1"/>
  <c r="D178" i="3"/>
  <c r="F177" i="3"/>
  <c r="E177" i="3" s="1"/>
  <c r="D177" i="3"/>
  <c r="G177" i="3" s="1"/>
  <c r="AL177" i="1" s="1"/>
  <c r="F176" i="3"/>
  <c r="E176" i="3"/>
  <c r="D176" i="3"/>
  <c r="G176" i="3" s="1"/>
  <c r="F175" i="3"/>
  <c r="E175" i="3" s="1"/>
  <c r="D175" i="3"/>
  <c r="F174" i="3"/>
  <c r="E174" i="3" s="1"/>
  <c r="D174" i="3"/>
  <c r="G174" i="3" s="1"/>
  <c r="AL174" i="1" s="1"/>
  <c r="F173" i="3"/>
  <c r="G173" i="3" s="1"/>
  <c r="AL173" i="1" s="1"/>
  <c r="E173" i="3"/>
  <c r="D173" i="3"/>
  <c r="F172" i="3"/>
  <c r="E172" i="3" s="1"/>
  <c r="D172" i="3"/>
  <c r="G172" i="3" s="1"/>
  <c r="F171" i="3"/>
  <c r="E171" i="3" s="1"/>
  <c r="D171" i="3"/>
  <c r="F170" i="3"/>
  <c r="E170" i="3" s="1"/>
  <c r="D170" i="3"/>
  <c r="G170" i="3" s="1"/>
  <c r="F169" i="3"/>
  <c r="E169" i="3" s="1"/>
  <c r="D169" i="3"/>
  <c r="F168" i="3"/>
  <c r="E168" i="3" s="1"/>
  <c r="D168" i="3"/>
  <c r="G168" i="3" s="1"/>
  <c r="AL168" i="1" s="1"/>
  <c r="F167" i="3"/>
  <c r="E167" i="3" s="1"/>
  <c r="D167" i="3"/>
  <c r="F166" i="3"/>
  <c r="E166" i="3" s="1"/>
  <c r="D166" i="3"/>
  <c r="F165" i="3"/>
  <c r="E165" i="3" s="1"/>
  <c r="D165" i="3"/>
  <c r="G165" i="3" s="1"/>
  <c r="AL165" i="1" s="1"/>
  <c r="F164" i="3"/>
  <c r="E164" i="3"/>
  <c r="D164" i="3"/>
  <c r="G164" i="3" s="1"/>
  <c r="F163" i="3"/>
  <c r="E163" i="3" s="1"/>
  <c r="D163" i="3"/>
  <c r="F162" i="3"/>
  <c r="E162" i="3" s="1"/>
  <c r="D162" i="3"/>
  <c r="G161" i="3"/>
  <c r="AL161" i="1" s="1"/>
  <c r="F161" i="3"/>
  <c r="E161" i="3" s="1"/>
  <c r="AK161" i="1" s="1"/>
  <c r="D161" i="3"/>
  <c r="F160" i="3"/>
  <c r="E160" i="3" s="1"/>
  <c r="D160" i="3"/>
  <c r="G160" i="3" s="1"/>
  <c r="F159" i="3"/>
  <c r="E159" i="3" s="1"/>
  <c r="D159" i="3"/>
  <c r="F158" i="3"/>
  <c r="E158" i="3" s="1"/>
  <c r="D158" i="3"/>
  <c r="G158" i="3" s="1"/>
  <c r="F157" i="3"/>
  <c r="E157" i="3" s="1"/>
  <c r="D157" i="3"/>
  <c r="F156" i="3"/>
  <c r="E156" i="3" s="1"/>
  <c r="D156" i="3"/>
  <c r="F155" i="3"/>
  <c r="E155" i="3" s="1"/>
  <c r="D155" i="3"/>
  <c r="F154" i="3"/>
  <c r="E154" i="3" s="1"/>
  <c r="D154" i="3"/>
  <c r="G153" i="3"/>
  <c r="AL153" i="1" s="1"/>
  <c r="F153" i="3"/>
  <c r="E153" i="3" s="1"/>
  <c r="D153" i="3"/>
  <c r="F152" i="3"/>
  <c r="E152" i="3"/>
  <c r="D152" i="3"/>
  <c r="G152" i="3" s="1"/>
  <c r="F151" i="3"/>
  <c r="E151" i="3" s="1"/>
  <c r="D151" i="3"/>
  <c r="F150" i="3"/>
  <c r="E150" i="3" s="1"/>
  <c r="D150" i="3"/>
  <c r="G149" i="3"/>
  <c r="F149" i="3"/>
  <c r="E149" i="3"/>
  <c r="D149" i="3"/>
  <c r="F148" i="3"/>
  <c r="E148" i="3" s="1"/>
  <c r="D148" i="3"/>
  <c r="G148" i="3" s="1"/>
  <c r="F147" i="3"/>
  <c r="E147" i="3" s="1"/>
  <c r="D147" i="3"/>
  <c r="F146" i="3"/>
  <c r="E146" i="3" s="1"/>
  <c r="D146" i="3"/>
  <c r="F145" i="3"/>
  <c r="E145" i="3" s="1"/>
  <c r="D145" i="3"/>
  <c r="F144" i="3"/>
  <c r="E144" i="3" s="1"/>
  <c r="D144" i="3"/>
  <c r="F143" i="3"/>
  <c r="E143" i="3" s="1"/>
  <c r="D143" i="3"/>
  <c r="F142" i="3"/>
  <c r="E142" i="3" s="1"/>
  <c r="D142" i="3"/>
  <c r="F141" i="3"/>
  <c r="E141" i="3" s="1"/>
  <c r="D141" i="3"/>
  <c r="G141" i="3" s="1"/>
  <c r="AL141" i="1" s="1"/>
  <c r="F140" i="3"/>
  <c r="E140" i="3" s="1"/>
  <c r="AK140" i="1" s="1"/>
  <c r="D140" i="3"/>
  <c r="F139" i="3"/>
  <c r="E139" i="3" s="1"/>
  <c r="D139" i="3"/>
  <c r="F138" i="3"/>
  <c r="E138" i="3" s="1"/>
  <c r="D138" i="3"/>
  <c r="F137" i="3"/>
  <c r="G137" i="3" s="1"/>
  <c r="AL137" i="1" s="1"/>
  <c r="E137" i="3"/>
  <c r="D137" i="3"/>
  <c r="F136" i="3"/>
  <c r="E136" i="3" s="1"/>
  <c r="D136" i="3"/>
  <c r="F135" i="3"/>
  <c r="E135" i="3" s="1"/>
  <c r="D135" i="3"/>
  <c r="F134" i="3"/>
  <c r="E134" i="3" s="1"/>
  <c r="D134" i="3"/>
  <c r="F133" i="3"/>
  <c r="E133" i="3" s="1"/>
  <c r="D133" i="3"/>
  <c r="F132" i="3"/>
  <c r="E132" i="3" s="1"/>
  <c r="D132" i="3"/>
  <c r="G132" i="3" s="1"/>
  <c r="AL132" i="1" s="1"/>
  <c r="F131" i="3"/>
  <c r="E131" i="3" s="1"/>
  <c r="D131" i="3"/>
  <c r="F130" i="3"/>
  <c r="E130" i="3" s="1"/>
  <c r="D130" i="3"/>
  <c r="F129" i="3"/>
  <c r="E129" i="3" s="1"/>
  <c r="D129" i="3"/>
  <c r="G129" i="3" s="1"/>
  <c r="AL129" i="1" s="1"/>
  <c r="F128" i="3"/>
  <c r="E128" i="3"/>
  <c r="D128" i="3"/>
  <c r="F127" i="3"/>
  <c r="E127" i="3" s="1"/>
  <c r="D127" i="3"/>
  <c r="F126" i="3"/>
  <c r="E126" i="3" s="1"/>
  <c r="D126" i="3"/>
  <c r="G125" i="3"/>
  <c r="AL125" i="1" s="1"/>
  <c r="F125" i="3"/>
  <c r="E125" i="3" s="1"/>
  <c r="D125" i="3"/>
  <c r="F124" i="3"/>
  <c r="E124" i="3" s="1"/>
  <c r="D124" i="3"/>
  <c r="F123" i="3"/>
  <c r="E123" i="3" s="1"/>
  <c r="D123" i="3"/>
  <c r="F122" i="3"/>
  <c r="E122" i="3" s="1"/>
  <c r="D122" i="3"/>
  <c r="F121" i="3"/>
  <c r="E121" i="3" s="1"/>
  <c r="D121" i="3"/>
  <c r="F120" i="3"/>
  <c r="E120" i="3" s="1"/>
  <c r="D120" i="3"/>
  <c r="F119" i="3"/>
  <c r="E119" i="3" s="1"/>
  <c r="D119" i="3"/>
  <c r="F118" i="3"/>
  <c r="E118" i="3" s="1"/>
  <c r="D118" i="3"/>
  <c r="G117" i="3"/>
  <c r="AL117" i="1" s="1"/>
  <c r="F117" i="3"/>
  <c r="E117" i="3" s="1"/>
  <c r="D117" i="3"/>
  <c r="F116" i="3"/>
  <c r="E116" i="3"/>
  <c r="D116" i="3"/>
  <c r="F115" i="3"/>
  <c r="E115" i="3" s="1"/>
  <c r="D115" i="3"/>
  <c r="F114" i="3"/>
  <c r="E114" i="3" s="1"/>
  <c r="D114" i="3"/>
  <c r="G113" i="3"/>
  <c r="F113" i="3"/>
  <c r="E113" i="3"/>
  <c r="D113" i="3"/>
  <c r="F112" i="3"/>
  <c r="E112" i="3" s="1"/>
  <c r="D112" i="3"/>
  <c r="F111" i="3"/>
  <c r="E111" i="3" s="1"/>
  <c r="D111" i="3"/>
  <c r="F110" i="3"/>
  <c r="E110" i="3" s="1"/>
  <c r="D110" i="3"/>
  <c r="F109" i="3"/>
  <c r="E109" i="3" s="1"/>
  <c r="D109" i="3"/>
  <c r="F108" i="3"/>
  <c r="E108" i="3" s="1"/>
  <c r="D108" i="3"/>
  <c r="F107" i="3"/>
  <c r="E107" i="3" s="1"/>
  <c r="D107" i="3"/>
  <c r="F106" i="3"/>
  <c r="E106" i="3" s="1"/>
  <c r="D106" i="3"/>
  <c r="F105" i="3"/>
  <c r="E105" i="3" s="1"/>
  <c r="D105" i="3"/>
  <c r="AJ105" i="1" s="1"/>
  <c r="F104" i="3"/>
  <c r="E104" i="3" s="1"/>
  <c r="AK104" i="1" s="1"/>
  <c r="D104" i="3"/>
  <c r="F103" i="3"/>
  <c r="E103" i="3" s="1"/>
  <c r="D103" i="3"/>
  <c r="F102" i="3"/>
  <c r="E102" i="3" s="1"/>
  <c r="D102" i="3"/>
  <c r="G101" i="3"/>
  <c r="F101" i="3"/>
  <c r="E101" i="3"/>
  <c r="AK101" i="1" s="1"/>
  <c r="D101" i="3"/>
  <c r="F100" i="3"/>
  <c r="E100" i="3" s="1"/>
  <c r="D100" i="3"/>
  <c r="F99" i="3"/>
  <c r="E99" i="3" s="1"/>
  <c r="D99" i="3"/>
  <c r="F98" i="3"/>
  <c r="E98" i="3" s="1"/>
  <c r="D98" i="3"/>
  <c r="F97" i="3"/>
  <c r="E97" i="3" s="1"/>
  <c r="D97" i="3"/>
  <c r="F96" i="3"/>
  <c r="E96" i="3" s="1"/>
  <c r="D96" i="3"/>
  <c r="F95" i="3"/>
  <c r="E95" i="3" s="1"/>
  <c r="D95" i="3"/>
  <c r="F94" i="3"/>
  <c r="E94" i="3" s="1"/>
  <c r="D94" i="3"/>
  <c r="G93" i="3"/>
  <c r="F93" i="3"/>
  <c r="E93" i="3" s="1"/>
  <c r="D93" i="3"/>
  <c r="F92" i="3"/>
  <c r="E92" i="3" s="1"/>
  <c r="D92" i="3"/>
  <c r="F91" i="3"/>
  <c r="E91" i="3" s="1"/>
  <c r="D91" i="3"/>
  <c r="G91" i="3" s="1"/>
  <c r="F90" i="3"/>
  <c r="E90" i="3" s="1"/>
  <c r="D90" i="3"/>
  <c r="G89" i="3"/>
  <c r="AL89" i="1" s="1"/>
  <c r="F89" i="3"/>
  <c r="E89" i="3"/>
  <c r="D89" i="3"/>
  <c r="F88" i="3"/>
  <c r="E88" i="3"/>
  <c r="D88" i="3"/>
  <c r="G88" i="3" s="1"/>
  <c r="F87" i="3"/>
  <c r="E87" i="3" s="1"/>
  <c r="D87" i="3"/>
  <c r="G87" i="3" s="1"/>
  <c r="F86" i="3"/>
  <c r="AK86" i="1" s="1"/>
  <c r="D86" i="3"/>
  <c r="F85" i="3"/>
  <c r="E85" i="3" s="1"/>
  <c r="AK85" i="1" s="1"/>
  <c r="D85" i="3"/>
  <c r="G84" i="3"/>
  <c r="F84" i="3"/>
  <c r="E84" i="3" s="1"/>
  <c r="D84" i="3"/>
  <c r="F83" i="3"/>
  <c r="E83" i="3"/>
  <c r="D83" i="3"/>
  <c r="AJ83" i="1" s="1"/>
  <c r="F82" i="3"/>
  <c r="E82" i="3" s="1"/>
  <c r="D82" i="3"/>
  <c r="G82" i="3" s="1"/>
  <c r="AL82" i="1" s="1"/>
  <c r="G81" i="3"/>
  <c r="F81" i="3"/>
  <c r="E81" i="3" s="1"/>
  <c r="D81" i="3"/>
  <c r="G80" i="3"/>
  <c r="F80" i="3"/>
  <c r="E80" i="3"/>
  <c r="D80" i="3"/>
  <c r="F79" i="3"/>
  <c r="E79" i="3" s="1"/>
  <c r="AK79" i="1" s="1"/>
  <c r="D79" i="3"/>
  <c r="G79" i="3" s="1"/>
  <c r="AL79" i="1" s="1"/>
  <c r="F78" i="3"/>
  <c r="E78" i="3" s="1"/>
  <c r="D78" i="3"/>
  <c r="G78" i="3" s="1"/>
  <c r="F77" i="3"/>
  <c r="E77" i="3" s="1"/>
  <c r="AK77" i="1" s="1"/>
  <c r="D77" i="3"/>
  <c r="F76" i="3"/>
  <c r="E76" i="3" s="1"/>
  <c r="AK76" i="1" s="1"/>
  <c r="D76" i="3"/>
  <c r="G75" i="3"/>
  <c r="F75" i="3"/>
  <c r="E75" i="3" s="1"/>
  <c r="D75" i="3"/>
  <c r="F74" i="3"/>
  <c r="E74" i="3" s="1"/>
  <c r="D74" i="3"/>
  <c r="G74" i="3" s="1"/>
  <c r="AL74" i="1" s="1"/>
  <c r="F73" i="3"/>
  <c r="E73" i="3" s="1"/>
  <c r="D73" i="3"/>
  <c r="F72" i="3"/>
  <c r="E72" i="3" s="1"/>
  <c r="D72" i="3"/>
  <c r="G71" i="3"/>
  <c r="F71" i="3"/>
  <c r="E71" i="3"/>
  <c r="D71" i="3"/>
  <c r="F70" i="3"/>
  <c r="E70" i="3"/>
  <c r="D70" i="3"/>
  <c r="G70" i="3" s="1"/>
  <c r="AL70" i="1" s="1"/>
  <c r="F69" i="3"/>
  <c r="E69" i="3" s="1"/>
  <c r="D69" i="3"/>
  <c r="G69" i="3" s="1"/>
  <c r="G68" i="3"/>
  <c r="F68" i="3"/>
  <c r="E68" i="3" s="1"/>
  <c r="AK68" i="1" s="1"/>
  <c r="D68" i="3"/>
  <c r="F67" i="3"/>
  <c r="E67" i="3"/>
  <c r="AK67" i="1" s="1"/>
  <c r="D67" i="3"/>
  <c r="G66" i="3"/>
  <c r="F66" i="3"/>
  <c r="E66" i="3" s="1"/>
  <c r="D66" i="3"/>
  <c r="G65" i="3"/>
  <c r="F65" i="3"/>
  <c r="E65" i="3"/>
  <c r="D65" i="3"/>
  <c r="F64" i="3"/>
  <c r="E64" i="3" s="1"/>
  <c r="D64" i="3"/>
  <c r="G64" i="3" s="1"/>
  <c r="AL64" i="1" s="1"/>
  <c r="G63" i="3"/>
  <c r="F63" i="3"/>
  <c r="E63" i="3" s="1"/>
  <c r="D63" i="3"/>
  <c r="F62" i="3"/>
  <c r="E62" i="3"/>
  <c r="D62" i="3"/>
  <c r="G62" i="3" s="1"/>
  <c r="AL62" i="1" s="1"/>
  <c r="F61" i="3"/>
  <c r="E61" i="3" s="1"/>
  <c r="D61" i="3"/>
  <c r="F60" i="3"/>
  <c r="E60" i="3" s="1"/>
  <c r="D60" i="3"/>
  <c r="G60" i="3" s="1"/>
  <c r="F59" i="3"/>
  <c r="E59" i="3"/>
  <c r="D59" i="3"/>
  <c r="F58" i="3"/>
  <c r="E58" i="3" s="1"/>
  <c r="D58" i="3"/>
  <c r="G58" i="3" s="1"/>
  <c r="AL58" i="1" s="1"/>
  <c r="F57" i="3"/>
  <c r="E57" i="3" s="1"/>
  <c r="D57" i="3"/>
  <c r="F56" i="3"/>
  <c r="E56" i="3" s="1"/>
  <c r="D56" i="3"/>
  <c r="G56" i="3" s="1"/>
  <c r="AL56" i="1" s="1"/>
  <c r="F55" i="3"/>
  <c r="E55" i="3" s="1"/>
  <c r="D55" i="3"/>
  <c r="G55" i="3" s="1"/>
  <c r="AL55" i="1" s="1"/>
  <c r="F54" i="3"/>
  <c r="E54" i="3" s="1"/>
  <c r="D54" i="3"/>
  <c r="G54" i="3" s="1"/>
  <c r="AL54" i="1" s="1"/>
  <c r="G53" i="3"/>
  <c r="AL53" i="1" s="1"/>
  <c r="F53" i="3"/>
  <c r="E53" i="3"/>
  <c r="D53" i="3"/>
  <c r="F52" i="3"/>
  <c r="E52" i="3"/>
  <c r="D52" i="3"/>
  <c r="G52" i="3" s="1"/>
  <c r="AL52" i="1" s="1"/>
  <c r="F51" i="3"/>
  <c r="E51" i="3" s="1"/>
  <c r="D51" i="3"/>
  <c r="G51" i="3" s="1"/>
  <c r="F50" i="3"/>
  <c r="G50" i="3" s="1"/>
  <c r="AL50" i="1" s="1"/>
  <c r="D50" i="3"/>
  <c r="F49" i="3"/>
  <c r="E49" i="3"/>
  <c r="AK49" i="1" s="1"/>
  <c r="D49" i="3"/>
  <c r="F48" i="3"/>
  <c r="E48" i="3" s="1"/>
  <c r="D48" i="3"/>
  <c r="F47" i="3"/>
  <c r="G47" i="3" s="1"/>
  <c r="AL47" i="1" s="1"/>
  <c r="D47" i="3"/>
  <c r="F46" i="3"/>
  <c r="E46" i="3" s="1"/>
  <c r="D46" i="3"/>
  <c r="G46" i="3" s="1"/>
  <c r="AL46" i="1" s="1"/>
  <c r="F45" i="3"/>
  <c r="E45" i="3" s="1"/>
  <c r="D45" i="3"/>
  <c r="G45" i="3" s="1"/>
  <c r="AL45" i="1" s="1"/>
  <c r="F44" i="3"/>
  <c r="E44" i="3"/>
  <c r="D44" i="3"/>
  <c r="G44" i="3" s="1"/>
  <c r="AL44" i="1" s="1"/>
  <c r="F43" i="3"/>
  <c r="E43" i="3" s="1"/>
  <c r="D43" i="3"/>
  <c r="F42" i="3"/>
  <c r="E42" i="3" s="1"/>
  <c r="D42" i="3"/>
  <c r="G42" i="3" s="1"/>
  <c r="F41" i="3"/>
  <c r="E41" i="3"/>
  <c r="AK41" i="1" s="1"/>
  <c r="D41" i="3"/>
  <c r="G41" i="3" s="1"/>
  <c r="F40" i="3"/>
  <c r="E40" i="3" s="1"/>
  <c r="D40" i="3"/>
  <c r="G40" i="3" s="1"/>
  <c r="AL40" i="1" s="1"/>
  <c r="F39" i="3"/>
  <c r="E39" i="3" s="1"/>
  <c r="D39" i="3"/>
  <c r="F38" i="3"/>
  <c r="E38" i="3" s="1"/>
  <c r="D38" i="3"/>
  <c r="AJ38" i="1" s="1"/>
  <c r="F37" i="3"/>
  <c r="E37" i="3" s="1"/>
  <c r="D37" i="3"/>
  <c r="G37" i="3" s="1"/>
  <c r="AL37" i="1" s="1"/>
  <c r="G36" i="3"/>
  <c r="F36" i="3"/>
  <c r="E36" i="3" s="1"/>
  <c r="D36" i="3"/>
  <c r="G35" i="3"/>
  <c r="F35" i="3"/>
  <c r="E35" i="3"/>
  <c r="AK35" i="1" s="1"/>
  <c r="D35" i="3"/>
  <c r="F34" i="3"/>
  <c r="E34" i="3"/>
  <c r="D34" i="3"/>
  <c r="G34" i="3" s="1"/>
  <c r="AL34" i="1" s="1"/>
  <c r="F33" i="3"/>
  <c r="E33" i="3" s="1"/>
  <c r="D33" i="3"/>
  <c r="G33" i="3" s="1"/>
  <c r="G32" i="3"/>
  <c r="F32" i="3"/>
  <c r="E32" i="3" s="1"/>
  <c r="AK32" i="1" s="1"/>
  <c r="D32" i="3"/>
  <c r="F31" i="3"/>
  <c r="E31" i="3"/>
  <c r="AK31" i="1" s="1"/>
  <c r="D31" i="3"/>
  <c r="F30" i="3"/>
  <c r="E30" i="3" s="1"/>
  <c r="D30" i="3"/>
  <c r="F29" i="3"/>
  <c r="E29" i="3" s="1"/>
  <c r="D29" i="3"/>
  <c r="F28" i="3"/>
  <c r="E28" i="3" s="1"/>
  <c r="D28" i="3"/>
  <c r="G28" i="3" s="1"/>
  <c r="AL28" i="1" s="1"/>
  <c r="G27" i="3"/>
  <c r="F27" i="3"/>
  <c r="E27" i="3" s="1"/>
  <c r="D27" i="3"/>
  <c r="F26" i="3"/>
  <c r="E26" i="3"/>
  <c r="AK26" i="1" s="1"/>
  <c r="D26" i="3"/>
  <c r="G26" i="3" s="1"/>
  <c r="AL26" i="1" s="1"/>
  <c r="F25" i="3"/>
  <c r="E25" i="3" s="1"/>
  <c r="D25" i="3"/>
  <c r="F24" i="3"/>
  <c r="E24" i="3" s="1"/>
  <c r="D24" i="3"/>
  <c r="G24" i="3" s="1"/>
  <c r="F23" i="3"/>
  <c r="G23" i="3" s="1"/>
  <c r="AL23" i="1" s="1"/>
  <c r="D23" i="3"/>
  <c r="F22" i="3"/>
  <c r="E22" i="3"/>
  <c r="D22" i="3"/>
  <c r="G21" i="3"/>
  <c r="F21" i="3"/>
  <c r="E21" i="3" s="1"/>
  <c r="D21" i="3"/>
  <c r="F20" i="3"/>
  <c r="E20" i="3" s="1"/>
  <c r="AK20" i="1" s="1"/>
  <c r="D20" i="3"/>
  <c r="G20" i="3" s="1"/>
  <c r="AL20" i="1" s="1"/>
  <c r="F19" i="3"/>
  <c r="E19" i="3"/>
  <c r="D19" i="3"/>
  <c r="G19" i="3" s="1"/>
  <c r="F18" i="3"/>
  <c r="E18" i="3" s="1"/>
  <c r="D18" i="3"/>
  <c r="AJ18" i="1" s="1"/>
  <c r="F17" i="3"/>
  <c r="E17" i="3"/>
  <c r="D17" i="3"/>
  <c r="G17" i="3" s="1"/>
  <c r="AL17" i="1" s="1"/>
  <c r="F16" i="3"/>
  <c r="E16" i="3"/>
  <c r="D16" i="3"/>
  <c r="F15" i="3"/>
  <c r="E15" i="3" s="1"/>
  <c r="D15" i="3"/>
  <c r="AJ15" i="1" s="1"/>
  <c r="F14" i="3"/>
  <c r="E14" i="3" s="1"/>
  <c r="D14" i="3"/>
  <c r="F13" i="3"/>
  <c r="E13" i="3"/>
  <c r="D13" i="3"/>
  <c r="G13" i="3" s="1"/>
  <c r="AL13" i="1" s="1"/>
  <c r="G12" i="3"/>
  <c r="F12" i="3"/>
  <c r="E12" i="3" s="1"/>
  <c r="D12" i="3"/>
  <c r="F11" i="3"/>
  <c r="D11" i="3"/>
  <c r="AJ11" i="1" s="1"/>
  <c r="F10" i="3"/>
  <c r="E10" i="3" s="1"/>
  <c r="D10" i="3"/>
  <c r="F9" i="3"/>
  <c r="E9" i="3" s="1"/>
  <c r="D9" i="3"/>
  <c r="AJ9" i="1" s="1"/>
  <c r="G8" i="3"/>
  <c r="AL8" i="1" s="1"/>
  <c r="F8" i="3"/>
  <c r="E8" i="3"/>
  <c r="D8" i="3"/>
  <c r="F7" i="3"/>
  <c r="D7" i="3"/>
  <c r="G7" i="3" s="1"/>
  <c r="AL7" i="1" s="1"/>
  <c r="F6" i="3"/>
  <c r="E6" i="3" s="1"/>
  <c r="AK6" i="1" s="1"/>
  <c r="D6" i="3"/>
  <c r="G5" i="3"/>
  <c r="F5" i="3"/>
  <c r="E5" i="3"/>
  <c r="AK5" i="1" s="1"/>
  <c r="D5" i="3"/>
  <c r="F4" i="3"/>
  <c r="E4" i="3"/>
  <c r="AK4" i="1" s="1"/>
  <c r="D4" i="3"/>
  <c r="G4" i="3" s="1"/>
  <c r="AL4" i="1" s="1"/>
  <c r="F3" i="3"/>
  <c r="E3" i="3" s="1"/>
  <c r="D3" i="3"/>
  <c r="F2" i="3"/>
  <c r="E2" i="3" s="1"/>
  <c r="D2" i="3"/>
  <c r="G2" i="3" s="1"/>
  <c r="AL2" i="1" s="1"/>
  <c r="AL259" i="1"/>
  <c r="AK259" i="1"/>
  <c r="AJ259" i="1"/>
  <c r="F259" i="1"/>
  <c r="AL258" i="1"/>
  <c r="AK258" i="1"/>
  <c r="AJ258" i="1"/>
  <c r="F258" i="1"/>
  <c r="AL257" i="1"/>
  <c r="AK257" i="1"/>
  <c r="AJ257" i="1"/>
  <c r="F257" i="1"/>
  <c r="AL256" i="1"/>
  <c r="AK256" i="1"/>
  <c r="AJ256" i="1"/>
  <c r="F256" i="1"/>
  <c r="AK255" i="1"/>
  <c r="AJ255" i="1"/>
  <c r="F255" i="1"/>
  <c r="AK254" i="1"/>
  <c r="F254" i="1"/>
  <c r="AL253" i="1"/>
  <c r="AK253" i="1"/>
  <c r="AJ253" i="1"/>
  <c r="F253" i="1"/>
  <c r="AK252" i="1"/>
  <c r="AJ252" i="1"/>
  <c r="F252" i="1"/>
  <c r="AL251" i="1"/>
  <c r="AK251" i="1"/>
  <c r="AJ251" i="1"/>
  <c r="F251" i="1"/>
  <c r="AK250" i="1"/>
  <c r="AJ250" i="1"/>
  <c r="F250" i="1"/>
  <c r="AK249" i="1"/>
  <c r="AJ249" i="1"/>
  <c r="F249" i="1"/>
  <c r="AL248" i="1"/>
  <c r="AK248" i="1"/>
  <c r="AJ248" i="1"/>
  <c r="F248" i="1"/>
  <c r="AK247" i="1"/>
  <c r="AJ247" i="1"/>
  <c r="F247" i="1"/>
  <c r="AL246" i="1"/>
  <c r="AK246" i="1"/>
  <c r="AJ246" i="1"/>
  <c r="F246" i="1"/>
  <c r="AL245" i="1"/>
  <c r="AK245" i="1"/>
  <c r="AJ245" i="1"/>
  <c r="F245" i="1"/>
  <c r="AL244" i="1"/>
  <c r="AK244" i="1"/>
  <c r="AJ244" i="1"/>
  <c r="F244" i="1"/>
  <c r="AK243" i="1"/>
  <c r="AJ243" i="1"/>
  <c r="F243" i="1"/>
  <c r="AL242" i="1"/>
  <c r="AK242" i="1"/>
  <c r="AJ242" i="1"/>
  <c r="F242" i="1"/>
  <c r="AL241" i="1"/>
  <c r="AK241" i="1"/>
  <c r="AJ241" i="1"/>
  <c r="F241" i="1"/>
  <c r="AK240" i="1"/>
  <c r="AJ240" i="1"/>
  <c r="F240" i="1"/>
  <c r="AL239" i="1"/>
  <c r="AK239" i="1"/>
  <c r="AJ239" i="1"/>
  <c r="F239" i="1"/>
  <c r="AK238" i="1"/>
  <c r="AJ238" i="1"/>
  <c r="F238" i="1"/>
  <c r="AK237" i="1"/>
  <c r="AJ237" i="1"/>
  <c r="F237" i="1"/>
  <c r="AL236" i="1"/>
  <c r="AK236" i="1"/>
  <c r="AJ236" i="1"/>
  <c r="F236" i="1"/>
  <c r="AK235" i="1"/>
  <c r="AJ235" i="1"/>
  <c r="F235" i="1"/>
  <c r="AK234" i="1"/>
  <c r="AJ234" i="1"/>
  <c r="F234" i="1"/>
  <c r="AK233" i="1"/>
  <c r="AJ233" i="1"/>
  <c r="F233" i="1"/>
  <c r="AL232" i="1"/>
  <c r="AK232" i="1"/>
  <c r="AJ232" i="1"/>
  <c r="F232" i="1"/>
  <c r="AK231" i="1"/>
  <c r="AJ231" i="1"/>
  <c r="F231" i="1"/>
  <c r="AL230" i="1"/>
  <c r="AK230" i="1"/>
  <c r="AJ230" i="1"/>
  <c r="F230" i="1"/>
  <c r="AL229" i="1"/>
  <c r="AK229" i="1"/>
  <c r="AJ229" i="1"/>
  <c r="F229" i="1"/>
  <c r="AK228" i="1"/>
  <c r="AJ228" i="1"/>
  <c r="F228" i="1"/>
  <c r="AL227" i="1"/>
  <c r="AK227" i="1"/>
  <c r="AJ227" i="1"/>
  <c r="F227" i="1"/>
  <c r="AK226" i="1"/>
  <c r="AJ226" i="1"/>
  <c r="F226" i="1"/>
  <c r="AK225" i="1"/>
  <c r="AJ225" i="1"/>
  <c r="F225" i="1"/>
  <c r="AL224" i="1"/>
  <c r="AK224" i="1"/>
  <c r="AJ224" i="1"/>
  <c r="F224" i="1"/>
  <c r="AK223" i="1"/>
  <c r="AJ223" i="1"/>
  <c r="F223" i="1"/>
  <c r="AK222" i="1"/>
  <c r="AJ222" i="1"/>
  <c r="F222" i="1"/>
  <c r="AL221" i="1"/>
  <c r="AK221" i="1"/>
  <c r="AJ221" i="1"/>
  <c r="F221" i="1"/>
  <c r="AL220" i="1"/>
  <c r="AK220" i="1"/>
  <c r="AJ220" i="1"/>
  <c r="F220" i="1"/>
  <c r="AK219" i="1"/>
  <c r="AJ219" i="1"/>
  <c r="F219" i="1"/>
  <c r="AL218" i="1"/>
  <c r="AK218" i="1"/>
  <c r="AJ218" i="1"/>
  <c r="F218" i="1"/>
  <c r="AL217" i="1"/>
  <c r="AK217" i="1"/>
  <c r="AJ217" i="1"/>
  <c r="F217" i="1"/>
  <c r="AK216" i="1"/>
  <c r="AJ216" i="1"/>
  <c r="F216" i="1"/>
  <c r="AL215" i="1"/>
  <c r="AK215" i="1"/>
  <c r="AJ215" i="1"/>
  <c r="F215" i="1"/>
  <c r="AK214" i="1"/>
  <c r="AJ214" i="1"/>
  <c r="F214" i="1"/>
  <c r="AK213" i="1"/>
  <c r="F213" i="1"/>
  <c r="AL212" i="1"/>
  <c r="AK212" i="1"/>
  <c r="AJ212" i="1"/>
  <c r="F212" i="1"/>
  <c r="AK211" i="1"/>
  <c r="AJ211" i="1"/>
  <c r="F211" i="1"/>
  <c r="AK210" i="1"/>
  <c r="AJ210" i="1"/>
  <c r="F210" i="1"/>
  <c r="AL209" i="1"/>
  <c r="AK209" i="1"/>
  <c r="AJ209" i="1"/>
  <c r="F209" i="1"/>
  <c r="AL208" i="1"/>
  <c r="AK208" i="1"/>
  <c r="AJ208" i="1"/>
  <c r="F208" i="1"/>
  <c r="AK207" i="1"/>
  <c r="AJ207" i="1"/>
  <c r="F207" i="1"/>
  <c r="AL206" i="1"/>
  <c r="AK206" i="1"/>
  <c r="AJ206" i="1"/>
  <c r="F206" i="1"/>
  <c r="AL205" i="1"/>
  <c r="AK205" i="1"/>
  <c r="AJ205" i="1"/>
  <c r="F205" i="1"/>
  <c r="AK204" i="1"/>
  <c r="AJ204" i="1"/>
  <c r="F204" i="1"/>
  <c r="AL203" i="1"/>
  <c r="AK203" i="1"/>
  <c r="AJ203" i="1"/>
  <c r="F203" i="1"/>
  <c r="AK202" i="1"/>
  <c r="AJ202" i="1"/>
  <c r="F202" i="1"/>
  <c r="AK201" i="1"/>
  <c r="AJ201" i="1"/>
  <c r="F201" i="1"/>
  <c r="AL200" i="1"/>
  <c r="AK200" i="1"/>
  <c r="AJ200" i="1"/>
  <c r="F200" i="1"/>
  <c r="AK199" i="1"/>
  <c r="AJ199" i="1"/>
  <c r="F199" i="1"/>
  <c r="AK198" i="1"/>
  <c r="AJ198" i="1"/>
  <c r="F198" i="1"/>
  <c r="AK197" i="1"/>
  <c r="AJ197" i="1"/>
  <c r="F197" i="1"/>
  <c r="AL196" i="1"/>
  <c r="AK196" i="1"/>
  <c r="AJ196" i="1"/>
  <c r="F196" i="1"/>
  <c r="AK195" i="1"/>
  <c r="AJ195" i="1"/>
  <c r="F195" i="1"/>
  <c r="AL194" i="1"/>
  <c r="AK194" i="1"/>
  <c r="AJ194" i="1"/>
  <c r="F194" i="1"/>
  <c r="AL193" i="1"/>
  <c r="AK193" i="1"/>
  <c r="AJ193" i="1"/>
  <c r="F193" i="1"/>
  <c r="AK192" i="1"/>
  <c r="AJ192" i="1"/>
  <c r="F192" i="1"/>
  <c r="AL191" i="1"/>
  <c r="AK191" i="1"/>
  <c r="AJ191" i="1"/>
  <c r="F191" i="1"/>
  <c r="AK190" i="1"/>
  <c r="AJ190" i="1"/>
  <c r="F190" i="1"/>
  <c r="AK189" i="1"/>
  <c r="AJ189" i="1"/>
  <c r="F189" i="1"/>
  <c r="AL188" i="1"/>
  <c r="AK188" i="1"/>
  <c r="AJ188" i="1"/>
  <c r="F188" i="1"/>
  <c r="AK187" i="1"/>
  <c r="AJ187" i="1"/>
  <c r="F187" i="1"/>
  <c r="AK186" i="1"/>
  <c r="AJ186" i="1"/>
  <c r="F186" i="1"/>
  <c r="AL185" i="1"/>
  <c r="AK185" i="1"/>
  <c r="AJ185" i="1"/>
  <c r="F185" i="1"/>
  <c r="AL184" i="1"/>
  <c r="AK184" i="1"/>
  <c r="AJ184" i="1"/>
  <c r="F184" i="1"/>
  <c r="AK183" i="1"/>
  <c r="AJ183" i="1"/>
  <c r="F183" i="1"/>
  <c r="AL182" i="1"/>
  <c r="AK182" i="1"/>
  <c r="AJ182" i="1"/>
  <c r="F182" i="1"/>
  <c r="AL181" i="1"/>
  <c r="AK181" i="1"/>
  <c r="AJ181" i="1"/>
  <c r="F181" i="1"/>
  <c r="AK180" i="1"/>
  <c r="AJ180" i="1"/>
  <c r="F180" i="1"/>
  <c r="AL179" i="1"/>
  <c r="AK179" i="1"/>
  <c r="AJ179" i="1"/>
  <c r="F179" i="1"/>
  <c r="AK178" i="1"/>
  <c r="AJ178" i="1"/>
  <c r="F178" i="1"/>
  <c r="AK177" i="1"/>
  <c r="F177" i="1"/>
  <c r="AL176" i="1"/>
  <c r="AK176" i="1"/>
  <c r="AJ176" i="1"/>
  <c r="F176" i="1"/>
  <c r="AK175" i="1"/>
  <c r="AJ175" i="1"/>
  <c r="F175" i="1"/>
  <c r="AK174" i="1"/>
  <c r="AJ174" i="1"/>
  <c r="F174" i="1"/>
  <c r="AK173" i="1"/>
  <c r="AJ173" i="1"/>
  <c r="F173" i="1"/>
  <c r="AL172" i="1"/>
  <c r="AK172" i="1"/>
  <c r="AJ172" i="1"/>
  <c r="F172" i="1"/>
  <c r="AK171" i="1"/>
  <c r="AJ171" i="1"/>
  <c r="F171" i="1"/>
  <c r="AL170" i="1"/>
  <c r="AK170" i="1"/>
  <c r="AJ170" i="1"/>
  <c r="F170" i="1"/>
  <c r="AK169" i="1"/>
  <c r="AJ169" i="1"/>
  <c r="F169" i="1"/>
  <c r="AK168" i="1"/>
  <c r="AJ168" i="1"/>
  <c r="F168" i="1"/>
  <c r="AJ167" i="1"/>
  <c r="F167" i="1"/>
  <c r="AK166" i="1"/>
  <c r="AJ166" i="1"/>
  <c r="F166" i="1"/>
  <c r="AK165" i="1"/>
  <c r="AJ165" i="1"/>
  <c r="F165" i="1"/>
  <c r="AL164" i="1"/>
  <c r="AK164" i="1"/>
  <c r="AJ164" i="1"/>
  <c r="F164" i="1"/>
  <c r="AK163" i="1"/>
  <c r="AJ163" i="1"/>
  <c r="F163" i="1"/>
  <c r="AJ162" i="1"/>
  <c r="F162" i="1"/>
  <c r="AJ161" i="1"/>
  <c r="F161" i="1"/>
  <c r="AL160" i="1"/>
  <c r="AK160" i="1"/>
  <c r="AJ160" i="1"/>
  <c r="F160" i="1"/>
  <c r="AK159" i="1"/>
  <c r="AJ159" i="1"/>
  <c r="F159" i="1"/>
  <c r="AL158" i="1"/>
  <c r="AK158" i="1"/>
  <c r="AJ158" i="1"/>
  <c r="F158" i="1"/>
  <c r="AK157" i="1"/>
  <c r="AJ157" i="1"/>
  <c r="F157" i="1"/>
  <c r="AJ156" i="1"/>
  <c r="F156" i="1"/>
  <c r="AK155" i="1"/>
  <c r="AJ155" i="1"/>
  <c r="F155" i="1"/>
  <c r="AK154" i="1"/>
  <c r="AJ154" i="1"/>
  <c r="F154" i="1"/>
  <c r="AK153" i="1"/>
  <c r="AJ153" i="1"/>
  <c r="F153" i="1"/>
  <c r="AL152" i="1"/>
  <c r="AK152" i="1"/>
  <c r="AJ152" i="1"/>
  <c r="F152" i="1"/>
  <c r="AJ151" i="1"/>
  <c r="F151" i="1"/>
  <c r="AK150" i="1"/>
  <c r="AJ150" i="1"/>
  <c r="F150" i="1"/>
  <c r="AL149" i="1"/>
  <c r="AK149" i="1"/>
  <c r="AJ149" i="1"/>
  <c r="F149" i="1"/>
  <c r="AL148" i="1"/>
  <c r="AK148" i="1"/>
  <c r="AJ148" i="1"/>
  <c r="F148" i="1"/>
  <c r="AK147" i="1"/>
  <c r="AJ147" i="1"/>
  <c r="F147" i="1"/>
  <c r="AJ146" i="1"/>
  <c r="F146" i="1"/>
  <c r="AK145" i="1"/>
  <c r="AJ145" i="1"/>
  <c r="F145" i="1"/>
  <c r="AK144" i="1"/>
  <c r="AJ144" i="1"/>
  <c r="F144" i="1"/>
  <c r="AK143" i="1"/>
  <c r="AJ143" i="1"/>
  <c r="F143" i="1"/>
  <c r="AK142" i="1"/>
  <c r="AJ142" i="1"/>
  <c r="F142" i="1"/>
  <c r="AK141" i="1"/>
  <c r="F141" i="1"/>
  <c r="AJ140" i="1"/>
  <c r="F140" i="1"/>
  <c r="AK139" i="1"/>
  <c r="AJ139" i="1"/>
  <c r="F139" i="1"/>
  <c r="AK138" i="1"/>
  <c r="AJ138" i="1"/>
  <c r="F138" i="1"/>
  <c r="AK137" i="1"/>
  <c r="AJ137" i="1"/>
  <c r="F137" i="1"/>
  <c r="AJ136" i="1"/>
  <c r="F136" i="1"/>
  <c r="AK135" i="1"/>
  <c r="AJ135" i="1"/>
  <c r="F135" i="1"/>
  <c r="AK134" i="1"/>
  <c r="AJ134" i="1"/>
  <c r="F134" i="1"/>
  <c r="AK133" i="1"/>
  <c r="AJ133" i="1"/>
  <c r="F133" i="1"/>
  <c r="AK132" i="1"/>
  <c r="AJ132" i="1"/>
  <c r="F132" i="1"/>
  <c r="AJ131" i="1"/>
  <c r="F131" i="1"/>
  <c r="AJ130" i="1"/>
  <c r="F130" i="1"/>
  <c r="AK129" i="1"/>
  <c r="AJ129" i="1"/>
  <c r="F129" i="1"/>
  <c r="AK128" i="1"/>
  <c r="AJ128" i="1"/>
  <c r="F128" i="1"/>
  <c r="AK127" i="1"/>
  <c r="AJ127" i="1"/>
  <c r="F127" i="1"/>
  <c r="AJ126" i="1"/>
  <c r="F126" i="1"/>
  <c r="AK125" i="1"/>
  <c r="AJ125" i="1"/>
  <c r="F125" i="1"/>
  <c r="AK124" i="1"/>
  <c r="AJ124" i="1"/>
  <c r="F124" i="1"/>
  <c r="AK123" i="1"/>
  <c r="AJ123" i="1"/>
  <c r="F123" i="1"/>
  <c r="AK122" i="1"/>
  <c r="AJ122" i="1"/>
  <c r="F122" i="1"/>
  <c r="AK121" i="1"/>
  <c r="AJ121" i="1"/>
  <c r="F121" i="1"/>
  <c r="AJ120" i="1"/>
  <c r="F120" i="1"/>
  <c r="AK119" i="1"/>
  <c r="AJ119" i="1"/>
  <c r="F119" i="1"/>
  <c r="AK118" i="1"/>
  <c r="AJ118" i="1"/>
  <c r="F118" i="1"/>
  <c r="AK117" i="1"/>
  <c r="AJ117" i="1"/>
  <c r="F117" i="1"/>
  <c r="AK116" i="1"/>
  <c r="AJ116" i="1"/>
  <c r="F116" i="1"/>
  <c r="AJ115" i="1"/>
  <c r="F115" i="1"/>
  <c r="AK114" i="1"/>
  <c r="AJ114" i="1"/>
  <c r="F114" i="1"/>
  <c r="AL113" i="1"/>
  <c r="AK113" i="1"/>
  <c r="AJ113" i="1"/>
  <c r="F113" i="1"/>
  <c r="AK112" i="1"/>
  <c r="AJ112" i="1"/>
  <c r="F112" i="1"/>
  <c r="AJ111" i="1"/>
  <c r="F111" i="1"/>
  <c r="AJ110" i="1"/>
  <c r="F110" i="1"/>
  <c r="AK109" i="1"/>
  <c r="AJ109" i="1"/>
  <c r="F109" i="1"/>
  <c r="AK108" i="1"/>
  <c r="AJ108" i="1"/>
  <c r="F108" i="1"/>
  <c r="AK107" i="1"/>
  <c r="AJ107" i="1"/>
  <c r="F107" i="1"/>
  <c r="AK106" i="1"/>
  <c r="AJ106" i="1"/>
  <c r="F106" i="1"/>
  <c r="AK105" i="1"/>
  <c r="F105" i="1"/>
  <c r="AJ104" i="1"/>
  <c r="F104" i="1"/>
  <c r="AK103" i="1"/>
  <c r="AJ103" i="1"/>
  <c r="F103" i="1"/>
  <c r="AK102" i="1"/>
  <c r="AJ102" i="1"/>
  <c r="F102" i="1"/>
  <c r="AL101" i="1"/>
  <c r="AJ101" i="1"/>
  <c r="F101" i="1"/>
  <c r="AJ100" i="1"/>
  <c r="F100" i="1"/>
  <c r="AK99" i="1"/>
  <c r="AJ99" i="1"/>
  <c r="F99" i="1"/>
  <c r="AK98" i="1"/>
  <c r="AJ98" i="1"/>
  <c r="F98" i="1"/>
  <c r="AK97" i="1"/>
  <c r="AJ97" i="1"/>
  <c r="F97" i="1"/>
  <c r="AK96" i="1"/>
  <c r="AJ96" i="1"/>
  <c r="F96" i="1"/>
  <c r="AJ95" i="1"/>
  <c r="F95" i="1"/>
  <c r="AJ94" i="1"/>
  <c r="F94" i="1"/>
  <c r="AL93" i="1"/>
  <c r="AK93" i="1"/>
  <c r="AJ93" i="1"/>
  <c r="F93" i="1"/>
  <c r="AK92" i="1"/>
  <c r="AJ92" i="1"/>
  <c r="F92" i="1"/>
  <c r="AL91" i="1"/>
  <c r="AK91" i="1"/>
  <c r="AJ91" i="1"/>
  <c r="F91" i="1"/>
  <c r="AJ90" i="1"/>
  <c r="F90" i="1"/>
  <c r="AK89" i="1"/>
  <c r="AJ89" i="1"/>
  <c r="F89" i="1"/>
  <c r="AL88" i="1"/>
  <c r="AK88" i="1"/>
  <c r="AJ88" i="1"/>
  <c r="F88" i="1"/>
  <c r="AL87" i="1"/>
  <c r="AK87" i="1"/>
  <c r="AJ87" i="1"/>
  <c r="F87" i="1"/>
  <c r="AJ86" i="1"/>
  <c r="F86" i="1"/>
  <c r="AJ85" i="1"/>
  <c r="F85" i="1"/>
  <c r="AL84" i="1"/>
  <c r="AK84" i="1"/>
  <c r="AJ84" i="1"/>
  <c r="F84" i="1"/>
  <c r="AK83" i="1"/>
  <c r="F83" i="1"/>
  <c r="AK82" i="1"/>
  <c r="F82" i="1"/>
  <c r="AL81" i="1"/>
  <c r="AK81" i="1"/>
  <c r="AJ81" i="1"/>
  <c r="F81" i="1"/>
  <c r="AL80" i="1"/>
  <c r="AK80" i="1"/>
  <c r="AJ80" i="1"/>
  <c r="F80" i="1"/>
  <c r="AJ79" i="1"/>
  <c r="F79" i="1"/>
  <c r="AL78" i="1"/>
  <c r="AK78" i="1"/>
  <c r="F78" i="1"/>
  <c r="AJ77" i="1"/>
  <c r="F77" i="1"/>
  <c r="AJ76" i="1"/>
  <c r="F76" i="1"/>
  <c r="AL75" i="1"/>
  <c r="AK75" i="1"/>
  <c r="AJ75" i="1"/>
  <c r="F75" i="1"/>
  <c r="AJ74" i="1"/>
  <c r="F74" i="1"/>
  <c r="AJ73" i="1"/>
  <c r="F73" i="1"/>
  <c r="AK72" i="1"/>
  <c r="AJ72" i="1"/>
  <c r="F72" i="1"/>
  <c r="AL71" i="1"/>
  <c r="AK71" i="1"/>
  <c r="AJ71" i="1"/>
  <c r="F71" i="1"/>
  <c r="AK70" i="1"/>
  <c r="AJ70" i="1"/>
  <c r="F70" i="1"/>
  <c r="AL69" i="1"/>
  <c r="AK69" i="1"/>
  <c r="AJ69" i="1"/>
  <c r="F69" i="1"/>
  <c r="AL68" i="1"/>
  <c r="AJ68" i="1"/>
  <c r="F68" i="1"/>
  <c r="AJ67" i="1"/>
  <c r="F67" i="1"/>
  <c r="AL66" i="1"/>
  <c r="AK66" i="1"/>
  <c r="AJ66" i="1"/>
  <c r="F66" i="1"/>
  <c r="AL65" i="1"/>
  <c r="AK65" i="1"/>
  <c r="AJ65" i="1"/>
  <c r="F65" i="1"/>
  <c r="AK64" i="1"/>
  <c r="AJ64" i="1"/>
  <c r="F64" i="1"/>
  <c r="AL63" i="1"/>
  <c r="AK63" i="1"/>
  <c r="AJ63" i="1"/>
  <c r="F63" i="1"/>
  <c r="AK62" i="1"/>
  <c r="AJ62" i="1"/>
  <c r="F62" i="1"/>
  <c r="AJ61" i="1"/>
  <c r="F61" i="1"/>
  <c r="AL60" i="1"/>
  <c r="AK60" i="1"/>
  <c r="F60" i="1"/>
  <c r="AK59" i="1"/>
  <c r="AJ59" i="1"/>
  <c r="F59" i="1"/>
  <c r="AK58" i="1"/>
  <c r="AJ58" i="1"/>
  <c r="F58" i="1"/>
  <c r="AJ57" i="1"/>
  <c r="F57" i="1"/>
  <c r="AK56" i="1"/>
  <c r="AJ56" i="1"/>
  <c r="F56" i="1"/>
  <c r="AK55" i="1"/>
  <c r="AJ55" i="1"/>
  <c r="F55" i="1"/>
  <c r="AK54" i="1"/>
  <c r="AJ54" i="1"/>
  <c r="F54" i="1"/>
  <c r="AK53" i="1"/>
  <c r="AJ53" i="1"/>
  <c r="F53" i="1"/>
  <c r="AK52" i="1"/>
  <c r="AJ52" i="1"/>
  <c r="F52" i="1"/>
  <c r="AL51" i="1"/>
  <c r="AK51" i="1"/>
  <c r="F51" i="1"/>
  <c r="AJ50" i="1"/>
  <c r="F50" i="1"/>
  <c r="AJ49" i="1"/>
  <c r="F49" i="1"/>
  <c r="AK48" i="1"/>
  <c r="AJ48" i="1"/>
  <c r="F48" i="1"/>
  <c r="AJ47" i="1"/>
  <c r="F47" i="1"/>
  <c r="AK46" i="1"/>
  <c r="AJ46" i="1"/>
  <c r="F46" i="1"/>
  <c r="AK45" i="1"/>
  <c r="AJ45" i="1"/>
  <c r="F45" i="1"/>
  <c r="AK44" i="1"/>
  <c r="AJ44" i="1"/>
  <c r="F44" i="1"/>
  <c r="AJ43" i="1"/>
  <c r="F43" i="1"/>
  <c r="AL42" i="1"/>
  <c r="AK42" i="1"/>
  <c r="F42" i="1"/>
  <c r="AL41" i="1"/>
  <c r="AJ41" i="1"/>
  <c r="F41" i="1"/>
  <c r="AK40" i="1"/>
  <c r="AJ40" i="1"/>
  <c r="F40" i="1"/>
  <c r="AJ39" i="1"/>
  <c r="F39" i="1"/>
  <c r="AK38" i="1"/>
  <c r="F38" i="1"/>
  <c r="AK37" i="1"/>
  <c r="F37" i="1"/>
  <c r="AL36" i="1"/>
  <c r="AK36" i="1"/>
  <c r="AJ36" i="1"/>
  <c r="F36" i="1"/>
  <c r="AL35" i="1"/>
  <c r="AJ35" i="1"/>
  <c r="F35" i="1"/>
  <c r="AK34" i="1"/>
  <c r="AJ34" i="1"/>
  <c r="F34" i="1"/>
  <c r="AL33" i="1"/>
  <c r="AK33" i="1"/>
  <c r="F33" i="1"/>
  <c r="AL32" i="1"/>
  <c r="AJ32" i="1"/>
  <c r="F32" i="1"/>
  <c r="AJ31" i="1"/>
  <c r="F31" i="1"/>
  <c r="AK30" i="1"/>
  <c r="AJ30" i="1"/>
  <c r="F30" i="1"/>
  <c r="AJ29" i="1"/>
  <c r="F29" i="1"/>
  <c r="AK28" i="1"/>
  <c r="AJ28" i="1"/>
  <c r="F28" i="1"/>
  <c r="AL27" i="1"/>
  <c r="AK27" i="1"/>
  <c r="AJ27" i="1"/>
  <c r="F27" i="1"/>
  <c r="AJ26" i="1"/>
  <c r="F26" i="1"/>
  <c r="AJ25" i="1"/>
  <c r="F25" i="1"/>
  <c r="AL24" i="1"/>
  <c r="AK24" i="1"/>
  <c r="F24" i="1"/>
  <c r="AJ23" i="1"/>
  <c r="F23" i="1"/>
  <c r="AK22" i="1"/>
  <c r="AJ22" i="1"/>
  <c r="F22" i="1"/>
  <c r="AL21" i="1"/>
  <c r="AK21" i="1"/>
  <c r="AJ21" i="1"/>
  <c r="F21" i="1"/>
  <c r="AJ20" i="1"/>
  <c r="F20" i="1"/>
  <c r="AL19" i="1"/>
  <c r="AK19" i="1"/>
  <c r="AJ19" i="1"/>
  <c r="F19" i="1"/>
  <c r="AK18" i="1"/>
  <c r="F18" i="1"/>
  <c r="AK17" i="1"/>
  <c r="AJ17" i="1"/>
  <c r="F17" i="1"/>
  <c r="AK16" i="1"/>
  <c r="AJ16" i="1"/>
  <c r="F16" i="1"/>
  <c r="AK15" i="1"/>
  <c r="F15" i="1"/>
  <c r="AJ14" i="1"/>
  <c r="F14" i="1"/>
  <c r="AK13" i="1"/>
  <c r="AJ13" i="1"/>
  <c r="F13" i="1"/>
  <c r="AL12" i="1"/>
  <c r="AK12" i="1"/>
  <c r="AJ12" i="1"/>
  <c r="F12" i="1"/>
  <c r="F11" i="1"/>
  <c r="AK10" i="1"/>
  <c r="AJ10" i="1"/>
  <c r="F10" i="1"/>
  <c r="F9" i="1"/>
  <c r="AK8" i="1"/>
  <c r="AJ8" i="1"/>
  <c r="F8" i="1"/>
  <c r="F7" i="1"/>
  <c r="AJ6" i="1"/>
  <c r="F6" i="1"/>
  <c r="AL5" i="1"/>
  <c r="AJ5" i="1"/>
  <c r="F5" i="1"/>
  <c r="AJ4" i="1"/>
  <c r="F4" i="1"/>
  <c r="AJ3" i="1"/>
  <c r="F3" i="1"/>
  <c r="AJ2" i="1"/>
  <c r="F2" i="1"/>
  <c r="AK131" i="1" l="1"/>
  <c r="AJ141" i="1"/>
  <c r="AK167" i="1"/>
  <c r="AJ177" i="1"/>
  <c r="AJ213" i="1"/>
  <c r="E7" i="3"/>
  <c r="AK7" i="1" s="1"/>
  <c r="E11" i="3"/>
  <c r="AK11" i="1" s="1"/>
  <c r="G14" i="3"/>
  <c r="AL14" i="1" s="1"/>
  <c r="G22" i="3"/>
  <c r="AL22" i="1" s="1"/>
  <c r="G29" i="3"/>
  <c r="AL29" i="1" s="1"/>
  <c r="G57" i="3"/>
  <c r="AL57" i="1" s="1"/>
  <c r="E86" i="3"/>
  <c r="G90" i="3"/>
  <c r="AL90" i="1" s="1"/>
  <c r="G95" i="3"/>
  <c r="AL95" i="1" s="1"/>
  <c r="G111" i="3"/>
  <c r="AL111" i="1" s="1"/>
  <c r="G116" i="3"/>
  <c r="AL116" i="1" s="1"/>
  <c r="G121" i="3"/>
  <c r="AL121" i="1" s="1"/>
  <c r="G126" i="3"/>
  <c r="AL126" i="1" s="1"/>
  <c r="G131" i="3"/>
  <c r="AL131" i="1" s="1"/>
  <c r="G147" i="3"/>
  <c r="AL147" i="1" s="1"/>
  <c r="G157" i="3"/>
  <c r="AL157" i="1" s="1"/>
  <c r="G162" i="3"/>
  <c r="AL162" i="1" s="1"/>
  <c r="G167" i="3"/>
  <c r="AL167" i="1" s="1"/>
  <c r="G18" i="3"/>
  <c r="AL18" i="1" s="1"/>
  <c r="G105" i="3"/>
  <c r="AL105" i="1" s="1"/>
  <c r="AK25" i="1"/>
  <c r="AK43" i="1"/>
  <c r="AK61" i="1"/>
  <c r="AK73" i="1"/>
  <c r="AK94" i="1"/>
  <c r="E50" i="3"/>
  <c r="AK50" i="1" s="1"/>
  <c r="G86" i="3"/>
  <c r="AL86" i="1" s="1"/>
  <c r="G96" i="3"/>
  <c r="AL96" i="1" s="1"/>
  <c r="G112" i="3"/>
  <c r="AL112" i="1" s="1"/>
  <c r="G122" i="3"/>
  <c r="AL122" i="1" s="1"/>
  <c r="G15" i="3"/>
  <c r="AL15" i="1" s="1"/>
  <c r="G30" i="3"/>
  <c r="AL30" i="1" s="1"/>
  <c r="G38" i="3"/>
  <c r="AL38" i="1" s="1"/>
  <c r="G43" i="3"/>
  <c r="AL43" i="1" s="1"/>
  <c r="AJ37" i="1"/>
  <c r="AK100" i="1"/>
  <c r="G11" i="3"/>
  <c r="AL11" i="1" s="1"/>
  <c r="G16" i="3"/>
  <c r="AL16" i="1" s="1"/>
  <c r="E23" i="3"/>
  <c r="AK23" i="1" s="1"/>
  <c r="E47" i="3"/>
  <c r="AK47" i="1" s="1"/>
  <c r="G59" i="3"/>
  <c r="AL59" i="1" s="1"/>
  <c r="G83" i="3"/>
  <c r="AL83" i="1" s="1"/>
  <c r="G97" i="3"/>
  <c r="AL97" i="1" s="1"/>
  <c r="G102" i="3"/>
  <c r="AL102" i="1" s="1"/>
  <c r="G107" i="3"/>
  <c r="AL107" i="1" s="1"/>
  <c r="G123" i="3"/>
  <c r="AL123" i="1" s="1"/>
  <c r="G128" i="3"/>
  <c r="AL128" i="1" s="1"/>
  <c r="G133" i="3"/>
  <c r="AL133" i="1" s="1"/>
  <c r="G138" i="3"/>
  <c r="AL138" i="1" s="1"/>
  <c r="G143" i="3"/>
  <c r="AL143" i="1" s="1"/>
  <c r="G159" i="3"/>
  <c r="AL159" i="1" s="1"/>
  <c r="G169" i="3"/>
  <c r="AL169" i="1" s="1"/>
  <c r="AK2" i="1"/>
  <c r="AK14" i="1"/>
  <c r="AK29" i="1"/>
  <c r="AK74" i="1"/>
  <c r="AK95" i="1"/>
  <c r="AK110" i="1"/>
  <c r="AK126" i="1"/>
  <c r="AK136" i="1"/>
  <c r="AK162" i="1"/>
  <c r="G39" i="3"/>
  <c r="AL39" i="1" s="1"/>
  <c r="G76" i="3"/>
  <c r="AL76" i="1" s="1"/>
  <c r="G92" i="3"/>
  <c r="AL92" i="1" s="1"/>
  <c r="G98" i="3"/>
  <c r="AL98" i="1" s="1"/>
  <c r="G108" i="3"/>
  <c r="AL108" i="1" s="1"/>
  <c r="G124" i="3"/>
  <c r="AL124" i="1" s="1"/>
  <c r="G134" i="3"/>
  <c r="AL134" i="1" s="1"/>
  <c r="G144" i="3"/>
  <c r="AL144" i="1" s="1"/>
  <c r="AJ82" i="1"/>
  <c r="AK115" i="1"/>
  <c r="AK120" i="1"/>
  <c r="AK130" i="1"/>
  <c r="AK156" i="1"/>
  <c r="G6" i="3"/>
  <c r="AL6" i="1" s="1"/>
  <c r="G9" i="3"/>
  <c r="AL9" i="1" s="1"/>
  <c r="G72" i="3"/>
  <c r="AL72" i="1" s="1"/>
  <c r="G77" i="3"/>
  <c r="AL77" i="1" s="1"/>
  <c r="G99" i="3"/>
  <c r="AL99" i="1" s="1"/>
  <c r="G104" i="3"/>
  <c r="AL104" i="1" s="1"/>
  <c r="G109" i="3"/>
  <c r="AL109" i="1" s="1"/>
  <c r="G114" i="3"/>
  <c r="AL114" i="1" s="1"/>
  <c r="G119" i="3"/>
  <c r="AL119" i="1" s="1"/>
  <c r="G135" i="3"/>
  <c r="AL135" i="1" s="1"/>
  <c r="G140" i="3"/>
  <c r="AL140" i="1" s="1"/>
  <c r="G145" i="3"/>
  <c r="AL145" i="1" s="1"/>
  <c r="G150" i="3"/>
  <c r="AL150" i="1" s="1"/>
  <c r="G155" i="3"/>
  <c r="AL155" i="1" s="1"/>
  <c r="G171" i="3"/>
  <c r="AL171" i="1" s="1"/>
  <c r="AJ24" i="1"/>
  <c r="AJ33" i="1"/>
  <c r="AJ42" i="1"/>
  <c r="AJ51" i="1"/>
  <c r="AJ60" i="1"/>
  <c r="AJ78" i="1"/>
  <c r="G3" i="3"/>
  <c r="AL3" i="1" s="1"/>
  <c r="G10" i="3"/>
  <c r="AL10" i="1" s="1"/>
  <c r="G25" i="3"/>
  <c r="AL25" i="1" s="1"/>
  <c r="G48" i="3"/>
  <c r="AL48" i="1" s="1"/>
  <c r="G61" i="3"/>
  <c r="AL61" i="1" s="1"/>
  <c r="AJ7" i="1"/>
  <c r="AK151" i="1"/>
  <c r="AK146" i="1"/>
  <c r="AJ254" i="1"/>
  <c r="AK3" i="1"/>
  <c r="AK9" i="1"/>
  <c r="AK39" i="1"/>
  <c r="AK57" i="1"/>
  <c r="AK90" i="1"/>
  <c r="AK111" i="1"/>
  <c r="G73" i="3"/>
  <c r="AL73" i="1" s="1"/>
  <c r="G94" i="3"/>
  <c r="AL94" i="1" s="1"/>
  <c r="G100" i="3"/>
  <c r="AL100" i="1" s="1"/>
  <c r="G110" i="3"/>
  <c r="AL110" i="1" s="1"/>
  <c r="G120" i="3"/>
  <c r="AL120" i="1" s="1"/>
  <c r="G136" i="3"/>
  <c r="AL136" i="1" s="1"/>
  <c r="G146" i="3"/>
  <c r="AL146" i="1" s="1"/>
  <c r="G156" i="3"/>
  <c r="AL156" i="1" s="1"/>
  <c r="G186" i="3"/>
  <c r="AL186" i="1" s="1"/>
  <c r="G198" i="3"/>
  <c r="AL198" i="1" s="1"/>
  <c r="G210" i="3"/>
  <c r="AL210" i="1" s="1"/>
  <c r="G222" i="3"/>
  <c r="AL222" i="1" s="1"/>
  <c r="G234" i="3"/>
  <c r="AL234" i="1" s="1"/>
  <c r="G103" i="3"/>
  <c r="AL103" i="1" s="1"/>
  <c r="G115" i="3"/>
  <c r="AL115" i="1" s="1"/>
  <c r="G127" i="3"/>
  <c r="AL127" i="1" s="1"/>
  <c r="G139" i="3"/>
  <c r="AL139" i="1" s="1"/>
  <c r="G151" i="3"/>
  <c r="AL151" i="1" s="1"/>
  <c r="G163" i="3"/>
  <c r="AL163" i="1" s="1"/>
  <c r="G175" i="3"/>
  <c r="AL175" i="1" s="1"/>
  <c r="G187" i="3"/>
  <c r="AL187" i="1" s="1"/>
  <c r="G199" i="3"/>
  <c r="AL199" i="1" s="1"/>
  <c r="G211" i="3"/>
  <c r="AL211" i="1" s="1"/>
  <c r="G223" i="3"/>
  <c r="AL223" i="1" s="1"/>
  <c r="G235" i="3"/>
  <c r="AL235" i="1" s="1"/>
  <c r="G247" i="3"/>
  <c r="AL247" i="1" s="1"/>
  <c r="G31" i="3"/>
  <c r="AL31" i="1" s="1"/>
  <c r="G49" i="3"/>
  <c r="AL49" i="1" s="1"/>
  <c r="G67" i="3"/>
  <c r="AL67" i="1" s="1"/>
  <c r="G85" i="3"/>
  <c r="AL85" i="1" s="1"/>
  <c r="G106" i="3"/>
  <c r="AL106" i="1" s="1"/>
  <c r="G118" i="3"/>
  <c r="AL118" i="1" s="1"/>
  <c r="G130" i="3"/>
  <c r="AL130" i="1" s="1"/>
  <c r="G142" i="3"/>
  <c r="AL142" i="1" s="1"/>
  <c r="G154" i="3"/>
  <c r="AL154" i="1" s="1"/>
  <c r="G166" i="3"/>
  <c r="AL166" i="1" s="1"/>
  <c r="G178" i="3"/>
  <c r="AL178" i="1" s="1"/>
  <c r="G190" i="3"/>
  <c r="AL190" i="1" s="1"/>
  <c r="G202" i="3"/>
  <c r="AL202" i="1" s="1"/>
  <c r="G214" i="3"/>
  <c r="AL214" i="1" s="1"/>
  <c r="G226" i="3"/>
  <c r="AL226" i="1" s="1"/>
  <c r="G238" i="3"/>
  <c r="AL238" i="1" s="1"/>
  <c r="G250" i="3"/>
  <c r="AL250" i="1" s="1"/>
</calcChain>
</file>

<file path=xl/sharedStrings.xml><?xml version="1.0" encoding="utf-8"?>
<sst xmlns="http://schemas.openxmlformats.org/spreadsheetml/2006/main" count="60104" uniqueCount="5180">
  <si>
    <t>fid</t>
  </si>
  <si>
    <t>NAME_EN</t>
  </si>
  <si>
    <t>NAME_RU</t>
  </si>
  <si>
    <t>Потребление нефти/нефтепродуктов, барр./сут.</t>
  </si>
  <si>
    <t>Год потребления</t>
  </si>
  <si>
    <t>Потребление, млн барр./год</t>
  </si>
  <si>
    <t>Дизель/дистилляты, % потребления</t>
  </si>
  <si>
    <t>Бензин, % потребления</t>
  </si>
  <si>
    <t>LPG, % потребления</t>
  </si>
  <si>
    <t>Jet/керосин, % потребления</t>
  </si>
  <si>
    <t>Мазут/Residual Fuel Oil, % потребления</t>
  </si>
  <si>
    <t>Добыча нефти и жидкостей, барр./сут.</t>
  </si>
  <si>
    <t>Год добычи</t>
  </si>
  <si>
    <t>Добыча сырой нефти, барр./сут.</t>
  </si>
  <si>
    <t>Добыча NGPL, барр./сут.</t>
  </si>
  <si>
    <t>ВВП, млрд USD</t>
  </si>
  <si>
    <t>Год ВВП</t>
  </si>
  <si>
    <t>Рост ВВП, %</t>
  </si>
  <si>
    <t>Год роста</t>
  </si>
  <si>
    <t>Инфляция CPI, %</t>
  </si>
  <si>
    <t>Год инфляции</t>
  </si>
  <si>
    <t>Цена бензина, USD</t>
  </si>
  <si>
    <t>Цена дизеля, USD</t>
  </si>
  <si>
    <t>Цена Jet/керосина, USD</t>
  </si>
  <si>
    <t>Цена LPG, USD</t>
  </si>
  <si>
    <t>Цена мазута, USD</t>
  </si>
  <si>
    <t>Единица/тип цены</t>
  </si>
  <si>
    <t>Дата цены</t>
  </si>
  <si>
    <t>Источник нефть/нефтепродукты</t>
  </si>
  <si>
    <t>Источник экономика</t>
  </si>
  <si>
    <t>Источник цены</t>
  </si>
  <si>
    <t>Комментарий</t>
  </si>
  <si>
    <t>Статус цены топлива</t>
  </si>
  <si>
    <t>ISO2</t>
  </si>
  <si>
    <t>ISO3</t>
  </si>
  <si>
    <t>НПЗ Oilmap, шт.</t>
  </si>
  <si>
    <t>Известная мощность Oilmap, барр./сут.</t>
  </si>
  <si>
    <t>НПЗ Oilmap без мощности, шт.</t>
  </si>
  <si>
    <t>Дата слоя Oilmap</t>
  </si>
  <si>
    <t>НПЗ: статус свежей проверки</t>
  </si>
  <si>
    <t>Год продуктовых долей</t>
  </si>
  <si>
    <t>Год сырой нефти / конденсата</t>
  </si>
  <si>
    <t>Год NGPL</t>
  </si>
  <si>
    <t>Дата проверки</t>
  </si>
  <si>
    <t>Indonesia</t>
  </si>
  <si>
    <t>Индонезия</t>
  </si>
  <si>
    <t>н/д</t>
  </si>
  <si>
    <t>Бензин/дизель/LPG: USD/л; Jet/мазут: исходные единицы</t>
  </si>
  <si>
    <t>Бензин: 2026-09-14; Дизель: 2026-09-14; исходные даты для непроверенных значений: бензин: 2026-09-14; дизель/LPG: 2026-09-07; Jet/мазут: н/д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</si>
  <si>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https://www.worldometers.info/oil/indonesia-oil/</t>
  </si>
  <si>
    <t>https://api.worldbank.org/v2/country/IDN/indicator/NY.GDP.MKTP.CD?format=json ; https://api.worldbank.org/v2/country/IDN/indicator/NY.GDP.MKTP.KD.ZG?format=json ; https://api.worldbank.org/v2/country/IDN/indicator/FP.CPI.TOTL.ZG?format=json ; Исходный источник: https://data.worldbank.org/</t>
  </si>
  <si>
    <t>https://www.globalpetrolprices.com/Indonesia/gasoline_prices/ ; https://www.globalpetrolprices.com/Indonesia/diesel_prices/ ; Исходный источник: GlobalPetrolPrices (страновые значения только там, где они были явно помечены как страновые); Jet/мазут: н/д</t>
  </si>
  <si>
    <t>Массовые оценки/медианы удалены в ходе аудита. Сохранившиеся исходные числовые значения не считаются подтверждёнными автоматически; требуется первичная проверка источника. Обновление 16.09.2026: Потребление и доли: JODI, нефтепродукты TOTPRODS, 12 месяцев 2025. Jet/мазут: национальные сопоставимые цены не найдены; исходные значения сохранены.</t>
  </si>
  <si>
    <t>Бензин: проверено GPP; Дизель: проверено GPP; LPG: н/д; Jet/керосин: нет сопоставимой национальной цены; Мазут: нет сопоставимой национальной цены</t>
  </si>
  <si>
    <t>ID</t>
  </si>
  <si>
    <t>IDN</t>
  </si>
  <si>
    <t>2019-02-18</t>
  </si>
  <si>
    <t>Мощность: вторичная публикация EI; число НПЗ не подтверждено</t>
  </si>
  <si>
    <t>2026-09-16</t>
  </si>
  <si>
    <t>Malaysia</t>
  </si>
  <si>
    <t>Малайзия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</si>
  <si>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https://www.worldometers.info/oil/malaysia-oil/</t>
  </si>
  <si>
    <t>https://api.worldbank.org/v2/country/MYS/indicator/NY.GDP.MKTP.CD?format=json ; https://api.worldbank.org/v2/country/MYS/indicator/NY.GDP.MKTP.KD.ZG?format=json ; https://api.worldbank.org/v2/country/MYS/indicator/FP.CPI.TOTL.ZG?format=json ; Исходный источник: https://data.worldbank.org/</t>
  </si>
  <si>
    <t>https://www.globalpetrolprices.com/Malaysia/gasoline_prices/ ; https://www.globalpetrolprices.com/Malaysia/diesel_prices/ ; Исходный источник: GlobalPetrolPrices (страновые значения только там, где они были явно помечены как страновые); Jet/мазут: н/д</t>
  </si>
  <si>
    <t>Массовые оценки/медианы удалены в ходе аудита. Сохранившиеся исходные числовые значения не считаются подтверждёнными автоматически; требуется первичная проверка источника. Обновление 16.09.2026: Потребление и доли: EIA, petroleum and other liquids, 2024; включает биотопливо. Jet/мазут: национальные сопоставимые цены не найдены; исходные значения сохранены.</t>
  </si>
  <si>
    <t>MY</t>
  </si>
  <si>
    <t>MYS</t>
  </si>
  <si>
    <t>Chile</t>
  </si>
  <si>
    <t>Чили</t>
  </si>
  <si>
    <t>Бензин: 2026-09-14; Дизель: 2026-09-14; LPG: 2026-09-14; исходные даты для непроверенных значений: бензин: 2026-09-14; дизель/LPG: 2026-09-07; Jet/мазут: н/д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</si>
  <si>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https://www.worldometers.info/oil/chile-oil/</t>
  </si>
  <si>
    <t>https://api.worldbank.org/v2/country/CHL/indicator/NY.GDP.MKTP.CD?format=json ; https://api.worldbank.org/v2/country/CHL/indicator/NY.GDP.MKTP.KD.ZG?format=json ; https://api.worldbank.org/v2/country/CHL/indicator/FP.CPI.TOTL.ZG?format=json ; Исходный источник: https://data.worldbank.org/</t>
  </si>
  <si>
    <t>https://www.globalpetrolprices.com/Chile/gasoline_prices/ ; https://www.globalpetrolprices.com/Chile/diesel_prices/ ; https://www.globalpetrolprices.com/Chile/lpg_prices/ ; Исходный источник: GlobalPetrolPrices (страновые значения только там, где они были явно помечены как страновые); Jet/мазут: н/д</t>
  </si>
  <si>
    <t>Бензин: проверено GPP; Дизель: проверено GPP; LPG: проверено GPP; Jet/керосин: нет сопоставимой национальной цены; Мазут: нет сопоставимой национальной цены</t>
  </si>
  <si>
    <t>CL</t>
  </si>
  <si>
    <t>CHL</t>
  </si>
  <si>
    <t>Bolivia</t>
  </si>
  <si>
    <t>Боливия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</si>
  <si>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https://www.worldometers.info/oil/bolivia-oil/</t>
  </si>
  <si>
    <t>https://api.worldbank.org/v2/country/BOL/indicator/NY.GDP.MKTP.CD?format=json ; https://api.worldbank.org/v2/country/BOL/indicator/NY.GDP.MKTP.KD.ZG?format=json ; https://api.worldbank.org/v2/country/BOL/indicator/FP.CPI.TOTL.ZG?format=json ; Исходный источник: https://data.worldbank.org/</t>
  </si>
  <si>
    <t>https://www.globalpetrolprices.com/Bolivia/gasoline_prices/ ; https://www.globalpetrolprices.com/Bolivia/diesel_prices/ ; Исходный источник: GlobalPetrolPrices (страновые значения только там, где они были явно помечены как страновые); Jet/мазут: н/д</t>
  </si>
  <si>
    <t>BO</t>
  </si>
  <si>
    <t>BOL</t>
  </si>
  <si>
    <t>Свежие число и мощность не подтверждены</t>
  </si>
  <si>
    <t>Peru</t>
  </si>
  <si>
    <t>Перу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</si>
  <si>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https://www.worldometers.info/oil/peru-oil/</t>
  </si>
  <si>
    <t>https://api.worldbank.org/v2/country/PER/indicator/NY.GDP.MKTP.CD?format=json ; https://api.worldbank.org/v2/country/PER/indicator/NY.GDP.MKTP.KD.ZG?format=json ; https://api.worldbank.org/v2/country/PER/indicator/FP.CPI.TOTL.ZG?format=json ; Исходный источник: https://data.worldbank.org/</t>
  </si>
  <si>
    <t>https://www.globalpetrolprices.com/Peru/gasoline_prices/ ; https://www.globalpetrolprices.com/Peru/diesel_prices/ ; https://www.globalpetrolprices.com/Peru/lpg_prices/ ; Исходный источник: GlobalPetrolPrices (страновые значения только там, где они были явно помечены как страновые); Jet/мазут: н/д</t>
  </si>
  <si>
    <t>PE</t>
  </si>
  <si>
    <t>PER</t>
  </si>
  <si>
    <t>Argentina</t>
  </si>
  <si>
    <t>Аргентина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</si>
  <si>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https://www.worldometers.info/oil/argentina-oil/</t>
  </si>
  <si>
    <t>https://api.worldbank.org/v2/country/ARG/indicator/NY.GDP.MKTP.CD?format=json ; https://api.worldbank.org/v2/country/ARG/indicator/NY.GDP.MKTP.KD.ZG?format=json ; https://api.worldbank.org/v2/country/ARG/indicator/FP.CPI.TOTL.ZG?format=json ; Исходный источник: https://data.worldbank.org/</t>
  </si>
  <si>
    <t>https://www.globalpetrolprices.com/Argentina/gasoline_prices/ ; https://www.globalpetrolprices.com/Argentina/diesel_prices/ ; Исходный источник: GlobalPetrolPrices (страновые значения только там, где они были явно помечены как страновые); Jet/мазут: н/д</t>
  </si>
  <si>
    <t>AR</t>
  </si>
  <si>
    <t>ARG</t>
  </si>
  <si>
    <t>Dhekelia Cantonment</t>
  </si>
  <si>
    <t>Декелия</t>
  </si>
  <si>
    <t>бензин/дизель/LPG/Jet: USD/л; мазут: USD/т</t>
  </si>
  <si>
    <t>бензин: 2026-09-14; дизель/LPG: 2026-09-07; Jet/мазут: н/д</t>
  </si>
  <si>
    <t>https://www.jodidata.org/oil/database/data-downloads.aspx ; https://www.jodidata.org/oil/database/data-downloads.aspx</t>
  </si>
  <si>
    <t>https://data.worldbank.org/</t>
  </si>
  <si>
    <t>GlobalPetrolPrices (страновые значения только там, где они были явно помечены как страновые); Jet/мазут: н/д</t>
  </si>
  <si>
    <t>Массовые оценки/медианы удалены в ходе аудита. Сохранившиеся исходные числовые значения не считаются подтверждёнными автоматически; требуется первичная проверка источника. Обновление 16.09.2026: Потребление и доли: исходные значения, свежая сопоставимая серия не найдена. Jet/мазут: национальные сопоставимые цены не найдены; исходные значения сохранены.</t>
  </si>
  <si>
    <t>Бензин: н/д; Дизель: н/д; LPG: н/д; Jet/керосин: нет сопоставимой национальной цены; Мазут: нет сопоставимой национальной цены</t>
  </si>
  <si>
    <t>Cyprus</t>
  </si>
  <si>
    <t>Кипр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</si>
  <si>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https://www.worldometers.info/oil/cyprus-oil/</t>
  </si>
  <si>
    <t>https://api.worldbank.org/v2/country/CYP/indicator/NY.GDP.MKTP.CD?format=json ; https://api.worldbank.org/v2/country/CYP/indicator/NY.GDP.MKTP.KD.ZG?format=json ; https://api.worldbank.org/v2/country/CYP/indicator/FP.CPI.TOTL.ZG?format=json ; Исходный источник: https://data.worldbank.org/</t>
  </si>
  <si>
    <t>https://www.globalpetrolprices.com/Cyprus/gasoline_prices/ ; https://www.globalpetrolprices.com/Cyprus/diesel_prices/ ; Исходный источник: GlobalPetrolPrices (страновые значения только там, где они были явно помечены как страновые); Jet/мазут: н/д</t>
  </si>
  <si>
    <t>CY</t>
  </si>
  <si>
    <t>CYP</t>
  </si>
  <si>
    <t>India</t>
  </si>
  <si>
    <t>Индия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</si>
  <si>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https://www.worldometers.info/oil/india-oil/</t>
  </si>
  <si>
    <t>https://api.worldbank.org/v2/country/IND/indicator/NY.GDP.MKTP.CD?format=json ; https://api.worldbank.org/v2/country/IND/indicator/NY.GDP.MKTP.KD.ZG?format=json ; https://api.worldbank.org/v2/country/IND/indicator/FP.CPI.TOTL.ZG?format=json ; Исходный источник: https://data.worldbank.org/</t>
  </si>
  <si>
    <t>https://www.globalpetrolprices.com/India/gasoline_prices/ ; https://www.globalpetrolprices.com/India/diesel_prices/ ; https://www.globalpetrolprices.com/India/lpg_prices/ ; Исходный источник: GlobalPetrolPrices (страновые значения только там, где они были явно помечены как страновые); Jet/мазут: н/д</t>
  </si>
  <si>
    <t>IN</t>
  </si>
  <si>
    <t>IND</t>
  </si>
  <si>
    <t>Проверен первичный источник; см. охват</t>
  </si>
  <si>
    <t>People's Republic of China</t>
  </si>
  <si>
    <t>Китайская Народная Республика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</si>
  <si>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https://www.worldometers.info/oil/china-oil/</t>
  </si>
  <si>
    <t>https://api.worldbank.org/v2/country/CHN/indicator/NY.GDP.MKTP.CD?format=json ; https://api.worldbank.org/v2/country/CHN/indicator/NY.GDP.MKTP.KD.ZG?format=json ; https://api.worldbank.org/v2/country/CHN/indicator/FP.CPI.TOTL.ZG?format=json ; Исходный источник: https://data.worldbank.org/</t>
  </si>
  <si>
    <t>https://www.globalpetrolprices.com/China/gasoline_prices/ ; https://www.globalpetrolprices.com/China/diesel_prices/ ; Исходный источник: GlobalPetrolPrices (страновые значения только там, где они были явно помечены как страновые); Jet/мазут: н/д</t>
  </si>
  <si>
    <t>CN</t>
  </si>
  <si>
    <t>CHN</t>
  </si>
  <si>
    <t>Israel</t>
  </si>
  <si>
    <t>Израиль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</si>
  <si>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https://www.worldometers.info/oil/israel-oil/</t>
  </si>
  <si>
    <t>https://api.worldbank.org/v2/country/ISR/indicator/NY.GDP.MKTP.CD?format=json ; https://api.worldbank.org/v2/country/ISR/indicator/NY.GDP.MKTP.KD.ZG?format=json ; https://api.worldbank.org/v2/country/ISR/indicator/FP.CPI.TOTL.ZG?format=json ; Исходный источник: https://data.worldbank.org/</t>
  </si>
  <si>
    <t>https://www.globalpetrolprices.com/Israel/gasoline_prices/ ; https://www.globalpetrolprices.com/Israel/diesel_prices/ ; https://www.globalpetrolprices.com/Israel/lpg_prices/ ; Исходный источник: GlobalPetrolPrices (страновые значения только там, где они были явно помечены как страновые); Jet/мазут: н/д</t>
  </si>
  <si>
    <t>Массовые оценки/медианы удалены в ходе аудита. Сохранившиеся исходные числовые значения не считаются подтверждёнными автоматически; требуется первичная проверка источника. Обновление 16.09.2026: Потребление и доли: EIA, petroleum and other liquids, 2025; включает биотопливо. Jet/мазут: национальные сопоставимые цены не найдены; исходные значения сохранены.</t>
  </si>
  <si>
    <t>IL</t>
  </si>
  <si>
    <t>ISR</t>
  </si>
  <si>
    <t>Palestine</t>
  </si>
  <si>
    <t>Палестина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</si>
  <si>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https://www.worldometers.info/oil/state-of-palestine-oil/</t>
  </si>
  <si>
    <t>https://api.worldbank.org/v2/country/PSE/indicator/NY.GDP.MKTP.CD?format=json ; https://api.worldbank.org/v2/country/PSE/indicator/NY.GDP.MKTP.KD.ZG?format=json ; https://api.worldbank.org/v2/country/PSE/indicator/FP.CPI.TOTL.ZG?format=json ; Исходный источник: https://data.worldbank.org/</t>
  </si>
  <si>
    <t>PS</t>
  </si>
  <si>
    <t>PSE</t>
  </si>
  <si>
    <t>Lebanon</t>
  </si>
  <si>
    <t>Ливан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</si>
  <si>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https://www.worldometers.info/oil/lebanon-oil/</t>
  </si>
  <si>
    <t>https://api.worldbank.org/v2/country/LBN/indicator/NY.GDP.MKTP.CD?format=json ; https://api.worldbank.org/v2/country/LBN/indicator/NY.GDP.MKTP.KD.ZG?format=json ; https://api.worldbank.org/v2/country/LBN/indicator/FP.CPI.TOTL.ZG?format=json ; Исходный источник: https://data.worldbank.org/</t>
  </si>
  <si>
    <t>https://www.globalpetrolprices.com/Lebanon/gasoline_prices/ ; https://www.globalpetrolprices.com/Lebanon/diesel_prices/ ; https://www.globalpetrolprices.com/Lebanon/lpg_prices/ ; Исходный источник: GlobalPetrolPrices (страновые значения только там, где они были явно помечены как страновые); Jet/мазут: н/д</t>
  </si>
  <si>
    <t>LB</t>
  </si>
  <si>
    <t>LBN</t>
  </si>
  <si>
    <t>Ethiopia</t>
  </si>
  <si>
    <t>Эфиопия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</si>
  <si>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https://www.worldometers.info/oil/ethiopia-oil/</t>
  </si>
  <si>
    <t>https://api.worldbank.org/v2/country/ETH/indicator/NY.GDP.MKTP.CD?format=json ; https://api.worldbank.org/v2/country/ETH/indicator/NY.GDP.MKTP.KD.ZG?format=json ; https://api.worldbank.org/v2/country/ETH/indicator/FP.CPI.TOTL.ZG?format=json ; Исходный источник: https://data.worldbank.org/</t>
  </si>
  <si>
    <t>https://www.globalpetrolprices.com/Ethiopia/gasoline_prices/ ; https://www.globalpetrolprices.com/Ethiopia/diesel_prices/ ; Исходный источник: GlobalPetrolPrices (страновые значения только там, где они были явно помечены как страновые); Jet/мазут: н/д</t>
  </si>
  <si>
    <t>ET</t>
  </si>
  <si>
    <t>ETH</t>
  </si>
  <si>
    <t>South Sudan</t>
  </si>
  <si>
    <t>Южный Судан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</si>
  <si>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https://www.worldometers.info/oil/south-sudan-oil/</t>
  </si>
  <si>
    <t>https://api.worldbank.org/v2/country/SSD/indicator/NY.GDP.MKTP.CD?format=json ; https://api.worldbank.org/v2/country/SSD/indicator/NY.GDP.MKTP.KD.ZG?format=json ; https://api.worldbank.org/v2/country/SSD/indicator/FP.CPI.TOTL.ZG?format=json ; Исходный источник: https://data.worldbank.org/</t>
  </si>
  <si>
    <t>SS</t>
  </si>
  <si>
    <t>SSD</t>
  </si>
  <si>
    <t>Somalia</t>
  </si>
  <si>
    <t>Сомали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</si>
  <si>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https://www.worldometers.info/oil/somalia-oil/</t>
  </si>
  <si>
    <t>https://api.worldbank.org/v2/country/SOM/indicator/NY.GDP.MKTP.CD?format=json ; https://api.worldbank.org/v2/country/SOM/indicator/NY.GDP.MKTP.KD.ZG?format=json ; https://api.worldbank.org/v2/country/SOM/indicator/FP.CPI.TOTL.ZG?format=json ; Исходный источник: https://data.worldbank.org/</t>
  </si>
  <si>
    <t>SO</t>
  </si>
  <si>
    <t>SOM</t>
  </si>
  <si>
    <t>Kenya</t>
  </si>
  <si>
    <t>Кения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</si>
  <si>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https://www.worldometers.info/oil/kenya-oil/</t>
  </si>
  <si>
    <t>https://api.worldbank.org/v2/country/KEN/indicator/NY.GDP.MKTP.CD?format=json ; https://api.worldbank.org/v2/country/KEN/indicator/NY.GDP.MKTP.KD.ZG?format=json ; https://api.worldbank.org/v2/country/KEN/indicator/FP.CPI.TOTL.ZG?format=json ; Исходный источник: https://data.worldbank.org/</t>
  </si>
  <si>
    <t>https://www.globalpetrolprices.com/Kenya/gasoline_prices/ ; https://www.globalpetrolprices.com/Kenya/diesel_prices/ ; Исходный источник: GlobalPetrolPrices (страновые значения только там, где они были явно помечены как страновые); Jet/мазут: н/д</t>
  </si>
  <si>
    <t>KE</t>
  </si>
  <si>
    <t>KEN</t>
  </si>
  <si>
    <t>Malawi</t>
  </si>
  <si>
    <t>Малави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</si>
  <si>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https://www.worldometers.info/oil/malawi-oil/</t>
  </si>
  <si>
    <t>https://api.worldbank.org/v2/country/MWI/indicator/NY.GDP.MKTP.CD?format=json ; https://api.worldbank.org/v2/country/MWI/indicator/NY.GDP.MKTP.KD.ZG?format=json ; https://api.worldbank.org/v2/country/MWI/indicator/FP.CPI.TOTL.ZG?format=json ; Исходный источник: https://data.worldbank.org/</t>
  </si>
  <si>
    <t>https://www.globalpetrolprices.com/Malawi/gasoline_prices/ ; https://www.globalpetrolprices.com/Malawi/diesel_prices/ ; Исходный источник: GlobalPetrolPrices (страновые значения только там, где они были явно помечены как страновые); Jet/мазут: н/д</t>
  </si>
  <si>
    <t>MW</t>
  </si>
  <si>
    <t>MWI</t>
  </si>
  <si>
    <t>Tanzania</t>
  </si>
  <si>
    <t>Танзания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</si>
  <si>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https://www.worldometers.info/oil/tanzania-oil/</t>
  </si>
  <si>
    <t>https://api.worldbank.org/v2/country/TZA/indicator/NY.GDP.MKTP.CD?format=json ; https://api.worldbank.org/v2/country/TZA/indicator/NY.GDP.MKTP.KD.ZG?format=json ; https://api.worldbank.org/v2/country/TZA/indicator/FP.CPI.TOTL.ZG?format=json ; Исходный источник: https://data.worldbank.org/</t>
  </si>
  <si>
    <t>https://www.globalpetrolprices.com/Tanzania/gasoline_prices/ ; https://www.globalpetrolprices.com/Tanzania/diesel_prices/ ; Исходный источник: GlobalPetrolPrices (страновые значения только там, где они были явно помечены как страновые); Jet/мазут: н/д</t>
  </si>
  <si>
    <t>TZ</t>
  </si>
  <si>
    <t>TZA</t>
  </si>
  <si>
    <t>Syria</t>
  </si>
  <si>
    <t>Сирия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</si>
  <si>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https://www.worldometers.info/oil/syria-oil/</t>
  </si>
  <si>
    <t>https://www.globalpetrolprices.com/Syria/gasoline_prices/ ; https://www.globalpetrolprices.com/Syria/diesel_prices/ ; Исходный источник: GlobalPetrolPrices (страновые значения только там, где они были явно помечены как страновые); Jet/мазут: н/д</t>
  </si>
  <si>
    <t>SY</t>
  </si>
  <si>
    <t>SYR</t>
  </si>
  <si>
    <t>Somaliland</t>
  </si>
  <si>
    <t>Сомалиленд</t>
  </si>
  <si>
    <t>https://www.jodidata.org/oil/database/data-downloads.aspx</t>
  </si>
  <si>
    <t>France</t>
  </si>
  <si>
    <t>Франция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</si>
  <si>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https://www.worldometers.info/oil/france-oil/</t>
  </si>
  <si>
    <t>https://api.worldbank.org/v2/country/FRA/indicator/NY.GDP.MKTP.CD?format=json ; https://api.worldbank.org/v2/country/FRA/indicator/NY.GDP.MKTP.KD.ZG?format=json ; https://api.worldbank.org/v2/country/FRA/indicator/FP.CPI.TOTL.ZG?format=json ; Исходный источник: https://data.worldbank.org/</t>
  </si>
  <si>
    <t>https://www.globalpetrolprices.com/France/gasoline_prices/ ; https://www.globalpetrolprices.com/France/diesel_prices/ ; https://www.globalpetrolprices.com/France/lpg_prices/ ; Исходный источник: GlobalPetrolPrices (страновые значения только там, где они были явно помечены как страновые); Jet/мазут: н/д</t>
  </si>
  <si>
    <t>FR</t>
  </si>
  <si>
    <t>FRA</t>
  </si>
  <si>
    <t>Suriname</t>
  </si>
  <si>
    <t>Суринам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</si>
  <si>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https://www.worldometers.info/oil/suriname-oil/</t>
  </si>
  <si>
    <t>https://api.worldbank.org/v2/country/SUR/indicator/NY.GDP.MKTP.CD?format=json ; https://api.worldbank.org/v2/country/SUR/indicator/NY.GDP.MKTP.KD.ZG?format=json ; https://api.worldbank.org/v2/country/SUR/indicator/FP.CPI.TOTL.ZG?format=json ; Исходный источник: https://data.worldbank.org/</t>
  </si>
  <si>
    <t>https://www.globalpetrolprices.com/Suriname/gasoline_prices/ ; https://www.globalpetrolprices.com/Suriname/diesel_prices/ ; Исходный источник: GlobalPetrolPrices (страновые значения только там, где они были явно помечены как страновые); Jet/мазут: н/д</t>
  </si>
  <si>
    <t>SR</t>
  </si>
  <si>
    <t>SUR</t>
  </si>
  <si>
    <t>Guyana</t>
  </si>
  <si>
    <t>Гайана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</si>
  <si>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https://www.worldometers.info/oil/guyana-oil/</t>
  </si>
  <si>
    <t>https://api.worldbank.org/v2/country/GUY/indicator/NY.GDP.MKTP.CD?format=json ; https://api.worldbank.org/v2/country/GUY/indicator/NY.GDP.MKTP.KD.ZG?format=json ; https://api.worldbank.org/v2/country/GUY/indicator/FP.CPI.TOTL.ZG?format=json ; Исходный источник: https://data.worldbank.org/</t>
  </si>
  <si>
    <t>https://www.globalpetrolprices.com/Guyana/gasoline_prices/ ; https://www.globalpetrolprices.com/Guyana/diesel_prices/ ; Исходный источник: GlobalPetrolPrices (страновые значения только там, где они были явно помечены как страновые); Jet/мазут: н/д</t>
  </si>
  <si>
    <t>GY</t>
  </si>
  <si>
    <t>GUY</t>
  </si>
  <si>
    <t>South Korea</t>
  </si>
  <si>
    <t>Республика Корея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</si>
  <si>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https://www.worldometers.info/oil/south-korea-oil/</t>
  </si>
  <si>
    <t>https://api.worldbank.org/v2/country/KOR/indicator/NY.GDP.MKTP.CD?format=json ; https://api.worldbank.org/v2/country/KOR/indicator/NY.GDP.MKTP.KD.ZG?format=json ; https://api.worldbank.org/v2/country/KOR/indicator/FP.CPI.TOTL.ZG?format=json ; Исходный источник: https://data.worldbank.org/</t>
  </si>
  <si>
    <t>https://www.globalpetrolprices.com/South-Korea/gasoline_prices/ ; https://www.globalpetrolprices.com/South-Korea/diesel_prices/ ; https://www.globalpetrolprices.com/South-Korea/lpg_prices/ ; Исходный источник: GlobalPetrolPrices (страновые значения только там, где они были явно помечены как страновые); Jet/мазут: н/д</t>
  </si>
  <si>
    <t>KR</t>
  </si>
  <si>
    <t>KOR</t>
  </si>
  <si>
    <t>North Korea</t>
  </si>
  <si>
    <t>КНДР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</si>
  <si>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https://www.worldometers.info/oil/north-korea-oil/</t>
  </si>
  <si>
    <t>KP</t>
  </si>
  <si>
    <t>PRK</t>
  </si>
  <si>
    <t>Morocco</t>
  </si>
  <si>
    <t>Марокко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</si>
  <si>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https://www.worldometers.info/oil/morocco-oil/</t>
  </si>
  <si>
    <t>https://api.worldbank.org/v2/country/MAR/indicator/NY.GDP.MKTP.CD?format=json ; https://api.worldbank.org/v2/country/MAR/indicator/NY.GDP.MKTP.KD.ZG?format=json ; https://api.worldbank.org/v2/country/MAR/indicator/FP.CPI.TOTL.ZG?format=json ; Исходный источник: https://data.worldbank.org/</t>
  </si>
  <si>
    <t>https://www.globalpetrolprices.com/Morocco/gasoline_prices/ ; https://www.globalpetrolprices.com/Morocco/diesel_prices/ ; Исходный источник: GlobalPetrolPrices (страновые значения только там, где они были явно помечены как страновые); Jet/мазут: н/д</t>
  </si>
  <si>
    <t>MA</t>
  </si>
  <si>
    <t>MAR</t>
  </si>
  <si>
    <t>Western Sahara</t>
  </si>
  <si>
    <t>Западная Сахара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</si>
  <si>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https://www.worldometers.info/oil/western-sahara-oil/</t>
  </si>
  <si>
    <t>EH</t>
  </si>
  <si>
    <t>ESH</t>
  </si>
  <si>
    <t>Costa Rica</t>
  </si>
  <si>
    <t>Коста-Рика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</si>
  <si>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https://www.worldometers.info/oil/costa-rica-oil/</t>
  </si>
  <si>
    <t>https://api.worldbank.org/v2/country/CRI/indicator/NY.GDP.MKTP.CD?format=json ; https://api.worldbank.org/v2/country/CRI/indicator/NY.GDP.MKTP.KD.ZG?format=json ; https://api.worldbank.org/v2/country/CRI/indicator/FP.CPI.TOTL.ZG?format=json ; Исходный источник: https://data.worldbank.org/</t>
  </si>
  <si>
    <t>https://www.globalpetrolprices.com/Costa-Rica/gasoline_prices/ ; https://www.globalpetrolprices.com/Costa-Rica/diesel_prices/ ; Исходный источник: GlobalPetrolPrices (страновые значения только там, где они были явно помечены как страновые); Jet/мазут: н/д</t>
  </si>
  <si>
    <t>CR</t>
  </si>
  <si>
    <t>CRI</t>
  </si>
  <si>
    <t>Nicaragua</t>
  </si>
  <si>
    <t>Никарагуа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</si>
  <si>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https://www.worldometers.info/oil/nicaragua-oil/</t>
  </si>
  <si>
    <t>https://api.worldbank.org/v2/country/NIC/indicator/NY.GDP.MKTP.CD?format=json ; https://api.worldbank.org/v2/country/NIC/indicator/NY.GDP.MKTP.KD.ZG?format=json ; https://api.worldbank.org/v2/country/NIC/indicator/FP.CPI.TOTL.ZG?format=json ; Исходный источник: https://data.worldbank.org/</t>
  </si>
  <si>
    <t>https://www.globalpetrolprices.com/Nicaragua/gasoline_prices/ ; https://www.globalpetrolprices.com/Nicaragua/diesel_prices/ ; Исходный источник: GlobalPetrolPrices (страновые значения только там, где они были явно помечены как страновые); Jet/мазут: н/д</t>
  </si>
  <si>
    <t>NI</t>
  </si>
  <si>
    <t>NIC</t>
  </si>
  <si>
    <t>Republic of the Congo</t>
  </si>
  <si>
    <t>Республика Конго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</si>
  <si>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https://www.worldometers.info/oil/congo-oil/</t>
  </si>
  <si>
    <t>https://api.worldbank.org/v2/country/COG/indicator/NY.GDP.MKTP.CD?format=json ; https://api.worldbank.org/v2/country/COG/indicator/NY.GDP.MKTP.KD.ZG?format=json ; https://api.worldbank.org/v2/country/COG/indicator/FP.CPI.TOTL.ZG?format=json ; Исходный источник: https://data.worldbank.org/</t>
  </si>
  <si>
    <t>CG</t>
  </si>
  <si>
    <t>COG</t>
  </si>
  <si>
    <t>Democratic Republic of the Congo</t>
  </si>
  <si>
    <t>Демократическая Республика Конго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</si>
  <si>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https://www.worldometers.info/oil/democratic-republic-of-the-congo-oil/</t>
  </si>
  <si>
    <t>https://api.worldbank.org/v2/country/COD/indicator/NY.GDP.MKTP.CD?format=json ; https://api.worldbank.org/v2/country/COD/indicator/NY.GDP.MKTP.KD.ZG?format=json ; https://api.worldbank.org/v2/country/COD/indicator/FP.CPI.TOTL.ZG?format=json ; Исходный источник: https://data.worldbank.org/</t>
  </si>
  <si>
    <t>https://www.globalpetrolprices.com/Democratic-Republic-of-the-Congo/gasoline_prices/ ; https://www.globalpetrolprices.com/Democratic-Republic-of-the-Congo/diesel_prices/ ; Исходный источник: GlobalPetrolPrices (страновые значения только там, где они были явно помечены как страновые); Jet/мазут: н/д</t>
  </si>
  <si>
    <t>CD</t>
  </si>
  <si>
    <t>COD</t>
  </si>
  <si>
    <t>Bhutan</t>
  </si>
  <si>
    <t>Бутан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</si>
  <si>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https://www.worldometers.info/oil/bhutan-oil/</t>
  </si>
  <si>
    <t>https://api.worldbank.org/v2/country/BTN/indicator/NY.GDP.MKTP.CD?format=json ; https://api.worldbank.org/v2/country/BTN/indicator/NY.GDP.MKTP.KD.ZG?format=json ; https://api.worldbank.org/v2/country/BTN/indicator/FP.CPI.TOTL.ZG?format=json ; Исходный источник: https://data.worldbank.org/</t>
  </si>
  <si>
    <t>https://www.globalpetrolprices.com/Bhutan/gasoline_prices/ ; https://www.globalpetrolprices.com/Bhutan/diesel_prices/ ; Исходный источник: GlobalPetrolPrices (страновые значения только там, где они были явно помечены как страновые); Jet/мазут: н/д</t>
  </si>
  <si>
    <t>BT</t>
  </si>
  <si>
    <t>BTN</t>
  </si>
  <si>
    <t>Ukraine</t>
  </si>
  <si>
    <t>Украина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</si>
  <si>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https://www.worldometers.info/oil/ukraine-oil/</t>
  </si>
  <si>
    <t>https://api.worldbank.org/v2/country/UKR/indicator/NY.GDP.MKTP.CD?format=json ; https://api.worldbank.org/v2/country/UKR/indicator/NY.GDP.MKTP.KD.ZG?format=json ; https://api.worldbank.org/v2/country/UKR/indicator/FP.CPI.TOTL.ZG?format=json ; Исходный источник: https://data.worldbank.org/</t>
  </si>
  <si>
    <t>https://www.globalpetrolprices.com/Ukraine/gasoline_prices/ ; https://www.globalpetrolprices.com/Ukraine/diesel_prices/ ; https://www.globalpetrolprices.com/Ukraine/lpg_prices/ ; Исходный источник: GlobalPetrolPrices (страновые значения только там, где они были явно помечены как страновые); Jet/мазут: н/д</t>
  </si>
  <si>
    <t>UA</t>
  </si>
  <si>
    <t>UKR</t>
  </si>
  <si>
    <t>Belarus</t>
  </si>
  <si>
    <t>Белоруссия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</si>
  <si>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https://www.worldometers.info/oil/belarus-oil/</t>
  </si>
  <si>
    <t>https://api.worldbank.org/v2/country/BLR/indicator/NY.GDP.MKTP.CD?format=json ; https://api.worldbank.org/v2/country/BLR/indicator/NY.GDP.MKTP.KD.ZG?format=json ; https://api.worldbank.org/v2/country/BLR/indicator/FP.CPI.TOTL.ZG?format=json ; Исходный источник: https://data.worldbank.org/</t>
  </si>
  <si>
    <t>https://www.globalpetrolprices.com/Belarus/gasoline_prices/ ; https://www.globalpetrolprices.com/Belarus/diesel_prices/ ; https://www.globalpetrolprices.com/Belarus/lpg_prices/ ; Исходный источник: GlobalPetrolPrices (страновые значения только там, где они были явно помечены как страновые); Jet/мазут: н/д</t>
  </si>
  <si>
    <t>BY</t>
  </si>
  <si>
    <t>BLR</t>
  </si>
  <si>
    <t>Namibia</t>
  </si>
  <si>
    <t>Намибия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</si>
  <si>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https://www.worldometers.info/oil/namibia-oil/</t>
  </si>
  <si>
    <t>https://api.worldbank.org/v2/country/NAM/indicator/NY.GDP.MKTP.CD?format=json ; https://api.worldbank.org/v2/country/NAM/indicator/NY.GDP.MKTP.KD.ZG?format=json ; https://api.worldbank.org/v2/country/NAM/indicator/FP.CPI.TOTL.ZG?format=json ; Исходный источник: https://data.worldbank.org/</t>
  </si>
  <si>
    <t>https://www.globalpetrolprices.com/Namibia/gasoline_prices/ ; https://www.globalpetrolprices.com/Namibia/diesel_prices/ ; Исходный источник: GlobalPetrolPrices (страновые значения только там, где они были явно помечены как страновые); Jet/мазут: н/д</t>
  </si>
  <si>
    <t>NA</t>
  </si>
  <si>
    <t>NAM</t>
  </si>
  <si>
    <t>South Africa</t>
  </si>
  <si>
    <t>ЮАР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</si>
  <si>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https://www.worldometers.info/oil/south-africa-oil/</t>
  </si>
  <si>
    <t>https://api.worldbank.org/v2/country/ZAF/indicator/NY.GDP.MKTP.CD?format=json ; https://api.worldbank.org/v2/country/ZAF/indicator/NY.GDP.MKTP.KD.ZG?format=json ; https://api.worldbank.org/v2/country/ZAF/indicator/FP.CPI.TOTL.ZG?format=json ; Исходный источник: https://data.worldbank.org/</t>
  </si>
  <si>
    <t>https://www.globalpetrolprices.com/South-Africa/gasoline_prices/ ; https://www.globalpetrolprices.com/South-Africa/diesel_prices/ ; Исходный источник: GlobalPetrolPrices (страновые значения только там, где они были явно помечены как страновые); Jet/мазут: н/д</t>
  </si>
  <si>
    <t>ZA</t>
  </si>
  <si>
    <t>ZAF</t>
  </si>
  <si>
    <t>Saint Martin</t>
  </si>
  <si>
    <t>Сен-Мартен</t>
  </si>
  <si>
    <t>MF</t>
  </si>
  <si>
    <t>MAF</t>
  </si>
  <si>
    <t>Sint Maarten</t>
  </si>
  <si>
    <t>Синт-Мартен</t>
  </si>
  <si>
    <t>https://api.worldbank.org/v2/country/SXM/indicator/NY.GDP.MKTP.CD?format=json ; https://api.worldbank.org/v2/country/SXM/indicator/NY.GDP.MKTP.KD.ZG?format=json ; https://api.worldbank.org/v2/country/SXM/indicator/FP.CPI.TOTL.ZG?format=json ; Исходный источник: https://data.worldbank.org/</t>
  </si>
  <si>
    <t>SX</t>
  </si>
  <si>
    <t>SXM</t>
  </si>
  <si>
    <t>Oman</t>
  </si>
  <si>
    <t>Оман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</si>
  <si>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https://www.worldometers.info/oil/oman-oil/</t>
  </si>
  <si>
    <t>https://api.worldbank.org/v2/country/OMN/indicator/NY.GDP.MKTP.CD?format=json ; https://api.worldbank.org/v2/country/OMN/indicator/NY.GDP.MKTP.KD.ZG?format=json ; https://api.worldbank.org/v2/country/OMN/indicator/FP.CPI.TOTL.ZG?format=json ; Исходный источник: https://data.worldbank.org/</t>
  </si>
  <si>
    <t>https://www.globalpetrolprices.com/Oman/gasoline_prices/ ; https://www.globalpetrolprices.com/Oman/diesel_prices/ ; Исходный источник: GlobalPetrolPrices (страновые значения только там, где они были явно помечены как страновые); Jet/мазут: н/д</t>
  </si>
  <si>
    <t>OM</t>
  </si>
  <si>
    <t>OMN</t>
  </si>
  <si>
    <t>Uzbekistan</t>
  </si>
  <si>
    <t>Узбекистан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</si>
  <si>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https://www.worldometers.info/oil/uzbekistan-oil/</t>
  </si>
  <si>
    <t>https://api.worldbank.org/v2/country/UZB/indicator/NY.GDP.MKTP.CD?format=json ; https://api.worldbank.org/v2/country/UZB/indicator/NY.GDP.MKTP.KD.ZG?format=json ; https://api.worldbank.org/v2/country/UZB/indicator/FP.CPI.TOTL.ZG?format=json ; Исходный источник: https://data.worldbank.org/</t>
  </si>
  <si>
    <t>https://www.globalpetrolprices.com/Uzbekistan/gasoline_prices/ ; https://www.globalpetrolprices.com/Uzbekistan/diesel_prices/ ; Исходный источник: GlobalPetrolPrices (страновые значения только там, где они были явно помечены как страновые); Jet/мазут: н/д</t>
  </si>
  <si>
    <t>UZ</t>
  </si>
  <si>
    <t>UZB</t>
  </si>
  <si>
    <t>Kazakhstan</t>
  </si>
  <si>
    <t>Казахстан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</si>
  <si>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https://www.worldometers.info/oil/kazakhstan-oil/</t>
  </si>
  <si>
    <t>https://api.worldbank.org/v2/country/KAZ/indicator/NY.GDP.MKTP.CD?format=json ; https://api.worldbank.org/v2/country/KAZ/indicator/NY.GDP.MKTP.KD.ZG?format=json ; https://api.worldbank.org/v2/country/KAZ/indicator/FP.CPI.TOTL.ZG?format=json ; Исходный источник: https://data.worldbank.org/</t>
  </si>
  <si>
    <t>https://www.globalpetrolprices.com/Kazakhstan/gasoline_prices/ ; https://www.globalpetrolprices.com/Kazakhstan/diesel_prices/ ; https://www.globalpetrolprices.com/Kazakhstan/lpg_prices/ ; Исходный источник: GlobalPetrolPrices (страновые значения только там, где они были явно помечены как страновые); Jet/мазут: н/д</t>
  </si>
  <si>
    <t>KZ</t>
  </si>
  <si>
    <t>KAZ</t>
  </si>
  <si>
    <t>Tajikistan</t>
  </si>
  <si>
    <t>Таджикистан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</si>
  <si>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https://www.worldometers.info/oil/tajikistan-oil/</t>
  </si>
  <si>
    <t>https://api.worldbank.org/v2/country/TJK/indicator/NY.GDP.MKTP.CD?format=json ; https://api.worldbank.org/v2/country/TJK/indicator/NY.GDP.MKTP.KD.ZG?format=json ; https://api.worldbank.org/v2/country/TJK/indicator/FP.CPI.TOTL.ZG?format=json ; Исходный источник: https://data.worldbank.org/</t>
  </si>
  <si>
    <t>TJ</t>
  </si>
  <si>
    <t>TJK</t>
  </si>
  <si>
    <t>Lithuania</t>
  </si>
  <si>
    <t>Литва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</si>
  <si>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https://www.worldometers.info/oil/lithuania-oil/</t>
  </si>
  <si>
    <t>https://api.worldbank.org/v2/country/LTU/indicator/NY.GDP.MKTP.CD?format=json ; https://api.worldbank.org/v2/country/LTU/indicator/NY.GDP.MKTP.KD.ZG?format=json ; https://api.worldbank.org/v2/country/LTU/indicator/FP.CPI.TOTL.ZG?format=json ; Исходный источник: https://data.worldbank.org/</t>
  </si>
  <si>
    <t>https://www.globalpetrolprices.com/Lithuania/gasoline_prices/ ; https://www.globalpetrolprices.com/Lithuania/diesel_prices/ ; https://www.globalpetrolprices.com/Lithuania/lpg_prices/ ; Исходный источник: GlobalPetrolPrices (страновые значения только там, где они были явно помечены как страновые); Jet/мазут: н/д</t>
  </si>
  <si>
    <t>LT</t>
  </si>
  <si>
    <t>LTU</t>
  </si>
  <si>
    <t>Brazil</t>
  </si>
  <si>
    <t>Бразилия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</si>
  <si>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</t>
  </si>
  <si>
    <t>https://api.worldbank.org/v2/country/BRA/indicator/NY.GDP.MKTP.CD?format=json ; https://api.worldbank.org/v2/country/BRA/indicator/NY.GDP.MKTP.KD.ZG?format=json ; https://api.worldbank.org/v2/country/BRA/indicator/FP.CPI.TOTL.ZG?format=json ; Исходный источник: https://data.worldbank.org/</t>
  </si>
  <si>
    <t>https://www.globalpetrolprices.com/Brazil/gasoline_prices/ ; https://www.globalpetrolprices.com/Brazil/diesel_prices/ ; Исходный источник: GlobalPetrolPrices (страновые значения только там, где они были явно помечены как страновые); Jet/мазут: н/д</t>
  </si>
  <si>
    <t>BR</t>
  </si>
  <si>
    <t>BRA</t>
  </si>
  <si>
    <t>Uruguay</t>
  </si>
  <si>
    <t>Уругвай</t>
  </si>
  <si>
    <t>https://api.worldbank.org/v2/country/URY/indicator/NY.GDP.MKTP.CD?format=json ; https://api.worldbank.org/v2/country/URY/indicator/NY.GDP.MKTP.KD.ZG?format=json ; https://api.worldbank.org/v2/country/URY/indicator/FP.CPI.TOTL.ZG?format=json ; Исходный источник: https://data.worldbank.org/</t>
  </si>
  <si>
    <t>https://www.globalpetrolprices.com/Uruguay/gasoline_prices/ ; https://www.globalpetrolprices.com/Uruguay/diesel_prices/ ; Исходный источник: GlobalPetrolPrices (страновые значения только там, где они были явно помечены как страновые); Jet/мазут: н/д</t>
  </si>
  <si>
    <t>UY</t>
  </si>
  <si>
    <t>URY</t>
  </si>
  <si>
    <t>Mongolia</t>
  </si>
  <si>
    <t>Монголия</t>
  </si>
  <si>
    <t>https://api.worldbank.org/v2/country/MNG/indicator/NY.GDP.MKTP.CD?format=json ; https://api.worldbank.org/v2/country/MNG/indicator/NY.GDP.MKTP.KD.ZG?format=json ; https://api.worldbank.org/v2/country/MNG/indicator/FP.CPI.TOTL.ZG?format=json ; Исходный источник: https://data.worldbank.org/</t>
  </si>
  <si>
    <t>https://www.globalpetrolprices.com/Mongolia/gasoline_prices/ ; https://www.globalpetrolprices.com/Mongolia/diesel_prices/ ; https://www.globalpetrolprices.com/Mongolia/lpg_prices/ ; Исходный источник: GlobalPetrolPrices (страновые значения только там, где они были явно помечены как страновые); Jet/мазут: н/д</t>
  </si>
  <si>
    <t>MN</t>
  </si>
  <si>
    <t>MNG</t>
  </si>
  <si>
    <t>Russia</t>
  </si>
  <si>
    <t>Россия</t>
  </si>
  <si>
    <t>https://api.worldbank.org/v2/country/RUS/indicator/NY.GDP.MKTP.CD?format=json ; https://api.worldbank.org/v2/country/RUS/indicator/NY.GDP.MKTP.KD.ZG?format=json ; https://api.worldbank.org/v2/country/RUS/indicator/FP.CPI.TOTL.ZG?format=json ; Исходный источник: https://data.worldbank.org/</t>
  </si>
  <si>
    <t>https://www.globalpetrolprices.com/Russia/gasoline_prices/ ; https://www.globalpetrolprices.com/Russia/diesel_prices/ ; https://www.globalpetrolprices.com/Russia/lpg_prices/ ; Исходный источник: GlobalPetrolPrices (страновые значения только там, где они были явно помечены как страновые); Jet/мазут: н/д</t>
  </si>
  <si>
    <t>RU</t>
  </si>
  <si>
    <t>RUS</t>
  </si>
  <si>
    <t>Czech Republic</t>
  </si>
  <si>
    <t>Чехия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</si>
  <si>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</t>
  </si>
  <si>
    <t>https://api.worldbank.org/v2/country/CZE/indicator/NY.GDP.MKTP.CD?format=json ; https://api.worldbank.org/v2/country/CZE/indicator/NY.GDP.MKTP.KD.ZG?format=json ; https://api.worldbank.org/v2/country/CZE/indicator/FP.CPI.TOTL.ZG?format=json ; Исходный источник: https://data.worldbank.org/</t>
  </si>
  <si>
    <t>https://www.globalpetrolprices.com/Czech-Republic/gasoline_prices/ ; https://www.globalpetrolprices.com/Czech-Republic/diesel_prices/ ; https://www.globalpetrolprices.com/Czech-Republic/lpg_prices/ ; Исходный источник: GlobalPetrolPrices (страновые значения только там, где они были явно помечены как страновые); Jet/мазут: н/д</t>
  </si>
  <si>
    <t>CZ</t>
  </si>
  <si>
    <t>CZE</t>
  </si>
  <si>
    <t>Germany</t>
  </si>
  <si>
    <t>Германия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</si>
  <si>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https://www.worldometers.info/oil/germany-oil/</t>
  </si>
  <si>
    <t>https://api.worldbank.org/v2/country/DEU/indicator/NY.GDP.MKTP.CD?format=json ; https://api.worldbank.org/v2/country/DEU/indicator/NY.GDP.MKTP.KD.ZG?format=json ; https://api.worldbank.org/v2/country/DEU/indicator/FP.CPI.TOTL.ZG?format=json ; Исходный источник: https://data.worldbank.org/</t>
  </si>
  <si>
    <t>https://www.globalpetrolprices.com/Germany/gasoline_prices/ ; https://www.globalpetrolprices.com/Germany/diesel_prices/ ; https://www.globalpetrolprices.com/Germany/lpg_prices/ ; Исходный источник: GlobalPetrolPrices (страновые значения только там, где они были явно помечены как страновые); Jet/мазут: н/д</t>
  </si>
  <si>
    <t>DE</t>
  </si>
  <si>
    <t>DEU</t>
  </si>
  <si>
    <t>Estonia</t>
  </si>
  <si>
    <t>Эстония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</si>
  <si>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</t>
  </si>
  <si>
    <t>https://api.worldbank.org/v2/country/EST/indicator/NY.GDP.MKTP.CD?format=json ; https://api.worldbank.org/v2/country/EST/indicator/NY.GDP.MKTP.KD.ZG?format=json ; https://api.worldbank.org/v2/country/EST/indicator/FP.CPI.TOTL.ZG?format=json ; Исходный источник: https://data.worldbank.org/</t>
  </si>
  <si>
    <t>https://www.globalpetrolprices.com/Estonia/gasoline_prices/ ; https://www.globalpetrolprices.com/Estonia/diesel_prices/ ; https://www.globalpetrolprices.com/Estonia/lpg_prices/ ; Исходный источник: GlobalPetrolPrices (страновые значения только там, где они были явно помечены как страновые); Jet/мазут: н/д</t>
  </si>
  <si>
    <t>EE</t>
  </si>
  <si>
    <t>EST</t>
  </si>
  <si>
    <t>Latvia</t>
  </si>
  <si>
    <t>Латвия</t>
  </si>
  <si>
    <t>https://api.worldbank.org/v2/country/LVA/indicator/NY.GDP.MKTP.CD?format=json ; https://api.worldbank.org/v2/country/LVA/indicator/NY.GDP.MKTP.KD.ZG?format=json ; https://api.worldbank.org/v2/country/LVA/indicator/FP.CPI.TOTL.ZG?format=json ; Исходный источник: https://data.worldbank.org/</t>
  </si>
  <si>
    <t>https://www.globalpetrolprices.com/Latvia/gasoline_prices/ ; https://www.globalpetrolprices.com/Latvia/diesel_prices/ ; https://www.globalpetrolprices.com/Latvia/lpg_prices/ ; Исходный источник: GlobalPetrolPrices (страновые значения только там, где они были явно помечены как страновые); Jet/мазут: н/д</t>
  </si>
  <si>
    <t>LV</t>
  </si>
  <si>
    <t>LVA</t>
  </si>
  <si>
    <t>Norway</t>
  </si>
  <si>
    <t>Норвегия</t>
  </si>
  <si>
    <t>https://api.worldbank.org/v2/country/NOR/indicator/NY.GDP.MKTP.CD?format=json ; https://api.worldbank.org/v2/country/NOR/indicator/NY.GDP.MKTP.KD.ZG?format=json ; https://api.worldbank.org/v2/country/NOR/indicator/FP.CPI.TOTL.ZG?format=json ; Исходный источник: https://data.worldbank.org/</t>
  </si>
  <si>
    <t>https://www.globalpetrolprices.com/Norway/gasoline_prices/ ; https://www.globalpetrolprices.com/Norway/diesel_prices/ ; Исходный источник: GlobalPetrolPrices (страновые значения только там, где они были явно помечены как страновые); Jet/мазут: н/д</t>
  </si>
  <si>
    <t>NO</t>
  </si>
  <si>
    <t>NOR</t>
  </si>
  <si>
    <t>Sweden</t>
  </si>
  <si>
    <t>Швеция</t>
  </si>
  <si>
    <t>https://api.worldbank.org/v2/country/SWE/indicator/NY.GDP.MKTP.CD?format=json ; https://api.worldbank.org/v2/country/SWE/indicator/NY.GDP.MKTP.KD.ZG?format=json ; https://api.worldbank.org/v2/country/SWE/indicator/FP.CPI.TOTL.ZG?format=json ; Исходный источник: https://data.worldbank.org/</t>
  </si>
  <si>
    <t>https://www.globalpetrolprices.com/Sweden/gasoline_prices/ ; https://www.globalpetrolprices.com/Sweden/diesel_prices/ ; Исходный источник: GlobalPetrolPrices (страновые значения только там, где они были явно помечены как страновые); Jet/мазут: н/д</t>
  </si>
  <si>
    <t>SE</t>
  </si>
  <si>
    <t>SWE</t>
  </si>
  <si>
    <t>Finland</t>
  </si>
  <si>
    <t>Финляндия</t>
  </si>
  <si>
    <t>https://api.worldbank.org/v2/country/FIN/indicator/NY.GDP.MKTP.CD?format=json ; https://api.worldbank.org/v2/country/FIN/indicator/NY.GDP.MKTP.KD.ZG?format=json ; https://api.worldbank.org/v2/country/FIN/indicator/FP.CPI.TOTL.ZG?format=json ; Исходный источник: https://data.worldbank.org/</t>
  </si>
  <si>
    <t>https://www.globalpetrolprices.com/Finland/gasoline_prices/ ; https://www.globalpetrolprices.com/Finland/diesel_prices/ ; Исходный источник: GlobalPetrolPrices (страновые значения только там, где они были явно помечены как страновые); Jet/мазут: н/д</t>
  </si>
  <si>
    <t>FI</t>
  </si>
  <si>
    <t>FIN</t>
  </si>
  <si>
    <t>Vietnam</t>
  </si>
  <si>
    <t>Вьетнам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</si>
  <si>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</t>
  </si>
  <si>
    <t>https://api.worldbank.org/v2/country/VNM/indicator/NY.GDP.MKTP.CD?format=json ; https://api.worldbank.org/v2/country/VNM/indicator/NY.GDP.MKTP.KD.ZG?format=json ; https://api.worldbank.org/v2/country/VNM/indicator/FP.CPI.TOTL.ZG?format=json ; Исходный источник: https://data.worldbank.org/</t>
  </si>
  <si>
    <t>https://www.globalpetrolprices.com/Vietnam/gasoline_prices/ ; https://www.globalpetrolprices.com/Vietnam/diesel_prices/ ; Исходный источник: GlobalPetrolPrices (страновые значения только там, где они были явно помечены как страновые); Jet/мазут: н/д</t>
  </si>
  <si>
    <t>VN</t>
  </si>
  <si>
    <t>VNM</t>
  </si>
  <si>
    <t>Cambodia</t>
  </si>
  <si>
    <t>Камбоджа</t>
  </si>
  <si>
    <t>https://api.worldbank.org/v2/country/KHM/indicator/NY.GDP.MKTP.CD?format=json ; https://api.worldbank.org/v2/country/KHM/indicator/NY.GDP.MKTP.KD.ZG?format=json ; https://api.worldbank.org/v2/country/KHM/indicator/FP.CPI.TOTL.ZG?format=json ; Исходный источник: https://data.worldbank.org/</t>
  </si>
  <si>
    <t>https://www.globalpetrolprices.com/Cambodia/gasoline_prices/ ; https://www.globalpetrolprices.com/Cambodia/diesel_prices/ ; Исходный источник: GlobalPetrolPrices (страновые значения только там, где они были явно помечены как страновые); Jet/мазут: н/д</t>
  </si>
  <si>
    <t>KH</t>
  </si>
  <si>
    <t>KHM</t>
  </si>
  <si>
    <t>Luxembourg</t>
  </si>
  <si>
    <t>Люксембург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</si>
  <si>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https://www.worldometers.info/oil/oil-consumption-by-country/</t>
  </si>
  <si>
    <t>https://api.worldbank.org/v2/country/LUX/indicator/NY.GDP.MKTP.CD?format=json ; https://api.worldbank.org/v2/country/LUX/indicator/NY.GDP.MKTP.KD.ZG?format=json ; https://api.worldbank.org/v2/country/LUX/indicator/FP.CPI.TOTL.ZG?format=json ; Исходный источник: https://data.worldbank.org/</t>
  </si>
  <si>
    <t>https://www.globalpetrolprices.com/Luxembourg/gasoline_prices/ ; https://www.globalpetrolprices.com/Luxembourg/diesel_prices/ ; https://www.globalpetrolprices.com/Luxembourg/lpg_prices/ ; Исходный источник: GlobalPetrolPrices (страновые значения только там, где они были явно помечены как страновые); Jet/мазут: н/д</t>
  </si>
  <si>
    <t>LU</t>
  </si>
  <si>
    <t>LUX</t>
  </si>
  <si>
    <t>United Arab Emirates</t>
  </si>
  <si>
    <t>Объединённые Арабские Эмираты</t>
  </si>
  <si>
    <t>https://api.worldbank.org/v2/country/ARE/indicator/NY.GDP.MKTP.CD?format=json ; https://api.worldbank.org/v2/country/ARE/indicator/NY.GDP.MKTP.KD.ZG?format=json ; https://api.worldbank.org/v2/country/ARE/indicator/FP.CPI.TOTL.ZG?format=json ; Исходный источник: https://data.worldbank.org/</t>
  </si>
  <si>
    <t>https://www.globalpetrolprices.com/United-Arab-Emirates/gasoline_prices/ ; https://www.globalpetrolprices.com/United-Arab-Emirates/diesel_prices/ ; Исходный источник: GlobalPetrolPrices (страновые значения только там, где они были явно помечены как страновые); Jet/мазут: н/д</t>
  </si>
  <si>
    <t>AE</t>
  </si>
  <si>
    <t>ARE</t>
  </si>
  <si>
    <t>Belgium</t>
  </si>
  <si>
    <t>Бельгия</t>
  </si>
  <si>
    <t>https://api.worldbank.org/v2/country/BEL/indicator/NY.GDP.MKTP.CD?format=json ; https://api.worldbank.org/v2/country/BEL/indicator/NY.GDP.MKTP.KD.ZG?format=json ; https://api.worldbank.org/v2/country/BEL/indicator/FP.CPI.TOTL.ZG?format=json ; Исходный источник: https://data.worldbank.org/</t>
  </si>
  <si>
    <t>https://www.globalpetrolprices.com/Belgium/gasoline_prices/ ; https://www.globalpetrolprices.com/Belgium/diesel_prices/ ; https://www.globalpetrolprices.com/Belgium/lpg_prices/ ; Исходный источник: GlobalPetrolPrices (страновые значения только там, где они были явно помечены как страновые); Jet/мазут: н/д</t>
  </si>
  <si>
    <t>BE</t>
  </si>
  <si>
    <t>BEL</t>
  </si>
  <si>
    <t>Georgia</t>
  </si>
  <si>
    <t>Грузия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</si>
  <si>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https://www.worldometers.info/oil/georgia-oil/</t>
  </si>
  <si>
    <t>https://api.worldbank.org/v2/country/GEO/indicator/NY.GDP.MKTP.CD?format=json ; https://api.worldbank.org/v2/country/GEO/indicator/NY.GDP.MKTP.KD.ZG?format=json ; https://api.worldbank.org/v2/country/GEO/indicator/FP.CPI.TOTL.ZG?format=json ; Исходный источник: https://data.worldbank.org/</t>
  </si>
  <si>
    <t>https://www.globalpetrolprices.com/Georgia/gasoline_prices/ ; https://www.globalpetrolprices.com/Georgia/diesel_prices/ ; Исходный источник: GlobalPetrolPrices (страновые значения только там, где они были явно помечены как страновые); Jet/мазут: н/д</t>
  </si>
  <si>
    <t>GE</t>
  </si>
  <si>
    <t>GEO</t>
  </si>
  <si>
    <t>North Macedonia</t>
  </si>
  <si>
    <t>Северная Македония</t>
  </si>
  <si>
    <t>https://api.worldbank.org/v2/country/MKD/indicator/NY.GDP.MKTP.CD?format=json ; https://api.worldbank.org/v2/country/MKD/indicator/NY.GDP.MKTP.KD.ZG?format=json ; https://api.worldbank.org/v2/country/MKD/indicator/FP.CPI.TOTL.ZG?format=json ; Исходный источник: https://data.worldbank.org/</t>
  </si>
  <si>
    <t>https://www.globalpetrolprices.com/Macedonia/gasoline_prices/ ; https://www.globalpetrolprices.com/Macedonia/diesel_prices/ ; https://www.globalpetrolprices.com/Macedonia/lpg_prices/ ; Исходный источник: GlobalPetrolPrices (страновые значения только там, где они были явно помечены как страновые); Jet/мазут: н/д</t>
  </si>
  <si>
    <t>MK</t>
  </si>
  <si>
    <t>MKD</t>
  </si>
  <si>
    <t>Albania</t>
  </si>
  <si>
    <t>Албания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</si>
  <si>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https://www.worldometers.info/oil/oil-reserves-by-country/</t>
  </si>
  <si>
    <t>https://api.worldbank.org/v2/country/ALB/indicator/NY.GDP.MKTP.CD?format=json ; https://api.worldbank.org/v2/country/ALB/indicator/NY.GDP.MKTP.KD.ZG?format=json ; https://api.worldbank.org/v2/country/ALB/indicator/FP.CPI.TOTL.ZG?format=json ; Исходный источник: https://data.worldbank.org/</t>
  </si>
  <si>
    <t>https://www.globalpetrolprices.com/Albania/gasoline_prices/ ; https://www.globalpetrolprices.com/Albania/diesel_prices/ ; https://www.globalpetrolprices.com/Albania/lpg_prices/ ; Исходный источник: GlobalPetrolPrices (страновые значения только там, где они были явно помечены как страновые); Jet/мазут: н/д</t>
  </si>
  <si>
    <t>AL</t>
  </si>
  <si>
    <t>ALB</t>
  </si>
  <si>
    <t>Azerbaijan</t>
  </si>
  <si>
    <t>Азербайджан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</si>
  <si>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https://www.worldometers.info/oil/azerbaijan-oil/</t>
  </si>
  <si>
    <t>https://api.worldbank.org/v2/country/AZE/indicator/NY.GDP.MKTP.CD?format=json ; https://api.worldbank.org/v2/country/AZE/indicator/NY.GDP.MKTP.KD.ZG?format=json ; https://api.worldbank.org/v2/country/AZE/indicator/FP.CPI.TOTL.ZG?format=json ; Исходный источник: https://data.worldbank.org/</t>
  </si>
  <si>
    <t>https://www.globalpetrolprices.com/Azerbaijan/gasoline_prices/ ; https://www.globalpetrolprices.com/Azerbaijan/diesel_prices/ ; https://www.globalpetrolprices.com/Azerbaijan/lpg_prices/ ; Исходный источник: GlobalPetrolPrices (страновые значения только там, где они были явно помечены как страновые); Jet/мазут: н/д</t>
  </si>
  <si>
    <t>AZ</t>
  </si>
  <si>
    <t>AZE</t>
  </si>
  <si>
    <t>Kosovo</t>
  </si>
  <si>
    <t>Республика Косово</t>
  </si>
  <si>
    <t>https://api.eia.gov/v2/international/data/?frequency=annual&amp;facets[productId][]=5&amp;facets[activityId][]=2&amp;facets[unit][]=TBPD ; Исходный источник: https://www.jodidata.org/oil/database/data-downloads.aspx</t>
  </si>
  <si>
    <t>https://api.worldbank.org/v2/country/XKX/indicator/NY.GDP.MKTP.CD?format=json ; https://api.worldbank.org/v2/country/XKX/indicator/NY.GDP.MKTP.KD.ZG?format=json ; https://api.worldbank.org/v2/country/XKX/indicator/FP.CPI.TOTL.ZG?format=json ; Исходный источник: https://data.worldbank.org/</t>
  </si>
  <si>
    <t>Turkey</t>
  </si>
  <si>
    <t>Турция</t>
  </si>
  <si>
    <t>https://api.worldbank.org/v2/country/TUR/indicator/NY.GDP.MKTP.CD?format=json ; https://api.worldbank.org/v2/country/TUR/indicator/NY.GDP.MKTP.KD.ZG?format=json ; https://api.worldbank.org/v2/country/TUR/indicator/FP.CPI.TOTL.ZG?format=json ; Исходный источник: https://data.worldbank.org/</t>
  </si>
  <si>
    <t>https://www.globalpetrolprices.com/Turkey/gasoline_prices/ ; https://www.globalpetrolprices.com/Turkey/diesel_prices/ ; https://www.globalpetrolprices.com/Turkey/lpg_prices/ ; Исходный источник: GlobalPetrolPrices (страновые значения только там, где они были явно помечены как страновые); Jet/мазут: н/д</t>
  </si>
  <si>
    <t>TR</t>
  </si>
  <si>
    <t>TUR</t>
  </si>
  <si>
    <t>Spain</t>
  </si>
  <si>
    <t>Испания</t>
  </si>
  <si>
    <t>https://api.worldbank.org/v2/country/ESP/indicator/NY.GDP.MKTP.CD?format=json ; https://api.worldbank.org/v2/country/ESP/indicator/NY.GDP.MKTP.KD.ZG?format=json ; https://api.worldbank.org/v2/country/ESP/indicator/FP.CPI.TOTL.ZG?format=json ; Исходный источник: https://data.worldbank.org/</t>
  </si>
  <si>
    <t>https://www.globalpetrolprices.com/Spain/gasoline_prices/ ; https://www.globalpetrolprices.com/Spain/diesel_prices/ ; https://www.globalpetrolprices.com/Spain/lpg_prices/ ; Исходный источник: GlobalPetrolPrices (страновые значения только там, где они были явно помечены как страновые); Jet/мазут: н/д</t>
  </si>
  <si>
    <t>ES</t>
  </si>
  <si>
    <t>ESP</t>
  </si>
  <si>
    <t>Laos</t>
  </si>
  <si>
    <t>Лаос</t>
  </si>
  <si>
    <t>https://api.worldbank.org/v2/country/LAO/indicator/NY.GDP.MKTP.CD?format=json ; https://api.worldbank.org/v2/country/LAO/indicator/NY.GDP.MKTP.KD.ZG?format=json ; https://api.worldbank.org/v2/country/LAO/indicator/FP.CPI.TOTL.ZG?format=json ; Исходный источник: https://data.worldbank.org/</t>
  </si>
  <si>
    <t>https://www.globalpetrolprices.com/Laos/gasoline_prices/ ; https://www.globalpetrolprices.com/Laos/diesel_prices/ ; Исходный источник: GlobalPetrolPrices (страновые значения только там, где они были явно помечены как страновые); Jet/мазут: н/д</t>
  </si>
  <si>
    <t>LA</t>
  </si>
  <si>
    <t>LAO</t>
  </si>
  <si>
    <t>Kyrgyzstan</t>
  </si>
  <si>
    <t>Киргизия</t>
  </si>
  <si>
    <t>https://api.worldbank.org/v2/country/KGZ/indicator/NY.GDP.MKTP.CD?format=json ; https://api.worldbank.org/v2/country/KGZ/indicator/NY.GDP.MKTP.KD.ZG?format=json ; https://api.worldbank.org/v2/country/KGZ/indicator/FP.CPI.TOTL.ZG?format=json ; Исходный источник: https://data.worldbank.org/</t>
  </si>
  <si>
    <t>https://www.globalpetrolprices.com/Kyrgyzstan/gasoline_prices/ ; https://www.globalpetrolprices.com/Kyrgyzstan/diesel_prices/ ; Исходный источник: GlobalPetrolPrices (страновые значения только там, где они были явно помечены как страновые); Jet/мазут: н/д</t>
  </si>
  <si>
    <t>KG</t>
  </si>
  <si>
    <t>KGZ</t>
  </si>
  <si>
    <t>Armenia</t>
  </si>
  <si>
    <t>Армения</t>
  </si>
  <si>
    <t>https://api.worldbank.org/v2/country/ARM/indicator/NY.GDP.MKTP.CD?format=json ; https://api.worldbank.org/v2/country/ARM/indicator/NY.GDP.MKTP.KD.ZG?format=json ; https://api.worldbank.org/v2/country/ARM/indicator/FP.CPI.TOTL.ZG?format=json ; Исходный источник: https://data.worldbank.org/</t>
  </si>
  <si>
    <t>https://www.globalpetrolprices.com/Armenia/gasoline_prices/ ; https://www.globalpetrolprices.com/Armenia/diesel_prices/ ; https://www.globalpetrolprices.com/Armenia/lpg_prices/ ; Исходный источник: GlobalPetrolPrices (страновые значения только там, где они были явно помечены как страновые); Jet/мазут: н/д</t>
  </si>
  <si>
    <t>AM</t>
  </si>
  <si>
    <t>ARM</t>
  </si>
  <si>
    <t>Denmark</t>
  </si>
  <si>
    <t>Дания</t>
  </si>
  <si>
    <t>https://api.worldbank.org/v2/country/DNK/indicator/NY.GDP.MKTP.CD?format=json ; https://api.worldbank.org/v2/country/DNK/indicator/NY.GDP.MKTP.KD.ZG?format=json ; https://api.worldbank.org/v2/country/DNK/indicator/FP.CPI.TOTL.ZG?format=json ; Исходный источник: https://data.worldbank.org/</t>
  </si>
  <si>
    <t>https://www.globalpetrolprices.com/Denmark/gasoline_prices/ ; https://www.globalpetrolprices.com/Denmark/diesel_prices/ ; Исходный источник: GlobalPetrolPrices (страновые значения только там, где они были явно помечены как страновые); Jet/мазут: н/д</t>
  </si>
  <si>
    <t>DK</t>
  </si>
  <si>
    <t>DNK</t>
  </si>
  <si>
    <t>Libya</t>
  </si>
  <si>
    <t>Ливия</t>
  </si>
  <si>
    <t>https://api.worldbank.org/v2/country/LBY/indicator/NY.GDP.MKTP.CD?format=json ; https://api.worldbank.org/v2/country/LBY/indicator/NY.GDP.MKTP.KD.ZG?format=json ; https://api.worldbank.org/v2/country/LBY/indicator/FP.CPI.TOTL.ZG?format=json ; Исходный источник: https://data.worldbank.org/</t>
  </si>
  <si>
    <t>https://www.globalpetrolprices.com/Libya/gasoline_prices/ ; https://www.globalpetrolprices.com/Libya/diesel_prices/ ; Исходный источник: GlobalPetrolPrices (страновые значения только там, где они были явно помечены как страновые); Jet/мазут: н/д</t>
  </si>
  <si>
    <t>LY</t>
  </si>
  <si>
    <t>LBY</t>
  </si>
  <si>
    <t>Tunisia</t>
  </si>
  <si>
    <t>Тунис</t>
  </si>
  <si>
    <t>https://api.worldbank.org/v2/country/TUN/indicator/NY.GDP.MKTP.CD?format=json ; https://api.worldbank.org/v2/country/TUN/indicator/NY.GDP.MKTP.KD.ZG?format=json ; https://api.worldbank.org/v2/country/TUN/indicator/FP.CPI.TOTL.ZG?format=json ; Исходный источник: https://data.worldbank.org/</t>
  </si>
  <si>
    <t>https://www.globalpetrolprices.com/Tunisia/gasoline_prices/ ; https://www.globalpetrolprices.com/Tunisia/diesel_prices/ ; Исходный источник: GlobalPetrolPrices (страновые значения только там, где они были явно помечены как страновые); Jet/мазут: н/д</t>
  </si>
  <si>
    <t>TN</t>
  </si>
  <si>
    <t>TUN</t>
  </si>
  <si>
    <t>Romania</t>
  </si>
  <si>
    <t>Румыния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</si>
  <si>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https://www.worldometers.info/oil/romania-oil/</t>
  </si>
  <si>
    <t>https://api.worldbank.org/v2/country/ROU/indicator/NY.GDP.MKTP.CD?format=json ; https://api.worldbank.org/v2/country/ROU/indicator/NY.GDP.MKTP.KD.ZG?format=json ; https://api.worldbank.org/v2/country/ROU/indicator/FP.CPI.TOTL.ZG?format=json ; Исходный источник: https://data.worldbank.org/</t>
  </si>
  <si>
    <t>https://www.globalpetrolprices.com/Romania/gasoline_prices/ ; https://www.globalpetrolprices.com/Romania/diesel_prices/ ; https://www.globalpetrolprices.com/Romania/lpg_prices/ ; Исходный источник: GlobalPetrolPrices (страновые значения только там, где они были явно помечены как страновые); Jet/мазут: н/д</t>
  </si>
  <si>
    <t>RO</t>
  </si>
  <si>
    <t>ROU</t>
  </si>
  <si>
    <t>Hungary</t>
  </si>
  <si>
    <t>Венгрия</t>
  </si>
  <si>
    <t>https://api.worldbank.org/v2/country/HUN/indicator/NY.GDP.MKTP.CD?format=json ; https://api.worldbank.org/v2/country/HUN/indicator/NY.GDP.MKTP.KD.ZG?format=json ; https://api.worldbank.org/v2/country/HUN/indicator/FP.CPI.TOTL.ZG?format=json ; Исходный источник: https://data.worldbank.org/</t>
  </si>
  <si>
    <t>https://www.globalpetrolprices.com/Hungary/gasoline_prices/ ; https://www.globalpetrolprices.com/Hungary/diesel_prices/ ; https://www.globalpetrolprices.com/Hungary/lpg_prices/ ; Исходный источник: GlobalPetrolPrices (страновые значения только там, где они были явно помечены как страновые); Jet/мазут: н/д</t>
  </si>
  <si>
    <t>HU</t>
  </si>
  <si>
    <t>HUN</t>
  </si>
  <si>
    <t>Slovakia</t>
  </si>
  <si>
    <t>Словакия</t>
  </si>
  <si>
    <t>https://api.worldbank.org/v2/country/SVK/indicator/NY.GDP.MKTP.CD?format=json ; https://api.worldbank.org/v2/country/SVK/indicator/NY.GDP.MKTP.KD.ZG?format=json ; https://api.worldbank.org/v2/country/SVK/indicator/FP.CPI.TOTL.ZG?format=json ; Исходный источник: https://data.worldbank.org/</t>
  </si>
  <si>
    <t>https://www.globalpetrolprices.com/Slovakia/gasoline_prices/ ; https://www.globalpetrolprices.com/Slovakia/diesel_prices/ ; https://www.globalpetrolprices.com/Slovakia/lpg_prices/ ; Исходный источник: GlobalPetrolPrices (страновые значения только там, где они были явно помечены как страновые); Jet/мазут: н/д</t>
  </si>
  <si>
    <t>SK</t>
  </si>
  <si>
    <t>SVK</t>
  </si>
  <si>
    <t>Poland</t>
  </si>
  <si>
    <t>Польша</t>
  </si>
  <si>
    <t>https://api.worldbank.org/v2/country/POL/indicator/NY.GDP.MKTP.CD?format=json ; https://api.worldbank.org/v2/country/POL/indicator/NY.GDP.MKTP.KD.ZG?format=json ; https://api.worldbank.org/v2/country/POL/indicator/FP.CPI.TOTL.ZG?format=json ; Исходный источник: https://data.worldbank.org/</t>
  </si>
  <si>
    <t>https://www.globalpetrolprices.com/Poland/gasoline_prices/ ; https://www.globalpetrolprices.com/Poland/diesel_prices/ ; https://www.globalpetrolprices.com/Poland/lpg_prices/ ; Исходный источник: GlobalPetrolPrices (страновые значения только там, где они были явно помечены как страновые); Jet/мазут: н/д</t>
  </si>
  <si>
    <t>PL</t>
  </si>
  <si>
    <t>POL</t>
  </si>
  <si>
    <t>Ireland</t>
  </si>
  <si>
    <t>Ирландия</t>
  </si>
  <si>
    <t>https://api.worldbank.org/v2/country/IRL/indicator/NY.GDP.MKTP.CD?format=json ; https://api.worldbank.org/v2/country/IRL/indicator/NY.GDP.MKTP.KD.ZG?format=json ; https://api.worldbank.org/v2/country/IRL/indicator/FP.CPI.TOTL.ZG?format=json ; Исходный источник: https://data.worldbank.org/</t>
  </si>
  <si>
    <t>https://www.globalpetrolprices.com/Ireland/gasoline_prices/ ; https://www.globalpetrolprices.com/Ireland/diesel_prices/ ; Исходный источник: GlobalPetrolPrices (страновые значения только там, где они были явно помечены как страновые); Jet/мазут: н/д</t>
  </si>
  <si>
    <t>IE</t>
  </si>
  <si>
    <t>IRL</t>
  </si>
  <si>
    <t>United Kingdom</t>
  </si>
  <si>
    <t>Великобритания</t>
  </si>
  <si>
    <t>https://api.worldbank.org/v2/country/GBR/indicator/NY.GDP.MKTP.CD?format=json ; https://api.worldbank.org/v2/country/GBR/indicator/NY.GDP.MKTP.KD.ZG?format=json ; https://api.worldbank.org/v2/country/GBR/indicator/FP.CPI.TOTL.ZG?format=json ; Исходный источник: https://data.worldbank.org/</t>
  </si>
  <si>
    <t>https://www.globalpetrolprices.com/United-Kingdom/gasoline_prices/ ; https://www.globalpetrolprices.com/United-Kingdom/diesel_prices/ ; https://www.globalpetrolprices.com/United-Kingdom/lpg_prices/ ; Исходный источник: GlobalPetrolPrices (страновые значения только там, где они были явно помечены как страновые); Jet/мазут: н/д</t>
  </si>
  <si>
    <t>GB</t>
  </si>
  <si>
    <t>GBR</t>
  </si>
  <si>
    <t>Greece</t>
  </si>
  <si>
    <t>Греция</t>
  </si>
  <si>
    <t>https://api.worldbank.org/v2/country/GRC/indicator/NY.GDP.MKTP.CD?format=json ; https://api.worldbank.org/v2/country/GRC/indicator/NY.GDP.MKTP.KD.ZG?format=json ; https://api.worldbank.org/v2/country/GRC/indicator/FP.CPI.TOTL.ZG?format=json ; Исходный источник: https://data.worldbank.org/</t>
  </si>
  <si>
    <t>https://www.globalpetrolprices.com/Greece/gasoline_prices/ ; https://www.globalpetrolprices.com/Greece/diesel_prices/ ; https://www.globalpetrolprices.com/Greece/lpg_prices/ ; Исходный источник: GlobalPetrolPrices (страновые значения только там, где они были явно помечены как страновые); Jet/мазут: н/д</t>
  </si>
  <si>
    <t>GR</t>
  </si>
  <si>
    <t>GRC</t>
  </si>
  <si>
    <t>Zambia</t>
  </si>
  <si>
    <t>Замбия</t>
  </si>
  <si>
    <t>https://api.worldbank.org/v2/country/ZMB/indicator/NY.GDP.MKTP.CD?format=json ; https://api.worldbank.org/v2/country/ZMB/indicator/NY.GDP.MKTP.KD.ZG?format=json ; https://api.worldbank.org/v2/country/ZMB/indicator/FP.CPI.TOTL.ZG?format=json ; Исходный источник: https://data.worldbank.org/</t>
  </si>
  <si>
    <t>https://www.globalpetrolprices.com/Zambia/gasoline_prices/ ; https://www.globalpetrolprices.com/Zambia/diesel_prices/ ; Исходный источник: GlobalPetrolPrices (страновые значения только там, где они были явно помечены как страновые); Jet/мазут: н/д</t>
  </si>
  <si>
    <t>ZM</t>
  </si>
  <si>
    <t>ZMB</t>
  </si>
  <si>
    <t>Sierra Leone</t>
  </si>
  <si>
    <t>Сьерра-Леоне</t>
  </si>
  <si>
    <t>https://api.worldbank.org/v2/country/SLE/indicator/NY.GDP.MKTP.CD?format=json ; https://api.worldbank.org/v2/country/SLE/indicator/NY.GDP.MKTP.KD.ZG?format=json ; https://api.worldbank.org/v2/country/SLE/indicator/FP.CPI.TOTL.ZG?format=json ; Исходный источник: https://data.worldbank.org/</t>
  </si>
  <si>
    <t>https://www.globalpetrolprices.com/Sierra-Leone/gasoline_prices/ ; https://www.globalpetrolprices.com/Sierra-Leone/diesel_prices/ ; Исходный источник: GlobalPetrolPrices (страновые значения только там, где они были явно помечены как страновые); Jet/мазут: н/д</t>
  </si>
  <si>
    <t>SL</t>
  </si>
  <si>
    <t>SLE</t>
  </si>
  <si>
    <t>Guinea</t>
  </si>
  <si>
    <t>Гвинея</t>
  </si>
  <si>
    <t>https://api.worldbank.org/v2/country/GIN/indicator/NY.GDP.MKTP.CD?format=json ; https://api.worldbank.org/v2/country/GIN/indicator/NY.GDP.MKTP.KD.ZG?format=json ; https://api.worldbank.org/v2/country/GIN/indicator/FP.CPI.TOTL.ZG?format=json ; Исходный источник: https://data.worldbank.org/</t>
  </si>
  <si>
    <t>https://www.globalpetrolprices.com/Guinea/gasoline_prices/ ; https://www.globalpetrolprices.com/Guinea/diesel_prices/ ; Исходный источник: GlobalPetrolPrices (страновые значения только там, где они были явно помечены как страновые); Jet/мазут: н/д</t>
  </si>
  <si>
    <t>GN</t>
  </si>
  <si>
    <t>GIN</t>
  </si>
  <si>
    <t>Liberia</t>
  </si>
  <si>
    <t>Либерия</t>
  </si>
  <si>
    <t>https://api.worldbank.org/v2/country/LBR/indicator/NY.GDP.MKTP.CD?format=json ; https://api.worldbank.org/v2/country/LBR/indicator/NY.GDP.MKTP.KD.ZG?format=json ; https://api.worldbank.org/v2/country/LBR/indicator/FP.CPI.TOTL.ZG?format=json ; Исходный источник: https://data.worldbank.org/</t>
  </si>
  <si>
    <t>https://www.globalpetrolprices.com/Liberia/gasoline_prices/ ; https://www.globalpetrolprices.com/Liberia/diesel_prices/ ; Исходный источник: GlobalPetrolPrices (страновые значения только там, где они были явно помечены как страновые); Jet/мазут: н/д</t>
  </si>
  <si>
    <t>LR</t>
  </si>
  <si>
    <t>LBR</t>
  </si>
  <si>
    <t>Central African Republic</t>
  </si>
  <si>
    <t>Центральноафриканская Республика</t>
  </si>
  <si>
    <t>https://api.worldbank.org/v2/country/CAF/indicator/NY.GDP.MKTP.CD?format=json ; https://api.worldbank.org/v2/country/CAF/indicator/NY.GDP.MKTP.KD.ZG?format=json ; https://api.worldbank.org/v2/country/CAF/indicator/FP.CPI.TOTL.ZG?format=json ; Исходный источник: https://data.worldbank.org/</t>
  </si>
  <si>
    <t>https://www.globalpetrolprices.com/Central-African-Republic/gasoline_prices/ ; https://www.globalpetrolprices.com/Central-African-Republic/diesel_prices/ ; Исходный источник: GlobalPetrolPrices (страновые значения только там, где они были явно помечены как страновые); Jet/мазут: н/д</t>
  </si>
  <si>
    <t>CF</t>
  </si>
  <si>
    <t>CAF</t>
  </si>
  <si>
    <t>Sudan</t>
  </si>
  <si>
    <t>Судан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</si>
  <si>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https://www.worldometers.info/oil/oil-consumption-by-country/</t>
  </si>
  <si>
    <t>https://api.worldbank.org/v2/country/SDN/indicator/NY.GDP.MKTP.CD?format=json ; https://api.worldbank.org/v2/country/SDN/indicator/NY.GDP.MKTP.KD.ZG?format=json ; https://api.worldbank.org/v2/country/SDN/indicator/FP.CPI.TOTL.ZG?format=json ; Исходный источник: https://data.worldbank.org/</t>
  </si>
  <si>
    <t>https://www.globalpetrolprices.com/Sudan/gasoline_prices/ ; https://www.globalpetrolprices.com/Sudan/diesel_prices/ ; Исходный источник: GlobalPetrolPrices (страновые значения только там, где они были явно помечены как страновые); Jet/мазут: н/д</t>
  </si>
  <si>
    <t>SD</t>
  </si>
  <si>
    <t>SDN</t>
  </si>
  <si>
    <t>Djibouti</t>
  </si>
  <si>
    <t>Джибути</t>
  </si>
  <si>
    <t>https://api.worldbank.org/v2/country/DJI/indicator/NY.GDP.MKTP.CD?format=json ; https://api.worldbank.org/v2/country/DJI/indicator/NY.GDP.MKTP.KD.ZG?format=json ; https://api.worldbank.org/v2/country/DJI/indicator/FP.CPI.TOTL.ZG?format=json ; Исходный источник: https://data.worldbank.org/</t>
  </si>
  <si>
    <t>DJ</t>
  </si>
  <si>
    <t>DJI</t>
  </si>
  <si>
    <t>Eritrea</t>
  </si>
  <si>
    <t>Эритрея</t>
  </si>
  <si>
    <t>ER</t>
  </si>
  <si>
    <t>ERI</t>
  </si>
  <si>
    <t>Austria</t>
  </si>
  <si>
    <t>Австрия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</si>
  <si>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https://www.worldometers.info/oil/austria-oil/</t>
  </si>
  <si>
    <t>https://api.worldbank.org/v2/country/AUT/indicator/NY.GDP.MKTP.CD?format=json ; https://api.worldbank.org/v2/country/AUT/indicator/NY.GDP.MKTP.KD.ZG?format=json ; https://api.worldbank.org/v2/country/AUT/indicator/FP.CPI.TOTL.ZG?format=json ; Исходный источник: https://data.worldbank.org/</t>
  </si>
  <si>
    <t>https://www.globalpetrolprices.com/Austria/gasoline_prices/ ; https://www.globalpetrolprices.com/Austria/diesel_prices/ ; Исходный источник: GlobalPetrolPrices (страновые значения только там, где они были явно помечены как страновые); Jet/мазут: н/д</t>
  </si>
  <si>
    <t>AT</t>
  </si>
  <si>
    <t>AUT</t>
  </si>
  <si>
    <t>Iraq</t>
  </si>
  <si>
    <t>Ирак</t>
  </si>
  <si>
    <t>Бензин: 2026-09-14; исходные даты для непроверенных значений: бензин: 2026-09-14; дизель/LPG: 2026-09-07; Jet/мазут: н/д</t>
  </si>
  <si>
    <t>https://api.worldbank.org/v2/country/IRQ/indicator/NY.GDP.MKTP.CD?format=json ; https://api.worldbank.org/v2/country/IRQ/indicator/NY.GDP.MKTP.KD.ZG?format=json ; https://api.worldbank.org/v2/country/IRQ/indicator/FP.CPI.TOTL.ZG?format=json ; Исходный источник: https://data.worldbank.org/</t>
  </si>
  <si>
    <t>https://www.globalpetrolprices.com/Iraq/gasoline_prices/ ; Исходный источник: GlobalPetrolPrices (страновые значения только там, где они были явно помечены как страновые); Jet/мазут: н/д</t>
  </si>
  <si>
    <t>Бензин: проверено GPP; Дизель: н/д; LPG: н/д; Jet/керосин: нет сопоставимой национальной цены; Мазут: нет сопоставимой национальной цены</t>
  </si>
  <si>
    <t>IQ</t>
  </si>
  <si>
    <t>IRQ</t>
  </si>
  <si>
    <t>Italy</t>
  </si>
  <si>
    <t>Италия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</si>
  <si>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https://www.worldometers.info/oil/italy-oil/</t>
  </si>
  <si>
    <t>https://api.worldbank.org/v2/country/ITA/indicator/NY.GDP.MKTP.CD?format=json ; https://api.worldbank.org/v2/country/ITA/indicator/NY.GDP.MKTP.KD.ZG?format=json ; https://api.worldbank.org/v2/country/ITA/indicator/FP.CPI.TOTL.ZG?format=json ; Исходный источник: https://data.worldbank.org/</t>
  </si>
  <si>
    <t>https://www.globalpetrolprices.com/Italy/gasoline_prices/ ; https://www.globalpetrolprices.com/Italy/diesel_prices/ ; https://www.globalpetrolprices.com/Italy/lpg_prices/ ; Исходный источник: GlobalPetrolPrices (страновые значения только там, где они были явно помечены как страновые); Jet/мазут: н/д</t>
  </si>
  <si>
    <t>IT</t>
  </si>
  <si>
    <t>ITA</t>
  </si>
  <si>
    <t>Switzerland</t>
  </si>
  <si>
    <t>Швейцария</t>
  </si>
  <si>
    <t>https://api.worldbank.org/v2/country/CHE/indicator/NY.GDP.MKTP.CD?format=json ; https://api.worldbank.org/v2/country/CHE/indicator/NY.GDP.MKTP.KD.ZG?format=json ; https://api.worldbank.org/v2/country/CHE/indicator/FP.CPI.TOTL.ZG?format=json ; Исходный источник: https://data.worldbank.org/</t>
  </si>
  <si>
    <t>https://www.globalpetrolprices.com/Switzerland/gasoline_prices/ ; https://www.globalpetrolprices.com/Switzerland/diesel_prices/ ; https://www.globalpetrolprices.com/Switzerland/lpg_prices/ ; Исходный источник: GlobalPetrolPrices (страновые значения только там, где они были явно помечены как страновые); Jet/мазут: н/д</t>
  </si>
  <si>
    <t>CH</t>
  </si>
  <si>
    <t>CHE</t>
  </si>
  <si>
    <t>Iran</t>
  </si>
  <si>
    <t>Иран</t>
  </si>
  <si>
    <t>https://api.worldbank.org/v2/country/IRN/indicator/NY.GDP.MKTP.CD?format=json ; https://api.worldbank.org/v2/country/IRN/indicator/NY.GDP.MKTP.KD.ZG?format=json ; https://api.worldbank.org/v2/country/IRN/indicator/FP.CPI.TOTL.ZG?format=json ; Исходный источник: https://data.worldbank.org/</t>
  </si>
  <si>
    <t>https://www.globalpetrolprices.com/Iran/gasoline_prices/ ; https://www.globalpetrolprices.com/Iran/diesel_prices/ ; Исходный источник: GlobalPetrolPrices (страновые значения только там, где они были явно помечены как страновые); Jet/мазут: н/д</t>
  </si>
  <si>
    <t>IR</t>
  </si>
  <si>
    <t>IRN</t>
  </si>
  <si>
    <t>Netherlands</t>
  </si>
  <si>
    <t>Нидерланды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</si>
  <si>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https://www.worldometers.info/oil/netherlands-oil/</t>
  </si>
  <si>
    <t>https://api.worldbank.org/v2/country/NLD/indicator/NY.GDP.MKTP.CD?format=json ; https://api.worldbank.org/v2/country/NLD/indicator/NY.GDP.MKTP.KD.ZG?format=json ; https://api.worldbank.org/v2/country/NLD/indicator/FP.CPI.TOTL.ZG?format=json ; Исходный источник: https://data.worldbank.org/</t>
  </si>
  <si>
    <t>https://www.globalpetrolprices.com/Netherlands/gasoline_prices/ ; https://www.globalpetrolprices.com/Netherlands/diesel_prices/ ; https://www.globalpetrolprices.com/Netherlands/lpg_prices/ ; Исходный источник: GlobalPetrolPrices (страновые значения только там, где они были явно помечены как страновые); Jet/мазут: н/д</t>
  </si>
  <si>
    <t>NL</t>
  </si>
  <si>
    <t>NLD</t>
  </si>
  <si>
    <t>Liechtenstein</t>
  </si>
  <si>
    <t>Лихтенштейн</t>
  </si>
  <si>
    <t>https://api.worldbank.org/v2/country/LIE/indicator/NY.GDP.MKTP.CD?format=json ; https://api.worldbank.org/v2/country/LIE/indicator/NY.GDP.MKTP.KD.ZG?format=json ; https://api.worldbank.org/v2/country/LIE/indicator/FP.CPI.TOTL.ZG?format=json ; Исходный источник: https://data.worldbank.org/</t>
  </si>
  <si>
    <t>https://www.globalpetrolprices.com/Liechtenstein/gasoline_prices/ ; https://www.globalpetrolprices.com/Liechtenstein/diesel_prices/ ; Исходный источник: GlobalPetrolPrices (страновые значения только там, где они были явно помечены как страновые); Jet/мазут: н/д</t>
  </si>
  <si>
    <t>LI</t>
  </si>
  <si>
    <t>LIE</t>
  </si>
  <si>
    <t>Ivory Coast</t>
  </si>
  <si>
    <t>Кот-д’Ивуар</t>
  </si>
  <si>
    <t>https://api.worldbank.org/v2/country/CIV/indicator/NY.GDP.MKTP.CD?format=json ; https://api.worldbank.org/v2/country/CIV/indicator/NY.GDP.MKTP.KD.ZG?format=json ; https://api.worldbank.org/v2/country/CIV/indicator/FP.CPI.TOTL.ZG?format=json ; Исходный источник: https://data.worldbank.org/</t>
  </si>
  <si>
    <t>https://www.globalpetrolprices.com/Ivory-Coast/gasoline_prices/ ; https://www.globalpetrolprices.com/Ivory-Coast/diesel_prices/ ; Исходный источник: GlobalPetrolPrices (страновые значения только там, где они были явно помечены как страновые); Jet/мазут: н/д</t>
  </si>
  <si>
    <t>CI</t>
  </si>
  <si>
    <t>CIV</t>
  </si>
  <si>
    <t>Serbia</t>
  </si>
  <si>
    <t>Сербия</t>
  </si>
  <si>
    <t>https://api.worldbank.org/v2/country/SRB/indicator/NY.GDP.MKTP.CD?format=json ; https://api.worldbank.org/v2/country/SRB/indicator/NY.GDP.MKTP.KD.ZG?format=json ; https://api.worldbank.org/v2/country/SRB/indicator/FP.CPI.TOTL.ZG?format=json ; Исходный источник: https://data.worldbank.org/</t>
  </si>
  <si>
    <t>https://www.globalpetrolprices.com/Serbia/gasoline_prices/ ; https://www.globalpetrolprices.com/Serbia/diesel_prices/ ; https://www.globalpetrolprices.com/Serbia/lpg_prices/ ; Исходный источник: GlobalPetrolPrices (страновые значения только там, где они были явно помечены как страновые); Jet/мазут: н/д</t>
  </si>
  <si>
    <t>RS</t>
  </si>
  <si>
    <t>SRB</t>
  </si>
  <si>
    <t>Mali</t>
  </si>
  <si>
    <t>Мали</t>
  </si>
  <si>
    <t>https://api.worldbank.org/v2/country/MLI/indicator/NY.GDP.MKTP.CD?format=json ; https://api.worldbank.org/v2/country/MLI/indicator/NY.GDP.MKTP.KD.ZG?format=json ; https://api.worldbank.org/v2/country/MLI/indicator/FP.CPI.TOTL.ZG?format=json ; Исходный источник: https://data.worldbank.org/</t>
  </si>
  <si>
    <t>https://www.globalpetrolprices.com/Mali/gasoline_prices/ ; https://www.globalpetrolprices.com/Mali/diesel_prices/ ; Исходный источник: GlobalPetrolPrices (страновые значения только там, где они были явно помечены как страновые); Jet/мазут: н/д</t>
  </si>
  <si>
    <t>ML</t>
  </si>
  <si>
    <t>MLI</t>
  </si>
  <si>
    <t>Senegal</t>
  </si>
  <si>
    <t>Сенегал</t>
  </si>
  <si>
    <t>https://api.worldbank.org/v2/country/SEN/indicator/NY.GDP.MKTP.CD?format=json ; https://api.worldbank.org/v2/country/SEN/indicator/NY.GDP.MKTP.KD.ZG?format=json ; https://api.worldbank.org/v2/country/SEN/indicator/FP.CPI.TOTL.ZG?format=json ; Исходный источник: https://data.worldbank.org/</t>
  </si>
  <si>
    <t>https://www.globalpetrolprices.com/Senegal/gasoline_prices/ ; https://www.globalpetrolprices.com/Senegal/diesel_prices/ ; Исходный источник: GlobalPetrolPrices (страновые значения только там, где они были явно помечены как страновые); Jet/мазут: н/д</t>
  </si>
  <si>
    <t>SN</t>
  </si>
  <si>
    <t>SEN</t>
  </si>
  <si>
    <t>Nigeria</t>
  </si>
  <si>
    <t>Нигерия</t>
  </si>
  <si>
    <t>https://api.worldbank.org/v2/country/NGA/indicator/NY.GDP.MKTP.CD?format=json ; https://api.worldbank.org/v2/country/NGA/indicator/NY.GDP.MKTP.KD.ZG?format=json ; https://api.worldbank.org/v2/country/NGA/indicator/FP.CPI.TOTL.ZG?format=json ; Исходный источник: https://data.worldbank.org/</t>
  </si>
  <si>
    <t>https://www.globalpetrolprices.com/Nigeria/gasoline_prices/ ; https://www.globalpetrolprices.com/Nigeria/diesel_prices/ ; https://www.globalpetrolprices.com/Nigeria/lpg_prices/ ; Исходный источник: GlobalPetrolPrices (страновые значения только там, где они были явно помечены как страновые); Jet/мазут: н/д</t>
  </si>
  <si>
    <t>NG</t>
  </si>
  <si>
    <t>NGA</t>
  </si>
  <si>
    <t>Benin</t>
  </si>
  <si>
    <t>Бенин</t>
  </si>
  <si>
    <t>https://api.worldbank.org/v2/country/BEN/indicator/NY.GDP.MKTP.CD?format=json ; https://api.worldbank.org/v2/country/BEN/indicator/NY.GDP.MKTP.KD.ZG?format=json ; https://api.worldbank.org/v2/country/BEN/indicator/FP.CPI.TOTL.ZG?format=json ; Исходный источник: https://data.worldbank.org/</t>
  </si>
  <si>
    <t>https://www.globalpetrolprices.com/Benin/gasoline_prices/ ; https://www.globalpetrolprices.com/Benin/diesel_prices/ ; Исходный источник: GlobalPetrolPrices (страновые значения только там, где они были явно помечены как страновые); Jet/мазут: н/д</t>
  </si>
  <si>
    <t>BJ</t>
  </si>
  <si>
    <t>BEN</t>
  </si>
  <si>
    <t>Angola</t>
  </si>
  <si>
    <t>Ангола</t>
  </si>
  <si>
    <t>https://api.worldbank.org/v2/country/AGO/indicator/NY.GDP.MKTP.CD?format=json ; https://api.worldbank.org/v2/country/AGO/indicator/NY.GDP.MKTP.KD.ZG?format=json ; https://api.worldbank.org/v2/country/AGO/indicator/FP.CPI.TOTL.ZG?format=json ; Исходный источник: https://data.worldbank.org/</t>
  </si>
  <si>
    <t>https://www.globalpetrolprices.com/Angola/gasoline_prices/ ; https://www.globalpetrolprices.com/Angola/diesel_prices/ ; https://www.globalpetrolprices.com/Angola/lpg_prices/ ; Исходный источник: GlobalPetrolPrices (страновые значения только там, где они были явно помечены как страновые); Jet/мазут: н/д</t>
  </si>
  <si>
    <t>AO</t>
  </si>
  <si>
    <t>AGO</t>
  </si>
  <si>
    <t>Croatia</t>
  </si>
  <si>
    <t>Хорватия</t>
  </si>
  <si>
    <t>https://api.worldbank.org/v2/country/HRV/indicator/NY.GDP.MKTP.CD?format=json ; https://api.worldbank.org/v2/country/HRV/indicator/NY.GDP.MKTP.KD.ZG?format=json ; https://api.worldbank.org/v2/country/HRV/indicator/FP.CPI.TOTL.ZG?format=json ; Исходный источник: https://data.worldbank.org/</t>
  </si>
  <si>
    <t>https://www.globalpetrolprices.com/Croatia/gasoline_prices/ ; https://www.globalpetrolprices.com/Croatia/diesel_prices/ ; https://www.globalpetrolprices.com/Croatia/lpg_prices/ ; Исходный источник: GlobalPetrolPrices (страновые значения только там, где они были явно помечены как страновые); Jet/мазут: н/д</t>
  </si>
  <si>
    <t>HR</t>
  </si>
  <si>
    <t>HRV</t>
  </si>
  <si>
    <t>Slovenia</t>
  </si>
  <si>
    <t>Словения</t>
  </si>
  <si>
    <t>https://api.worldbank.org/v2/country/SVN/indicator/NY.GDP.MKTP.CD?format=json ; https://api.worldbank.org/v2/country/SVN/indicator/NY.GDP.MKTP.KD.ZG?format=json ; https://api.worldbank.org/v2/country/SVN/indicator/FP.CPI.TOTL.ZG?format=json ; Исходный источник: https://data.worldbank.org/</t>
  </si>
  <si>
    <t>https://www.globalpetrolprices.com/Slovenia/gasoline_prices/ ; https://www.globalpetrolprices.com/Slovenia/diesel_prices/ ; https://www.globalpetrolprices.com/Slovenia/lpg_prices/ ; Исходный источник: GlobalPetrolPrices (страновые значения только там, где они были явно помечены как страновые); Jet/мазут: н/д</t>
  </si>
  <si>
    <t>SI</t>
  </si>
  <si>
    <t>SVN</t>
  </si>
  <si>
    <t>Qatar</t>
  </si>
  <si>
    <t>Катар</t>
  </si>
  <si>
    <t>https://api.worldbank.org/v2/country/QAT/indicator/NY.GDP.MKTP.CD?format=json ; https://api.worldbank.org/v2/country/QAT/indicator/NY.GDP.MKTP.KD.ZG?format=json ; https://api.worldbank.org/v2/country/QAT/indicator/FP.CPI.TOTL.ZG?format=json ; Исходный источник: https://data.worldbank.org/</t>
  </si>
  <si>
    <t>https://www.globalpetrolprices.com/Qatar/gasoline_prices/ ; https://www.globalpetrolprices.com/Qatar/diesel_prices/ ; Исходный источник: GlobalPetrolPrices (страновые значения только там, где они были явно помечены как страновые); Jet/мазут: н/д</t>
  </si>
  <si>
    <t>QA</t>
  </si>
  <si>
    <t>QAT</t>
  </si>
  <si>
    <t>Saudi Arabia</t>
  </si>
  <si>
    <t>Саудовская Аравия</t>
  </si>
  <si>
    <t>https://api.worldbank.org/v2/country/SAU/indicator/NY.GDP.MKTP.CD?format=json ; https://api.worldbank.org/v2/country/SAU/indicator/NY.GDP.MKTP.KD.ZG?format=json ; https://api.worldbank.org/v2/country/SAU/indicator/FP.CPI.TOTL.ZG?format=json ; Исходный источник: https://data.worldbank.org/</t>
  </si>
  <si>
    <t>https://www.globalpetrolprices.com/Saudi-Arabia/gasoline_prices/ ; https://www.globalpetrolprices.com/Saudi-Arabia/diesel_prices/ ; https://www.globalpetrolprices.com/Saudi-Arabia/lpg_prices/ ; Исходный источник: GlobalPetrolPrices (страновые значения только там, где они были явно помечены как страновые); Jet/мазут: н/д</t>
  </si>
  <si>
    <t>SA</t>
  </si>
  <si>
    <t>SAU</t>
  </si>
  <si>
    <t>Botswana</t>
  </si>
  <si>
    <t>Ботсвана</t>
  </si>
  <si>
    <t>https://api.worldbank.org/v2/country/BWA/indicator/NY.GDP.MKTP.CD?format=json ; https://api.worldbank.org/v2/country/BWA/indicator/NY.GDP.MKTP.KD.ZG?format=json ; https://api.worldbank.org/v2/country/BWA/indicator/FP.CPI.TOTL.ZG?format=json ; Исходный источник: https://data.worldbank.org/</t>
  </si>
  <si>
    <t>https://www.globalpetrolprices.com/Botswana/gasoline_prices/ ; https://www.globalpetrolprices.com/Botswana/diesel_prices/ ; Исходный источник: GlobalPetrolPrices (страновые значения только там, где они были явно помечены как страновые); Jet/мазут: н/д</t>
  </si>
  <si>
    <t>BW</t>
  </si>
  <si>
    <t>BWA</t>
  </si>
  <si>
    <t>Zimbabwe</t>
  </si>
  <si>
    <t>Зимбабве</t>
  </si>
  <si>
    <t>https://api.worldbank.org/v2/country/ZWE/indicator/NY.GDP.MKTP.CD?format=json ; https://api.worldbank.org/v2/country/ZWE/indicator/NY.GDP.MKTP.KD.ZG?format=json ; https://api.worldbank.org/v2/country/ZWE/indicator/FP.CPI.TOTL.ZG?format=json ; Исходный источник: https://data.worldbank.org/</t>
  </si>
  <si>
    <t>https://www.globalpetrolprices.com/Zimbabwe/gasoline_prices/ ; https://www.globalpetrolprices.com/Zimbabwe/diesel_prices/ ; Исходный источник: GlobalPetrolPrices (страновые значения только там, где они были явно помечены как страновые); Jet/мазут: н/д</t>
  </si>
  <si>
    <t>ZW</t>
  </si>
  <si>
    <t>ZWE</t>
  </si>
  <si>
    <t>Pakistan</t>
  </si>
  <si>
    <t>Пакистан</t>
  </si>
  <si>
    <t>https://api.worldbank.org/v2/country/PAK/indicator/NY.GDP.MKTP.CD?format=json ; https://api.worldbank.org/v2/country/PAK/indicator/NY.GDP.MKTP.KD.ZG?format=json ; https://api.worldbank.org/v2/country/PAK/indicator/FP.CPI.TOTL.ZG?format=json ; Исходный источник: https://data.worldbank.org/</t>
  </si>
  <si>
    <t>https://www.globalpetrolprices.com/Pakistan/gasoline_prices/ ; https://www.globalpetrolprices.com/Pakistan/diesel_prices/ ; Исходный источник: GlobalPetrolPrices (страновые значения только там, где они были явно помечены как страновые); Jet/мазут: н/д</t>
  </si>
  <si>
    <t>PK</t>
  </si>
  <si>
    <t>PAK</t>
  </si>
  <si>
    <t>Bulgaria</t>
  </si>
  <si>
    <t>Болгария</t>
  </si>
  <si>
    <t>https://api.worldbank.org/v2/country/BGR/indicator/NY.GDP.MKTP.CD?format=json ; https://api.worldbank.org/v2/country/BGR/indicator/NY.GDP.MKTP.KD.ZG?format=json ; https://api.worldbank.org/v2/country/BGR/indicator/FP.CPI.TOTL.ZG?format=json ; Исходный источник: https://data.worldbank.org/</t>
  </si>
  <si>
    <t>https://www.globalpetrolprices.com/Bulgaria/gasoline_prices/ ; https://www.globalpetrolprices.com/Bulgaria/diesel_prices/ ; https://www.globalpetrolprices.com/Bulgaria/lpg_prices/ ; Исходный источник: GlobalPetrolPrices (страновые значения только там, где они были явно помечены как страновые); Jet/мазут: н/д</t>
  </si>
  <si>
    <t>BG</t>
  </si>
  <si>
    <t>BGR</t>
  </si>
  <si>
    <t>Thailand</t>
  </si>
  <si>
    <t>Таиланд</t>
  </si>
  <si>
    <t>https://api.worldbank.org/v2/country/THA/indicator/NY.GDP.MKTP.CD?format=json ; https://api.worldbank.org/v2/country/THA/indicator/NY.GDP.MKTP.KD.ZG?format=json ; https://api.worldbank.org/v2/country/THA/indicator/FP.CPI.TOTL.ZG?format=json ; Исходный источник: https://data.worldbank.org/</t>
  </si>
  <si>
    <t>https://www.globalpetrolprices.com/Thailand/gasoline_prices/ ; https://www.globalpetrolprices.com/Thailand/diesel_prices/ ; Исходный источник: GlobalPetrolPrices (страновые значения только там, где они были явно помечены как страновые); Jet/мазут: н/д</t>
  </si>
  <si>
    <t>TH</t>
  </si>
  <si>
    <t>THA</t>
  </si>
  <si>
    <t>San Marino</t>
  </si>
  <si>
    <t>Сан-Марино</t>
  </si>
  <si>
    <t>https://api.worldbank.org/v2/country/SMR/indicator/NY.GDP.MKTP.CD?format=json ; https://api.worldbank.org/v2/country/SMR/indicator/NY.GDP.MKTP.KD.ZG?format=json ; https://api.worldbank.org/v2/country/SMR/indicator/FP.CPI.TOTL.ZG?format=json ; Исходный источник: https://data.worldbank.org/</t>
  </si>
  <si>
    <t>https://www.globalpetrolprices.com/San-Marino/gasoline_prices/ ; https://www.globalpetrolprices.com/San-Marino/diesel_prices/ ; https://www.globalpetrolprices.com/San-Marino/lpg_prices/ ; Исходный источник: GlobalPetrolPrices (страновые значения только там, где они были явно помечены как страновые); Jet/мазут: н/д</t>
  </si>
  <si>
    <t>SM</t>
  </si>
  <si>
    <t>SMR</t>
  </si>
  <si>
    <t>Haiti</t>
  </si>
  <si>
    <t>Республика Гаити</t>
  </si>
  <si>
    <t>https://api.worldbank.org/v2/country/HTI/indicator/NY.GDP.MKTP.CD?format=json ; https://api.worldbank.org/v2/country/HTI/indicator/NY.GDP.MKTP.KD.ZG?format=json ; https://api.worldbank.org/v2/country/HTI/indicator/FP.CPI.TOTL.ZG?format=json ; Исходный источник: https://data.worldbank.org/</t>
  </si>
  <si>
    <t>https://www.globalpetrolprices.com/Haiti/gasoline_prices/ ; https://www.globalpetrolprices.com/Haiti/diesel_prices/ ; Исходный источник: GlobalPetrolPrices (страновые значения только там, где они были явно помечены как страновые); Jet/мазут: н/д</t>
  </si>
  <si>
    <t>HT</t>
  </si>
  <si>
    <t>HTI</t>
  </si>
  <si>
    <t>Dominican Republic</t>
  </si>
  <si>
    <t>Доминиканская Республика</t>
  </si>
  <si>
    <t>https://api.worldbank.org/v2/country/DOM/indicator/NY.GDP.MKTP.CD?format=json ; https://api.worldbank.org/v2/country/DOM/indicator/NY.GDP.MKTP.KD.ZG?format=json ; https://api.worldbank.org/v2/country/DOM/indicator/FP.CPI.TOTL.ZG?format=json ; Исходный источник: https://data.worldbank.org/</t>
  </si>
  <si>
    <t>https://www.globalpetrolprices.com/Dominican-Republic/gasoline_prices/ ; https://www.globalpetrolprices.com/Dominican-Republic/diesel_prices/ ; https://www.globalpetrolprices.com/Dominican-Republic/lpg_prices/ ; Исходный источник: GlobalPetrolPrices (страновые значения только там, где они были явно помечены как страновые); Jet/мазут: н/д</t>
  </si>
  <si>
    <t>DO</t>
  </si>
  <si>
    <t>DOM</t>
  </si>
  <si>
    <t>Chad</t>
  </si>
  <si>
    <t>Чад</t>
  </si>
  <si>
    <t>https://api.worldbank.org/v2/country/TCD/indicator/NY.GDP.MKTP.CD?format=json ; https://api.worldbank.org/v2/country/TCD/indicator/NY.GDP.MKTP.KD.ZG?format=json ; https://api.worldbank.org/v2/country/TCD/indicator/FP.CPI.TOTL.ZG?format=json ; Исходный источник: https://data.worldbank.org/</t>
  </si>
  <si>
    <t>TD</t>
  </si>
  <si>
    <t>TCD</t>
  </si>
  <si>
    <t>Kuwait</t>
  </si>
  <si>
    <t>Кувейт</t>
  </si>
  <si>
    <t>https://api.worldbank.org/v2/country/KWT/indicator/NY.GDP.MKTP.CD?format=json ; https://api.worldbank.org/v2/country/KWT/indicator/NY.GDP.MKTP.KD.ZG?format=json ; https://api.worldbank.org/v2/country/KWT/indicator/FP.CPI.TOTL.ZG?format=json ; Исходный источник: https://data.worldbank.org/</t>
  </si>
  <si>
    <t>https://www.globalpetrolprices.com/Kuwait/gasoline_prices/ ; https://www.globalpetrolprices.com/Kuwait/diesel_prices/ ; Исходный источник: GlobalPetrolPrices (страновые значения только там, где они были явно помечены как страновые); Jet/мазут: н/д</t>
  </si>
  <si>
    <t>KW</t>
  </si>
  <si>
    <t>KWT</t>
  </si>
  <si>
    <t>El Salvador</t>
  </si>
  <si>
    <t>Сальвадор</t>
  </si>
  <si>
    <t>https://api.worldbank.org/v2/country/SLV/indicator/NY.GDP.MKTP.CD?format=json ; https://api.worldbank.org/v2/country/SLV/indicator/NY.GDP.MKTP.KD.ZG?format=json ; https://api.worldbank.org/v2/country/SLV/indicator/FP.CPI.TOTL.ZG?format=json ; Исходный источник: https://data.worldbank.org/</t>
  </si>
  <si>
    <t>https://www.globalpetrolprices.com/El-Salvador/gasoline_prices/ ; https://www.globalpetrolprices.com/El-Salvador/diesel_prices/ ; Исходный источник: GlobalPetrolPrices (страновые значения только там, где они были явно помечены как страновые); Jet/мазут: н/д</t>
  </si>
  <si>
    <t>SV</t>
  </si>
  <si>
    <t>SLV</t>
  </si>
  <si>
    <t>Guatemala</t>
  </si>
  <si>
    <t>Гватемала</t>
  </si>
  <si>
    <t>https://api.worldbank.org/v2/country/GTM/indicator/NY.GDP.MKTP.CD?format=json ; https://api.worldbank.org/v2/country/GTM/indicator/NY.GDP.MKTP.KD.ZG?format=json ; https://api.worldbank.org/v2/country/GTM/indicator/FP.CPI.TOTL.ZG?format=json ; Исходный источник: https://data.worldbank.org/</t>
  </si>
  <si>
    <t>https://www.globalpetrolprices.com/Guatemala/gasoline_prices/ ; https://www.globalpetrolprices.com/Guatemala/diesel_prices/ ; Исходный источник: GlobalPetrolPrices (страновые значения только там, где они были явно помечены как страновые); Jet/мазут: н/д</t>
  </si>
  <si>
    <t>GT</t>
  </si>
  <si>
    <t>GTM</t>
  </si>
  <si>
    <t>East Timor</t>
  </si>
  <si>
    <t>Восточный Тимор</t>
  </si>
  <si>
    <t>https://api.worldbank.org/v2/country/TLS/indicator/NY.GDP.MKTP.CD?format=json ; https://api.worldbank.org/v2/country/TLS/indicator/NY.GDP.MKTP.KD.ZG?format=json ; https://api.worldbank.org/v2/country/TLS/indicator/FP.CPI.TOTL.ZG?format=json ; Исходный источник: https://data.worldbank.org/</t>
  </si>
  <si>
    <t>TL</t>
  </si>
  <si>
    <t>TLS</t>
  </si>
  <si>
    <t>Brunei</t>
  </si>
  <si>
    <t>Бруней</t>
  </si>
  <si>
    <t>https://api.worldbank.org/v2/country/BRN/indicator/NY.GDP.MKTP.CD?format=json ; https://api.worldbank.org/v2/country/BRN/indicator/NY.GDP.MKTP.KD.ZG?format=json ; https://api.worldbank.org/v2/country/BRN/indicator/FP.CPI.TOTL.ZG?format=json ; Исходный источник: https://data.worldbank.org/</t>
  </si>
  <si>
    <t>BN</t>
  </si>
  <si>
    <t>BRN</t>
  </si>
  <si>
    <t>Monaco</t>
  </si>
  <si>
    <t>Монако</t>
  </si>
  <si>
    <t>https://api.worldbank.org/v2/country/MCO/indicator/NY.GDP.MKTP.CD?format=json ; https://api.worldbank.org/v2/country/MCO/indicator/NY.GDP.MKTP.KD.ZG?format=json ; https://api.worldbank.org/v2/country/MCO/indicator/FP.CPI.TOTL.ZG?format=json ; Исходный источник: https://data.worldbank.org/</t>
  </si>
  <si>
    <t>https://www.globalpetrolprices.com/Monaco/gasoline_prices/ ; https://www.globalpetrolprices.com/Monaco/diesel_prices/ ; Исходный источник: GlobalPetrolPrices (страновые значения только там, где они были явно помечены как страновые); Jet/мазут: н/д</t>
  </si>
  <si>
    <t>MC</t>
  </si>
  <si>
    <t>MCO</t>
  </si>
  <si>
    <t>Algeria</t>
  </si>
  <si>
    <t>Алжир</t>
  </si>
  <si>
    <t>https://api.worldbank.org/v2/country/DZA/indicator/NY.GDP.MKTP.CD?format=json ; https://api.worldbank.org/v2/country/DZA/indicator/NY.GDP.MKTP.KD.ZG?format=json ; https://api.worldbank.org/v2/country/DZA/indicator/FP.CPI.TOTL.ZG?format=json ; Исходный источник: https://data.worldbank.org/</t>
  </si>
  <si>
    <t>https://www.globalpetrolprices.com/Algeria/gasoline_prices/ ; https://www.globalpetrolprices.com/Algeria/diesel_prices/ ; https://www.globalpetrolprices.com/Algeria/lpg_prices/ ; Исходный источник: GlobalPetrolPrices (страновые значения только там, где они были явно помечены как страновые); Jet/мазут: н/д</t>
  </si>
  <si>
    <t>DZ</t>
  </si>
  <si>
    <t>DZA</t>
  </si>
  <si>
    <t>Mozambique</t>
  </si>
  <si>
    <t>Мозамбик</t>
  </si>
  <si>
    <t>https://api.worldbank.org/v2/country/MOZ/indicator/NY.GDP.MKTP.CD?format=json ; https://api.worldbank.org/v2/country/MOZ/indicator/NY.GDP.MKTP.KD.ZG?format=json ; https://api.worldbank.org/v2/country/MOZ/indicator/FP.CPI.TOTL.ZG?format=json ; Исходный источник: https://data.worldbank.org/</t>
  </si>
  <si>
    <t>https://www.globalpetrolprices.com/Mozambique/gasoline_prices/ ; https://www.globalpetrolprices.com/Mozambique/diesel_prices/ ; Исходный источник: GlobalPetrolPrices (страновые значения только там, где они были явно помечены как страновые); Jet/мазут: н/д</t>
  </si>
  <si>
    <t>MZ</t>
  </si>
  <si>
    <t>MOZ</t>
  </si>
  <si>
    <t>Eswatini</t>
  </si>
  <si>
    <t>Эсватини</t>
  </si>
  <si>
    <t>https://api.worldbank.org/v2/country/SWZ/indicator/NY.GDP.MKTP.CD?format=json ; https://api.worldbank.org/v2/country/SWZ/indicator/NY.GDP.MKTP.KD.ZG?format=json ; https://api.worldbank.org/v2/country/SWZ/indicator/FP.CPI.TOTL.ZG?format=json ; Исходный источник: https://data.worldbank.org/</t>
  </si>
  <si>
    <t>https://www.globalpetrolprices.com/Swaziland/gasoline_prices/ ; https://www.globalpetrolprices.com/Swaziland/diesel_prices/ ; Исходный источник: GlobalPetrolPrices (страновые значения только там, где они были явно помечены как страновые); Jet/мазут: н/д</t>
  </si>
  <si>
    <t>SZ</t>
  </si>
  <si>
    <t>SWZ</t>
  </si>
  <si>
    <t>Burundi</t>
  </si>
  <si>
    <t>Бурунди</t>
  </si>
  <si>
    <t>https://api.worldbank.org/v2/country/BDI/indicator/NY.GDP.MKTP.CD?format=json ; https://api.worldbank.org/v2/country/BDI/indicator/NY.GDP.MKTP.KD.ZG?format=json ; https://api.worldbank.org/v2/country/BDI/indicator/FP.CPI.TOTL.ZG?format=json ; Исходный источник: https://data.worldbank.org/</t>
  </si>
  <si>
    <t>https://www.globalpetrolprices.com/Burundi/gasoline_prices/ ; https://www.globalpetrolprices.com/Burundi/diesel_prices/ ; Исходный источник: GlobalPetrolPrices (страновые значения только там, где они были явно помечены как страновые); Jet/мазут: н/д</t>
  </si>
  <si>
    <t>BI</t>
  </si>
  <si>
    <t>BDI</t>
  </si>
  <si>
    <t>Rwanda</t>
  </si>
  <si>
    <t>Руанда</t>
  </si>
  <si>
    <t>https://api.worldbank.org/v2/country/RWA/indicator/NY.GDP.MKTP.CD?format=json ; https://api.worldbank.org/v2/country/RWA/indicator/NY.GDP.MKTP.KD.ZG?format=json ; https://api.worldbank.org/v2/country/RWA/indicator/FP.CPI.TOTL.ZG?format=json ; Исходный источник: https://data.worldbank.org/</t>
  </si>
  <si>
    <t>https://www.globalpetrolprices.com/Rwanda/gasoline_prices/ ; https://www.globalpetrolprices.com/Rwanda/diesel_prices/ ; Исходный источник: GlobalPetrolPrices (страновые значения только там, где они были явно помечены как страновые); Jet/мазут: н/д</t>
  </si>
  <si>
    <t>RW</t>
  </si>
  <si>
    <t>RWA</t>
  </si>
  <si>
    <t>Myanmar</t>
  </si>
  <si>
    <t>Мьянма</t>
  </si>
  <si>
    <t>https://api.worldbank.org/v2/country/MMR/indicator/NY.GDP.MKTP.CD?format=json ; https://api.worldbank.org/v2/country/MMR/indicator/NY.GDP.MKTP.KD.ZG?format=json ; https://api.worldbank.org/v2/country/MMR/indicator/FP.CPI.TOTL.ZG?format=json ; Исходный источник: https://data.worldbank.org/</t>
  </si>
  <si>
    <t>https://www.globalpetrolprices.com/Burma-Myanmar/gasoline_prices/ ; https://www.globalpetrolprices.com/Burma-Myanmar/diesel_prices/ ; Исходный источник: GlobalPetrolPrices (страновые значения только там, где они были явно помечены как страновые); Jet/мазут: н/д</t>
  </si>
  <si>
    <t>MM</t>
  </si>
  <si>
    <t>MMR</t>
  </si>
  <si>
    <t>Bangladesh</t>
  </si>
  <si>
    <t>Бангладеш</t>
  </si>
  <si>
    <t>https://api.worldbank.org/v2/country/BGD/indicator/NY.GDP.MKTP.CD?format=json ; https://api.worldbank.org/v2/country/BGD/indicator/NY.GDP.MKTP.KD.ZG?format=json ; https://api.worldbank.org/v2/country/BGD/indicator/FP.CPI.TOTL.ZG?format=json ; Исходный источник: https://data.worldbank.org/</t>
  </si>
  <si>
    <t>https://www.globalpetrolprices.com/Bangladesh/gasoline_prices/ ; https://www.globalpetrolprices.com/Bangladesh/diesel_prices/ ; Исходный источник: GlobalPetrolPrices (страновые значения только там, где они были явно помечены как страновые); Jet/мазут: н/д</t>
  </si>
  <si>
    <t>BD</t>
  </si>
  <si>
    <t>BGD</t>
  </si>
  <si>
    <t>Andorra</t>
  </si>
  <si>
    <t>Андорра</t>
  </si>
  <si>
    <t>https://api.worldbank.org/v2/country/AND/indicator/NY.GDP.MKTP.CD?format=json ; https://api.worldbank.org/v2/country/AND/indicator/NY.GDP.MKTP.KD.ZG?format=json ; https://api.worldbank.org/v2/country/AND/indicator/FP.CPI.TOTL.ZG?format=json ; Исходный источник: https://data.worldbank.org/</t>
  </si>
  <si>
    <t>https://www.globalpetrolprices.com/Andorra/gasoline_prices/ ; https://www.globalpetrolprices.com/Andorra/diesel_prices/ ; https://www.globalpetrolprices.com/Andorra/lpg_prices/ ; Исходный источник: GlobalPetrolPrices (страновые значения только там, где они были явно помечены как страновые); Jet/мазут: н/д</t>
  </si>
  <si>
    <t>AD</t>
  </si>
  <si>
    <t>AND</t>
  </si>
  <si>
    <t>Afghanistan</t>
  </si>
  <si>
    <t>Афганистан</t>
  </si>
  <si>
    <t>https://api.worldbank.org/v2/country/AFG/indicator/NY.GDP.MKTP.CD?format=json ; https://api.worldbank.org/v2/country/AFG/indicator/NY.GDP.MKTP.KD.ZG?format=json ; https://api.worldbank.org/v2/country/AFG/indicator/FP.CPI.TOTL.ZG?format=json ; Исходный источник: https://data.worldbank.org/</t>
  </si>
  <si>
    <t>https://www.globalpetrolprices.com/Afghanistan/gasoline_prices/ ; https://www.globalpetrolprices.com/Afghanistan/diesel_prices/ ; https://www.globalpetrolprices.com/Afghanistan/lpg_prices/ ; Исходный источник: GlobalPetrolPrices (страновые значения только там, где они были явно помечены как страновые); Jet/мазут: н/д</t>
  </si>
  <si>
    <t>AF</t>
  </si>
  <si>
    <t>AFG</t>
  </si>
  <si>
    <t>Montenegro</t>
  </si>
  <si>
    <t>Черногория</t>
  </si>
  <si>
    <t>https://api.worldbank.org/v2/country/MNE/indicator/NY.GDP.MKTP.CD?format=json ; https://api.worldbank.org/v2/country/MNE/indicator/NY.GDP.MKTP.KD.ZG?format=json ; https://api.worldbank.org/v2/country/MNE/indicator/FP.CPI.TOTL.ZG?format=json ; Исходный источник: https://data.worldbank.org/</t>
  </si>
  <si>
    <t>https://www.globalpetrolprices.com/Montenegro/gasoline_prices/ ; https://www.globalpetrolprices.com/Montenegro/diesel_prices/ ; Исходный источник: GlobalPetrolPrices (страновые значения только там, где они были явно помечены как страновые); Jet/мазут: н/д</t>
  </si>
  <si>
    <t>ME</t>
  </si>
  <si>
    <t>MNE</t>
  </si>
  <si>
    <t>Bosnia and Herzegovina</t>
  </si>
  <si>
    <t>Босния и Герцеговина</t>
  </si>
  <si>
    <t>https://api.worldbank.org/v2/country/BIH/indicator/NY.GDP.MKTP.CD?format=json ; https://api.worldbank.org/v2/country/BIH/indicator/NY.GDP.MKTP.KD.ZG?format=json ; https://api.worldbank.org/v2/country/BIH/indicator/FP.CPI.TOTL.ZG?format=json ; Исходный источник: https://data.worldbank.org/</t>
  </si>
  <si>
    <t>https://www.globalpetrolprices.com/Bosnia-and-Herzegovina/gasoline_prices/ ; https://www.globalpetrolprices.com/Bosnia-and-Herzegovina/diesel_prices/ ; https://www.globalpetrolprices.com/Bosnia-and-Herzegovina/lpg_prices/ ; Исходный источник: GlobalPetrolPrices (страновые значения только там, где они были явно помечены как страновые); Jet/мазут: н/д</t>
  </si>
  <si>
    <t>BA</t>
  </si>
  <si>
    <t>BIH</t>
  </si>
  <si>
    <t>Uganda</t>
  </si>
  <si>
    <t>Уганда</t>
  </si>
  <si>
    <t>https://api.worldbank.org/v2/country/UGA/indicator/NY.GDP.MKTP.CD?format=json ; https://api.worldbank.org/v2/country/UGA/indicator/NY.GDP.MKTP.KD.ZG?format=json ; https://api.worldbank.org/v2/country/UGA/indicator/FP.CPI.TOTL.ZG?format=json ; Исходный источник: https://data.worldbank.org/</t>
  </si>
  <si>
    <t>https://www.globalpetrolprices.com/Uganda/gasoline_prices/ ; https://www.globalpetrolprices.com/Uganda/diesel_prices/ ; Исходный источник: GlobalPetrolPrices (страновые значения только там, где они были явно помечены как страновые); Jet/мазут: н/д</t>
  </si>
  <si>
    <t>UG</t>
  </si>
  <si>
    <t>UGA</t>
  </si>
  <si>
    <t>Guantanamo Bay Naval Base</t>
  </si>
  <si>
    <t>Военная база Гуантанамо</t>
  </si>
  <si>
    <t>Cuba</t>
  </si>
  <si>
    <t>Куба</t>
  </si>
  <si>
    <t>https://api.worldbank.org/v2/country/CUB/indicator/NY.GDP.MKTP.CD?format=json ; https://api.worldbank.org/v2/country/CUB/indicator/NY.GDP.MKTP.KD.ZG?format=json ; https://api.worldbank.org/v2/country/CUB/indicator/FP.CPI.TOTL.ZG?format=json ; Исходный источник: https://data.worldbank.org/</t>
  </si>
  <si>
    <t>https://www.globalpetrolprices.com/Cuba/gasoline_prices/ ; https://www.globalpetrolprices.com/Cuba/diesel_prices/ ; Исходный источник: GlobalPetrolPrices (страновые значения только там, где они были явно помечены как страновые); Jet/мазут: н/д</t>
  </si>
  <si>
    <t>CU</t>
  </si>
  <si>
    <t>CUB</t>
  </si>
  <si>
    <t>Honduras</t>
  </si>
  <si>
    <t>Гондурас</t>
  </si>
  <si>
    <t>https://api.worldbank.org/v2/country/HND/indicator/NY.GDP.MKTP.CD?format=json ; https://api.worldbank.org/v2/country/HND/indicator/NY.GDP.MKTP.KD.ZG?format=json ; https://api.worldbank.org/v2/country/HND/indicator/FP.CPI.TOTL.ZG?format=json ; Исходный источник: https://data.worldbank.org/</t>
  </si>
  <si>
    <t>https://www.globalpetrolprices.com/Honduras/gasoline_prices/ ; https://www.globalpetrolprices.com/Honduras/diesel_prices/ ; https://www.globalpetrolprices.com/Honduras/lpg_prices/ ; Исходный источник: GlobalPetrolPrices (страновые значения только там, где они были явно помечены как страновые); Jet/мазут: н/д</t>
  </si>
  <si>
    <t>HN</t>
  </si>
  <si>
    <t>HND</t>
  </si>
  <si>
    <t>Ecuador</t>
  </si>
  <si>
    <t>Эквадор</t>
  </si>
  <si>
    <t>https://api.worldbank.org/v2/country/ECU/indicator/NY.GDP.MKTP.CD?format=json ; https://api.worldbank.org/v2/country/ECU/indicator/NY.GDP.MKTP.KD.ZG?format=json ; https://api.worldbank.org/v2/country/ECU/indicator/FP.CPI.TOTL.ZG?format=json ; Исходный источник: https://data.worldbank.org/</t>
  </si>
  <si>
    <t>https://www.globalpetrolprices.com/Ecuador/gasoline_prices/ ; https://www.globalpetrolprices.com/Ecuador/diesel_prices/ ; Исходный источник: GlobalPetrolPrices (страновые значения только там, где они были явно помечены как страновые); Jet/мазут: н/д</t>
  </si>
  <si>
    <t>EC</t>
  </si>
  <si>
    <t>ECU</t>
  </si>
  <si>
    <t>Colombia</t>
  </si>
  <si>
    <t>Колумбия</t>
  </si>
  <si>
    <t>https://api.worldbank.org/v2/country/COL/indicator/NY.GDP.MKTP.CD?format=json ; https://api.worldbank.org/v2/country/COL/indicator/NY.GDP.MKTP.KD.ZG?format=json ; https://api.worldbank.org/v2/country/COL/indicator/FP.CPI.TOTL.ZG?format=json ; Исходный источник: https://data.worldbank.org/</t>
  </si>
  <si>
    <t>https://www.globalpetrolprices.com/Colombia/gasoline_prices/ ; https://www.globalpetrolprices.com/Colombia/diesel_prices/ ; Исходный источник: GlobalPetrolPrices (страновые значения только там, где они были явно помечены как страновые); Jet/мазут: н/д</t>
  </si>
  <si>
    <t>CO</t>
  </si>
  <si>
    <t>COL</t>
  </si>
  <si>
    <t>Paraguay</t>
  </si>
  <si>
    <t>Парагвай</t>
  </si>
  <si>
    <t>https://api.worldbank.org/v2/country/PRY/indicator/NY.GDP.MKTP.CD?format=json ; https://api.worldbank.org/v2/country/PRY/indicator/NY.GDP.MKTP.KD.ZG?format=json ; https://api.worldbank.org/v2/country/PRY/indicator/FP.CPI.TOTL.ZG?format=json ; Исходный источник: https://data.worldbank.org/</t>
  </si>
  <si>
    <t>https://www.globalpetrolprices.com/Paraguay/gasoline_prices/ ; https://www.globalpetrolprices.com/Paraguay/diesel_prices/ ; https://www.globalpetrolprices.com/Paraguay/lpg_prices/ ; Исходный источник: GlobalPetrolPrices (страновые значения только там, где они были явно помечены как страновые); Jet/мазут: н/д</t>
  </si>
  <si>
    <t>PY</t>
  </si>
  <si>
    <t>PRY</t>
  </si>
  <si>
    <t>Brazilian Island</t>
  </si>
  <si>
    <t>остров Бразилера</t>
  </si>
  <si>
    <t>Portugal</t>
  </si>
  <si>
    <t>Португалия</t>
  </si>
  <si>
    <t>https://api.worldbank.org/v2/country/PRT/indicator/NY.GDP.MKTP.CD?format=json ; https://api.worldbank.org/v2/country/PRT/indicator/NY.GDP.MKTP.KD.ZG?format=json ; https://api.worldbank.org/v2/country/PRT/indicator/FP.CPI.TOTL.ZG?format=json ; Исходный источник: https://data.worldbank.org/</t>
  </si>
  <si>
    <t>https://www.globalpetrolprices.com/Portugal/gasoline_prices/ ; https://www.globalpetrolprices.com/Portugal/diesel_prices/ ; https://www.globalpetrolprices.com/Portugal/lpg_prices/ ; Исходный источник: GlobalPetrolPrices (страновые значения только там, где они были явно помечены как страновые); Jet/мазут: н/д</t>
  </si>
  <si>
    <t>PT</t>
  </si>
  <si>
    <t>PRT</t>
  </si>
  <si>
    <t>Moldova</t>
  </si>
  <si>
    <t>Молдавия</t>
  </si>
  <si>
    <t>https://api.worldbank.org/v2/country/MDA/indicator/NY.GDP.MKTP.CD?format=json ; https://api.worldbank.org/v2/country/MDA/indicator/NY.GDP.MKTP.KD.ZG?format=json ; https://api.worldbank.org/v2/country/MDA/indicator/FP.CPI.TOTL.ZG?format=json ; Исходный источник: https://data.worldbank.org/</t>
  </si>
  <si>
    <t>https://www.globalpetrolprices.com/Moldova/gasoline_prices/ ; https://www.globalpetrolprices.com/Moldova/diesel_prices/ ; https://www.globalpetrolprices.com/Moldova/lpg_prices/ ; Исходный источник: GlobalPetrolPrices (страновые значения только там, где они были явно помечены как страновые); Jet/мазут: н/д</t>
  </si>
  <si>
    <t>MD</t>
  </si>
  <si>
    <t>MDA</t>
  </si>
  <si>
    <t>Turkmenistan</t>
  </si>
  <si>
    <t>Туркмения</t>
  </si>
  <si>
    <t>https://api.worldbank.org/v2/country/TKM/indicator/NY.GDP.MKTP.CD?format=json ; https://api.worldbank.org/v2/country/TKM/indicator/NY.GDP.MKTP.KD.ZG?format=json ; https://api.worldbank.org/v2/country/TKM/indicator/FP.CPI.TOTL.ZG?format=json ; Исходный источник: https://data.worldbank.org/</t>
  </si>
  <si>
    <t>https://www.globalpetrolprices.com/Turkmenistan/gasoline_prices/ ; https://www.globalpetrolprices.com/Turkmenistan/diesel_prices/ ; Исходный источник: GlobalPetrolPrices (страновые значения только там, где они были явно помечены как страновые); Jet/мазут: н/д</t>
  </si>
  <si>
    <t>TM</t>
  </si>
  <si>
    <t>TKM</t>
  </si>
  <si>
    <t>Jordan</t>
  </si>
  <si>
    <t>Иордания</t>
  </si>
  <si>
    <t>https://api.worldbank.org/v2/country/JOR/indicator/NY.GDP.MKTP.CD?format=json ; https://api.worldbank.org/v2/country/JOR/indicator/NY.GDP.MKTP.KD.ZG?format=json ; https://api.worldbank.org/v2/country/JOR/indicator/FP.CPI.TOTL.ZG?format=json ; Исходный источник: https://data.worldbank.org/</t>
  </si>
  <si>
    <t>https://www.globalpetrolprices.com/Jordan/gasoline_prices/ ; https://www.globalpetrolprices.com/Jordan/diesel_prices/ ; Исходный источник: GlobalPetrolPrices (страновые значения только там, где они были явно помечены как страновые); Jet/мазут: н/д</t>
  </si>
  <si>
    <t>JO</t>
  </si>
  <si>
    <t>JOR</t>
  </si>
  <si>
    <t>Nepal</t>
  </si>
  <si>
    <t>Непал</t>
  </si>
  <si>
    <t>https://api.worldbank.org/v2/country/NPL/indicator/NY.GDP.MKTP.CD?format=json ; https://api.worldbank.org/v2/country/NPL/indicator/NY.GDP.MKTP.KD.ZG?format=json ; https://api.worldbank.org/v2/country/NPL/indicator/FP.CPI.TOTL.ZG?format=json ; Исходный источник: https://data.worldbank.org/</t>
  </si>
  <si>
    <t>https://www.globalpetrolprices.com/Nepal/gasoline_prices/ ; https://www.globalpetrolprices.com/Nepal/diesel_prices/ ; Исходный источник: GlobalPetrolPrices (страновые значения только там, где они были явно помечены как страновые); Jet/мазут: н/д</t>
  </si>
  <si>
    <t>NP</t>
  </si>
  <si>
    <t>NPL</t>
  </si>
  <si>
    <t>Lesotho</t>
  </si>
  <si>
    <t>Лесото</t>
  </si>
  <si>
    <t>https://api.worldbank.org/v2/country/LSO/indicator/NY.GDP.MKTP.CD?format=json ; https://api.worldbank.org/v2/country/LSO/indicator/NY.GDP.MKTP.KD.ZG?format=json ; https://api.worldbank.org/v2/country/LSO/indicator/FP.CPI.TOTL.ZG?format=json ; Исходный источник: https://data.worldbank.org/</t>
  </si>
  <si>
    <t>https://www.globalpetrolprices.com/Lesotho/gasoline_prices/ ; https://www.globalpetrolprices.com/Lesotho/diesel_prices/ ; Исходный источник: GlobalPetrolPrices (страновые значения только там, где они были явно помечены как страновые); Jet/мазут: н/д</t>
  </si>
  <si>
    <t>LS</t>
  </si>
  <si>
    <t>LSO</t>
  </si>
  <si>
    <t>Cameroon</t>
  </si>
  <si>
    <t>Камерун</t>
  </si>
  <si>
    <t>https://api.worldbank.org/v2/country/CMR/indicator/NY.GDP.MKTP.CD?format=json ; https://api.worldbank.org/v2/country/CMR/indicator/NY.GDP.MKTP.KD.ZG?format=json ; https://api.worldbank.org/v2/country/CMR/indicator/FP.CPI.TOTL.ZG?format=json ; Исходный источник: https://data.worldbank.org/</t>
  </si>
  <si>
    <t>https://www.globalpetrolprices.com/Cameroon/gasoline_prices/ ; https://www.globalpetrolprices.com/Cameroon/diesel_prices/ ; Исходный источник: GlobalPetrolPrices (страновые значения только там, где они были явно помечены как страновые); Jet/мазут: н/д</t>
  </si>
  <si>
    <t>CM</t>
  </si>
  <si>
    <t>CMR</t>
  </si>
  <si>
    <t>Gabon</t>
  </si>
  <si>
    <t>Габон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</si>
  <si>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https://www.worldometers.info/oil/gabon-oil/</t>
  </si>
  <si>
    <t>https://api.worldbank.org/v2/country/GAB/indicator/NY.GDP.MKTP.CD?format=json ; https://api.worldbank.org/v2/country/GAB/indicator/NY.GDP.MKTP.KD.ZG?format=json ; https://api.worldbank.org/v2/country/GAB/indicator/FP.CPI.TOTL.ZG?format=json ; Исходный источник: https://data.worldbank.org/</t>
  </si>
  <si>
    <t>https://www.globalpetrolprices.com/Gabon/gasoline_prices/ ; https://www.globalpetrolprices.com/Gabon/diesel_prices/ ; Исходный источник: GlobalPetrolPrices (страновые значения только там, где они были явно помечены как страновые); Jet/мазут: н/д</t>
  </si>
  <si>
    <t>GA</t>
  </si>
  <si>
    <t>GAB</t>
  </si>
  <si>
    <t>Niger</t>
  </si>
  <si>
    <t>Нигер</t>
  </si>
  <si>
    <t>https://api.worldbank.org/v2/country/NER/indicator/NY.GDP.MKTP.CD?format=json ; https://api.worldbank.org/v2/country/NER/indicator/NY.GDP.MKTP.KD.ZG?format=json ; https://api.worldbank.org/v2/country/NER/indicator/FP.CPI.TOTL.ZG?format=json ; Исходный источник: https://data.worldbank.org/</t>
  </si>
  <si>
    <t>https://www.globalpetrolprices.com/Niger/gasoline_prices/ ; https://www.globalpetrolprices.com/Niger/diesel_prices/ ; Исходный источник: GlobalPetrolPrices (страновые значения только там, где они были явно помечены как страновые); Jet/мазут: н/д</t>
  </si>
  <si>
    <t>NE</t>
  </si>
  <si>
    <t>NER</t>
  </si>
  <si>
    <t>Burkina Faso</t>
  </si>
  <si>
    <t>Буркина-Фасо</t>
  </si>
  <si>
    <t>https://api.worldbank.org/v2/country/BFA/indicator/NY.GDP.MKTP.CD?format=json ; https://api.worldbank.org/v2/country/BFA/indicator/NY.GDP.MKTP.KD.ZG?format=json ; https://api.worldbank.org/v2/country/BFA/indicator/FP.CPI.TOTL.ZG?format=json ; Исходный источник: https://data.worldbank.org/</t>
  </si>
  <si>
    <t>https://www.globalpetrolprices.com/Burkina-Faso/gasoline_prices/ ; https://www.globalpetrolprices.com/Burkina-Faso/diesel_prices/ ; Исходный источник: GlobalPetrolPrices (страновые значения только там, где они были явно помечены как страновые); Jet/мазут: н/д</t>
  </si>
  <si>
    <t>BF</t>
  </si>
  <si>
    <t>BFA</t>
  </si>
  <si>
    <t>Togo</t>
  </si>
  <si>
    <t>Того</t>
  </si>
  <si>
    <t>https://api.worldbank.org/v2/country/TGO/indicator/NY.GDP.MKTP.CD?format=json ; https://api.worldbank.org/v2/country/TGO/indicator/NY.GDP.MKTP.KD.ZG?format=json ; https://api.worldbank.org/v2/country/TGO/indicator/FP.CPI.TOTL.ZG?format=json ; Исходный источник: https://data.worldbank.org/</t>
  </si>
  <si>
    <t>https://www.globalpetrolprices.com/Togo/gasoline_prices/ ; https://www.globalpetrolprices.com/Togo/diesel_prices/ ; Исходный источник: GlobalPetrolPrices (страновые значения только там, где они были явно помечены как страновые); Jet/мазут: н/д</t>
  </si>
  <si>
    <t>TG</t>
  </si>
  <si>
    <t>TGO</t>
  </si>
  <si>
    <t>Ghana</t>
  </si>
  <si>
    <t>Гана</t>
  </si>
  <si>
    <t>https://api.worldbank.org/v2/country/GHA/indicator/NY.GDP.MKTP.CD?format=json ; https://api.worldbank.org/v2/country/GHA/indicator/NY.GDP.MKTP.KD.ZG?format=json ; https://api.worldbank.org/v2/country/GHA/indicator/FP.CPI.TOTL.ZG?format=json ; Исходный источник: https://data.worldbank.org/</t>
  </si>
  <si>
    <t>https://www.globalpetrolprices.com/Ghana/gasoline_prices/ ; https://www.globalpetrolprices.com/Ghana/diesel_prices/ ; Исходный источник: GlobalPetrolPrices (страновые значения только там, где они были явно помечены как страновые); Jet/мазут: н/д</t>
  </si>
  <si>
    <t>GH</t>
  </si>
  <si>
    <t>GHA</t>
  </si>
  <si>
    <t>Guinea-Bissau</t>
  </si>
  <si>
    <t>Гвинея-Бисау</t>
  </si>
  <si>
    <t>https://api.worldbank.org/v2/country/GNB/indicator/NY.GDP.MKTP.CD?format=json ; https://api.worldbank.org/v2/country/GNB/indicator/NY.GDP.MKTP.KD.ZG?format=json ; https://api.worldbank.org/v2/country/GNB/indicator/FP.CPI.TOTL.ZG?format=json ; Исходный источник: https://data.worldbank.org/</t>
  </si>
  <si>
    <t>GW</t>
  </si>
  <si>
    <t>GNB</t>
  </si>
  <si>
    <t>Gibraltar</t>
  </si>
  <si>
    <t>Гибралтар</t>
  </si>
  <si>
    <t>GI</t>
  </si>
  <si>
    <t>GIB</t>
  </si>
  <si>
    <t>United States of America</t>
  </si>
  <si>
    <t>США</t>
  </si>
  <si>
    <t>https://api.worldbank.org/v2/country/USA/indicator/NY.GDP.MKTP.CD?format=json ; https://api.worldbank.org/v2/country/USA/indicator/NY.GDP.MKTP.KD.ZG?format=json ; https://api.worldbank.org/v2/country/USA/indicator/FP.CPI.TOTL.ZG?format=json ; Исходный источник: https://data.worldbank.org/</t>
  </si>
  <si>
    <t>https://www.globalpetrolprices.com/USA/gasoline_prices/ ; https://www.globalpetrolprices.com/USA/diesel_prices/ ; Исходный источник: GlobalPetrolPrices (страновые значения только там, где они были явно помечены как страновые); Jet/мазут: н/д</t>
  </si>
  <si>
    <t>US</t>
  </si>
  <si>
    <t>USA</t>
  </si>
  <si>
    <t>Canada</t>
  </si>
  <si>
    <t>Канада</t>
  </si>
  <si>
    <t>https://api.worldbank.org/v2/country/CAN/indicator/NY.GDP.MKTP.CD?format=json ; https://api.worldbank.org/v2/country/CAN/indicator/NY.GDP.MKTP.KD.ZG?format=json ; https://api.worldbank.org/v2/country/CAN/indicator/FP.CPI.TOTL.ZG?format=json ; Исходный источник: https://data.worldbank.org/</t>
  </si>
  <si>
    <t>https://www.globalpetrolprices.com/Canada/gasoline_prices/ ; https://www.globalpetrolprices.com/Canada/diesel_prices/ ; https://www.globalpetrolprices.com/Canada/lpg_prices/ ; Исходный источник: GlobalPetrolPrices (страновые значения только там, где они были явно помечены как страновые); Jet/мазут: н/д</t>
  </si>
  <si>
    <t>CA</t>
  </si>
  <si>
    <t>CAN</t>
  </si>
  <si>
    <t>Mexico</t>
  </si>
  <si>
    <t>Мексика</t>
  </si>
  <si>
    <t>https://api.worldbank.org/v2/country/MEX/indicator/NY.GDP.MKTP.CD?format=json ; https://api.worldbank.org/v2/country/MEX/indicator/NY.GDP.MKTP.KD.ZG?format=json ; https://api.worldbank.org/v2/country/MEX/indicator/FP.CPI.TOTL.ZG?format=json ; Исходный источник: https://data.worldbank.org/</t>
  </si>
  <si>
    <t>https://www.globalpetrolprices.com/Mexico/gasoline_prices/ ; https://www.globalpetrolprices.com/Mexico/diesel_prices/ ; Исходный источник: GlobalPetrolPrices (страновые значения только там, где они были явно помечены как страновые); Jet/мазут: н/д</t>
  </si>
  <si>
    <t>MX</t>
  </si>
  <si>
    <t>MEX</t>
  </si>
  <si>
    <t>Belize</t>
  </si>
  <si>
    <t>Белиз</t>
  </si>
  <si>
    <t>https://api.worldbank.org/v2/country/BLZ/indicator/NY.GDP.MKTP.CD?format=json ; https://api.worldbank.org/v2/country/BLZ/indicator/NY.GDP.MKTP.KD.ZG?format=json ; https://api.worldbank.org/v2/country/BLZ/indicator/FP.CPI.TOTL.ZG?format=json ; Исходный источник: https://data.worldbank.org/</t>
  </si>
  <si>
    <t>https://www.globalpetrolprices.com/Belize/gasoline_prices/ ; https://www.globalpetrolprices.com/Belize/diesel_prices/ ; Исходный источник: GlobalPetrolPrices (страновые значения только там, где они были явно помечены как страновые); Jet/мазут: н/д</t>
  </si>
  <si>
    <t>BZ</t>
  </si>
  <si>
    <t>BLZ</t>
  </si>
  <si>
    <t>Panama</t>
  </si>
  <si>
    <t>Панама</t>
  </si>
  <si>
    <t>https://api.worldbank.org/v2/country/PAN/indicator/NY.GDP.MKTP.CD?format=json ; https://api.worldbank.org/v2/country/PAN/indicator/NY.GDP.MKTP.KD.ZG?format=json ; https://api.worldbank.org/v2/country/PAN/indicator/FP.CPI.TOTL.ZG?format=json ; Исходный источник: https://data.worldbank.org/</t>
  </si>
  <si>
    <t>https://www.globalpetrolprices.com/Panama/gasoline_prices/ ; https://www.globalpetrolprices.com/Panama/diesel_prices/ ; Исходный источник: GlobalPetrolPrices (страновые значения только там, где они были явно помечены как страновые); Jet/мазут: н/д</t>
  </si>
  <si>
    <t>PA</t>
  </si>
  <si>
    <t>PAN</t>
  </si>
  <si>
    <t>Venezuela</t>
  </si>
  <si>
    <t>Венесуэла</t>
  </si>
  <si>
    <t>https://api.worldbank.org/v2/country/VEN/indicator/NY.GDP.MKTP.CD?format=json ; https://api.worldbank.org/v2/country/VEN/indicator/NY.GDP.MKTP.KD.ZG?format=json ; https://api.worldbank.org/v2/country/VEN/indicator/FP.CPI.TOTL.ZG?format=json ; Исходный источник: https://data.worldbank.org/</t>
  </si>
  <si>
    <t>https://www.globalpetrolprices.com/Venezuela/gasoline_prices/ ; https://www.globalpetrolprices.com/Venezuela/diesel_prices/ ; Исходный источник: GlobalPetrolPrices (страновые значения только там, где они были явно помечены как страновые); Jet/мазут: н/д</t>
  </si>
  <si>
    <t>VE</t>
  </si>
  <si>
    <t>VEN</t>
  </si>
  <si>
    <t>Papua New Guinea</t>
  </si>
  <si>
    <t>Папуа — Новая Гвинея</t>
  </si>
  <si>
    <t>https://api.worldbank.org/v2/country/PNG/indicator/NY.GDP.MKTP.CD?format=json ; https://api.worldbank.org/v2/country/PNG/indicator/NY.GDP.MKTP.KD.ZG?format=json ; https://api.worldbank.org/v2/country/PNG/indicator/FP.CPI.TOTL.ZG?format=json ; Исходный источник: https://data.worldbank.org/</t>
  </si>
  <si>
    <t>PG</t>
  </si>
  <si>
    <t>PNG</t>
  </si>
  <si>
    <t>Egypt</t>
  </si>
  <si>
    <t>Египет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</si>
  <si>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https://www.worldometers.info/oil/egypt-oil/</t>
  </si>
  <si>
    <t>https://api.worldbank.org/v2/country/EGY/indicator/NY.GDP.MKTP.CD?format=json ; https://api.worldbank.org/v2/country/EGY/indicator/NY.GDP.MKTP.KD.ZG?format=json ; https://api.worldbank.org/v2/country/EGY/indicator/FP.CPI.TOTL.ZG?format=json ; Исходный источник: https://data.worldbank.org/</t>
  </si>
  <si>
    <t>https://www.globalpetrolprices.com/Egypt/gasoline_prices/ ; https://www.globalpetrolprices.com/Egypt/diesel_prices/ ; Исходный источник: GlobalPetrolPrices (страновые значения только там, где они были явно помечены как страновые); Jet/мазут: н/д</t>
  </si>
  <si>
    <t>EG</t>
  </si>
  <si>
    <t>EGY</t>
  </si>
  <si>
    <t>Yemen</t>
  </si>
  <si>
    <t>Йемен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</si>
  <si>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https://www.worldometers.info/oil/yemen-oil/</t>
  </si>
  <si>
    <t>YE</t>
  </si>
  <si>
    <t>YEM</t>
  </si>
  <si>
    <t>Mauritania</t>
  </si>
  <si>
    <t>Мавритания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</si>
  <si>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https://www.worldometers.info/oil/mauritania-oil/</t>
  </si>
  <si>
    <t>https://api.worldbank.org/v2/country/MRT/indicator/NY.GDP.MKTP.CD?format=json ; https://api.worldbank.org/v2/country/MRT/indicator/NY.GDP.MKTP.KD.ZG?format=json ; https://api.worldbank.org/v2/country/MRT/indicator/FP.CPI.TOTL.ZG?format=json ; Исходный источник: https://data.worldbank.org/</t>
  </si>
  <si>
    <t>MR</t>
  </si>
  <si>
    <t>MRT</t>
  </si>
  <si>
    <t>Equatorial Guinea</t>
  </si>
  <si>
    <t>Экваториальная Гвинея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</si>
  <si>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https://www.worldometers.info/oil/equatorial-guinea-oil/</t>
  </si>
  <si>
    <t>https://api.worldbank.org/v2/country/GNQ/indicator/NY.GDP.MKTP.CD?format=json ; https://api.worldbank.org/v2/country/GNQ/indicator/NY.GDP.MKTP.KD.ZG?format=json ; https://api.worldbank.org/v2/country/GNQ/indicator/FP.CPI.TOTL.ZG?format=json ; Исходный источник: https://data.worldbank.org/</t>
  </si>
  <si>
    <t>GQ</t>
  </si>
  <si>
    <t>GNQ</t>
  </si>
  <si>
    <t>The Gambia</t>
  </si>
  <si>
    <t>Гамбия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</si>
  <si>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https://www.worldometers.info/oil/gambia-oil/</t>
  </si>
  <si>
    <t>https://api.worldbank.org/v2/country/GMB/indicator/NY.GDP.MKTP.CD?format=json ; https://api.worldbank.org/v2/country/GMB/indicator/NY.GDP.MKTP.KD.ZG?format=json ; https://api.worldbank.org/v2/country/GMB/indicator/FP.CPI.TOTL.ZG?format=json ; Исходный источник: https://data.worldbank.org/</t>
  </si>
  <si>
    <t>GM</t>
  </si>
  <si>
    <t>GMB</t>
  </si>
  <si>
    <t>Hong Kong</t>
  </si>
  <si>
    <t>Гонконг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</si>
  <si>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https://www.worldometers.info/oil/china-hong-kong-sar-oil/</t>
  </si>
  <si>
    <t>https://api.worldbank.org/v2/country/HKG/indicator/NY.GDP.MKTP.CD?format=json ; https://api.worldbank.org/v2/country/HKG/indicator/NY.GDP.MKTP.KD.ZG?format=json ; https://api.worldbank.org/v2/country/HKG/indicator/FP.CPI.TOTL.ZG?format=json ; Исходный источник: https://data.worldbank.org/</t>
  </si>
  <si>
    <t>https://www.globalpetrolprices.com/Hong-Kong/gasoline_prices/ ; https://www.globalpetrolprices.com/Hong-Kong/diesel_prices/ ; Исходный источник: GlobalPetrolPrices (страновые значения только там, где они были явно помечены как страновые); Jet/мазут: н/д</t>
  </si>
  <si>
    <t>HK</t>
  </si>
  <si>
    <t>HKG</t>
  </si>
  <si>
    <t>Vatican City</t>
  </si>
  <si>
    <t>Ватикан</t>
  </si>
  <si>
    <t>VA</t>
  </si>
  <si>
    <t>VAT</t>
  </si>
  <si>
    <t>Turkish Republic of Northern Cyprus</t>
  </si>
  <si>
    <t>Турецкая Республика Северного Кипра</t>
  </si>
  <si>
    <t>United Nations Buffer Zone in Cyprus</t>
  </si>
  <si>
    <t>Зелёная линия</t>
  </si>
  <si>
    <t>Siachen Glacier</t>
  </si>
  <si>
    <t>Сиачен</t>
  </si>
  <si>
    <t>Baikonur</t>
  </si>
  <si>
    <t>Байконур</t>
  </si>
  <si>
    <t>Akrotiri Sovereign Base Area</t>
  </si>
  <si>
    <t>Акротири</t>
  </si>
  <si>
    <t>Southern Patagonian Ice Field</t>
  </si>
  <si>
    <t>Южное Патагонское ледниковое плато</t>
  </si>
  <si>
    <t>Bir Tawil</t>
  </si>
  <si>
    <t>Бир-Тавиль</t>
  </si>
  <si>
    <t>Antarctica</t>
  </si>
  <si>
    <t>Антарктида</t>
  </si>
  <si>
    <t>AQ</t>
  </si>
  <si>
    <t>ATA</t>
  </si>
  <si>
    <t>Australia</t>
  </si>
  <si>
    <t>Австралия</t>
  </si>
  <si>
    <t>https://api.worldbank.org/v2/country/AUS/indicator/NY.GDP.MKTP.CD?format=json ; https://api.worldbank.org/v2/country/AUS/indicator/NY.GDP.MKTP.KD.ZG?format=json ; https://api.worldbank.org/v2/country/AUS/indicator/FP.CPI.TOTL.ZG?format=json ; Исходный источник: https://data.worldbank.org/</t>
  </si>
  <si>
    <t>https://www.globalpetrolprices.com/Australia/gasoline_prices/ ; https://www.globalpetrolprices.com/Australia/diesel_prices/ ; https://www.globalpetrolprices.com/Australia/lpg_prices/ ; Исходный источник: GlobalPetrolPrices (страновые значения только там, где они были явно помечены как страновые); Jet/мазут: н/д</t>
  </si>
  <si>
    <t>AU</t>
  </si>
  <si>
    <t>AUS</t>
  </si>
  <si>
    <t>Greenland</t>
  </si>
  <si>
    <t>Гренландия</t>
  </si>
  <si>
    <t>GL</t>
  </si>
  <si>
    <t>GRL</t>
  </si>
  <si>
    <t>Fiji</t>
  </si>
  <si>
    <t>Фиджи</t>
  </si>
  <si>
    <t>https://api.worldbank.org/v2/country/FJI/indicator/NY.GDP.MKTP.CD?format=json ; https://api.worldbank.org/v2/country/FJI/indicator/NY.GDP.MKTP.KD.ZG?format=json ; https://api.worldbank.org/v2/country/FJI/indicator/FP.CPI.TOTL.ZG?format=json ; Исходный источник: https://data.worldbank.org/</t>
  </si>
  <si>
    <t>https://www.globalpetrolprices.com/Fiji/gasoline_prices/ ; https://www.globalpetrolprices.com/Fiji/diesel_prices/ ; https://www.globalpetrolprices.com/Fiji/lpg_prices/ ; Исходный источник: GlobalPetrolPrices (страновые значения только там, где они были явно помечены как страновые); Jet/мазут: н/д</t>
  </si>
  <si>
    <t>FJ</t>
  </si>
  <si>
    <t>FJI</t>
  </si>
  <si>
    <t>New Zealand</t>
  </si>
  <si>
    <t>Новая Зеландия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</si>
  <si>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https://www.worldometers.info/oil/new-zealand-oil/</t>
  </si>
  <si>
    <t>https://api.worldbank.org/v2/country/NZL/indicator/NY.GDP.MKTP.CD?format=json ; https://api.worldbank.org/v2/country/NZL/indicator/NY.GDP.MKTP.KD.ZG?format=json ; https://api.worldbank.org/v2/country/NZL/indicator/FP.CPI.TOTL.ZG?format=json ; Исходный источник: https://data.worldbank.org/</t>
  </si>
  <si>
    <t>https://www.globalpetrolprices.com/New-Zealand/gasoline_prices/ ; https://www.globalpetrolprices.com/New-Zealand/diesel_prices/ ; Исходный источник: GlobalPetrolPrices (страновые значения только там, где они были явно помечены как страновые); Jet/мазут: н/д</t>
  </si>
  <si>
    <t>NZ</t>
  </si>
  <si>
    <t>NZL</t>
  </si>
  <si>
    <t>New Caledonia</t>
  </si>
  <si>
    <t>Новая Каледония</t>
  </si>
  <si>
    <t>https://api.worldbank.org/v2/country/NCL/indicator/NY.GDP.MKTP.CD?format=json ; https://api.worldbank.org/v2/country/NCL/indicator/NY.GDP.MKTP.KD.ZG?format=json ; https://api.worldbank.org/v2/country/NCL/indicator/FP.CPI.TOTL.ZG?format=json ; Исходный источник: https://data.worldbank.org/</t>
  </si>
  <si>
    <t>NC</t>
  </si>
  <si>
    <t>NCL</t>
  </si>
  <si>
    <t>Madagascar</t>
  </si>
  <si>
    <t>Мадагаскар</t>
  </si>
  <si>
    <t>https://api.worldbank.org/v2/country/MDG/indicator/NY.GDP.MKTP.CD?format=json ; https://api.worldbank.org/v2/country/MDG/indicator/NY.GDP.MKTP.KD.ZG?format=json ; https://api.worldbank.org/v2/country/MDG/indicator/FP.CPI.TOTL.ZG?format=json ; Исходный источник: https://data.worldbank.org/</t>
  </si>
  <si>
    <t>https://www.globalpetrolprices.com/Madagascar/gasoline_prices/ ; https://www.globalpetrolprices.com/Madagascar/diesel_prices/ ; Исходный источник: GlobalPetrolPrices (страновые значения только там, где они были явно помечены как страновые); Jet/мазут: н/д</t>
  </si>
  <si>
    <t>MG</t>
  </si>
  <si>
    <t>MDG</t>
  </si>
  <si>
    <t>Philippines</t>
  </si>
  <si>
    <t>Филиппины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</si>
  <si>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https://www.worldometers.info/oil/philippines-oil/</t>
  </si>
  <si>
    <t>https://api.worldbank.org/v2/country/PHL/indicator/NY.GDP.MKTP.CD?format=json ; https://api.worldbank.org/v2/country/PHL/indicator/NY.GDP.MKTP.KD.ZG?format=json ; https://api.worldbank.org/v2/country/PHL/indicator/FP.CPI.TOTL.ZG?format=json ; Исходный источник: https://data.worldbank.org/</t>
  </si>
  <si>
    <t>https://www.globalpetrolprices.com/Philippines/gasoline_prices/ ; https://www.globalpetrolprices.com/Philippines/diesel_prices/ ; https://www.globalpetrolprices.com/Philippines/lpg_prices/ ; Исходный источник: GlobalPetrolPrices (страновые значения только там, где они были явно помечены как страновые); Jet/мазут: н/д</t>
  </si>
  <si>
    <t>PH</t>
  </si>
  <si>
    <t>PHL</t>
  </si>
  <si>
    <t>Sri Lanka</t>
  </si>
  <si>
    <t>Шри-Ланка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</si>
  <si>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https://api.eia.gov/v2/international/data/?frequency=annual&amp;facets[productId][]=5&amp;facets[activityId][]=2&amp;facets[unit][]=TBPD ; Исходный источник: https://www.jodidata.org/oil/database/data-downloads.aspx ; https://www.worldometers.info/oil/sri-lanka-oil/</t>
  </si>
  <si>
    <t>https://api.worldbank.org/v2/country/LKA/indicator/NY.GDP.MKTP.CD?format=json ; https://api.worldbank.org/v2/country/LKA/indicator/NY.GDP.MKTP.KD.ZG?format=json ; https://api.worldbank.org/v2/country/LKA/indicator/FP.CPI.TOTL.ZG?format=json ; Исходный источник: https://data.worldbank.org/</t>
  </si>
  <si>
    <t>https://www.globalpetrolprices.com/Sri-Lanka/gasoline_prices/ ; https://www.globalpetrolprices.com/Sri-Lanka/diesel_prices/ ; Исходный источник: GlobalPetrolPrices (страновые значения только там, где они были явно помечены как страновые); Jet/мазут: н/д</t>
  </si>
  <si>
    <t>LK</t>
  </si>
  <si>
    <t>LKA</t>
  </si>
  <si>
    <t>Curaçao</t>
  </si>
  <si>
    <t>Кюрасао</t>
  </si>
  <si>
    <t>https://api.worldbank.org/v2/country/CUW/indicator/NY.GDP.MKTP.CD?format=json ; https://api.worldbank.org/v2/country/CUW/indicator/NY.GDP.MKTP.KD.ZG?format=json ; https://api.worldbank.org/v2/country/CUW/indicator/FP.CPI.TOTL.ZG?format=json ; Исходный источник: https://data.worldbank.org/</t>
  </si>
  <si>
    <t>https://www.globalpetrolprices.com/Curacao/gasoline_prices/ ; https://www.globalpetrolprices.com/Curacao/diesel_prices/ ; Исходный источник: GlobalPetrolPrices (страновые значения только там, где они были явно помечены как страновые); Jet/мазут: н/д</t>
  </si>
  <si>
    <t>CW</t>
  </si>
  <si>
    <t>CUW</t>
  </si>
  <si>
    <t>Aruba</t>
  </si>
  <si>
    <t>Аруба</t>
  </si>
  <si>
    <t>https://api.worldbank.org/v2/country/ABW/indicator/NY.GDP.MKTP.CD?format=json ; https://api.worldbank.org/v2/country/ABW/indicator/NY.GDP.MKTP.KD.ZG?format=json ; https://api.worldbank.org/v2/country/ABW/indicator/FP.CPI.TOTL.ZG?format=json ; Исходный источник: https://data.worldbank.org/</t>
  </si>
  <si>
    <t>https://www.globalpetrolprices.com/Aruba/gasoline_prices/ ; https://www.globalpetrolprices.com/Aruba/diesel_prices/ ; Исходный источник: GlobalPetrolPrices (страновые значения только там, где они были явно помечены как страновые); Jet/мазут: н/д</t>
  </si>
  <si>
    <t>AW</t>
  </si>
  <si>
    <t>ABW</t>
  </si>
  <si>
    <t>The Bahamas</t>
  </si>
  <si>
    <t>Багамские Острова</t>
  </si>
  <si>
    <t>https://api.worldbank.org/v2/country/BHS/indicator/NY.GDP.MKTP.CD?format=json ; https://api.worldbank.org/v2/country/BHS/indicator/NY.GDP.MKTP.KD.ZG?format=json ; https://api.worldbank.org/v2/country/BHS/indicator/FP.CPI.TOTL.ZG?format=json ; Исходный источник: https://data.worldbank.org/</t>
  </si>
  <si>
    <t>https://www.globalpetrolprices.com/Bahamas/gasoline_prices/ ; https://www.globalpetrolprices.com/Bahamas/diesel_prices/ ; Исходный источник: GlobalPetrolPrices (страновые значения только там, где они были явно помечены как страновые); Jet/мазут: н/д</t>
  </si>
  <si>
    <t>BS</t>
  </si>
  <si>
    <t>BHS</t>
  </si>
  <si>
    <t>Turks and Caicos Islands</t>
  </si>
  <si>
    <t>Тёркс и Кайкос</t>
  </si>
  <si>
    <t>https://api.worldbank.org/v2/country/TCA/indicator/NY.GDP.MKTP.CD?format=json ; https://api.worldbank.org/v2/country/TCA/indicator/NY.GDP.MKTP.KD.ZG?format=json ; https://api.worldbank.org/v2/country/TCA/indicator/FP.CPI.TOTL.ZG?format=json ; Исходный источник: https://data.worldbank.org/</t>
  </si>
  <si>
    <t>TC</t>
  </si>
  <si>
    <t>TCA</t>
  </si>
  <si>
    <t>Taiwan</t>
  </si>
  <si>
    <t>Тайвань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</si>
  <si>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https://www.worldometers.info/oil/taiwan-oil/</t>
  </si>
  <si>
    <t>https://www.globalpetrolprices.com/Taiwan/gasoline_prices/ ; https://www.globalpetrolprices.com/Taiwan/diesel_prices/ ; https://www.globalpetrolprices.com/Taiwan/lpg_prices/ ; Исходный источник: GlobalPetrolPrices (страновые значения только там, где они были явно помечены как страновые); Jet/мазут: н/д</t>
  </si>
  <si>
    <t>TW</t>
  </si>
  <si>
    <t>TWN</t>
  </si>
  <si>
    <t>Japan</t>
  </si>
  <si>
    <t>Япония</t>
  </si>
  <si>
    <t>https://api.eia.gov/v2/international/data/?frequency=annual&amp;facets[productId][]=53&amp;facets[activityId][]=1&amp;facets[unit][]=TBPD ; https://api.eia.gov/v2/international/data/?frequency=annual&amp;facets[productId][]=57&amp;facets[activityId][]=1&amp;facets[unit][]=TBPD ; https://api.eia.gov/v2/international/data/?frequency=annual&amp;facets[productId][]=58&amp;facets[activityId][]=1&amp;facets[unit][]=TBPD ; https://www.jodidata.org/_resources/files/downloads/oil-data/annual-csv/secondary/2025.csv ; Исходный источник: https://www.jodidata.org/oil/database/data-downloads.aspx ; https://www.worldometers.info/oil/japan-oil/</t>
  </si>
  <si>
    <t>https://api.worldbank.org/v2/country/JPN/indicator/NY.GDP.MKTP.CD?format=json ; https://api.worldbank.org/v2/country/JPN/indicator/NY.GDP.MKTP.KD.ZG?format=json ; https://api.worldbank.org/v2/country/JPN/indicator/FP.CPI.TOTL.ZG?format=json ; Исходный источник: https://data.worldbank.org/</t>
  </si>
  <si>
    <t>https://www.globalpetrolprices.com/Japan/gasoline_prices/ ; https://www.globalpetrolprices.com/Japan/diesel_prices/ ; Исходный источник: GlobalPetrolPrices (страновые значения только там, где они были явно помечены как страновые); Jet/мазут: н/д</t>
  </si>
  <si>
    <t>JP</t>
  </si>
  <si>
    <t>JPN</t>
  </si>
  <si>
    <t>Saint Pierre and Miquelon</t>
  </si>
  <si>
    <t>Сен-Пьер и Микелон</t>
  </si>
  <si>
    <t>PM</t>
  </si>
  <si>
    <t>SPM</t>
  </si>
  <si>
    <t>Iceland</t>
  </si>
  <si>
    <t>Исландия</t>
  </si>
  <si>
    <t>https://api.worldbank.org/v2/country/ISL/indicator/NY.GDP.MKTP.CD?format=json ; https://api.worldbank.org/v2/country/ISL/indicator/NY.GDP.MKTP.KD.ZG?format=json ; https://api.worldbank.org/v2/country/ISL/indicator/FP.CPI.TOTL.ZG?format=json ; Исходный источник: https://data.worldbank.org/</t>
  </si>
  <si>
    <t>https://www.globalpetrolprices.com/Iceland/gasoline_prices/ ; https://www.globalpetrolprices.com/Iceland/diesel_prices/ ; Исходный источник: GlobalPetrolPrices (страновые значения только там, где они были явно помечены как страновые); Jet/мазут: н/д</t>
  </si>
  <si>
    <t>IS</t>
  </si>
  <si>
    <t>ISL</t>
  </si>
  <si>
    <t>Pitcairn Islands</t>
  </si>
  <si>
    <t>Острова Питкэрн</t>
  </si>
  <si>
    <t>PN</t>
  </si>
  <si>
    <t>PCN</t>
  </si>
  <si>
    <t>French Polynesia</t>
  </si>
  <si>
    <t>Французская Полинезия</t>
  </si>
  <si>
    <t>https://api.worldbank.org/v2/country/PYF/indicator/NY.GDP.MKTP.CD?format=json ; https://api.worldbank.org/v2/country/PYF/indicator/NY.GDP.MKTP.KD.ZG?format=json ; https://api.worldbank.org/v2/country/PYF/indicator/FP.CPI.TOTL.ZG?format=json ; Исходный источник: https://data.worldbank.org/</t>
  </si>
  <si>
    <t>PF</t>
  </si>
  <si>
    <t>PYF</t>
  </si>
  <si>
    <t>French Southern and Antarctic Lands</t>
  </si>
  <si>
    <t>Французские Южные и Антарктические территории</t>
  </si>
  <si>
    <t>TF</t>
  </si>
  <si>
    <t>ATF</t>
  </si>
  <si>
    <t>Seychelles</t>
  </si>
  <si>
    <t>Сейшельские Острова</t>
  </si>
  <si>
    <t>https://api.worldbank.org/v2/country/SYC/indicator/NY.GDP.MKTP.CD?format=json ; https://api.worldbank.org/v2/country/SYC/indicator/NY.GDP.MKTP.KD.ZG?format=json ; https://api.worldbank.org/v2/country/SYC/indicator/FP.CPI.TOTL.ZG?format=json ; Исходный источник: https://data.worldbank.org/</t>
  </si>
  <si>
    <t>https://www.globalpetrolprices.com/Seychelles/gasoline_prices/ ; https://www.globalpetrolprices.com/Seychelles/diesel_prices/ ; Исходный источник: GlobalPetrolPrices (страновые значения только там, где они были явно помечены как страновые); Jet/мазут: н/д</t>
  </si>
  <si>
    <t>SC</t>
  </si>
  <si>
    <t>SYC</t>
  </si>
  <si>
    <t>Kiribati</t>
  </si>
  <si>
    <t>Кирибати</t>
  </si>
  <si>
    <t>https://api.worldbank.org/v2/country/KIR/indicator/NY.GDP.MKTP.CD?format=json ; https://api.worldbank.org/v2/country/KIR/indicator/NY.GDP.MKTP.KD.ZG?format=json ; https://api.worldbank.org/v2/country/KIR/indicator/FP.CPI.TOTL.ZG?format=json ; Исходный источник: https://data.worldbank.org/</t>
  </si>
  <si>
    <t>KI</t>
  </si>
  <si>
    <t>KIR</t>
  </si>
  <si>
    <t>Marshall Islands</t>
  </si>
  <si>
    <t>Маршалловы Острова</t>
  </si>
  <si>
    <t>https://api.worldbank.org/v2/country/MHL/indicator/NY.GDP.MKTP.CD?format=json ; https://api.worldbank.org/v2/country/MHL/indicator/NY.GDP.MKTP.KD.ZG?format=json ; https://api.worldbank.org/v2/country/MHL/indicator/FP.CPI.TOTL.ZG?format=json ; Исходный источник: https://data.worldbank.org/</t>
  </si>
  <si>
    <t>MH</t>
  </si>
  <si>
    <t>MHL</t>
  </si>
  <si>
    <t>Trinidad and Tobago</t>
  </si>
  <si>
    <t>Тринидад и Тобаго</t>
  </si>
  <si>
    <t>https://api.worldbank.org/v2/country/TTO/indicator/NY.GDP.MKTP.CD?format=json ; https://api.worldbank.org/v2/country/TTO/indicator/NY.GDP.MKTP.KD.ZG?format=json ; https://api.worldbank.org/v2/country/TTO/indicator/FP.CPI.TOTL.ZG?format=json ; Исходный источник: https://data.worldbank.org/</t>
  </si>
  <si>
    <t>https://www.globalpetrolprices.com/Trinidad-and-Tobago/gasoline_prices/ ; https://www.globalpetrolprices.com/Trinidad-and-Tobago/diesel_prices/ ; Исходный источник: GlobalPetrolPrices (страновые значения только там, где они были явно помечены как страновые); Jet/мазут: н/д</t>
  </si>
  <si>
    <t>TT</t>
  </si>
  <si>
    <t>TTO</t>
  </si>
  <si>
    <t>Grenada</t>
  </si>
  <si>
    <t>Гренада</t>
  </si>
  <si>
    <t>https://api.worldbank.org/v2/country/GRD/indicator/NY.GDP.MKTP.CD?format=json ; https://api.worldbank.org/v2/country/GRD/indicator/NY.GDP.MKTP.KD.ZG?format=json ; https://api.worldbank.org/v2/country/GRD/indicator/FP.CPI.TOTL.ZG?format=json ; Исходный источник: https://data.worldbank.org/</t>
  </si>
  <si>
    <t>https://www.globalpetrolprices.com/Grenada/gasoline_prices/ ; https://www.globalpetrolprices.com/Grenada/diesel_prices/ ; Исходный источник: GlobalPetrolPrices (страновые значения только там, где они были явно помечены как страновые); Jet/мазут: н/д</t>
  </si>
  <si>
    <t>GD</t>
  </si>
  <si>
    <t>GRD</t>
  </si>
  <si>
    <t>Saint Vincent and the Grenadines</t>
  </si>
  <si>
    <t>Сент-Винсент и Гренадины</t>
  </si>
  <si>
    <t>https://api.worldbank.org/v2/country/VCT/indicator/NY.GDP.MKTP.CD?format=json ; https://api.worldbank.org/v2/country/VCT/indicator/NY.GDP.MKTP.KD.ZG?format=json ; https://api.worldbank.org/v2/country/VCT/indicator/FP.CPI.TOTL.ZG?format=json ; Исходный источник: https://data.worldbank.org/</t>
  </si>
  <si>
    <t>VC</t>
  </si>
  <si>
    <t>VCT</t>
  </si>
  <si>
    <t>Barbados</t>
  </si>
  <si>
    <t>Барбадос</t>
  </si>
  <si>
    <t>https://api.worldbank.org/v2/country/BRB/indicator/NY.GDP.MKTP.CD?format=json ; https://api.worldbank.org/v2/country/BRB/indicator/NY.GDP.MKTP.KD.ZG?format=json ; https://api.worldbank.org/v2/country/BRB/indicator/FP.CPI.TOTL.ZG?format=json ; Исходный источник: https://data.worldbank.org/</t>
  </si>
  <si>
    <t>https://www.globalpetrolprices.com/Barbados/gasoline_prices/ ; https://www.globalpetrolprices.com/Barbados/diesel_prices/ ; Исходный источник: GlobalPetrolPrices (страновые значения только там, где они были явно помечены как страновые); Jet/мазут: н/д</t>
  </si>
  <si>
    <t>BB</t>
  </si>
  <si>
    <t>BRB</t>
  </si>
  <si>
    <t>Saint Lucia</t>
  </si>
  <si>
    <t>Сент-Люсия</t>
  </si>
  <si>
    <t>https://api.worldbank.org/v2/country/LCA/indicator/NY.GDP.MKTP.CD?format=json ; https://api.worldbank.org/v2/country/LCA/indicator/NY.GDP.MKTP.KD.ZG?format=json ; https://api.worldbank.org/v2/country/LCA/indicator/FP.CPI.TOTL.ZG?format=json ; Исходный источник: https://data.worldbank.org/</t>
  </si>
  <si>
    <t>https://www.globalpetrolprices.com/Saint-Lucia/gasoline_prices/ ; https://www.globalpetrolprices.com/Saint-Lucia/diesel_prices/ ; Исходный источник: GlobalPetrolPrices (страновые значения только там, где они были явно помечены как страновые); Jet/мазут: н/д</t>
  </si>
  <si>
    <t>LC</t>
  </si>
  <si>
    <t>LCA</t>
  </si>
  <si>
    <t>Dominica</t>
  </si>
  <si>
    <t>Доминика</t>
  </si>
  <si>
    <t>https://api.worldbank.org/v2/country/DMA/indicator/NY.GDP.MKTP.CD?format=json ; https://api.worldbank.org/v2/country/DMA/indicator/NY.GDP.MKTP.KD.ZG?format=json ; https://api.worldbank.org/v2/country/DMA/indicator/FP.CPI.TOTL.ZG?format=json ; Исходный источник: https://data.worldbank.org/</t>
  </si>
  <si>
    <t>https://www.globalpetrolprices.com/Dominica/gasoline_prices/ ; https://www.globalpetrolprices.com/Dominica/diesel_prices/ ; Исходный источник: GlobalPetrolPrices (страновые значения только там, где они были явно помечены как страновые); Jet/мазут: н/д</t>
  </si>
  <si>
    <t>DM</t>
  </si>
  <si>
    <t>DMA</t>
  </si>
  <si>
    <t>United States Minor Outlying Islands</t>
  </si>
  <si>
    <t>Внешние малые острова США</t>
  </si>
  <si>
    <t>UM</t>
  </si>
  <si>
    <t>UMI</t>
  </si>
  <si>
    <t>Montserrat</t>
  </si>
  <si>
    <t>Монтсеррат</t>
  </si>
  <si>
    <t>MS</t>
  </si>
  <si>
    <t>MSR</t>
  </si>
  <si>
    <t>Antigua and Barbuda</t>
  </si>
  <si>
    <t>Антигуа и Барбуда</t>
  </si>
  <si>
    <t>https://api.worldbank.org/v2/country/ATG/indicator/NY.GDP.MKTP.CD?format=json ; https://api.worldbank.org/v2/country/ATG/indicator/NY.GDP.MKTP.KD.ZG?format=json ; https://api.worldbank.org/v2/country/ATG/indicator/FP.CPI.TOTL.ZG?format=json ; Исходный источник: https://data.worldbank.org/</t>
  </si>
  <si>
    <t>AG</t>
  </si>
  <si>
    <t>ATG</t>
  </si>
  <si>
    <t>Saint Kitts and Nevis</t>
  </si>
  <si>
    <t>Сент-Китс и Невис</t>
  </si>
  <si>
    <t>https://api.worldbank.org/v2/country/KNA/indicator/NY.GDP.MKTP.CD?format=json ; https://api.worldbank.org/v2/country/KNA/indicator/NY.GDP.MKTP.KD.ZG?format=json ; https://api.worldbank.org/v2/country/KNA/indicator/FP.CPI.TOTL.ZG?format=json ; Исходный источник: https://data.worldbank.org/</t>
  </si>
  <si>
    <t>KN</t>
  </si>
  <si>
    <t>KNA</t>
  </si>
  <si>
    <t>United States Virgin Islands</t>
  </si>
  <si>
    <t>Американские Виргинские острова</t>
  </si>
  <si>
    <t>VI</t>
  </si>
  <si>
    <t>VIR</t>
  </si>
  <si>
    <t>Saint Barthélemy</t>
  </si>
  <si>
    <t>Сен-Бартелеми</t>
  </si>
  <si>
    <t>BL</t>
  </si>
  <si>
    <t>BLM</t>
  </si>
  <si>
    <t>Puerto Rico</t>
  </si>
  <si>
    <t>Пуэрто-Рико</t>
  </si>
  <si>
    <t>https://api.worldbank.org/v2/country/PRI/indicator/NY.GDP.MKTP.CD?format=json ; https://api.worldbank.org/v2/country/PRI/indicator/NY.GDP.MKTP.KD.ZG?format=json ; https://api.worldbank.org/v2/country/PRI/indicator/FP.CPI.TOTL.ZG?format=json ; Исходный источник: https://data.worldbank.org/</t>
  </si>
  <si>
    <t>https://www.globalpetrolprices.com/Puerto-Rico/gasoline_prices/ ; https://www.globalpetrolprices.com/Puerto-Rico/diesel_prices/ ; Исходный источник: GlobalPetrolPrices (страновые значения только там, где они были явно помечены как страновые); Jet/мазут: н/д</t>
  </si>
  <si>
    <t>PR</t>
  </si>
  <si>
    <t>PRI</t>
  </si>
  <si>
    <t>Anguilla</t>
  </si>
  <si>
    <t>Ангилья</t>
  </si>
  <si>
    <t>AI</t>
  </si>
  <si>
    <t>AIA</t>
  </si>
  <si>
    <t>British Virgin Islands</t>
  </si>
  <si>
    <t>Британские Виргинские острова</t>
  </si>
  <si>
    <t>VG</t>
  </si>
  <si>
    <t>VGB</t>
  </si>
  <si>
    <t>Jamaica</t>
  </si>
  <si>
    <t>Ямайка</t>
  </si>
  <si>
    <t>https://api.worldbank.org/v2/country/JAM/indicator/NY.GDP.MKTP.CD?format=json ; https://api.worldbank.org/v2/country/JAM/indicator/NY.GDP.MKTP.KD.ZG?format=json ; https://api.worldbank.org/v2/country/JAM/indicator/FP.CPI.TOTL.ZG?format=json ; Исходный источник: https://data.worldbank.org/</t>
  </si>
  <si>
    <t>https://www.globalpetrolprices.com/Jamaica/gasoline_prices/ ; https://www.globalpetrolprices.com/Jamaica/diesel_prices/ ; Исходный источник: GlobalPetrolPrices (страновые значения только там, где они были явно помечены как страновые); Jet/мазут: н/д</t>
  </si>
  <si>
    <t>JM</t>
  </si>
  <si>
    <t>JAM</t>
  </si>
  <si>
    <t>Cayman Islands</t>
  </si>
  <si>
    <t>острова Кайман</t>
  </si>
  <si>
    <t>https://api.worldbank.org/v2/country/CYM/indicator/NY.GDP.MKTP.CD?format=json ; https://api.worldbank.org/v2/country/CYM/indicator/NY.GDP.MKTP.KD.ZG?format=json ; https://api.worldbank.org/v2/country/CYM/indicator/FP.CPI.TOTL.ZG?format=json ; Исходный источник: https://data.worldbank.org/</t>
  </si>
  <si>
    <t>https://www.globalpetrolprices.com/Cayman-Islands/gasoline_prices/ ; https://www.globalpetrolprices.com/Cayman-Islands/diesel_prices/ ; Исходный источник: GlobalPetrolPrices (страновые значения только там, где они были явно помечены как страновые); Jet/мазут: н/д</t>
  </si>
  <si>
    <t>KY</t>
  </si>
  <si>
    <t>CYM</t>
  </si>
  <si>
    <t>Bermuda</t>
  </si>
  <si>
    <t>Бермудские Острова</t>
  </si>
  <si>
    <t>https://api.worldbank.org/v2/country/BMU/indicator/NY.GDP.MKTP.CD?format=json ; https://api.worldbank.org/v2/country/BMU/indicator/NY.GDP.MKTP.KD.ZG?format=json ; https://api.worldbank.org/v2/country/BMU/indicator/FP.CPI.TOTL.ZG?format=json ; Исходный источник: https://data.worldbank.org/</t>
  </si>
  <si>
    <t>BM</t>
  </si>
  <si>
    <t>BMU</t>
  </si>
  <si>
    <t>Heard Island and McDonald Islands</t>
  </si>
  <si>
    <t>Остров Херд и острова Макдональд</t>
  </si>
  <si>
    <t>HM</t>
  </si>
  <si>
    <t>HMD</t>
  </si>
  <si>
    <t>Saint Helena</t>
  </si>
  <si>
    <t>Остров Святой Елены</t>
  </si>
  <si>
    <t>SH</t>
  </si>
  <si>
    <t>SHN</t>
  </si>
  <si>
    <t>Mauritius</t>
  </si>
  <si>
    <t>Маврикий</t>
  </si>
  <si>
    <t>https://api.worldbank.org/v2/country/MUS/indicator/NY.GDP.MKTP.CD?format=json ; https://api.worldbank.org/v2/country/MUS/indicator/NY.GDP.MKTP.KD.ZG?format=json ; https://api.worldbank.org/v2/country/MUS/indicator/FP.CPI.TOTL.ZG?format=json ; Исходный источник: https://data.worldbank.org/</t>
  </si>
  <si>
    <t>https://www.globalpetrolprices.com/Mauritius/gasoline_prices/ ; https://www.globalpetrolprices.com/Mauritius/diesel_prices/ ; Исходный источник: GlobalPetrolPrices (страновые значения только там, где они были явно помечены как страновые); Jet/мазут: н/д</t>
  </si>
  <si>
    <t>MU</t>
  </si>
  <si>
    <t>MUS</t>
  </si>
  <si>
    <t>Comoros</t>
  </si>
  <si>
    <t>Коморы</t>
  </si>
  <si>
    <t>https://api.worldbank.org/v2/country/COM/indicator/NY.GDP.MKTP.CD?format=json ; https://api.worldbank.org/v2/country/COM/indicator/NY.GDP.MKTP.KD.ZG?format=json ; https://api.worldbank.org/v2/country/COM/indicator/FP.CPI.TOTL.ZG?format=json ; Исходный источник: https://data.worldbank.org/</t>
  </si>
  <si>
    <t>KM</t>
  </si>
  <si>
    <t>COM</t>
  </si>
  <si>
    <t>São Tomé and Príncipe</t>
  </si>
  <si>
    <t>Сан-Томе и Принсипи</t>
  </si>
  <si>
    <t>https://api.worldbank.org/v2/country/STP/indicator/NY.GDP.MKTP.CD?format=json ; https://api.worldbank.org/v2/country/STP/indicator/NY.GDP.MKTP.KD.ZG?format=json ; https://api.worldbank.org/v2/country/STP/indicator/FP.CPI.TOTL.ZG?format=json ; Исходный источник: https://data.worldbank.org/</t>
  </si>
  <si>
    <t>ST</t>
  </si>
  <si>
    <t>STP</t>
  </si>
  <si>
    <t>Cape Verde</t>
  </si>
  <si>
    <t>Кабо-Верде</t>
  </si>
  <si>
    <t>https://api.worldbank.org/v2/country/CPV/indicator/NY.GDP.MKTP.CD?format=json ; https://api.worldbank.org/v2/country/CPV/indicator/NY.GDP.MKTP.KD.ZG?format=json ; https://api.worldbank.org/v2/country/CPV/indicator/FP.CPI.TOTL.ZG?format=json ; Исходный источник: https://data.worldbank.org/</t>
  </si>
  <si>
    <t>https://www.globalpetrolprices.com/Cape-Verde/gasoline_prices/ ; https://www.globalpetrolprices.com/Cape-Verde/diesel_prices/ ; Исходный источник: GlobalPetrolPrices (страновые значения только там, где они были явно помечены как страновые); Jet/мазут: н/д</t>
  </si>
  <si>
    <t>CV</t>
  </si>
  <si>
    <t>CPV</t>
  </si>
  <si>
    <t>Malta</t>
  </si>
  <si>
    <t>Мальта</t>
  </si>
  <si>
    <t>https://api.worldbank.org/v2/country/MLT/indicator/NY.GDP.MKTP.CD?format=json ; https://api.worldbank.org/v2/country/MLT/indicator/NY.GDP.MKTP.KD.ZG?format=json ; https://api.worldbank.org/v2/country/MLT/indicator/FP.CPI.TOTL.ZG?format=json ; Исходный источник: https://data.worldbank.org/</t>
  </si>
  <si>
    <t>https://www.globalpetrolprices.com/Malta/gasoline_prices/ ; https://www.globalpetrolprices.com/Malta/diesel_prices/ ; Исходный источник: GlobalPetrolPrices (страновые значения только там, где они были явно помечены как страновые); Jet/мазут: н/д</t>
  </si>
  <si>
    <t>MT</t>
  </si>
  <si>
    <t>MLT</t>
  </si>
  <si>
    <t>Jersey</t>
  </si>
  <si>
    <t>Джерси</t>
  </si>
  <si>
    <t>JE</t>
  </si>
  <si>
    <t>JEY</t>
  </si>
  <si>
    <t>Guernsey</t>
  </si>
  <si>
    <t>Гернси</t>
  </si>
  <si>
    <t>GG</t>
  </si>
  <si>
    <t>GGY</t>
  </si>
  <si>
    <t>Isle of Man</t>
  </si>
  <si>
    <t>остров Мэн</t>
  </si>
  <si>
    <t>IM</t>
  </si>
  <si>
    <t>IMN</t>
  </si>
  <si>
    <t>Åland</t>
  </si>
  <si>
    <t>Аландские острова</t>
  </si>
  <si>
    <t>AX</t>
  </si>
  <si>
    <t>ALA</t>
  </si>
  <si>
    <t>Faroe Islands</t>
  </si>
  <si>
    <t>Фарерские острова</t>
  </si>
  <si>
    <t>https://api.worldbank.org/v2/country/FRO/indicator/NY.GDP.MKTP.CD?format=json ; https://api.worldbank.org/v2/country/FRO/indicator/NY.GDP.MKTP.KD.ZG?format=json ; https://api.worldbank.org/v2/country/FRO/indicator/FP.CPI.TOTL.ZG?format=json ; Исходный источник: https://data.worldbank.org/</t>
  </si>
  <si>
    <t>FO</t>
  </si>
  <si>
    <t>FRO</t>
  </si>
  <si>
    <t>Australian Indian Ocean Territories</t>
  </si>
  <si>
    <t>Австралийские территории в Индийском океане</t>
  </si>
  <si>
    <t>https://www.jodidata.org/_resources/files/downloads/oil-data/annual-csv/secondary/2025.csv ; Исходный источник: https://www.jodidata.org/oil/database/data-downloads.aspx</t>
  </si>
  <si>
    <t>British Indian Ocean Territory</t>
  </si>
  <si>
    <t>Британская территория в Индийском океане</t>
  </si>
  <si>
    <t>IO</t>
  </si>
  <si>
    <t>IOT</t>
  </si>
  <si>
    <t>Singapore</t>
  </si>
  <si>
    <t>Сингапур</t>
  </si>
  <si>
    <t>https://api.worldbank.org/v2/country/SGP/indicator/NY.GDP.MKTP.CD?format=json ; https://api.worldbank.org/v2/country/SGP/indicator/NY.GDP.MKTP.KD.ZG?format=json ; https://api.worldbank.org/v2/country/SGP/indicator/FP.CPI.TOTL.ZG?format=json ; Исходный источник: https://data.worldbank.org/</t>
  </si>
  <si>
    <t>https://www.globalpetrolprices.com/Singapore/gasoline_prices/ ; https://www.globalpetrolprices.com/Singapore/diesel_prices/ ; Исходный источник: GlobalPetrolPrices (страновые значения только там, где они были явно помечены как страновые); Jet/мазут: н/д</t>
  </si>
  <si>
    <t>SG</t>
  </si>
  <si>
    <t>SGP</t>
  </si>
  <si>
    <t>Norfolk Island</t>
  </si>
  <si>
    <t>Норфолк</t>
  </si>
  <si>
    <t>NF</t>
  </si>
  <si>
    <t>NFK</t>
  </si>
  <si>
    <t>Cook Islands</t>
  </si>
  <si>
    <t>Острова Кука</t>
  </si>
  <si>
    <t>CK</t>
  </si>
  <si>
    <t>COK</t>
  </si>
  <si>
    <t>Tonga</t>
  </si>
  <si>
    <t>Тонга</t>
  </si>
  <si>
    <t>https://api.worldbank.org/v2/country/TON/indicator/NY.GDP.MKTP.CD?format=json ; https://api.worldbank.org/v2/country/TON/indicator/NY.GDP.MKTP.KD.ZG?format=json ; https://api.worldbank.org/v2/country/TON/indicator/FP.CPI.TOTL.ZG?format=json ; Исходный источник: https://data.worldbank.org/</t>
  </si>
  <si>
    <t>TO</t>
  </si>
  <si>
    <t>TON</t>
  </si>
  <si>
    <t>Wallis and Futuna</t>
  </si>
  <si>
    <t>Уоллис и Футуна</t>
  </si>
  <si>
    <t>https://www.globalpetrolprices.com/Wallis-and-Futuna-Islands/gasoline_prices/ ; https://www.globalpetrolprices.com/Wallis-and-Futuna-Islands/diesel_prices/ ; Исходный источник: GlobalPetrolPrices (страновые значения только там, где они были явно помечены как страновые); Jet/мазут: н/д</t>
  </si>
  <si>
    <t>WF</t>
  </si>
  <si>
    <t>WLF</t>
  </si>
  <si>
    <t>Samoa</t>
  </si>
  <si>
    <t>Самоа</t>
  </si>
  <si>
    <t>https://api.worldbank.org/v2/country/WSM/indicator/NY.GDP.MKTP.CD?format=json ; https://api.worldbank.org/v2/country/WSM/indicator/NY.GDP.MKTP.KD.ZG?format=json ; https://api.worldbank.org/v2/country/WSM/indicator/FP.CPI.TOTL.ZG?format=json ; Исходный источник: https://data.worldbank.org/</t>
  </si>
  <si>
    <t>WS</t>
  </si>
  <si>
    <t>WSM</t>
  </si>
  <si>
    <t>Solomon Islands</t>
  </si>
  <si>
    <t>Соломоновы Острова</t>
  </si>
  <si>
    <t>https://api.worldbank.org/v2/country/SLB/indicator/NY.GDP.MKTP.CD?format=json ; https://api.worldbank.org/v2/country/SLB/indicator/NY.GDP.MKTP.KD.ZG?format=json ; https://api.worldbank.org/v2/country/SLB/indicator/FP.CPI.TOTL.ZG?format=json ; Исходный источник: https://data.worldbank.org/</t>
  </si>
  <si>
    <t>SB</t>
  </si>
  <si>
    <t>SLB</t>
  </si>
  <si>
    <t>Tuvalu</t>
  </si>
  <si>
    <t>Тувалу</t>
  </si>
  <si>
    <t>https://api.worldbank.org/v2/country/TUV/indicator/NY.GDP.MKTP.CD?format=json ; https://api.worldbank.org/v2/country/TUV/indicator/NY.GDP.MKTP.KD.ZG?format=json ; https://api.worldbank.org/v2/country/TUV/indicator/FP.CPI.TOTL.ZG?format=json ; Исходный источник: https://data.worldbank.org/</t>
  </si>
  <si>
    <t>TV</t>
  </si>
  <si>
    <t>TUV</t>
  </si>
  <si>
    <t>Maldives</t>
  </si>
  <si>
    <t>Мальдивы</t>
  </si>
  <si>
    <t>https://api.worldbank.org/v2/country/MDV/indicator/NY.GDP.MKTP.CD?format=json ; https://api.worldbank.org/v2/country/MDV/indicator/NY.GDP.MKTP.KD.ZG?format=json ; https://api.worldbank.org/v2/country/MDV/indicator/FP.CPI.TOTL.ZG?format=json ; Исходный источник: https://data.worldbank.org/</t>
  </si>
  <si>
    <t>https://www.globalpetrolprices.com/Maldives/gasoline_prices/ ; https://www.globalpetrolprices.com/Maldives/diesel_prices/ ; Исходный источник: GlobalPetrolPrices (страновые значения только там, где они были явно помечены как страновые); Jet/мазут: н/д</t>
  </si>
  <si>
    <t>MV</t>
  </si>
  <si>
    <t>MDV</t>
  </si>
  <si>
    <t>Nauru</t>
  </si>
  <si>
    <t>Науру</t>
  </si>
  <si>
    <t>https://api.worldbank.org/v2/country/NRU/indicator/NY.GDP.MKTP.CD?format=json ; https://api.worldbank.org/v2/country/NRU/indicator/NY.GDP.MKTP.KD.ZG?format=json ; https://api.worldbank.org/v2/country/NRU/indicator/FP.CPI.TOTL.ZG?format=json ; Исходный источник: https://data.worldbank.org/</t>
  </si>
  <si>
    <t>NR</t>
  </si>
  <si>
    <t>NRU</t>
  </si>
  <si>
    <t>Federated States of Micronesia</t>
  </si>
  <si>
    <t>Микронезия</t>
  </si>
  <si>
    <t>https://api.worldbank.org/v2/country/FSM/indicator/NY.GDP.MKTP.CD?format=json ; https://api.worldbank.org/v2/country/FSM/indicator/NY.GDP.MKTP.KD.ZG?format=json ; https://api.worldbank.org/v2/country/FSM/indicator/FP.CPI.TOTL.ZG?format=json ; Исходный источник: https://data.worldbank.org/</t>
  </si>
  <si>
    <t>FM</t>
  </si>
  <si>
    <t>FSM</t>
  </si>
  <si>
    <t>South Georgia and the South Sandwich Islands</t>
  </si>
  <si>
    <t>Южная Георгия и Южные Сандвичевы острова</t>
  </si>
  <si>
    <t>GS</t>
  </si>
  <si>
    <t>SGS</t>
  </si>
  <si>
    <t>Falkland Islands</t>
  </si>
  <si>
    <t>Фолклендские острова</t>
  </si>
  <si>
    <t>FK</t>
  </si>
  <si>
    <t>FLK</t>
  </si>
  <si>
    <t>Vanuatu</t>
  </si>
  <si>
    <t>Вануату</t>
  </si>
  <si>
    <t>https://api.worldbank.org/v2/country/VUT/indicator/NY.GDP.MKTP.CD?format=json ; https://api.worldbank.org/v2/country/VUT/indicator/NY.GDP.MKTP.KD.ZG?format=json ; https://api.worldbank.org/v2/country/VUT/indicator/FP.CPI.TOTL.ZG?format=json ; Исходный источник: https://data.worldbank.org/</t>
  </si>
  <si>
    <t>VU</t>
  </si>
  <si>
    <t>VUT</t>
  </si>
  <si>
    <t>Niue</t>
  </si>
  <si>
    <t>Ниуэ</t>
  </si>
  <si>
    <t>NU</t>
  </si>
  <si>
    <t>NIU</t>
  </si>
  <si>
    <t>American Samoa</t>
  </si>
  <si>
    <t>Американское Самоа</t>
  </si>
  <si>
    <t>AS</t>
  </si>
  <si>
    <t>ASM</t>
  </si>
  <si>
    <t>Palau</t>
  </si>
  <si>
    <t>Палау</t>
  </si>
  <si>
    <t>https://api.worldbank.org/v2/country/PLW/indicator/NY.GDP.MKTP.CD?format=json ; https://api.worldbank.org/v2/country/PLW/indicator/NY.GDP.MKTP.KD.ZG?format=json ; https://api.worldbank.org/v2/country/PLW/indicator/FP.CPI.TOTL.ZG?format=json ; Исходный источник: https://data.worldbank.org/</t>
  </si>
  <si>
    <t>PW</t>
  </si>
  <si>
    <t>PLW</t>
  </si>
  <si>
    <t>Guam</t>
  </si>
  <si>
    <t>Гуам</t>
  </si>
  <si>
    <t>GU</t>
  </si>
  <si>
    <t>GUM</t>
  </si>
  <si>
    <t>Northern Mariana Islands</t>
  </si>
  <si>
    <t>Северные Марианские острова</t>
  </si>
  <si>
    <t>MP</t>
  </si>
  <si>
    <t>MNP</t>
  </si>
  <si>
    <t>Bahrain</t>
  </si>
  <si>
    <t>Бахрейн</t>
  </si>
  <si>
    <t>https://api.worldbank.org/v2/country/BHR/indicator/NY.GDP.MKTP.CD?format=json ; https://api.worldbank.org/v2/country/BHR/indicator/NY.GDP.MKTP.KD.ZG?format=json ; https://api.worldbank.org/v2/country/BHR/indicator/FP.CPI.TOTL.ZG?format=json ; Исходный источник: https://data.worldbank.org/</t>
  </si>
  <si>
    <t>https://www.globalpetrolprices.com/Bahrain/gasoline_prices/ ; https://www.globalpetrolprices.com/Bahrain/diesel_prices/ ; Исходный источник: GlobalPetrolPrices (страновые значения только там, где они были явно помечены как страновые); Jet/мазут: н/д</t>
  </si>
  <si>
    <t>BH</t>
  </si>
  <si>
    <t>BHR</t>
  </si>
  <si>
    <t>Coral Sea Islands</t>
  </si>
  <si>
    <t>Территория островов Кораллового моря</t>
  </si>
  <si>
    <t>Wake Island</t>
  </si>
  <si>
    <t>Уэйк</t>
  </si>
  <si>
    <t>Clipperton Island</t>
  </si>
  <si>
    <t>Клиппертон</t>
  </si>
  <si>
    <t>Macau</t>
  </si>
  <si>
    <t>Макао</t>
  </si>
  <si>
    <t>https://api.worldbank.org/v2/country/MAC/indicator/NY.GDP.MKTP.CD?format=json ; https://api.worldbank.org/v2/country/MAC/indicator/NY.GDP.MKTP.KD.ZG?format=json ; https://api.worldbank.org/v2/country/MAC/indicator/FP.CPI.TOTL.ZG?format=json ; Исходный источник: https://data.worldbank.org/</t>
  </si>
  <si>
    <t>MO</t>
  </si>
  <si>
    <t>MAC</t>
  </si>
  <si>
    <t>Ashmore and Cartier Islands</t>
  </si>
  <si>
    <t>Острова Ашмор и Картье</t>
  </si>
  <si>
    <t>Bajo Nuevo Bank</t>
  </si>
  <si>
    <t>Бахо-Нуэво</t>
  </si>
  <si>
    <t>Serranilla Bank</t>
  </si>
  <si>
    <t>Серранилья-Банк</t>
  </si>
  <si>
    <t>Scarborough Shoal</t>
  </si>
  <si>
    <t>Скарборо-Шол</t>
  </si>
  <si>
    <t>Показатель (исходный аудит)</t>
  </si>
  <si>
    <t>Заполнено</t>
  </si>
  <si>
    <t>Уникальных</t>
  </si>
  <si>
    <t>Самое частое значение</t>
  </si>
  <si>
    <t>Повторов</t>
  </si>
  <si>
    <t>ИТОГ АУДИТА</t>
  </si>
  <si>
    <t>Источник</t>
  </si>
  <si>
    <t>URL</t>
  </si>
  <si>
    <t>Это аудит входного файла до обновления. Новые результаты и источники — лист «Обновление 2026-09-16».</t>
  </si>
  <si>
    <t>1</t>
  </si>
  <si>
    <t>Строк проверено: 258</t>
  </si>
  <si>
    <t>World Bank WDI — GDP (current US$)</t>
  </si>
  <si>
    <t>https://data.worldbank.org/indicator/NY.GDP.MKTP.CD</t>
  </si>
  <si>
    <t>Удалено неподтверждённых массовых подстановок: 3641</t>
  </si>
  <si>
    <t>World Bank WDI — GDP growth</t>
  </si>
  <si>
    <t>https://databank.worldbank.org/metadataglossary/world-development-indicators/series/NY.GDP.MKTP.KD.ZG</t>
  </si>
  <si>
    <t>GDP/GDP growth/CPI: массовые медианные подстановки удалены; сохранённые исходные значения требуют проверки первоисточника.</t>
  </si>
  <si>
    <t>World Bank — Inflation CPI</t>
  </si>
  <si>
    <t>https://databank.worldbank.org/metadataglossary/all/series?search=inflation+rate</t>
  </si>
  <si>
    <t>1 633 240.00</t>
  </si>
  <si>
    <t>Jet/керосин и мазут: глобальные шаблонные цены удалены полностью.</t>
  </si>
  <si>
    <t>JODI-Oil data downloads</t>
  </si>
  <si>
    <t>2024</t>
  </si>
  <si>
    <t>Цены бензина/дизеля/LPG: сохранены только строки, которые исходный файл явно помечал как страновые GPP.</t>
  </si>
  <si>
    <t>JODI-Oil definitions</t>
  </si>
  <si>
    <t>https://www.jodidata.org/oil/support/user-guide/data-available-in-the-jodi-oil-world-database.aspx</t>
  </si>
  <si>
    <t>596.13</t>
  </si>
  <si>
    <t>ISO: добавлены ISO2/ISO3, где однозначно сопоставлены pycountry; иначе н/д.</t>
  </si>
  <si>
    <t>45.5</t>
  </si>
  <si>
    <t>Внешняя верификация: World Bank WDI и JODI подтверждают определения/доступность рядов; массовые неподтверждённые числа не заменялись новыми догадками.</t>
  </si>
  <si>
    <t>26.2</t>
  </si>
  <si>
    <t>Пересчёты единиц в этом проходе: не выполнялись.</t>
  </si>
  <si>
    <t>12.8</t>
  </si>
  <si>
    <t>Оригинальный файл не перезаписан.</t>
  </si>
  <si>
    <t>24.1</t>
  </si>
  <si>
    <t>38.6</t>
  </si>
  <si>
    <t>0.00</t>
  </si>
  <si>
    <t>2025</t>
  </si>
  <si>
    <t>0</t>
  </si>
  <si>
    <t>1 396.30</t>
  </si>
  <si>
    <t>2024.0</t>
  </si>
  <si>
    <t>5.00</t>
  </si>
  <si>
    <t>1.80</t>
  </si>
  <si>
    <t>2 024.00</t>
  </si>
  <si>
    <t>1.280</t>
  </si>
  <si>
    <t>1.329</t>
  </si>
  <si>
    <t>0.737</t>
  </si>
  <si>
    <t>Массовые оценки/медианы удалены в ходе аудита. Сохранившиеся исходные числовые значения не считаются подтверждёнными автоматически; требуется первичная проверка источника.</t>
  </si>
  <si>
    <t>бензин: подтверждено по исходной пометке GPP; дизель: подтверждено по исходной пометке GPP; LPG: н/д; Jet/керосин: н/д; мазут: н/д</t>
  </si>
  <si>
    <t>Страна/территория</t>
  </si>
  <si>
    <t>Показатель</t>
  </si>
  <si>
    <t>Удалённое значение</t>
  </si>
  <si>
    <t>Причина</t>
  </si>
  <si>
    <t>14.25</t>
  </si>
  <si>
    <t>Удалено: массовая/медианная/шаблонная подстановка без странового подтверждения</t>
  </si>
  <si>
    <t>20.30</t>
  </si>
  <si>
    <t>1.141</t>
  </si>
  <si>
    <t>906.00</t>
  </si>
  <si>
    <t>0.840</t>
  </si>
  <si>
    <t>Удалено: мировое среднее вместо странового значения</t>
  </si>
  <si>
    <t>3.30</t>
  </si>
  <si>
    <t>14.80</t>
  </si>
  <si>
    <t>91 962.00</t>
  </si>
  <si>
    <t>33.57</t>
  </si>
  <si>
    <t>41.20</t>
  </si>
  <si>
    <t>24.35</t>
  </si>
  <si>
    <t>25 810.50</t>
  </si>
  <si>
    <t>12 089.00</t>
  </si>
  <si>
    <t>1 625.50</t>
  </si>
  <si>
    <t>78.84</t>
  </si>
  <si>
    <t>4.50</t>
  </si>
  <si>
    <t>1.570</t>
  </si>
  <si>
    <t>1.620</t>
  </si>
  <si>
    <t>Страна</t>
  </si>
  <si>
    <t>Название на русском</t>
  </si>
  <si>
    <t>Мощность Oilmap, барр./сут.</t>
  </si>
  <si>
    <t>С известной мощностью</t>
  </si>
  <si>
    <t>Без мощности</t>
  </si>
  <si>
    <t>НПЗ: первичный источник, шт.</t>
  </si>
  <si>
    <t>Мощность: первичный источник</t>
  </si>
  <si>
    <t>Единица мощности</t>
  </si>
  <si>
    <t>Период первичного источника</t>
  </si>
  <si>
    <t>Охват первичного источника</t>
  </si>
  <si>
    <t>URL первичного источника</t>
  </si>
  <si>
    <t>Мощность EI*, барр./сут.</t>
  </si>
  <si>
    <t>Год EI*</t>
  </si>
  <si>
    <t>URL вторичной публикации EI*</t>
  </si>
  <si>
    <t>Статус проверки</t>
  </si>
  <si>
    <t>https://energyfactbook.com/world/refining/</t>
  </si>
  <si>
    <t>млн т/год</t>
  </si>
  <si>
    <t>2026-04-01</t>
  </si>
  <si>
    <t>Число строк PPAC с положительной установленной мощностью; не равно подтверждённому числу operating заводов. Cauvery Basin = 0; Jamnagar: два комплекса.</t>
  </si>
  <si>
    <t>https://ppac.gov.in/infrastructure/installed-refinery-capacity</t>
  </si>
  <si>
    <t>барр./сут.</t>
  </si>
  <si>
    <t>Действующие mainstream и специализированные НПЗ Concawe; чистые биозаводы исключены</t>
  </si>
  <si>
    <t>https://www.concawe.eu/refineries-map/</t>
  </si>
  <si>
    <t>Только четыре крупных НПЗ группы КМГ: Атырау, Павлодар, Шымкент, Caspi Bitum; не национальный итог всех мини-НПЗ и конденсатных установок.</t>
  </si>
  <si>
    <t>https://ar2025.kmg.kz/en/strategic-report/operating-review/downstream</t>
  </si>
  <si>
    <t>2026-01-01</t>
  </si>
  <si>
    <t>EIA: 130 operable предприятий, 128 operating и 2 idle; 124 записи с первичной перегонкой в файле. Количество шире числа crude refineries.</t>
  </si>
  <si>
    <t>https://www.eia.gov/dnav/pet/pet_pnp_cap1_dcu_nus_a.htm</t>
  </si>
  <si>
    <t>2026</t>
  </si>
  <si>
    <t>Два действующих отечественных НПЗ; подтверждено DCCEEW. Мощность по этому источнику не установлена.</t>
  </si>
  <si>
    <t>https://consult.dcceew.gov.au/australias-fuel-security-and-resilience-package</t>
  </si>
  <si>
    <t>2025 / публикация 2026</t>
  </si>
  <si>
    <t>Marsden Point закрыт в 2022, импорт готового топлива; значение EI/вторичного источника 30 тыс. барр./сут. не принято как действующая мощность.</t>
  </si>
  <si>
    <t>https://www.mbie.govt.nz/building-and-energy/energy-and-natural-resources/energy-statistics-and-modelling/energy-publications-and-technical-papers/energy-in-new-zealand/energy-in-new-zealand-2026/oil</t>
  </si>
  <si>
    <t>ID Oilmap</t>
  </si>
  <si>
    <t>name</t>
  </si>
  <si>
    <t>bpd crude capacity</t>
  </si>
  <si>
    <t>rank</t>
  </si>
  <si>
    <t>x</t>
  </si>
  <si>
    <t>y</t>
  </si>
  <si>
    <t>link to wiki</t>
  </si>
  <si>
    <t>link to web</t>
  </si>
  <si>
    <t>Дата слоя</t>
  </si>
  <si>
    <t>Привязка к стране</t>
  </si>
  <si>
    <t>До берега, км</t>
  </si>
  <si>
    <t>Мощность известна</t>
  </si>
  <si>
    <t>73 - Consumers? Cooperative Refineries Ltd. - Regina</t>
  </si>
  <si>
    <t>polygon</t>
  </si>
  <si>
    <t>https://www.oilmap.xyz/</t>
  </si>
  <si>
    <t>19 - BP PLC - Bulwer Island</t>
  </si>
  <si>
    <t>http://en.wikipedia.org/wiki/Bp</t>
  </si>
  <si>
    <t>http://www.bp.com</t>
  </si>
  <si>
    <t>20 - BP PLC - Kwinana</t>
  </si>
  <si>
    <t>21 - Caltex Refineries (NSW) Ltd. - Kurnell</t>
  </si>
  <si>
    <t>http://en.wikipedia.org/wiki/Caltex</t>
  </si>
  <si>
    <t>http://www.caltex.com.au/community_ref_kur.asp</t>
  </si>
  <si>
    <t>nearest coast</t>
  </si>
  <si>
    <t>22 - Caltex Refineries (Qld.) Ltd. - Lytton</t>
  </si>
  <si>
    <t>http://www.caltex.com.au/community_ref_lyt.asp</t>
  </si>
  <si>
    <t>23 - ExxonMobil Refining + Supply Co. - Altona</t>
  </si>
  <si>
    <t>http://www.exxonmobil.com/Corporate/about_where_countries.aspx</t>
  </si>
  <si>
    <t>24 - Shell Refining (Australia) Pty. Ltd. - Clyde</t>
  </si>
  <si>
    <t>http://www.shell.com/home/content/au-en/about_shell/clyde_and_gore_bay/about_clyde.html</t>
  </si>
  <si>
    <t>25 - Shell Refining (Australia) Pty. Ltd. - Geelong</t>
  </si>
  <si>
    <t>http://www.shell.com/home/content/au-en/about_shell/geelong/about_us/our_operations.html</t>
  </si>
  <si>
    <t>343 - New Zealand Refining Co. Ltd. - Marsden Point, Northland</t>
  </si>
  <si>
    <t>http://en.wikipedia.org/wiki/List_of_oil_refineries</t>
  </si>
  <si>
    <t>http://www.nzrc.co.nz</t>
  </si>
  <si>
    <t>359 - Interoil - Port Moresby</t>
  </si>
  <si>
    <t>http://www.interoil.com/refinery.asp</t>
  </si>
  <si>
    <t>4 - Naftec SPA - Arzew</t>
  </si>
  <si>
    <t>http://en.wikipedia.org/wiki/Sonatrach</t>
  </si>
  <si>
    <t>http://www.sonatrach-dz.com/activites-aval.htm</t>
  </si>
  <si>
    <t>3 - Naftec SPA - Algiers</t>
  </si>
  <si>
    <t>5 - Naftec SPA - Hassi-Messaoud</t>
  </si>
  <si>
    <t>6 - Naftec SPA - Skikda</t>
  </si>
  <si>
    <t>157 - Alexandria Petroleum Co. - Alexandria (El-Mex)</t>
  </si>
  <si>
    <t>http://www.itp.net/news/493059</t>
  </si>
  <si>
    <t>158 - Ameriya Petroleum Refining Co. - Alexandria</t>
  </si>
  <si>
    <t>159 - Assiut Petroleum Refining Co. - Assiut</t>
  </si>
  <si>
    <t>160 - Cairo Petroleum Refining Co. - Mostorod</t>
  </si>
  <si>
    <t>161 - Cairo Petroleum Refining Co. - Tanta</t>
  </si>
  <si>
    <t>162 - El-Nasr Petroleum Co. - El-Suez</t>
  </si>
  <si>
    <t>164 - Middle East Oil Refinery - Alexandria</t>
  </si>
  <si>
    <t>163 - El-Nasr Petroleum Co. - Wadi- Feran</t>
  </si>
  <si>
    <t>165 - Suez Petroleum Processing Co. - El-Suez</t>
  </si>
  <si>
    <t>167 - Petroleum Corp. of Eritrea - Assab</t>
  </si>
  <si>
    <t>http://www.mbendi.co.za/reer.htm</t>
  </si>
  <si>
    <t>314 - Sirte Oil Co. - Marsah El Brega</t>
  </si>
  <si>
    <t>http://en.wikipedia.org/wiki/Sirte_Oil_Company</t>
  </si>
  <si>
    <t>http://www.soc.com.ly/business/index.php?cid=27</t>
  </si>
  <si>
    <t>312 - Ras Lanuf Oil + Gas Processing Co. - Ras Lanuf</t>
  </si>
  <si>
    <t>http://en.wikipedia.org/wiki/National_Oil_Corporation</t>
  </si>
  <si>
    <t>http://en.noclibya.com.ly</t>
  </si>
  <si>
    <t>313 - Sarir Refining - Sarir</t>
  </si>
  <si>
    <t>315 - Tobruk Refining - Tobruk</t>
  </si>
  <si>
    <t>311 - Azzawiya Oil Refining Co. - Azzawiya and Benghazi</t>
  </si>
  <si>
    <t>331 - Societe Anonyme Marocaine de L?Industrie du Raffinage - Mohammedia</t>
  </si>
  <si>
    <t>332 - Societe Anonyme Marocaine de L?Industrie du Raffinage - Sidi Kacem</t>
  </si>
  <si>
    <t>465 - China National Petroleum Corp. - El-Gily</t>
  </si>
  <si>
    <t>http://en.wikipedia.org/wiki/CNPC</t>
  </si>
  <si>
    <t>http://www.cnpc.com.cn/eng/cnpcworldwide/africa/Sudan/</t>
  </si>
  <si>
    <t>466 - Concorp - Khartoum</t>
  </si>
  <si>
    <t>http://www.krcsd.com/e-krc/introduce/introduce.htm</t>
  </si>
  <si>
    <t>467 - Port Sudan Refinery Ltd. - Port Sudan</t>
  </si>
  <si>
    <t>http://en.wikipedia.org/wiki/Port_Sudan_Refinery</t>
  </si>
  <si>
    <t>http://www.zawya.com/cm/profile.cfm/cid997652/</t>
  </si>
  <si>
    <t>484 - Ste. Tunisienne Industries des Raffinage - Bizerte</t>
  </si>
  <si>
    <t>http://www.stir.com.tn/english/about.htm</t>
  </si>
  <si>
    <t>54 - Societe Nationale de Raffinage - Cape Limboh Limbe</t>
  </si>
  <si>
    <t>http://www.unitedworld-usa.com/reports/cameroon/energy.asp</t>
  </si>
  <si>
    <t>199 - Tema Oil Refinery Co. Ltd. - Tema</t>
  </si>
  <si>
    <t>http://www.torghana.com</t>
  </si>
  <si>
    <t>268 - Societe Ivoirienne de Raffinage - Abidjan</t>
  </si>
  <si>
    <t>http://www.sir.ci/Francais/html/accueil.html</t>
  </si>
  <si>
    <t>310 - Liberia Petroleum Refining - Monrovia</t>
  </si>
  <si>
    <t>http://www.mbendi.co.za/orgs/cdoa.htm</t>
  </si>
  <si>
    <t>347 - Port Harcourt Refining Co. (NNPC) - Port Harcourt, Rivers State</t>
  </si>
  <si>
    <t>http://www.nnpcgroup.com/refineries.htm</t>
  </si>
  <si>
    <t>345 - Kaduna Refinery + Petrochemical Co. (NNPC) - Kaduna</t>
  </si>
  <si>
    <t>346 - Port Harcourt Refining Co. (NNPC) - Port Harcourt, Alesa Eleme</t>
  </si>
  <si>
    <t>348 - Warri Refinery + Petrochemical Co. (NNPC) - Warri</t>
  </si>
  <si>
    <t>436 - Ste. Africaine de Raffinage - MBao (Dakar)</t>
  </si>
  <si>
    <t>439 - Sierra Leone Petroleum Refining Co. Ltd. - Freetown</t>
  </si>
  <si>
    <t>http://www.mbendi.co.za/orgs/caqf.htm</t>
  </si>
  <si>
    <t>7 - Fina Petroleos de Angola - Luanda</t>
  </si>
  <si>
    <t>http://en.wikipedia.org/wiki/Sonangol_Group</t>
  </si>
  <si>
    <t>http://www.sonangol.co.ao/wps/portal/ep/areas/downstream</t>
  </si>
  <si>
    <t>137 - Coraf - Pointe-Noire</t>
  </si>
  <si>
    <t>http://www.wn.com/s/congopower/</t>
  </si>
  <si>
    <t>183 - Ste. Gabonaise de Raffinage - Port Gentil</t>
  </si>
  <si>
    <t>http://en.wikipedia.org/wiki/Total_S.A.</t>
  </si>
  <si>
    <t>http://www.mbendi.co.za/indy/oilg/ogrf/af/ga/p0005.htm</t>
  </si>
  <si>
    <t>305 - Kenya Petroleum Refineries Ltd. - Mombasa</t>
  </si>
  <si>
    <t>http://www.mbendi.co.za/remo.htm</t>
  </si>
  <si>
    <t>445 - Caltex Oil SA - Cape Town</t>
  </si>
  <si>
    <t>http://www.caltex.com/sa/en/CaltexSA.asp</t>
  </si>
  <si>
    <t>446 - Engen Petroleum Ltd. - Durban</t>
  </si>
  <si>
    <t>http://www.engen.co.za/home/server/media_centre/about_engen/proatia/manual/divisions/refinery.asp</t>
  </si>
  <si>
    <t>447 - National Petroleum Refiners of South Africa Pty Ltd - Sasolburg</t>
  </si>
  <si>
    <t>http://www.total.co.za/Os/ossouthafrica.nsf/VS_OPM/6558DB176585F1ABC1256F240055ADF8?OpenDocument</t>
  </si>
  <si>
    <t>448 - Shell and BP PLC Petroleum Refineries Pty. Ltd. - Durban</t>
  </si>
  <si>
    <t>http://en.wikipedia.org/wiki/Royal_Dutch_Shell</t>
  </si>
  <si>
    <t>http://www.sapref.com/profile.htm</t>
  </si>
  <si>
    <t>478 - Tanzanian + Italian Petroleum Refining Co. Ltd. - Kigamboni Dar es Salaam</t>
  </si>
  <si>
    <t>http://www.mbendi.co.za/reti.htm</t>
  </si>
  <si>
    <t>658 - Indeni Petroleum Refinery Co. Ltd. - Bwana Nkubwa Area, Ndola</t>
  </si>
  <si>
    <t>http://www.mbendi.co.za/rein.htm</t>
  </si>
  <si>
    <t>30 - Eastern Refinery Ltd. - Chittagong</t>
  </si>
  <si>
    <t>http://banglapedia.search.com.bd/HT/E_0055.htm</t>
  </si>
  <si>
    <t>52 - Brunei Shell Petroleum Co. Sdn. Bhd. - Seria</t>
  </si>
  <si>
    <t>https://www.bsp.com.bn/main/aboutbsp/about_ourbusiness.asp</t>
  </si>
  <si>
    <t>78 - China National Petroleum Corp. - Fushun</t>
  </si>
  <si>
    <t>http://www.petrochina.com.cn/english/gsjs/zyyw_02_3.htm</t>
  </si>
  <si>
    <t>79 - China National Petroleum Corp. - Harbin</t>
  </si>
  <si>
    <t>80 - China National Petroleum Corp. - Heilongjiang (1)</t>
  </si>
  <si>
    <t>81 - China National Petroleum Corp. - Heilongjiang (2)</t>
  </si>
  <si>
    <t>82 - China National Petroleum Corp. - Jilin (1)</t>
  </si>
  <si>
    <t>83 - China National Petroleum Corp. - Jilin (2)</t>
  </si>
  <si>
    <t>84 - China National Petroleum Corp. - Jinxi</t>
  </si>
  <si>
    <t>85 - China National Petroleum Corp. - Jinzhou</t>
  </si>
  <si>
    <t>87 - China National Petroleum Corp. - Liaoning</t>
  </si>
  <si>
    <t>88 - China National Petroleum Corp. - Liaoyang</t>
  </si>
  <si>
    <t>89 - China National Petroleum Corp. - Panjin</t>
  </si>
  <si>
    <t>86 - China National Petroleum Corp. - Lanzhou</t>
  </si>
  <si>
    <t>90 - China National Petroleum Corp. - Qinghai</t>
  </si>
  <si>
    <t>94 - China National Petroleum Corp. - Urumqi</t>
  </si>
  <si>
    <t>95 - China National Petroleum Corp. - Xianyang</t>
  </si>
  <si>
    <t>96 - China National Petroleum Corp. - Xianyang</t>
  </si>
  <si>
    <t>97 - China National Petroleum Corp. - Xinjiang</t>
  </si>
  <si>
    <t>98 - China National Petroleum Corp. - Xinjiang</t>
  </si>
  <si>
    <t>99 - China National Petroleum Corp. - Yinchuan</t>
  </si>
  <si>
    <t>100 - China National Petroleum Corp. - Yumen</t>
  </si>
  <si>
    <t>110 - Sinopec - Luoyang</t>
  </si>
  <si>
    <t>http://en.wikipedia.org/wiki/SINOPEC</t>
  </si>
  <si>
    <t>http://english.sinopec.com/en-business/948.shtml</t>
  </si>
  <si>
    <t>121 - Sinopec - Xian</t>
  </si>
  <si>
    <t>124 - Sinopec - Zhanjiang</t>
  </si>
  <si>
    <t>77 - China National Petroleum Corp. - Dalian</t>
  </si>
  <si>
    <t>92 - China National Petroleum Corp. - Renqiu</t>
  </si>
  <si>
    <t>93 - China National Petroleum Corp. - Tianjin</t>
  </si>
  <si>
    <t>103 - Sinopec - Beijing</t>
  </si>
  <si>
    <t>104 - Sinopec - Canzhou</t>
  </si>
  <si>
    <t>107 - Sinopec - Jinan</t>
  </si>
  <si>
    <t>115 - Sinopec - Qingdao</t>
  </si>
  <si>
    <t>116 - Sinopec - Quanzhou</t>
  </si>
  <si>
    <t>119 - Sinopec - Shijiazhuang</t>
  </si>
  <si>
    <t>120 - Sinopec - Tianjin</t>
  </si>
  <si>
    <t>126 - Sinopec - Zibo</t>
  </si>
  <si>
    <t>127 - West Pacific Petrochemical Corp. - Dalian</t>
  </si>
  <si>
    <t>http://www.sinochem.com/english/tabid/644/InfoID/7527/Default.aspx</t>
  </si>
  <si>
    <t>91 - China National Petroleum Corp. - Qingyang</t>
  </si>
  <si>
    <t>101 - Sinopec - Anqing</t>
  </si>
  <si>
    <t>106 - Sinopec - Huaian</t>
  </si>
  <si>
    <t>108 - Sinopec - Jinmen</t>
  </si>
  <si>
    <t>109 - Sinopec - Jiujiang</t>
  </si>
  <si>
    <t>112 - Sinopec - Nanjing</t>
  </si>
  <si>
    <t>113 - Sinopec - Nanjing</t>
  </si>
  <si>
    <t>114 - Sinopec - Ningbo</t>
  </si>
  <si>
    <t>117 - Sinopec - Shanghai</t>
  </si>
  <si>
    <t>118 - Sinopec - Shanghai</t>
  </si>
  <si>
    <t>122 - Sinopec - Wuhan</t>
  </si>
  <si>
    <t>123 - Sinopec - Yueyang</t>
  </si>
  <si>
    <t>125 - Sinopec - Zhenhai</t>
  </si>
  <si>
    <t>102 - Sinopec - Beihai</t>
  </si>
  <si>
    <t>111 - Sinopec - Maoming</t>
  </si>
  <si>
    <t>105 - Sinopec - Guangzhou</t>
  </si>
  <si>
    <t>212 - Indian Oil Co. Ltd. - Barauni, Bihar</t>
  </si>
  <si>
    <t>http://www.iocl.com/AboutUs/BarauniRefinery.aspx</t>
  </si>
  <si>
    <t>217 - Indian Oil Co. Ltd. - Mathura, Uttar Pradesh</t>
  </si>
  <si>
    <t>http://www.iocl.com/AboutUs/MathuraRefinery.aspx</t>
  </si>
  <si>
    <t>218 - Indian Oil Co. Ltd. - Panipat</t>
  </si>
  <si>
    <t>http://www.iocl.com/AboutUs/PanipatRefinery.aspx</t>
  </si>
  <si>
    <t>206 - Bharat Petroleum Co. Ltd. - Mahul, Bombay</t>
  </si>
  <si>
    <t>http://www.bharatpetroleum.com/sbu/refinery/refinery_sbu_home.asp</t>
  </si>
  <si>
    <t>210 - Hindustan Petroleum Corp. Ltd. - Mahul, Mumbai</t>
  </si>
  <si>
    <t>http://en.wikipedia.org/wiki/Hindustan_Petroleum</t>
  </si>
  <si>
    <t>http://www.hindustanpetroleum.com</t>
  </si>
  <si>
    <t>216 - Indian Oil Co. Ltd. - Koyali, Gujarat</t>
  </si>
  <si>
    <t>http://www.iocl.com/AboutUs/GujaratRefinery.aspx</t>
  </si>
  <si>
    <t>222 - Reliance Petroleum Ltd. - Jamnagar</t>
  </si>
  <si>
    <t>http://en.wikipedia.org/wiki/Reliance_Petroleum</t>
  </si>
  <si>
    <t>http://www.reliancepetroleum.com</t>
  </si>
  <si>
    <t>208 - Bongaigaon Refinery + Petrochemicals Ltd. - Bongaigaon Assam</t>
  </si>
  <si>
    <t>http://en.wikipedia.org/wiki/Bongaigaon_Refinery_and_Petrochemicals_Limited</t>
  </si>
  <si>
    <t>http://www.brplindia.com</t>
  </si>
  <si>
    <t>213 - Indian Oil Co. Ltd. - Digboi, Assam</t>
  </si>
  <si>
    <t>http://en.wikipedia.org/wiki/Indian_Oil_Corporation</t>
  </si>
  <si>
    <t>http://www.iocl.com/AboutUs/DigboiRefinery.aspx</t>
  </si>
  <si>
    <t>214 - Indian Oil Co. Ltd. - Gawahati, Assam</t>
  </si>
  <si>
    <t>http://www.iocl.com/AboutUs/GuwahatiRefinery.aspx</t>
  </si>
  <si>
    <t>215 - Indian Oil Co. Ltd. - Haldia, Bengal</t>
  </si>
  <si>
    <t>http://www.iocl.com/AboutUs/HaldiaRefinery.aspx</t>
  </si>
  <si>
    <t>207 - Bharat Petroleum Co. Ltd. - Numaligarh, Assam</t>
  </si>
  <si>
    <t>http://www.bharatpetroleum.com/corporate/refinery_nrl_krl.asp?from=corp</t>
  </si>
  <si>
    <t>220 - Chennai Petroleum Corp. Ltd. - Cauvery Basin</t>
  </si>
  <si>
    <t>http://www.cpcl.co.in/business_refineries.htm</t>
  </si>
  <si>
    <t>211 - Hindustan Petroleum Corp. Ltd. - Vishakapatnam</t>
  </si>
  <si>
    <t>209 - Chennai Petroleum Corp. Ltd. - Madras</t>
  </si>
  <si>
    <t>219 - Kochi Refineries Ltd. - Ambalamugal</t>
  </si>
  <si>
    <t>221 - Mangalore Refinery + Petrochemicals Ltd. - Mangalore</t>
  </si>
  <si>
    <t>http://en.wikipedia.org/wiki/Mangalore_Refinery_and_Petrochemicals</t>
  </si>
  <si>
    <t>http://www.mrpl.co.in</t>
  </si>
  <si>
    <t>223 - Pertamina - Balikpapan, Kalimantan</t>
  </si>
  <si>
    <t>http://en.wikipedia.org/wiki/Pertamina</t>
  </si>
  <si>
    <t>http://www.pertamina.com</t>
  </si>
  <si>
    <t>224 - Pertamina - Balongan</t>
  </si>
  <si>
    <t>225 - Pertamina - Cepu</t>
  </si>
  <si>
    <t>226 - Pertamina - Cilacap, Central Java</t>
  </si>
  <si>
    <t>227 - Pertamina - Dumai, Central Sumatra</t>
  </si>
  <si>
    <t>228 - Pertamina - Musi, South Sumatra</t>
  </si>
  <si>
    <t>229 - Pertamina - Pangakalan Brandan, North Sumatra</t>
  </si>
  <si>
    <t>230 - Pertamina - Sungai Pakning, Central Sumatra</t>
  </si>
  <si>
    <t>277 - Idemitsu Kosan Co. Ltd. - Shunan, Yamaguchi</t>
  </si>
  <si>
    <t>http://en.wikipedia.org/wiki/Idemitsu_Kosan</t>
  </si>
  <si>
    <t>http://www.idemitsu.co.jp/e/company/refineries.html</t>
  </si>
  <si>
    <t>280 - Kashima Oil Co. Ltd. - Kashima, Ibaragi</t>
  </si>
  <si>
    <t>http://www.kashima-oil.co.jp</t>
  </si>
  <si>
    <t>284 - Nihonkai Oil Co. Ltd. - Toyama</t>
  </si>
  <si>
    <t>http://www.nihonkai-oil.co.jp/</t>
  </si>
  <si>
    <t>286 - Nippon Oil Co. Ltd. - Muroran</t>
  </si>
  <si>
    <t>http://www.eneos.co.jp/english/company/group_companies/index.html</t>
  </si>
  <si>
    <t>288 - Nippon Oil Co. Ltd. - Sendai</t>
  </si>
  <si>
    <t>http://www.mhi.co.jp/mcec/outline/map_experience/dome/sendai-oil.htm</t>
  </si>
  <si>
    <t>270 - Cosmo Oil Co. Ltd. - Chiba</t>
  </si>
  <si>
    <t>http://en.wikipedia.org/wiki/Cosmo_Oil_Company</t>
  </si>
  <si>
    <t>http://www.cosmo-oil.co.jp/eng/company/group.html</t>
  </si>
  <si>
    <t>271 - Cosmo Oil Co. Ltd. - Sakai</t>
  </si>
  <si>
    <t>273 - Cosmo Oil Co. Ltd. - Yokkaichi</t>
  </si>
  <si>
    <t>274 - Fuji Oil Co. Ltd. - Sodegaura</t>
  </si>
  <si>
    <t>http://www.aoc.co.jp/e/pro/group.html</t>
  </si>
  <si>
    <t>275 - Idemitsu Kosan Co. Ltd. - Chita, Aichi</t>
  </si>
  <si>
    <t>276 - Idemitsu Kosan Co. Ltd. - Ichihara, Chiba</t>
  </si>
  <si>
    <t>281 - Kyokuto Petroleum Industries Ltd. - Ichihara, Chiba</t>
  </si>
  <si>
    <t>http://kpi.co.jp/</t>
  </si>
  <si>
    <t>287 - Nippon Oil Co. Ltd. - Negishi</t>
  </si>
  <si>
    <t>289 - Nippon Oil Co. Ltd. - Takaishi, Osaka</t>
  </si>
  <si>
    <t>293 - Showa Yokkaichi Sekiyu Co. Ltd. - Yokkaichi</t>
  </si>
  <si>
    <t>http://www.showa-shell.co.jp/english/profile/history.html</t>
  </si>
  <si>
    <t>295 - Toa Oil Co. Ltd. - Mizue Factory, Kawasaki</t>
  </si>
  <si>
    <t>296 - Toa Oil Co. Ltd. - Ohgimachi Factory, Kawasaki</t>
  </si>
  <si>
    <t>297 - Tonen/General Sekiyu Seisei KK - Kawasaki</t>
  </si>
  <si>
    <t>http://www.tonengeneral.co.jp/apps/tonengeneral/english/about/4_6_1.html</t>
  </si>
  <si>
    <t>298 - Tonen/General Sekiyu Seisei KK - Sakai</t>
  </si>
  <si>
    <t>http://www.tonengeneral.co.jp/apps/tonengeneral/english/about/4_6_2.html</t>
  </si>
  <si>
    <t>272 - Cosmo Oil Co. Ltd. - Sakaide</t>
  </si>
  <si>
    <t>278 - Idemitsu Kosan Co. Ltd. - Tomakomai, Hokkaido</t>
  </si>
  <si>
    <t>279 - Japan Energy Corp. - Mizushima, Okayama</t>
  </si>
  <si>
    <t>http://www.j-energy.co.jp/english/about/locations.php</t>
  </si>
  <si>
    <t>282 - Kyushu Oil Co. Ltd. - Oita</t>
  </si>
  <si>
    <t>http://www.kyushuoil.co.jp/</t>
  </si>
  <si>
    <t>283 - Nansei Sekiyu KK - Okinawa</t>
  </si>
  <si>
    <t>http://www.tonengeneral.co.jp/apps/tonengeneral/english/about/4_6_4.html</t>
  </si>
  <si>
    <t>285 - Nippon Oil Co. Ltd. - Mizushima</t>
  </si>
  <si>
    <t>290 - Nippon Oil Co. Ltd. - Marifu, Yamguchi</t>
  </si>
  <si>
    <t>291 - Okinawa Sekiyu Seisei - Yonashiro, Okinawa</t>
  </si>
  <si>
    <t>http://sciencelinks.jp/j-east/article/199906/000019990699A0156060.php</t>
  </si>
  <si>
    <t>292 - Seibu Oil Co. Ltd. - Yamaguchi</t>
  </si>
  <si>
    <t>http://www.seibuoil.co.jp/</t>
  </si>
  <si>
    <t>294 - Taiyo Oil Co. Ltd. - Kikuma, Ehime</t>
  </si>
  <si>
    <t>http://www.taiyooil.net/</t>
  </si>
  <si>
    <t>299 - Tonen/General Sekiyu Seisei KK - Wakayama</t>
  </si>
  <si>
    <t>http://www.tonengeneral.co.jp/apps/tonengeneral/english/about/4_6_3.html</t>
  </si>
  <si>
    <t>300 - Wakayama Petroleum Refining Co. Ltd. - Kainan City, Wakayama</t>
  </si>
  <si>
    <t>http://www.eneos.co.jp/english/company/group_companies/e71_encogr_grp_comp_oilst.html</t>
  </si>
  <si>
    <t>318 - Esso Malaysia Bhd. - Port Dickson</t>
  </si>
  <si>
    <t>321 - Petronas - Melaka II</t>
  </si>
  <si>
    <t>http://www.petronas.com.my/internet/corp/centralrep2.nsf/frameset_search?OpenFrameset</t>
  </si>
  <si>
    <t>319 - Petronas - Kertih, Terengganu</t>
  </si>
  <si>
    <t>320 - Petronas - Melaka I</t>
  </si>
  <si>
    <t>322 - Sarawak Shell Bhd. - Lutong</t>
  </si>
  <si>
    <t>http://www.shell.com/home/content2/src-en/about_src/srchistory_0901.html</t>
  </si>
  <si>
    <t>323 - Shell Refining Co. Bhd. - Port Dickson</t>
  </si>
  <si>
    <t>333 - Myanmar Petrochemical Enterprise - Chauk</t>
  </si>
  <si>
    <t>http://www.energy.gov.mm/MPE_1.htm</t>
  </si>
  <si>
    <t>334 - Myanmar Petrochemical Enterprise - Thanlyin</t>
  </si>
  <si>
    <t>335 - Myanmar Petrochemical Enterprise - Thanbayakan</t>
  </si>
  <si>
    <t>367 - Petron Corp. - Limay, Bataan</t>
  </si>
  <si>
    <t>http://en.wikipedia.org/wiki/Petron_Corporation</t>
  </si>
  <si>
    <t>http://www1.petron.com/about-leading.asp</t>
  </si>
  <si>
    <t>368 - Philippine Petroleum Corp. - Pililla</t>
  </si>
  <si>
    <t>http://piponlinesite.com/</t>
  </si>
  <si>
    <t>369 - Pilipinas Shell Petroleum Corp. - Tabango</t>
  </si>
  <si>
    <t>http://www.shell.com/home/content/ph-en/about_shell/what_we_do/oil_products/new_refinery2_0410.html</t>
  </si>
  <si>
    <t>440 - ExxonMobil Refining + Supply Co. - Jurong/Pulau Ayer Chawan</t>
  </si>
  <si>
    <t>http://www.exxonmobil.com/AP-English/About/SG_Info_refinery.asp</t>
  </si>
  <si>
    <t>441 - Shell Eastern Petroleum (Pte.) Ltd. - Pulau Bukom</t>
  </si>
  <si>
    <t>http://www.shellchemicals.com/locations/1,1098,42-location_id=52,00.html</t>
  </si>
  <si>
    <t>442 - Singapore Petroleum Co. Ltd. - Pulau Merlimau</t>
  </si>
  <si>
    <t>http://en.wikipedia.org/wiki/Singapore_Petroleum_Company</t>
  </si>
  <si>
    <t>http://www.src.com.sg/manufacturing.html</t>
  </si>
  <si>
    <t>350 - Government - Ungi</t>
  </si>
  <si>
    <t>http://www.capitaloilandgas.com/Operational.html#Anchor-RAJI-25766</t>
  </si>
  <si>
    <t>349 - Government - Bonghwa</t>
  </si>
  <si>
    <t>449 - Hyundai Lube Oil - Busan</t>
  </si>
  <si>
    <t>http://en.wikipedia.org/wiki/Hyundai_Oil_Bank</t>
  </si>
  <si>
    <t>http://www.oilbank.co.kr/</t>
  </si>
  <si>
    <t>450 - Hyundai Oil Refinery Co. - Daesan</t>
  </si>
  <si>
    <t>451 - Hyundai Oil Refinery Co. - Inchon</t>
  </si>
  <si>
    <t>452 - LG-Caltex - Yosu</t>
  </si>
  <si>
    <t>http://www.gscaltex.com/Contact/gs_Trading.asp</t>
  </si>
  <si>
    <t>453 - S-Oil Corp. - Onsan</t>
  </si>
  <si>
    <t>http://en.wikipedia.org/wiki/S-Oil</t>
  </si>
  <si>
    <t>http://www.s-oil.com/eng/business/biz_oil.asp</t>
  </si>
  <si>
    <t>454 - SK Corp. - Ulsan</t>
  </si>
  <si>
    <t>http://en.wikipedia.org/wiki/SK_Energy</t>
  </si>
  <si>
    <t>http://eng.skenergy.com/</t>
  </si>
  <si>
    <t>464 - Ceylon Petroleum Corp. - Sapugaskanda</t>
  </si>
  <si>
    <t>http://www.ceypetco.gov.lk/refinary.htm</t>
  </si>
  <si>
    <t>128 - Chinese Petroleum Corp. - Kaohsiung</t>
  </si>
  <si>
    <t>http://en.wikipedia.org/wiki/Taiwan_independence</t>
  </si>
  <si>
    <t>http://www.cpc.com.tw</t>
  </si>
  <si>
    <t>129 - Chinese Petroleum Corp. - Ta- Lin</t>
  </si>
  <si>
    <t>130 - Chinese Petroleum Corp. - Tao- Yuan</t>
  </si>
  <si>
    <t>131 - Formosa Petrochemical Co. - Mailiao</t>
  </si>
  <si>
    <t>479 - Alliance Refining Co. Ltd. - Map Ta Phut, Rayong</t>
  </si>
  <si>
    <t>http://en.wikipedia.org/wiki/Chevron_Corporation</t>
  </si>
  <si>
    <t>http://www.chevron.com/countries/thailand/</t>
  </si>
  <si>
    <t>480 - Esso Standard Thailand Ltd. - Sriracha</t>
  </si>
  <si>
    <t>http://www.exxonmobil.com/Thailand-English/PA/About/SR_Refinery_Facts.asp</t>
  </si>
  <si>
    <t>481 - PTT PLC - Bangchak, Bangkok</t>
  </si>
  <si>
    <t>http://www.pttplc.com/en/ptt_core.asp?page=ap_ov_ba</t>
  </si>
  <si>
    <t>482 - Thai Oil Co. Ltd. - Sriracha</t>
  </si>
  <si>
    <t>http://www.pttplc.com/en/ptt_core.asp?page=ap_ov</t>
  </si>
  <si>
    <t>27 - SOCAR - Baku</t>
  </si>
  <si>
    <t>http://en.wikipedia.org/wiki/SOCAR</t>
  </si>
  <si>
    <t>http://www.socar.gov.az/about-en.html</t>
  </si>
  <si>
    <t>28 - SOCAR - New Baku</t>
  </si>
  <si>
    <t>302 - Kazakoil - Atyrau</t>
  </si>
  <si>
    <t>http://en.wikipedia.org/wiki/KazMunayGas</t>
  </si>
  <si>
    <t>http://www.kmg.kz/index.cfm?tid=188</t>
  </si>
  <si>
    <t>303 - Kazakoil - Pavlodar</t>
  </si>
  <si>
    <t>304 - PetroKazakhstan - Shymkent</t>
  </si>
  <si>
    <t>http://en.wikipedia.org/wiki/PetroKazakhstan</t>
  </si>
  <si>
    <t>http://www.petrokazakhstan.com/</t>
  </si>
  <si>
    <t>309 - Kyrgoil - Dzhalalabad</t>
  </si>
  <si>
    <t>http://www.kpc.kg</t>
  </si>
  <si>
    <t>354 - Attock Refinery Ltd. - Rawalpindi</t>
  </si>
  <si>
    <t>http://en.wikipedia.org/wiki/Attock_Group_of_Companies</t>
  </si>
  <si>
    <t>http://www.arl.com.pk/group_profile.php</t>
  </si>
  <si>
    <t>355 - Bosicor Refinery Ltd. - Karachi</t>
  </si>
  <si>
    <t>http://www.bosicor.com.pk/production.asp</t>
  </si>
  <si>
    <t>356 - National Refinery Ltd. - Korangi, Karachi</t>
  </si>
  <si>
    <t>http://www.nrlpak.com/introduction.html</t>
  </si>
  <si>
    <t>358 - Pak-Arab Refinery Co. - Mahmood Kot, Punjab</t>
  </si>
  <si>
    <t>http://www.parco.com.pk/</t>
  </si>
  <si>
    <t>357 - Pakistan Refinery Ltd. - Karachi</t>
  </si>
  <si>
    <t>http://www.prl.com.pk/facility.html</t>
  </si>
  <si>
    <t>492 - Turkmenneftgas - Turkmenbashi</t>
  </si>
  <si>
    <t>http://www.unece.org/operact/opera/sppled/tur.htm</t>
  </si>
  <si>
    <t>491 - Ministry of Oil + Gas - Chardzou</t>
  </si>
  <si>
    <t>647 - Uzbekneftegaz - Alty-Arik</t>
  </si>
  <si>
    <t>http://www.thefreelibrary.com/UZBEKISTAN+-+The+Altyaryk+Refinery.-a093817024</t>
  </si>
  <si>
    <t>648 - Uzbekneftegaz - Bukhara</t>
  </si>
  <si>
    <t>http://www.thefreelibrary.com/UZBEKISTAN+-+The+Oil+Refining+Sector.-a065464834</t>
  </si>
  <si>
    <t>649 - Uzbekneftegaz - Fergana</t>
  </si>
  <si>
    <t>http://www.thefreelibrary.com/UZBEKISTAN+-+The+Ferghana+Refinery.-a093817023</t>
  </si>
  <si>
    <t>29 - Bahrain Petroleum Co. - Sitra</t>
  </si>
  <si>
    <t>http://en.wikipedia.org/wiki/Bapco_Bahrain</t>
  </si>
  <si>
    <t>http://www.bapco.com.bh</t>
  </si>
  <si>
    <t>242 - Oil Refineries Administration - Baiji</t>
  </si>
  <si>
    <t>http://en.wikipedia.org/wiki/INOC</t>
  </si>
  <si>
    <t>http://goliath.ecnext.com/coms2/summary_0199-2294109_ITM</t>
  </si>
  <si>
    <t>243 - Oil Refineries Administration - Basra</t>
  </si>
  <si>
    <t>241 - Midland Refineries Co. - Daura, Bagdad</t>
  </si>
  <si>
    <t>244 - Oil Refineries Administration - K3-Haditha</t>
  </si>
  <si>
    <t>245 - Oil Refineries Administration - Khanaqin</t>
  </si>
  <si>
    <t>240 - Iraqi Co. for Oil Operations - Kirkuk</t>
  </si>
  <si>
    <t>246 - Oil Refineries Administration - Mufthia</t>
  </si>
  <si>
    <t>247 - Oil Refineries Administration - Qaiyarah Mosul</t>
  </si>
  <si>
    <t>231 - National Iranian Oil Co. - Abadan</t>
  </si>
  <si>
    <t>http://en.wikipedia.org/wiki/NIOC</t>
  </si>
  <si>
    <t>http://niordc.ir</t>
  </si>
  <si>
    <t>232 - National Iranian Oil Co. - Arak</t>
  </si>
  <si>
    <t>233 - National Iranian Oil Co. - Bandar Abbas</t>
  </si>
  <si>
    <t>234 - National Iranian Oil Co. - Isfahan</t>
  </si>
  <si>
    <t>239 - National Iranian Oil Co. - Tehran</t>
  </si>
  <si>
    <t>235 - National Iranian Oil Co. - Kermanshah</t>
  </si>
  <si>
    <t>236 - National Iranian Oil Co. - Lavan Island</t>
  </si>
  <si>
    <t>237 - National Iranian Oil Co. - Shiraz</t>
  </si>
  <si>
    <t>238 - National Iranian Oil Co. - Tabriz</t>
  </si>
  <si>
    <t>250 - Oil Refineries Ltd. - Haifa</t>
  </si>
  <si>
    <t>http://en.wikipedia.org/wiki/Oil_Refineries_Ltd</t>
  </si>
  <si>
    <t>http://www.orl.co.il/index_eng.html</t>
  </si>
  <si>
    <t>249 - Oil Refineries Ltd. - Ashdod</t>
  </si>
  <si>
    <t>301 - Jordan Petroleum Refinery - Zarqa</t>
  </si>
  <si>
    <t>http://www.jopetrol.com.jo</t>
  </si>
  <si>
    <t>435 - Saudi Aramco-Mobil - Yanbu</t>
  </si>
  <si>
    <t>http://en.wikipedia.org/wiki/Saudi_Aramco</t>
  </si>
  <si>
    <t>http://www.samref.com.sa/english/refining.asp</t>
  </si>
  <si>
    <t>432 - Saudi Arabian Oil Co. (Saudi Aramco) - Jeddah</t>
  </si>
  <si>
    <t>http://www.saudiaramco.com</t>
  </si>
  <si>
    <t>429 - Petromin-Shell - Al-Jubail</t>
  </si>
  <si>
    <t>http://www.sasref.com.sa/EN/index.asp</t>
  </si>
  <si>
    <t>430 - Saudi Arabian Oil Co. (Saudi Aramco) - Rabigh</t>
  </si>
  <si>
    <t>431 - Saudi Arabian Oil Co. (Saudi Aramco) - Ras Tanura</t>
  </si>
  <si>
    <t>433 - Saudi Arabian Oil Co. (Saudi Aramco) - Riyadh</t>
  </si>
  <si>
    <t>434 - Saudi Arabian Oil Co. (Saudi Aramco) - Yanbu</t>
  </si>
  <si>
    <t>476 - Banias Refining Co. - Banias</t>
  </si>
  <si>
    <t>http://www.syrialive.net/financial/2003/11080903Syria%20Banias%20refinery%20restart%20delayed%20to%20next%20week.htm</t>
  </si>
  <si>
    <t>477 - Homs Refinery Co. - Homs</t>
  </si>
  <si>
    <t>http://www.homsrefinery.com/englesh/index.htm</t>
  </si>
  <si>
    <t>500 - Abu Dhabi National Oil Co. - Umm Al-Nar</t>
  </si>
  <si>
    <t>http://www.takreer.com/english/Refineries/abudhabi_index.aspx#abudhabi</t>
  </si>
  <si>
    <t>499 - Abu Dhabi National Oil Co. - Ruwais</t>
  </si>
  <si>
    <t>http://www.takreer.com/english/Refineries/ruwais_index.aspx#ruwais</t>
  </si>
  <si>
    <t>501 - Emirates National Oil Co. - Jebel Ali</t>
  </si>
  <si>
    <t>http://en.wikipedia.org/wiki/Jebel_Ali_refinery</t>
  </si>
  <si>
    <t>http://www.enoc.com/ENOCWebsite/</t>
  </si>
  <si>
    <t>502 - Metro Oil Corp. - Fujairah</t>
  </si>
  <si>
    <t>http://goliath.ecnext.com/coms2/gi_0199-5578687/Fujairah.html</t>
  </si>
  <si>
    <t>503 - Sharjah Oil Refining Co. Ltd. - Hamriyah</t>
  </si>
  <si>
    <t>http://www.sor.ae/</t>
  </si>
  <si>
    <t>656 - Aden Refinery Co. - Little Aden</t>
  </si>
  <si>
    <t>http://en.wikipedia.org/wiki/Aden</t>
  </si>
  <si>
    <t>http://www.arc-ye.com/aboutArc.htm</t>
  </si>
  <si>
    <t>657 - Yemen Oil Co. - Marib</t>
  </si>
  <si>
    <t>http://en.wikipedia.org/wiki/Economy_of_Yemen</t>
  </si>
  <si>
    <t>http://www.yorco.net/site/eng/aboutus.htm</t>
  </si>
  <si>
    <t>307 - Kuwait National Petroleum Co. - Mina Al-Ahmadi</t>
  </si>
  <si>
    <t>http://www.knpc.com/knpc/refinery_ahmadi.html</t>
  </si>
  <si>
    <t>306 - Kuwait National Petroleum Co. - Mina Abdulla</t>
  </si>
  <si>
    <t>http://www.knpc.com/knpc/refinery.html</t>
  </si>
  <si>
    <t>308 - Kuwait National Petroleum Co. - Shuaiba</t>
  </si>
  <si>
    <t>http://www.knpc.com/knpc/refinery_shuaiba.html</t>
  </si>
  <si>
    <t>353 - Oman Refinery Co. - Mina Al Fahal</t>
  </si>
  <si>
    <t>http://en.wikipedia.org/wiki/Oman_Refinery_Company</t>
  </si>
  <si>
    <t>http://www.oman-oil.com/newsdetails.asp?id=65</t>
  </si>
  <si>
    <t>377 - National Oil Distribution Co. - Umm Said</t>
  </si>
  <si>
    <t>http://en.wikipedia.org/wiki/Qatar_Petroleum</t>
  </si>
  <si>
    <t>http://www.qp.com.qa</t>
  </si>
  <si>
    <t>34 - ExxonMobil Refining + Supply Co. - Antwerp</t>
  </si>
  <si>
    <t>http://www.exxonmobil.com/Benelux-English/About/Bnl_CI_BG_AnterwepRefinery.asp</t>
  </si>
  <si>
    <t>36 - Petroplus - Antwerp</t>
  </si>
  <si>
    <t>http://en.wikipedia.org/wiki/Petroplus</t>
  </si>
  <si>
    <t>http://www.petroplusholdings.com/bus_ref_apf.php</t>
  </si>
  <si>
    <t>33 - AB Nynas Petroleum NV - Antwerp</t>
  </si>
  <si>
    <t>35 - Fina Raffinaderij Antwerpen - Antwerp</t>
  </si>
  <si>
    <t>http://www.be.total.com/content/en/refining/refinery/Refining-refinery-Total-Belgium.aspx</t>
  </si>
  <si>
    <t>170 - Cie. Rhenane de Raffinage - Reichstett-Vendenheim</t>
  </si>
  <si>
    <t>http://www.businesswire.com</t>
  </si>
  <si>
    <t>171 - ExxonMobil Refining + Supply Co. - Dunkirk</t>
  </si>
  <si>
    <t>173 - ExxonMobil Refining + Supply Co. - Port Jerome/NDG</t>
  </si>
  <si>
    <t>176 - Ste. des Petroles Shell - Petit Couronne</t>
  </si>
  <si>
    <t>177 - Total SA - Donges</t>
  </si>
  <si>
    <t>http://www.total.com/en/group/activities/downstream/refining_8934.htm</t>
  </si>
  <si>
    <t>178 - Total SA - Dunkirk</t>
  </si>
  <si>
    <t>180 - Total SA - Gonfreville lOrcher</t>
  </si>
  <si>
    <t>181 - Total SA - Grandpuits</t>
  </si>
  <si>
    <t>174 - Ineos - Lavera</t>
  </si>
  <si>
    <t>http://en.wikipedia.org/wiki/INEOS</t>
  </si>
  <si>
    <t>http://www.ineosrefining.com/46-Lavera.htm</t>
  </si>
  <si>
    <t>172 - ExxonMobil Refining + Supply Co. - Fos sur Mer</t>
  </si>
  <si>
    <t>175 - Ste. des Petroles Shell - Berre lEtang</t>
  </si>
  <si>
    <t>179 - Total SA - Feyzin</t>
  </si>
  <si>
    <t>182 - Total SA - La Mede</t>
  </si>
  <si>
    <t>193 - Holborn Europa Raffinerie GMBH - Harburg</t>
  </si>
  <si>
    <t>http://www.tamoil.com/Tamoil+World/Activities+and+Products/Downstream/Refining/Hamburg/default.htm</t>
  </si>
  <si>
    <t>192 - H+R Oelwerke Schindler GMBH - Hamburg</t>
  </si>
  <si>
    <t>http://www.hansen-rosenthal.de</t>
  </si>
  <si>
    <t>189 - Deutsche Shell AG - Harburg</t>
  </si>
  <si>
    <t>http://www.shell.com/home/content/de-de/about_shell/what_we_do/procurement/refinery_harburg.html</t>
  </si>
  <si>
    <t>197 - Shell Deutschland Oil GMBH - Heide</t>
  </si>
  <si>
    <t>http://www.shell.com/home/content/de-de/about_shell/what_we_do/manufacturing/refinery_heide/introduction.html</t>
  </si>
  <si>
    <t>191 - H+R Chemisch- Pharmazeutische Spezialitaeten GMBH - Salzbergen</t>
  </si>
  <si>
    <t>196 - PCK Raffinerie GMBH - Schwedt</t>
  </si>
  <si>
    <t>http://en.wikipedia.org/wiki/Schwedt</t>
  </si>
  <si>
    <t>http://www.pck.de</t>
  </si>
  <si>
    <t>198 - Total Raffinerie Mitteldeutschland GMBH - Leuna, Spergau</t>
  </si>
  <si>
    <t>186 - ConocoPhillips - Wilhelmshaven</t>
  </si>
  <si>
    <t>http://www.conocophillips.com/about/worldwide_ops/country/europe/germany.htm</t>
  </si>
  <si>
    <t>187 - Deutsche BP AG Erdol Raffinerie GMBH - Lingen</t>
  </si>
  <si>
    <t>http://www.deutschebp.de</t>
  </si>
  <si>
    <t>185 - BP PLC - Gelsenkirchen</t>
  </si>
  <si>
    <t>http://www.bprp.de/html_en/1_4_3.html</t>
  </si>
  <si>
    <t>188 - Deutsche Shell AG - Rheinland</t>
  </si>
  <si>
    <t>184 - Bayernoil Raffineriegesellschaft GMBH - Vohburg/Ingolstadt/Neustadt</t>
  </si>
  <si>
    <t>http://en.wikipedia.org/wiki/OMV</t>
  </si>
  <si>
    <t>http://www.bayernoil.de/</t>
  </si>
  <si>
    <t>190 - ExxonMobil Refining + Supply Co. - Ingolstadt</t>
  </si>
  <si>
    <t>http://www.petroplusholdings.com/bus_ref_ing.php</t>
  </si>
  <si>
    <t>194 - Mineraloelraffinerie Oberrhein GMBH - Karlsruhe</t>
  </si>
  <si>
    <t>http://www.miro-ka.de/english/default.htm</t>
  </si>
  <si>
    <t>195 - OMV AG - Burghausen</t>
  </si>
  <si>
    <t>http://www.omv.com/portal/01/com/kcxml/04_Sj9SPykssy0xPLMnMz0vM0Y_Qj4o3i_c1sPRw8ww1CnU08TRwCjKNdzf00w9KzdMvyHZUBADRR-Pm</t>
  </si>
  <si>
    <t>336 - ExxonMobil Refining + Supply Co. - Rotterdam</t>
  </si>
  <si>
    <t>http://www.exxonmobil.com/Benelux-English/About/Bnl_CI_NL_RdamRefinery.asp</t>
  </si>
  <si>
    <t>337 - Kuwait Petroleum Europoort BV - Rotterdam</t>
  </si>
  <si>
    <t>http://www.q8.be/benl/profiel.cfm</t>
  </si>
  <si>
    <t>338 - Netherlands Refining Co. - Europoort</t>
  </si>
  <si>
    <t>339 - Shell Nederland Raffinaderij BV - Pernis</t>
  </si>
  <si>
    <t>http://www.shell.com/home/content/nl-nl/pernis/dir_pernisfinal_09021506.html?LN=/shell_for_businesses/pernis</t>
  </si>
  <si>
    <t>340 - Smid + Hollander Raffinaderij BV - Amsterdam</t>
  </si>
  <si>
    <t>http://www.top500.de/details/979/smid_en_hollander_raffinaderij_bv_netherlands.php</t>
  </si>
  <si>
    <t>341 - Total Raffinery Netherlands - Vlissingen</t>
  </si>
  <si>
    <t>http://www.totalraffinaderij.nl/nl/siterafinery.nsf/home?readform</t>
  </si>
  <si>
    <t>374 - Galp Energia - Leca da Palmeira, Porto</t>
  </si>
  <si>
    <t>http://www.galpenergia.com/Galp+Energia/Portugues/a+Galp+Energia/a+refinacao/refinaria+porto/Ref_Porto_default.htm</t>
  </si>
  <si>
    <t>375 - Galp Energia - Sines</t>
  </si>
  <si>
    <t>http://www.galpenergia.com/Galp+Energia/Portugues/a+Galp+Energia/a+refinacao/refinaria+sines/Ref_Sines_default.htm</t>
  </si>
  <si>
    <t>455 - BP PLC - Castellon de la Plana</t>
  </si>
  <si>
    <t>456 - Cia. Espanola de Petroles SA - Cadiz</t>
  </si>
  <si>
    <t>http://es.wikipedia.org/wiki/Cepsa</t>
  </si>
  <si>
    <t>http://www.cepsa.com/refinerias/gibraltar/pages/refgi_1.htm</t>
  </si>
  <si>
    <t>457 - Cia. Espanola de Petroles SA - Huelva</t>
  </si>
  <si>
    <t>http://www.cepsa.com/refinerias/huelva/pages/refhu_1.htm</t>
  </si>
  <si>
    <t>458 - Cia. Espanola de Petroles SA - Tenerife</t>
  </si>
  <si>
    <t>http://www.cepsa.com/refinerias/tenerife/pages/refte_1.htm</t>
  </si>
  <si>
    <t>459 - Petronor SA - Muskiz Vizcaya</t>
  </si>
  <si>
    <t>http://www.repsolypf.com/es_en/todo_sobre_repsol_ypf/conocer_repsol_ypf/actividad/refino_marketing/refinerias/</t>
  </si>
  <si>
    <t>460 - Repsol YPF SA - Cartagena Murcia</t>
  </si>
  <si>
    <t>461 - Repsol YPF SA - La Coruna</t>
  </si>
  <si>
    <t>462 - Repsol YPF SA - Puertollano, Ciudad Real</t>
  </si>
  <si>
    <t>463 - Repsol YPF SA - Tarragona</t>
  </si>
  <si>
    <t>474 - Petroplus - Cressier</t>
  </si>
  <si>
    <t>http://www.petroplusholdings.com/bus_ref_cre.php</t>
  </si>
  <si>
    <t>475 - Tamoil SA - Collombey</t>
  </si>
  <si>
    <t>http://www.tamoil.com/Tamoil+World/Activities+and+Products/Downstream/Refining/Collombey/default.htm</t>
  </si>
  <si>
    <t>150 - AS Dansk Shell - Fredericia</t>
  </si>
  <si>
    <t>http://www.shell.com/home/content/dk-da/about_shell/how_we_work/raff/raffinaderiet_0809_1144.html</t>
  </si>
  <si>
    <t>151 - Dansk Statoil AS - Kalundborg</t>
  </si>
  <si>
    <t>http://en.wikipedia.org/wiki/Statoil</t>
  </si>
  <si>
    <t>http://statoil.com</t>
  </si>
  <si>
    <t>168 - Neste Oil - Naantali</t>
  </si>
  <si>
    <t>http://en.wikipedia.org/wiki/Neste_Oil</t>
  </si>
  <si>
    <t>http://www.nesteoil.com/default.asp?path=1,41,537,2397,2510</t>
  </si>
  <si>
    <t>169 - Neste Oil - Porvoo</t>
  </si>
  <si>
    <t>http://www.nesteoil.com/default.asp?path=1,41,537,2397,2398</t>
  </si>
  <si>
    <t>352 - Statoil Mongstad - Mongstad</t>
  </si>
  <si>
    <t>351 - ExxonMobil Refining + Supply Co. - Slagen</t>
  </si>
  <si>
    <t>http://www.exxonmobil.com/Norway-English/PA/Operations/NO_Raffinering.asp</t>
  </si>
  <si>
    <t>469 - AB Nynas Petroleum - Gothenburg</t>
  </si>
  <si>
    <t>http://www.nynas.com/templates/Page____1372.aspx?epslanguage=EN</t>
  </si>
  <si>
    <t>470 - AB Nynas Petroleum - Nynashamn</t>
  </si>
  <si>
    <t>471 - Preem Raffinaderi AB - Brofjorden-Lysekil</t>
  </si>
  <si>
    <t>http://www.preem.se/templates/page____680.aspx</t>
  </si>
  <si>
    <t>472 - Preem Raffinaderi AB - Gothenburg</t>
  </si>
  <si>
    <t>473 - Shell Raffinaderi AB - Gothenburg</t>
  </si>
  <si>
    <t>http://www.shell.com/home/Framework?siteId=se-sv</t>
  </si>
  <si>
    <t>504 - BP PLC  - Coryton Essex</t>
  </si>
  <si>
    <t>505 - ConocoPhillips - South Killingholme</t>
  </si>
  <si>
    <t>http://www.conocophillips.com/about/worldwide_ops/country/europe/uk.htm</t>
  </si>
  <si>
    <t>506 - AB Nynas Petroleum - Eastham</t>
  </si>
  <si>
    <t>507 - ExxonMobil Refining + Supply Co. - Fawley</t>
  </si>
  <si>
    <t>http://www.exxonmobil.com/UK-English/Operations/UK_OP_Ref_Fawley.asp</t>
  </si>
  <si>
    <t>508 - Petroplus International NV - Teesside</t>
  </si>
  <si>
    <t>http://www.petroplusholdings.com/bus_ref_tee.php</t>
  </si>
  <si>
    <t>509 - Shell U.K. Ltd. - Stanlow</t>
  </si>
  <si>
    <t>http://www.shellchemicals.com/locations/1,1098,42-location_id=40,00.html</t>
  </si>
  <si>
    <t>510 - Total SA Lindsey Oil Refinery Ltd. - Killingholme South Humberside</t>
  </si>
  <si>
    <t>http://www.uk.total.com/activities/lindsey.asp</t>
  </si>
  <si>
    <t>513a - Total SAMilford Haven</t>
  </si>
  <si>
    <t>248 - ConocoPhillips - Whitegate</t>
  </si>
  <si>
    <t>http://www.conocophillips.com/about/worldwide_ops/country/europe/ireland.htm</t>
  </si>
  <si>
    <t>511 - AB Nynas Petroleum - Dundee</t>
  </si>
  <si>
    <t>512 - Ineos - Grangemouth</t>
  </si>
  <si>
    <t>http://www.ineosrefining.com/45-Grangemouth.htm</t>
  </si>
  <si>
    <t>513 - Chevron Corp. - Pembroke, Dyfed</t>
  </si>
  <si>
    <t>http://www.chevron.com/countries/unitedkingdom/</t>
  </si>
  <si>
    <t>31 - P.O. Naftan Refinery - Novopolotsk</t>
  </si>
  <si>
    <t>http://www.naftan.by/desktopdefault.aspx?lang=en</t>
  </si>
  <si>
    <t>26 - OMV AG - Schwechat</t>
  </si>
  <si>
    <t>32 - Slavneft - Mozyr</t>
  </si>
  <si>
    <t>http://en.wikipedia.org/wiki/Gazprom_Neft</t>
  </si>
  <si>
    <t>http://www.mnpz.by/en/business/facts.shtml</t>
  </si>
  <si>
    <t>146 - Czech Refining Co. - Kralupy</t>
  </si>
  <si>
    <t>http://www.ceskarafinerska.cz/en/about_us.aspx</t>
  </si>
  <si>
    <t>147 - Czech Refining Co. - Litvinov</t>
  </si>
  <si>
    <t>148 - Koramo Kolin - Kolin</t>
  </si>
  <si>
    <t>http://www.koramo.cz</t>
  </si>
  <si>
    <t>149 - Paramo AS - Pardubice</t>
  </si>
  <si>
    <t>204 - MOL Hungarian Oil + Gas Co. - Szazhalombatta</t>
  </si>
  <si>
    <t>http://www.molgroup.hu/en/businesses/operations_activities/refining_marketing/refining/</t>
  </si>
  <si>
    <t>205 - MOL Hungarian Oil + Gas Co. - Tiszaujvaros</t>
  </si>
  <si>
    <t>316 - AB Mazeikiu Nafta - Mazeikiai</t>
  </si>
  <si>
    <t>http://en.wikipedia.org/wiki/Ma%C5%BEeiki%C5%B3_Nafta</t>
  </si>
  <si>
    <t>http://www.nafta.lt/en/content.php?pid=34</t>
  </si>
  <si>
    <t>371 - Nafta Polska SA - Jaslo</t>
  </si>
  <si>
    <t>http://naftapolska.bip-e.pl/</t>
  </si>
  <si>
    <t>370 - Nafta Polska SA - Gorlice</t>
  </si>
  <si>
    <t>373 - Grupa Lotos SA - Gdansk</t>
  </si>
  <si>
    <t>372 - PKN Orlen SA - Plock/Trezebina</t>
  </si>
  <si>
    <t>384 - Rafinaria Darmanesti SA - Darmanesti</t>
  </si>
  <si>
    <t>http://213.198.68.188/details/467/rafinaria_darmanesti_s_a_romania.php</t>
  </si>
  <si>
    <t>379 - Astra SA - Ploiesti</t>
  </si>
  <si>
    <t>http://www.kmarket.ro/rapoarte/arhiva/asp2/asp.html</t>
  </si>
  <si>
    <t>381 - Petrolsub SA - Bacau</t>
  </si>
  <si>
    <t>http://ro.wikipedia.org/wiki/Industria_petrolului_%C3%AEn_Rom%C3%A2nia</t>
  </si>
  <si>
    <t>383 - Petrotel SA - Ploiesti</t>
  </si>
  <si>
    <t>http://www.lukoil.ro/procesare/rafinariaPetrotelLUKOIL.php</t>
  </si>
  <si>
    <t>378 - Arpechim SA - Pitesti</t>
  </si>
  <si>
    <t>http://www.petrom.com/engleza/en_rafinare.htm</t>
  </si>
  <si>
    <t>380 - Petrobrazi SA - Ploiesti</t>
  </si>
  <si>
    <t>385 - Rafo SA - Onesti, Bacau</t>
  </si>
  <si>
    <t>http://www.rafo.ro</t>
  </si>
  <si>
    <t>382 - Petromidia SA - Midia</t>
  </si>
  <si>
    <t>http://www.rompetrol-rafinare.ro/online/index.php?_website_id=68</t>
  </si>
  <si>
    <t>386 - Rompetrol SA Vega Refinery - Ploiesti</t>
  </si>
  <si>
    <t>http://en.wikipedia.org/wiki/Rompetrol</t>
  </si>
  <si>
    <t>http://www.rafinarie.ro/online/index.php?_website_id=46</t>
  </si>
  <si>
    <t>387 - Steaua Romania SA - Cimpina</t>
  </si>
  <si>
    <t>http://www.steauaromana.ro/index_en.html</t>
  </si>
  <si>
    <t>392 - Central Fuel Co. - Moscow</t>
  </si>
  <si>
    <t>http://www.sibirenergy.com/operations/51/53/</t>
  </si>
  <si>
    <t>393 - Chernogorneft Refinery - Chernogorneft</t>
  </si>
  <si>
    <t>http://commersant.com/p288425/r_38/Oil_Industry_1999-2000/</t>
  </si>
  <si>
    <t>397 - Lukoil - Kstovo, Nizhny Novgorod</t>
  </si>
  <si>
    <t>http://en.wikipedia.org/wiki/Lukoil</t>
  </si>
  <si>
    <t>http://www.lukoil.com/static_6_5id_257_.html</t>
  </si>
  <si>
    <t>404 - Rosneft - Tarasovskoye</t>
  </si>
  <si>
    <t>http://en.wikipedia.org/wiki/Rosneft</t>
  </si>
  <si>
    <t>http://www.rosneft.com/Downstream/refining/</t>
  </si>
  <si>
    <t>410 - Slavneft - Yanos</t>
  </si>
  <si>
    <t>http://www.ngv.ru/article_en.aspx?articleID=22755</t>
  </si>
  <si>
    <t>411 - Slavneft - Yaroslavl/Mendeleyev</t>
  </si>
  <si>
    <t>http://www.ngv.ru/article_en.aspx?articleID=22756</t>
  </si>
  <si>
    <t>412 - Surgutneftegaz - Kirishi</t>
  </si>
  <si>
    <t>http://www.ngv.ru/article_en.aspx?articleID=22757</t>
  </si>
  <si>
    <t>418 - TNK-BP - Ryazan</t>
  </si>
  <si>
    <t>http://en.wikipedia.org/wiki/TNK-BP</t>
  </si>
  <si>
    <t>http://www.tnk-bp.com/operations/refining/</t>
  </si>
  <si>
    <t>389 - Bashneftekhimzavody - Novo-Ufa</t>
  </si>
  <si>
    <t>http://www.bashedu.ru/konkurs/makhmutov/english/exporters/oil_exporters.htm</t>
  </si>
  <si>
    <t>390 - Bashneftekhimzavody - Ufa</t>
  </si>
  <si>
    <t>391 - Bashneftekhimzavody - Ufaneftekhim</t>
  </si>
  <si>
    <t>398 - Lukoil - Perm</t>
  </si>
  <si>
    <t>399 - Lukoil - Ukhta</t>
  </si>
  <si>
    <t>401 - Mari El Refinery - Mari Republic</t>
  </si>
  <si>
    <t>http://www.ngv.ru/article_en.aspx?articleID=22752</t>
  </si>
  <si>
    <t>407 - Salavatnefteorgsintez - Salavat</t>
  </si>
  <si>
    <t>413 - Tatneft - Kichuyi</t>
  </si>
  <si>
    <t>http://en.wikipedia.org/wiki/Tatneft</t>
  </si>
  <si>
    <t>http://www.tatneft.ru/eng/history.htm#2002</t>
  </si>
  <si>
    <t>414 - Tatneft - Nizhnekamsk, Tartarstan</t>
  </si>
  <si>
    <t>http://www.tatneft.ru/eng/history.htm#2003</t>
  </si>
  <si>
    <t>417 - TNK-BP - Orsk, Orenburg</t>
  </si>
  <si>
    <t>421 - Ulyanovskneft</t>
  </si>
  <si>
    <t>http://www.ngv.ru/article_en.aspx?articleID=22753</t>
  </si>
  <si>
    <t>425 - Yukos - Novo-Kuibishev</t>
  </si>
  <si>
    <t>http://en.wikipedia.org/wiki/Yukos</t>
  </si>
  <si>
    <t>428 - Yukos - Syzran</t>
  </si>
  <si>
    <t>388 - Alliance Oil Co. - Khabarovsk</t>
  </si>
  <si>
    <t>http://www.nk-alliance.ru/page.phtml/eng/refining</t>
  </si>
  <si>
    <t>396 - Lukoil - Kogalym</t>
  </si>
  <si>
    <t>403 - Rosneft - Komsomolsk</t>
  </si>
  <si>
    <t>408 - Sibneft - Omsk</t>
  </si>
  <si>
    <t>415 - TNK-BP - Krasnoleninsk</t>
  </si>
  <si>
    <t>416 - TNK-BP - Niszhnevartovsk</t>
  </si>
  <si>
    <t>420 - Tomskneft - Tomsk</t>
  </si>
  <si>
    <t>422 - Yakutsk Refinery - Yakutsk</t>
  </si>
  <si>
    <t>http://www.ngv.ru/article_en.aspx?articleID=22754</t>
  </si>
  <si>
    <t>423 - Yukos - Achinsk</t>
  </si>
  <si>
    <t>424 - Yukos - Angarsk</t>
  </si>
  <si>
    <t>426 - Yukos - Samara-Kuibishev</t>
  </si>
  <si>
    <t>427 - Yukos - Strezhevoy</t>
  </si>
  <si>
    <t>394 - Dagestan Oil - Makhachkala</t>
  </si>
  <si>
    <t>395 - Krasnodareconeft - Krasno</t>
  </si>
  <si>
    <t>400 - Lukoil - Volgograd</t>
  </si>
  <si>
    <t>402 - Rosneft - Afipsky</t>
  </si>
  <si>
    <t>405 - Rosneft - Tuapse</t>
  </si>
  <si>
    <t>406 - Rosneft - Afipsky</t>
  </si>
  <si>
    <t>409 - Sidanco - Cracking-Saratov</t>
  </si>
  <si>
    <t>419 - TNK-BP - Saratov</t>
  </si>
  <si>
    <t>443 - Slovnaft Joint Stock Co. - Bratislava</t>
  </si>
  <si>
    <t>493 - Alliance Oil Co. - Kherson</t>
  </si>
  <si>
    <t>http://www.nk-alliance.ru/page.phtml/eng/ref_hersonref</t>
  </si>
  <si>
    <t>494 - Lukoil - Odessa</t>
  </si>
  <si>
    <t>http://www.lukoil.com/static_6_5id_258_.html</t>
  </si>
  <si>
    <t>495 - TNK-Ukraina - Lisichansk</t>
  </si>
  <si>
    <t>http://www.tnk-bp.com/operations/enterprises/linos/</t>
  </si>
  <si>
    <t>496 - Ukraine Oil Co. - Drogobich</t>
  </si>
  <si>
    <t>http://www.converger.com/eiacab/ukraine.htm#OIL</t>
  </si>
  <si>
    <t>497 - Ukrtatnafta - Kremenchug</t>
  </si>
  <si>
    <t>498 - Ukrtatnafta - Nadvornaja</t>
  </si>
  <si>
    <t>1 - Albpetrol - Ballshi</t>
  </si>
  <si>
    <t>http://www.energyagency.at/enercee/al/energymarketactors.htm#h2</t>
  </si>
  <si>
    <t>2 - Albpetrol - Fieri</t>
  </si>
  <si>
    <t>53 - Neftochim - Bourgas</t>
  </si>
  <si>
    <t>http://www.capitaloilandgas.com/Operational.html#Anchor-NEFTOCHI-41839</t>
  </si>
  <si>
    <t>139 - Ina-Industrija Nafte d.d. - Rijeka</t>
  </si>
  <si>
    <t>http://hr.wikipedia.org/wiki/INA</t>
  </si>
  <si>
    <t>http://www.ina.hr/default.aspx?id=297</t>
  </si>
  <si>
    <t>140 - Ina-Industrija Nafte d.d. - Sisak</t>
  </si>
  <si>
    <t>http://www.ina.hr/default.aspx?id=298</t>
  </si>
  <si>
    <t>141 - Ina-Industrija Nafte d.d. - Zagreb</t>
  </si>
  <si>
    <t>http://www.ina.hr/default.aspx?id=294</t>
  </si>
  <si>
    <t>203 - Motor Oil (Hellas) Corinth Refineries SA - Aghii Theodori</t>
  </si>
  <si>
    <t>http://www.moh.gr</t>
  </si>
  <si>
    <t>200 - Hellenic Petroleum SA - Aspropyrgos</t>
  </si>
  <si>
    <t>http://www.hellenic-petroleum.gr/online/generic.aspx?mid=163</t>
  </si>
  <si>
    <t>201 - Hellenic Petroleum SA - Elefsis</t>
  </si>
  <si>
    <t>202 - Hellenic Petroleum SA - Thessaloniki</t>
  </si>
  <si>
    <t>252 - AgipPetroli SPA - Livorno</t>
  </si>
  <si>
    <t>http://en.wikipedia.org/wiki/Agip</t>
  </si>
  <si>
    <t>http://www.agip.eni.it</t>
  </si>
  <si>
    <t>253 - AgipPetroli SPA - Porto Marghera</t>
  </si>
  <si>
    <t>http://www.agip.eni.it/agip</t>
  </si>
  <si>
    <t>254 - AgipPetroli SPA - Sannazzaro, Pavia</t>
  </si>
  <si>
    <t>256 - Api Raffineria di Ancona SPA - Falconara, Marittima</t>
  </si>
  <si>
    <t>http://www.apioil.com/ita/polo_energetico.asp</t>
  </si>
  <si>
    <t>257 - Arcola Petrolifera SPA - La Spezia</t>
  </si>
  <si>
    <t>http://www.arcolapetrolifera.it</t>
  </si>
  <si>
    <t>261 - ExxonMobil Refining + Supply Co. - S. Martino Di Trecate</t>
  </si>
  <si>
    <t>262 - Iplom SPA - Busalla</t>
  </si>
  <si>
    <t>http://www.iplom.it</t>
  </si>
  <si>
    <t>263 - Italiana Energia E Servizi SPA - Mantova</t>
  </si>
  <si>
    <t>http://www.iesitaliana.it/eng/raffineria.asp</t>
  </si>
  <si>
    <t>267 - Tamoil Raffinazione SPA - Cremona</t>
  </si>
  <si>
    <t>http://www.tamoil.com/Tamoil+World/Activities+and+Products/Downstream/Refining/Cremona/default.htm</t>
  </si>
  <si>
    <t>251 - AgipPetroli SPA - Gela, Ragusa</t>
  </si>
  <si>
    <t>255 - AgipPetroli SPA - Taranto</t>
  </si>
  <si>
    <t>258 - ERG Reffinerie Medditerranee North - Priolo, Sicily</t>
  </si>
  <si>
    <t>http://www.erg.it/ergctx/exrt/ERG/en/company/business/raffinazione/raffineria_isab_nord/default.html</t>
  </si>
  <si>
    <t>259 - ERG Reffinerie Medditerranee South - Melilli, Sicily</t>
  </si>
  <si>
    <t>http://www.erg.it/ergctx/exrt/ERG/en/company/business/raffinazione/raffineria_isab_sud/default.html</t>
  </si>
  <si>
    <t>260 - ExxonMobil Refining + Supply Co. - Augusta, Siracusa</t>
  </si>
  <si>
    <t>264 - Raffineria di Milazzo SPA - Milazzo, Messina</t>
  </si>
  <si>
    <t>http://en.wikipedia.org/wiki/Eni</t>
  </si>
  <si>
    <t>http://www.eni.it/eni</t>
  </si>
  <si>
    <t>265 - Raffineria di Roma SPA - Rome</t>
  </si>
  <si>
    <t>http://www.total.com/en/finance/fi_press_releases/fpr_2005/050712_italy_rome_refinery_7500.htm</t>
  </si>
  <si>
    <t>266 - Saras SPA - Sarroch</t>
  </si>
  <si>
    <t>http://it.wikipedia.org/wiki/Saras</t>
  </si>
  <si>
    <t>http://www.saras.it/content_en/gruppo/raffinazione.shtml</t>
  </si>
  <si>
    <t>317 - Hellenic Petroleum SA - Skopje</t>
  </si>
  <si>
    <t>http://www.hellenic-petroleum.gr/online/generic.aspx?mid=174</t>
  </si>
  <si>
    <t>437 - NIS-Oil Refinery Novi Sad - Novi Sad</t>
  </si>
  <si>
    <t>http://en.wikipedia.org/wiki/Naftna_Industrija_Srbije</t>
  </si>
  <si>
    <t>http://www.rns-nis.co.yu</t>
  </si>
  <si>
    <t>438 - NIS-Rafinerija Nafte Pancevo - Pancevo</t>
  </si>
  <si>
    <t>http://www.rnp.co.yu/rnp/index_eng.jsp</t>
  </si>
  <si>
    <t>444 - Nafte Lendava - Lendava</t>
  </si>
  <si>
    <t>http://www.nafta-lendava.si</t>
  </si>
  <si>
    <t>485 - Anadolu Tasfiyehanesi AS - Mersin</t>
  </si>
  <si>
    <t>http://www.atas.gen.tr/units.htm</t>
  </si>
  <si>
    <t>486 - Ersan Petrol Sanayii AS - Narli, Kahramanmaras</t>
  </si>
  <si>
    <t>http://www.sayergroup.com</t>
  </si>
  <si>
    <t>487 - Turkish Petroleum Refineries Corp. - Aliaga-Izmir</t>
  </si>
  <si>
    <t>http://en.wikipedia.org/wiki/TUPRAS</t>
  </si>
  <si>
    <t>http://www.tupras.com.tr/detailpage.en.php?lPageID=1831</t>
  </si>
  <si>
    <t>488 - Turkish Petroleum Refineries Corp. - Batman, Siirt</t>
  </si>
  <si>
    <t>http://www.tupras.com.tr/detailpage.en.php?lPageID=1833</t>
  </si>
  <si>
    <t>489 - Turkish Petroleum Refineries Corp. - Izmit</t>
  </si>
  <si>
    <t>http://www.tupras.com.tr/detailpage.en.php?lPageID=1832</t>
  </si>
  <si>
    <t>490 - Turkish Petroleum Refineries Corp. - Kirikkale</t>
  </si>
  <si>
    <t>8 - Destileria Argentina de Petroleo SA - Dock Sud</t>
  </si>
  <si>
    <t>http://www.dapsa.com/ingles/historia.shtml</t>
  </si>
  <si>
    <t>9 - Destileria Argentina de Petroleo SA - Lomas de Zamora</t>
  </si>
  <si>
    <t>10 - Esso SA Petrolera Argentina - Campana</t>
  </si>
  <si>
    <t>13 - Refinor SA - Campo Duran</t>
  </si>
  <si>
    <t>http://www2.petrobras.com.br/minisite/refinarias/ingles/index.asp</t>
  </si>
  <si>
    <t>14 - Repsol YPF SA - La Plata</t>
  </si>
  <si>
    <t>http://en.wikipedia.org/wiki/Repsol_YPF</t>
  </si>
  <si>
    <t>http://www.repsolypf.com/</t>
  </si>
  <si>
    <t>17 - Shell Cia. Argentina de Petroleo SA - Buenos Aires</t>
  </si>
  <si>
    <t>http://www.shell.com/home/content2/ar-es/about_shell/what_we_do/larefinacion_11051630.html</t>
  </si>
  <si>
    <t>11 - Petroleo Brasileiro SA - Bahia Blanca</t>
  </si>
  <si>
    <t>12 - Refineria San Lorenzo SA - San Lorenzo</t>
  </si>
  <si>
    <t>15 - Repsol YPF SA - Lujan de Cuyo</t>
  </si>
  <si>
    <t>16 - Repsol YPF SA - Plaza Huincul</t>
  </si>
  <si>
    <t>38 - Empresa Boliviana de Refinacion - Santa Cruz de la Sierra</t>
  </si>
  <si>
    <t>http://www2.petrobras.com.br/bolivia/ingles/empresa/conheca_presencabolivia.asp</t>
  </si>
  <si>
    <t>37 - Empresa Boliviana de Refinacion - Cochabamba</t>
  </si>
  <si>
    <t>50 - Refinaria de Petroleo Ipiranga SA - Rio Grande do Sul</t>
  </si>
  <si>
    <t>http://www.ipiranga.com.br/cbpiTexto.jsp?cod=nego,refi</t>
  </si>
  <si>
    <t>41 - Petroleo Brasileiro SA - Canoas, Rio Grande do Sul</t>
  </si>
  <si>
    <t>39 - Petroleo Brasileiro SA - Araucaria, Parana</t>
  </si>
  <si>
    <t>44 - Petroleo Brasileiro SA - Duque de Caxias, Rio de Janeiro</t>
  </si>
  <si>
    <t>42 - Petroleo Brasileiro SA - Capuava, Maua, Sao Paulo</t>
  </si>
  <si>
    <t>40 - Petroleo Brasileiro SA - Betim, Minas Gerais</t>
  </si>
  <si>
    <t>43 - Petroleo Brasileiro SA - Cubatao, Sao Paulo</t>
  </si>
  <si>
    <t>47 - Petroleo Brasileiro SA - Mataripe, Bahia</t>
  </si>
  <si>
    <t>45 - Petroleo Brasileiro SA - Fortaleza, Ceara</t>
  </si>
  <si>
    <t>48 - Petroleo Brasileiro SA - Paulinia, Sao Paulo</t>
  </si>
  <si>
    <t>49 - Petroleo Brasileiro SA - Sao Jose dos Campos, Sao Paulo</t>
  </si>
  <si>
    <t>46 - Petroleo Brasileiro SA - Manaus, Amazonas</t>
  </si>
  <si>
    <t>51 - Refinaria de Petroleos de Manguinhos SA - Rio de Janeiro</t>
  </si>
  <si>
    <t>http://www.manguinhosquimica.com.br/index.jsp?item=walquimica.quemsomos</t>
  </si>
  <si>
    <t>74 - Empresa Nactional de Petroleo - Aconcagua</t>
  </si>
  <si>
    <t>http://www.enap.cl/opensite_20051005045159.asp</t>
  </si>
  <si>
    <t>75 - Empresa Nactional de Petroleo - Gregorio</t>
  </si>
  <si>
    <t>76 - Empresa Nactional de Petroleo - BioBio</t>
  </si>
  <si>
    <t>136 - Empresa Colombiana de Petroleos - Tibu, N. de Santander</t>
  </si>
  <si>
    <t>http://en.wikipedia.org/wiki/Ecopetrol</t>
  </si>
  <si>
    <t>http://www.ecopetrol.com.co</t>
  </si>
  <si>
    <t>135 - Empresa Colombiana de Petroleos - Orito, Putumayo</t>
  </si>
  <si>
    <t>132 - Empresa Colombiana de Petroleos - Apiay</t>
  </si>
  <si>
    <t>133 - Empresa Colombiana de Petroleos - Barrancabermeja-Santander</t>
  </si>
  <si>
    <t>134 - Empresa Colombiana de Petroleos - Cartagena, Bolivar</t>
  </si>
  <si>
    <t>154 - Petroecuador - Esmeraldas</t>
  </si>
  <si>
    <t>http://en.wikipedia.org/wiki/Petroecuador</t>
  </si>
  <si>
    <t>http://www.petroindustrial.com.ec</t>
  </si>
  <si>
    <t>155 - Petroecuador - La Libertad</t>
  </si>
  <si>
    <t>156 - Petroecuador - Shushufindi</t>
  </si>
  <si>
    <t>360 - Petroleos Paraguayos - Villa Elisa</t>
  </si>
  <si>
    <t>http://www.eia.doe.gov/emeu/cabs/Paraguay_Uruguay/Full.html</t>
  </si>
  <si>
    <t>361 - Maple Gas Corp. - Pucallpa</t>
  </si>
  <si>
    <t>http://www.maple-energy.com/OilProd.htm</t>
  </si>
  <si>
    <t>362 - Petroperu SA - Conchan, Lima</t>
  </si>
  <si>
    <t>http://en.wikipedia.org/wiki/Petroperu</t>
  </si>
  <si>
    <t>http://www.petroperu.com.pe/Main.asp?T=3441</t>
  </si>
  <si>
    <t>364 - Petroperu SA - El Milagro, Amazonas</t>
  </si>
  <si>
    <t>http://www.petroperu.com.pe/Main.asp?T=3447</t>
  </si>
  <si>
    <t>363 - Petroperu SA - Iquitos, Loreto</t>
  </si>
  <si>
    <t>http://www.petroperu.com.pe/Main.asp?T=3436</t>
  </si>
  <si>
    <t>365 - Petroperu SA - Talara, Piura</t>
  </si>
  <si>
    <t>http://www.petroperu.com.pe/Main.asp?T=3387</t>
  </si>
  <si>
    <t>366 - Repsol YPF SA - La Pampilla Lima</t>
  </si>
  <si>
    <t>http://www.repsolypf.com/pe_es/productos_y_servicios/productos/refino/default.aspx</t>
  </si>
  <si>
    <t>468 - Staatsolie Maatschappij Suriname n.v. - Wanica District</t>
  </si>
  <si>
    <t>http://www.staatsolie.com/company.html</t>
  </si>
  <si>
    <t>646 - ANCAP - La Teja Montevideo</t>
  </si>
  <si>
    <t>651 - Paraguana Refining Center - Maracaibo, Zulia</t>
  </si>
  <si>
    <t>http://en.wikipedia.org/wiki/PDVSA</t>
  </si>
  <si>
    <t>http://www.pdvsa.com</t>
  </si>
  <si>
    <t>650 - Paraguana Refining Center - Cardon/Judibana, Falcon</t>
  </si>
  <si>
    <t>652 - Petroleos de Venezuela SA - El Palito, Puerto Cabello</t>
  </si>
  <si>
    <t>653 - Petroleos de Venezuela SA - Puerto de la Cruz</t>
  </si>
  <si>
    <t>654 - Petroleos de Venezuela SA - San Roque, Anzoategui</t>
  </si>
  <si>
    <t>http://www.gasandoil.com/GOC/company/cnl53330.htm</t>
  </si>
  <si>
    <t>138 - Refinadora Costarricense de Petroleo SA - Limon</t>
  </si>
  <si>
    <t>http://www.recope.go.cr/nuestra_actividad/sistema_petroleo/Refineria.htm</t>
  </si>
  <si>
    <t>145 - Cuba Petroleos - Serhio Soto, Cabaiguan</t>
  </si>
  <si>
    <t>http://en.wikipedia.org/wiki/Cupet</t>
  </si>
  <si>
    <t>http://ctp.iccas.miami.edu/FOCUS_Web/Issue67.htm</t>
  </si>
  <si>
    <t>142 - Cuba Petroleos - Cienfuegos</t>
  </si>
  <si>
    <t>144 - Cuba Petroleos - Niko Lopes, Habana</t>
  </si>
  <si>
    <t>143 - Cuba Petroleos - Ermonos Dias, Santiago</t>
  </si>
  <si>
    <t>153 - Refineria Dominicana de Petroleo SA - Haina</t>
  </si>
  <si>
    <t>http://www.refidomsa.com.do/?page=instalaciones</t>
  </si>
  <si>
    <t>152 - Falconbridge Dominicana C por A - Bonao</t>
  </si>
  <si>
    <t>http://www.falconbridge.com/our_business/nickel/operations/falcondo.htm</t>
  </si>
  <si>
    <t>166 - Esso Caribbean and Central America - Acajutla</t>
  </si>
  <si>
    <t>269 - Petrojam Ltd. - Kingston</t>
  </si>
  <si>
    <t>http://www.pcj.com/petrojam/about_text.htm#ro</t>
  </si>
  <si>
    <t>324 - Societe Anonyme de la Raffinerie des Antilles - Fort-de-France</t>
  </si>
  <si>
    <t>http://www.nationsencyclopedia.com/economies/Americas/French-Antilles-and-French-Guiana.html</t>
  </si>
  <si>
    <t>342 - Refineria Isla Curazao SA - Emmastad</t>
  </si>
  <si>
    <t>http://www.refineriaisla.com/</t>
  </si>
  <si>
    <t>18 - Valero Aruba Refinery - San Nicolas</t>
  </si>
  <si>
    <t>http://en.wikipedia.org/wiki/Valero</t>
  </si>
  <si>
    <t>http://www.valero.com/AboutUs/Refineries/Aruba.htm</t>
  </si>
  <si>
    <t>344 - Esso Caribbean and Central America - Managua</t>
  </si>
  <si>
    <t>376 - Shell Chemical Yabucoa Inc. - Yabucoa</t>
  </si>
  <si>
    <t>http://www.shellchemicals.com/locations/1,1098,42-location_id=59,00.html</t>
  </si>
  <si>
    <t>483 - Petroleum Co. of Trinidad Tobago Ltd. - Pointe-a-Pierre</t>
  </si>
  <si>
    <t>http://en.wikipedia.org/wiki/Petrotrin</t>
  </si>
  <si>
    <t>http://www.petrotrin.com/Petrotrin2007/PapRefinery.htm</t>
  </si>
  <si>
    <t>655 - Hovensa LLC - St. Croix</t>
  </si>
  <si>
    <t>http://en.wikipedia.org/wiki/Hess_Corporation</t>
  </si>
  <si>
    <t>http://www.hess.com/rm/refining.htm</t>
  </si>
  <si>
    <t>325 - Petroleos Mexicanos - Cadereyta</t>
  </si>
  <si>
    <t>http://en.wikipedia.org/wiki/Pemex</t>
  </si>
  <si>
    <t>http://www.pemex.com/index.cfm?action=mapa</t>
  </si>
  <si>
    <t>326 - Petroleos Mexicanos - Cd. Madero</t>
  </si>
  <si>
    <t>327 - Petroleos Mexicanos - Minatitlan</t>
  </si>
  <si>
    <t>328 - Petroleos Mexicanos - Salamanca</t>
  </si>
  <si>
    <t>329 - Petroleos Mexicanos - Salina Cruz</t>
  </si>
  <si>
    <t>330 - Petroleos Mexicanos - Tula Hidalgo</t>
  </si>
  <si>
    <t>515 - Hunt Refining Co. - Tuscaloosa</t>
  </si>
  <si>
    <t>http://en.wikipedia.org/wiki/Hunt_Refining</t>
  </si>
  <si>
    <t>http://www.huntrefining.com</t>
  </si>
  <si>
    <t>516 - Shell Chemical Co. - Saraland</t>
  </si>
  <si>
    <t>http://www.shellchemicals.com/locations/1,1098,42-location_id=33,00.html</t>
  </si>
  <si>
    <t>517 - Gulf Atlantic Operations - Mobile Bay</t>
  </si>
  <si>
    <t>https://www.dcpmidstream.com/Operations/Facilities/Pages/MobileBayPlant.aspx</t>
  </si>
  <si>
    <t>518 - BP PLC - Prudhoe Bay</t>
  </si>
  <si>
    <t>519 - ConocoPhillips - Kuparuk</t>
  </si>
  <si>
    <t>http://www.conocophillips.com/about/worldwide_ops/country/north_america/alaska.htm</t>
  </si>
  <si>
    <t>520 - Flint Hills Resources  - North Pole</t>
  </si>
  <si>
    <t>http://www.fhr.com/alaska/default.aspx</t>
  </si>
  <si>
    <t>521 - Petro Star Inc. - North Pole</t>
  </si>
  <si>
    <t>http://www.petrostar.com/fbk/fbk.asp?page=refining</t>
  </si>
  <si>
    <t>522 - Petro Star Inc. - Valdez</t>
  </si>
  <si>
    <t>http://www.petrostar.com/vdz/vdz.asp?page=refining</t>
  </si>
  <si>
    <t>523 - Tesoro Corp. - Kenai</t>
  </si>
  <si>
    <t>http://www.tsocorp.com/TSOCORP/ProductsandServices/Refining/ssLINK/KenaiAlaskaRefinery</t>
  </si>
  <si>
    <t>524 - Cross Oil + Refining Co. Inc. - Smackover</t>
  </si>
  <si>
    <t>http://www.crossoil.com/cindex.htm</t>
  </si>
  <si>
    <t>525 - Lion Oil Co. - El Dorado</t>
  </si>
  <si>
    <t>http://en.wikipedia.org/wiki/Lion_Oil</t>
  </si>
  <si>
    <t>http://www.lionoil.com/html/refining.html</t>
  </si>
  <si>
    <t>529 - Chevron Corp. - Richmond</t>
  </si>
  <si>
    <t>http://www.chevron.com/countries/usa/</t>
  </si>
  <si>
    <t>531 - ConocoPhillips - Rodeo and Santa Maria</t>
  </si>
  <si>
    <t>http://www.conocophillips.com/about/worldwide_ops/country/north_america/west.htm</t>
  </si>
  <si>
    <t>536 - Shell Oil Products US - Martinez</t>
  </si>
  <si>
    <t>http://www.shell.com/home/content/us-en/shell_for_businesses/oil_products/about/about_us.html</t>
  </si>
  <si>
    <t>538 - Tesoro Corp. - Golden Eagle</t>
  </si>
  <si>
    <t>http://www.tsocorp.com/TSOCORP/ProductsandServices/Refining/ssLINK/MartinezCaliforniaRefinery</t>
  </si>
  <si>
    <t>539 - Valero Energy Corp. - Benicia</t>
  </si>
  <si>
    <t>http://www.valero.com/AboutUs/Refineries/Benicia.htm</t>
  </si>
  <si>
    <t>526 - Big West Oil LLC - Bakersfield</t>
  </si>
  <si>
    <t>http://en.wikipedia.org/wiki/Flying_J</t>
  </si>
  <si>
    <t>http://www.bigwestoil.com/index.cfm</t>
  </si>
  <si>
    <t>533 - Kern Oil + Refining Co. - Bakersfield</t>
  </si>
  <si>
    <t>http://www.kernoil.com/</t>
  </si>
  <si>
    <t>535 - San Joaquin Refining Co. Inc. - Bakersfield</t>
  </si>
  <si>
    <t>http://www.sjr.com/about.asp</t>
  </si>
  <si>
    <t>527 - BP PLC - Carson</t>
  </si>
  <si>
    <t>528 - Chevron Corp. - El Segundo</t>
  </si>
  <si>
    <t>530 - ConocoPhillips - Los Angeles (Carson and Wilmington)</t>
  </si>
  <si>
    <t>532 - ExxonMobil Refining + Supply Co. - Torrance</t>
  </si>
  <si>
    <t>http://www.exxonmobil.com/NA-English/PA/about_where_ref_torrance.aspx</t>
  </si>
  <si>
    <t>534 - Paramount Petroleum Corp. - Paramount</t>
  </si>
  <si>
    <t>http://en.wikipedia.org/wiki/Paramount_Petroleum</t>
  </si>
  <si>
    <t>http://www.ppcla.com/</t>
  </si>
  <si>
    <t>537 - Shell Oil Products US - Wilmington</t>
  </si>
  <si>
    <t>540 - Valero Energy Corp. - Wilmington</t>
  </si>
  <si>
    <t>http://www.valero.com/AboutUs/Refineries/Wilmington.htm</t>
  </si>
  <si>
    <t>541 - Suncor Energy - Commerce City</t>
  </si>
  <si>
    <t>http://en.wikipedia.org/wiki/Suncor</t>
  </si>
  <si>
    <t>http://www.suncor.com/default.aspx?ID=2625</t>
  </si>
  <si>
    <t>542 - Suncor Energy - Denver</t>
  </si>
  <si>
    <t>http://www.suncor.com/default.aspx?ID=2052</t>
  </si>
  <si>
    <t>543 - Valero Energy Corp. - Delaware City</t>
  </si>
  <si>
    <t>http://www.valero.com/AboutUs/Refineries/DelawareCity.htm</t>
  </si>
  <si>
    <t>545 - Tesoro Hawaii Corp. - Kapolei</t>
  </si>
  <si>
    <t>http://www.tsocorp.com/TSOCORP/ProductsandServices/Refining/ssLINK/KapoleiHawaiiRefinery</t>
  </si>
  <si>
    <t>544 - Chevron Corp. - Kapolei</t>
  </si>
  <si>
    <t>547 - ConocoPhillips - Wood River</t>
  </si>
  <si>
    <t>http://www.conocophillips.com/about/worldwide_ops/country/north_america/central.htm</t>
  </si>
  <si>
    <t>548 - ExxonMobil Refining + Supply Co. - Joliet</t>
  </si>
  <si>
    <t>http://www.exxonmobil.com/Corporate/about_what_refining.aspx</t>
  </si>
  <si>
    <t>549 - Marathon Petroleum Co. LLC - Robinson</t>
  </si>
  <si>
    <t>http://www.marathon.com/Global_Operations/Refining_Marketing_and_Transportation/Refining/Robinson_Illinois/</t>
  </si>
  <si>
    <t>546 - Citgo Petroleum Corp. - Lemont</t>
  </si>
  <si>
    <t>http://en.wikipedia.org/wiki/Citgo</t>
  </si>
  <si>
    <t>https://www.citgo.com/AboutCITGO/Operations/LemontRefinery.jsp</t>
  </si>
  <si>
    <t>551 - Countrymark Cooperative Inc. - Mount Vernon</t>
  </si>
  <si>
    <t>http://countrymark.com/our_refinery</t>
  </si>
  <si>
    <t>550 - BP PLC - Whiting</t>
  </si>
  <si>
    <t>552 - Coffeyville Resources LLC - Coffeyville</t>
  </si>
  <si>
    <t>http://en.wikipedia.org/wiki/Coffeyville_Resources_LLC</t>
  </si>
  <si>
    <t>http://www.coffeyvillegroup.com/processP.asp</t>
  </si>
  <si>
    <t>553 - Frontier Oil Corp. - El Dorado</t>
  </si>
  <si>
    <t>http://en.wikipedia.org/wiki/Frontier_Oil</t>
  </si>
  <si>
    <t>http://www.frontieroil-eldorado.com/</t>
  </si>
  <si>
    <t>554 - National Cooperative Refining Assoc. - McPherson</t>
  </si>
  <si>
    <t>http://www.ncra.coop/</t>
  </si>
  <si>
    <t>556 - Somerset Refinery Inc. - Somerset</t>
  </si>
  <si>
    <t>http://www.somersetoil.com/Refinery.htm</t>
  </si>
  <si>
    <t>555 - Marathon Petroleum Co. LLC - Catlettsburg</t>
  </si>
  <si>
    <t>http://www.marathon.com/Global_Operations/Refining_Marketing_and_Transportation/Refining/Catlettsburg_Kentucky/</t>
  </si>
  <si>
    <t>566 - Chalmette Refining LLC - Chalmette</t>
  </si>
  <si>
    <t>http://www.chalmetterefining.com/</t>
  </si>
  <si>
    <t>563 - ConocoPhillips - Belle Chasse</t>
  </si>
  <si>
    <t>http://www.conocophillips.com/about/worldwide_ops/country/north_america/gulf.htm</t>
  </si>
  <si>
    <t>565 - ExxonMobil Refining + Supply Co. - Baton Rouge</t>
  </si>
  <si>
    <t>http://www.exxonmobil.com/NA-English/PA/about_where_ref_br.aspx</t>
  </si>
  <si>
    <t>567 - Marathon Petroleum Co. LLC - Garyville</t>
  </si>
  <si>
    <t>http://www.marathon.com/Global_Operations/Refining_Marketing_and_Transportation/Refining/Garyville_Louisiana/</t>
  </si>
  <si>
    <t>568 - Motiva Enterprises LLC - Convent</t>
  </si>
  <si>
    <t>http://en.wikipedia.org/wiki/Motiva</t>
  </si>
  <si>
    <t>http://www.motivaenterprises.com</t>
  </si>
  <si>
    <t>569 - Motiva Enterprises LLC - Norco</t>
  </si>
  <si>
    <t>570 - Murphy Oil USA Inc. - Meraux</t>
  </si>
  <si>
    <t>http://en.wikipedia.org/wiki/Murphy_Oil</t>
  </si>
  <si>
    <t>http://www.murphyoilcorp.com/operations/marref/default.aspx</t>
  </si>
  <si>
    <t>571 - Placid Refining Co. LLC - Port Allen</t>
  </si>
  <si>
    <t>http://www.placidrefining.com/</t>
  </si>
  <si>
    <t>572 - Shell Chemical Co. - St. Rose</t>
  </si>
  <si>
    <t>http://www.shell.com/home/content2/us-en/shell_for_businesses/oil_products/businesses/sopus_downstream_manufacturing.html</t>
  </si>
  <si>
    <t>573 - Valero Energy Corp. - Krotz Springs</t>
  </si>
  <si>
    <t>http://www.valero.com/AboutUs/Refineries/KrotzSprings.htm</t>
  </si>
  <si>
    <t>574 - Valero Energy Corp. - Norco</t>
  </si>
  <si>
    <t>http://www.valero.com/AboutUs/Refineries/StCharles.htm</t>
  </si>
  <si>
    <t>558 - Calumet Lubricants Co. - Cotton Valley</t>
  </si>
  <si>
    <t>http://www.calumetlubricants.com/manufacturing_CV.html</t>
  </si>
  <si>
    <t>559 - Calumet Lubricants Co. - Princeton</t>
  </si>
  <si>
    <t>http://www.calumetlubricants.com/manufacturing_PR.html</t>
  </si>
  <si>
    <t>560 - Calumet Lubricants Co. - Shreveport</t>
  </si>
  <si>
    <t>http://www.calumetlubricants.com/manufacturing_SH.html</t>
  </si>
  <si>
    <t>557 - Calcasieu Refining Co. - Lake Charles</t>
  </si>
  <si>
    <t>http://www.calcasieurefining.com/</t>
  </si>
  <si>
    <t>561 - Cit-Con Oil Corp. - Lake Charles</t>
  </si>
  <si>
    <t>http://goliath.ecnext.com/coms2/gi_0199-4970288/VENEZUELA-Cit-Con-Oil.html</t>
  </si>
  <si>
    <t>562 - Citgo Petroleum Corp. - Lake Charles</t>
  </si>
  <si>
    <t>https://www.citgo.com/AboutCITGO/Operations/LakeCharlesManufacturing.jsp</t>
  </si>
  <si>
    <t>564 - ConocoPhillips - Westlake</t>
  </si>
  <si>
    <t>575 - Marathon Petroleum Co. LLC - Detroit</t>
  </si>
  <si>
    <t>http://www.marathon.com/Global_Operations/Refining_Marketing_and_Transportation/Refining/Detroit_Michigan/</t>
  </si>
  <si>
    <t>576 - Flint Hills Resources - Rosemount</t>
  </si>
  <si>
    <t>http://www.fhr.com/minnesota/default.aspx</t>
  </si>
  <si>
    <t>577 - Marathon Petroleum Co. LLC - St. Paul Park</t>
  </si>
  <si>
    <t>http://www.marathon.com/Global_Operations/Refining_Marketing_and_Transportation/Refining/St_Paul_Park_Minnesota/</t>
  </si>
  <si>
    <t>578 - Chevron Corp. - Pascagoula</t>
  </si>
  <si>
    <t>579 - Ergon Refining Inc. - Vicksburg</t>
  </si>
  <si>
    <t>http://en.wikipedia.org/wiki/Ergon_%28US%29</t>
  </si>
  <si>
    <t>http://www.ergon.com/main.html</t>
  </si>
  <si>
    <t>580 - CHS Inc. - Laurel</t>
  </si>
  <si>
    <t>http://www.chsinc.com</t>
  </si>
  <si>
    <t>581 - ConocoPhillips - Billings</t>
  </si>
  <si>
    <t>582 - ExxonMobil Refining + Supply Co. - Billings</t>
  </si>
  <si>
    <t>http://en.wikipedia.org/wiki/ExxonMobil</t>
  </si>
  <si>
    <t>583 - Montana Refining Co. - Great Falls</t>
  </si>
  <si>
    <t>http://en.wikipedia.org/wiki/Holly_Corporation</t>
  </si>
  <si>
    <t>http://www.hollycorp.com/refineries.montana.shtml</t>
  </si>
  <si>
    <t>584 - ConocoPhillips - Linden</t>
  </si>
  <si>
    <t>http://www.conocophillips.com/about/worldwide_ops/country/north_america/east.htm</t>
  </si>
  <si>
    <t>585 - Sunoco Inc. - Westville</t>
  </si>
  <si>
    <t>http://www.sunocoinc.com/site/TheCompany/OurBusinessUnits/RefiningandSupply/</t>
  </si>
  <si>
    <t>586 - Valero Energy Corp. - Paulsboro</t>
  </si>
  <si>
    <t>http://www.valero.com/AboutUs/Refineries/Paulsboro.htm</t>
  </si>
  <si>
    <t>588 - Giant Refining Co. - Gallup</t>
  </si>
  <si>
    <t>http://www.giant.com/refining/index.asp</t>
  </si>
  <si>
    <t>589 - Navajo Refining Co. - Artesia</t>
  </si>
  <si>
    <t>http://www.hollycorp.com/refineries_navajo.cfm</t>
  </si>
  <si>
    <t>587 - Giant Refining Co. - Bloomfield</t>
  </si>
  <si>
    <t>590 - Tesoro West Coast Co. - Mandan</t>
  </si>
  <si>
    <t>http://www.tsocorp.com/TSOCORP/ProductsandServices/Refining/ssLINK/MandanNorthDakotaRefinery</t>
  </si>
  <si>
    <t>591 - BP PLC  - Toledo</t>
  </si>
  <si>
    <t>593 - Sunoco Inc. - Toledo</t>
  </si>
  <si>
    <t>594 - Valero Energy Corp. - Lima</t>
  </si>
  <si>
    <t>http://www.valero.com/NewsRoom/NewsReleases/NR_20070502.htm</t>
  </si>
  <si>
    <t>592 - Marathon Petroleum Co. LLC - Canton</t>
  </si>
  <si>
    <t>http://www.marathon.com/Global_Operations/Refining_Marketing_and_Transportation/Refining/Canton_Ohio/</t>
  </si>
  <si>
    <t>639 - US Oil + Refining Co. - Tacoma</t>
  </si>
  <si>
    <t>http://www.usor.com/about/index.html</t>
  </si>
  <si>
    <t>595 - ConocoPhillips - Ponca City</t>
  </si>
  <si>
    <t>596 - Sinclair Oil Corp. - Tulsa</t>
  </si>
  <si>
    <t>http://en.wikipedia.org/wiki/Sinclair_Oil</t>
  </si>
  <si>
    <t>http://www.sinclairoil.com/about_sinclair.htm</t>
  </si>
  <si>
    <t>597 - Sunoco Inc. - Tulsa</t>
  </si>
  <si>
    <t>598 - Valero Energy Corp. - Ardmore</t>
  </si>
  <si>
    <t>http://www.valero.com/AboutUs/Refineries/Ardmore.htm</t>
  </si>
  <si>
    <t>599 - Wynnewood Refining Co. - Wynnewood</t>
  </si>
  <si>
    <t>http://www.gwec.com/</t>
  </si>
  <si>
    <t>600 - American Refining Group - Bradford</t>
  </si>
  <si>
    <t>http://www.amref.com/refinery/refinfo.htm</t>
  </si>
  <si>
    <t>601 - ConocoPhillips - Trainer</t>
  </si>
  <si>
    <t>602 - Sunoco Inc. - Marcus Hook</t>
  </si>
  <si>
    <t>603 - Sunoco Inc. - Philadelphia</t>
  </si>
  <si>
    <t>604 - United Refining Co. - Warren</t>
  </si>
  <si>
    <t>http://en.wikipedia.org/wiki/United_Refining_Company</t>
  </si>
  <si>
    <t>http://www.urc.com/about_urc/index.php</t>
  </si>
  <si>
    <t>605 - Valero Energy Corp. - Memphis</t>
  </si>
  <si>
    <t>http://www.valero.com/AboutUs/Refineries/Memphis.htm</t>
  </si>
  <si>
    <t>610 - ConocoPhillips - Borger</t>
  </si>
  <si>
    <t>614 - Delek Refining Ltd. - Tyler	Tyler	Refinery</t>
  </si>
  <si>
    <t>625 - Valero Energy Corp. - Sunray</t>
  </si>
  <si>
    <t>http://www.valero.com/AboutUs/Refineries/McKee.htm</t>
  </si>
  <si>
    <t>607 - Alon USA - Big Spring</t>
  </si>
  <si>
    <t>628 - Western Refining Inc. - El Paso</t>
  </si>
  <si>
    <t>http://www.wnr.com</t>
  </si>
  <si>
    <t>606 - AGE Refining + Manufacturing - San Antonio</t>
  </si>
  <si>
    <t>http://www.agerefining.com/new/bu2.shtml</t>
  </si>
  <si>
    <t>609 - Citgo Petroleum Corp. - Corpus Christi</t>
  </si>
  <si>
    <t>https://www.citgo.com/AboutCITGO/Operations/Refining.jsp</t>
  </si>
  <si>
    <t>611 - ConocoPhillips - Sweeny</t>
  </si>
  <si>
    <t>614 - Flint Hills Resources - Corpus Christi</t>
  </si>
  <si>
    <t>http://www.fhr.com/texas/default.aspx</t>
  </si>
  <si>
    <t>622 - Valero Energy Corp. - Corpus Christi</t>
  </si>
  <si>
    <t>http://www.valero.com/AboutUs/Refineries/CorpusChristi.htm</t>
  </si>
  <si>
    <t>627 - Valero Energy Corp. - Three Rivers</t>
  </si>
  <si>
    <t>http://www.valero.com/AboutUs/Refineries/ThreeRivers.htm</t>
  </si>
  <si>
    <t>608 - BP PLC  - Texas City</t>
  </si>
  <si>
    <t>619 - Pasadena Refining System - Pasadena</t>
  </si>
  <si>
    <t>http://www.pasadenarefining.com/PRSWeb/en/Default.aspx</t>
  </si>
  <si>
    <t>612 - ExxonMobil Refining + Supply Co. - Baytown</t>
  </si>
  <si>
    <t>613 - ExxonMobil Refining + Supply Co. - Beaumont</t>
  </si>
  <si>
    <t>616 - Lyondell-Citgo Refining LP - Houston</t>
  </si>
  <si>
    <t>http://www.lyondell.com/Lyondell/WorldWideLocations/NorthAmerica/USA/Texas/HoustonRefining/</t>
  </si>
  <si>
    <t>617 - Marathon Petroleum Co. LLC - Texas City</t>
  </si>
  <si>
    <t>http://www.marathon.com/Global_Operations/Refining_Marketing_and_Transportation/Refining/Texas_City_Texas/</t>
  </si>
  <si>
    <t>618 - Motiva Enterprises LLC - Port Arthur</t>
  </si>
  <si>
    <t>620 - Shell Deer Park Refining Co. - Deer Park</t>
  </si>
  <si>
    <t>http://www.shell.com/us/deerpark</t>
  </si>
  <si>
    <t>621 - Total SA - Port Arthur</t>
  </si>
  <si>
    <t>http://www.totalpetrochemicalsusa.com/locations/portarthur.asp</t>
  </si>
  <si>
    <t>623 - Valero Energy Corp. - Houston</t>
  </si>
  <si>
    <t>http://www.valero.com/AboutUs/Refineries/Houston.htm</t>
  </si>
  <si>
    <t>624 - Valero Energy Corp. - Port Arthur</t>
  </si>
  <si>
    <t>http://www.valero.com/AboutUs/Refineries/PortArthur.htm</t>
  </si>
  <si>
    <t>626 - Valero Energy Corp. - Texas City</t>
  </si>
  <si>
    <t>http://www.valero.com/AboutUs/Refineries/TexasCity.htm</t>
  </si>
  <si>
    <t>629 - Big West Oil LLC - Salt Lake City</t>
  </si>
  <si>
    <t>630 - Chevron Corp. - Salt Lake City</t>
  </si>
  <si>
    <t>631 - Holly Corp. - Woods Cross</t>
  </si>
  <si>
    <t>http://www.hollycorp.com/refineries.woods.shtml</t>
  </si>
  <si>
    <t>632 - Silver Eagle Refining Inc. - Woods Cross</t>
  </si>
  <si>
    <t>http://www.silvereaglerefining.com/</t>
  </si>
  <si>
    <t>633 - Tesoro West Coast Co. - Salt Lake City</t>
  </si>
  <si>
    <t>http://www.tsocorp.com/TSOCORP/ProductsandServices/Refining/ssLINK/SaltLakeCityUtahRefinery</t>
  </si>
  <si>
    <t>634 - Giant Refining - Yorktown</t>
  </si>
  <si>
    <t>635 - BP PLC - Ferndale</t>
  </si>
  <si>
    <t>636 - ConocoPhillips - Ferndale</t>
  </si>
  <si>
    <t>637 - Shell Oil Products US - Anacortes</t>
  </si>
  <si>
    <t>638 - Tesoro West Coast Co. - Anacortes</t>
  </si>
  <si>
    <t>http://www.tsocorp.com/TSOCORP/ProductsandServices/Refining/ssLINK/AnacortesWashRefinery</t>
  </si>
  <si>
    <t>640 - Ergon-West Virginia Inc. - Newell</t>
  </si>
  <si>
    <t>641 - Murphy Oil USA Inc. - Superior</t>
  </si>
  <si>
    <t>642 - Frontier Refining Inc. - Cheyenne</t>
  </si>
  <si>
    <t>http://www.frontieroil.com/en/cms/?209</t>
  </si>
  <si>
    <t>643 - Sinclair / Little America - Casper</t>
  </si>
  <si>
    <t>644 - Sinclair Oil Corp. - Sinclair</t>
  </si>
  <si>
    <t>645 - Wyoming Refining Co. - Newcastle</t>
  </si>
  <si>
    <t>http://newcastlewyo.com</t>
  </si>
  <si>
    <t>56 - Imperial Oil - Edmonton</t>
  </si>
  <si>
    <t>http://www.imperialoil.ca/Canada-English/Thisis/Operations/TI_O_EdmontonRefinery.asp</t>
  </si>
  <si>
    <t>57 - Petro-Canada Products Ltd. - Edmonton</t>
  </si>
  <si>
    <t>http://en.wikipedia.org/wiki/Petro-Canada</t>
  </si>
  <si>
    <t>http://www.petro-canada.ca/en/about/471.aspx</t>
  </si>
  <si>
    <t>58 - Shell Canada Ltd. - Scotford</t>
  </si>
  <si>
    <t>http://www.shell.ca/home/content/ca-en/about_shell/what_we_do/oil_products/scotford/scotford_profile.html</t>
  </si>
  <si>
    <t>59 - Chevron Corp. - Burnaby</t>
  </si>
  <si>
    <t>http://www.chevron.com/countries/canada/</t>
  </si>
  <si>
    <t>60 - Husky Oil Operations Ltd. - Prince George</t>
  </si>
  <si>
    <t>http://www.huskyenergy.ca/operations/refinedproducts/princegeorgelightoilrefinery.asp</t>
  </si>
  <si>
    <t>61 - Irving Oil Ltd. - St. John</t>
  </si>
  <si>
    <t>http://en.wikipedia.org/wiki/Irving_Oil</t>
  </si>
  <si>
    <t>http://www.irvingoil.com/company/refinery.asp</t>
  </si>
  <si>
    <t>63 - Imperial Oil - Dartmouth</t>
  </si>
  <si>
    <t>http://www.imperialoil.ca/Canada-English/Thisis/Operations/TI_O_DartmouthRefinery.asp</t>
  </si>
  <si>
    <t>62 - North Atlantic Refining Ltd. - Come By Chance</t>
  </si>
  <si>
    <t>http://en.wikipedia.org/wiki/North_Atlantic_Refining</t>
  </si>
  <si>
    <t>http://northatlantic.ca/about.asp</t>
  </si>
  <si>
    <t>64 - Imperial Oil - Nanticoke</t>
  </si>
  <si>
    <t>http://www.imperialoil.ca/Canada-English/Thisis/Operations/TI_O_NanticokeRefinery.asp</t>
  </si>
  <si>
    <t>65 - Imperial Oil - Sarnia</t>
  </si>
  <si>
    <t>http://www.imperialoil.ca/Canada-English/Thisis/Operations/TI_O_SarniaRefinery.asp</t>
  </si>
  <si>
    <t>66 - Nova Chemicals (Canada) Ltd. - Corunna</t>
  </si>
  <si>
    <t>http://www.novachem.com/Locations/locations_corunna.cfm</t>
  </si>
  <si>
    <t>67 - Petro-Canada Products Ltd. - Oakville</t>
  </si>
  <si>
    <t>68 - Shell Canada Ltd. - Sarnia</t>
  </si>
  <si>
    <t>http://www.shell.ca/home/content/ca-en/about_shell/what_we_do/oil_products/sarnia/sarnia_profile.html</t>
  </si>
  <si>
    <t>69 - Suncor Energy Products - Sarnia</t>
  </si>
  <si>
    <t>http://www.suncor.com/default.aspx?ID=2624</t>
  </si>
  <si>
    <t>72 - Valero Energy Corp. (Ultramar Ltd.) - Levis</t>
  </si>
  <si>
    <t>http://www.valero.com/AboutUs/Refineries/JeanGaulin.htm</t>
  </si>
  <si>
    <t>71 - Shell Canada Ltd. - Montreal</t>
  </si>
  <si>
    <t>http://www.shell.ca/home/content/ca-en/about_shell/what_we_do/oil_products/montreal/montreal_profile.html</t>
  </si>
  <si>
    <t>70 - Petro-Canada Products Ltd. - Montreal</t>
  </si>
  <si>
    <t>55 - Husky Oil Operations Ltd. - Lloydminster</t>
  </si>
  <si>
    <t>http://www.huskyenergy.ca/operations/refinedproducts/lloydminsterasphaltrefinery.asp</t>
  </si>
  <si>
    <t>НПЗ / площадка</t>
  </si>
  <si>
    <t>Компания</t>
  </si>
  <si>
    <t>Статус источника</t>
  </si>
  <si>
    <t>Тип / охват</t>
  </si>
  <si>
    <t>Мощность, барр./сут.</t>
  </si>
  <si>
    <t>Мощность, млн т/год</t>
  </si>
  <si>
    <t>Период</t>
  </si>
  <si>
    <t>Примечание</t>
  </si>
  <si>
    <t>Fredericia</t>
  </si>
  <si>
    <t>Crossbridge energy</t>
  </si>
  <si>
    <t>Open</t>
  </si>
  <si>
    <t>Mainstream</t>
  </si>
  <si>
    <t>Concawe</t>
  </si>
  <si>
    <t>Закрытые мощности не включаются в итог; специализированные НПЗ включены</t>
  </si>
  <si>
    <t>Kalundborg</t>
  </si>
  <si>
    <t>Klesch</t>
  </si>
  <si>
    <t>Nynasham</t>
  </si>
  <si>
    <t>Nynas</t>
  </si>
  <si>
    <t>Specialized</t>
  </si>
  <si>
    <t>Gothenburg</t>
  </si>
  <si>
    <t>VAROPreem</t>
  </si>
  <si>
    <t>Lysekil</t>
  </si>
  <si>
    <t>St1 Refinery</t>
  </si>
  <si>
    <t>Naantali</t>
  </si>
  <si>
    <t>Neste</t>
  </si>
  <si>
    <t>Closed</t>
  </si>
  <si>
    <t>Coryton</t>
  </si>
  <si>
    <t>Petroplius</t>
  </si>
  <si>
    <t>Grangemouth</t>
  </si>
  <si>
    <t>Petroineos</t>
  </si>
  <si>
    <t>Killingholme</t>
  </si>
  <si>
    <t>Phillips66</t>
  </si>
  <si>
    <t>Fawley</t>
  </si>
  <si>
    <t>ExxonMobil</t>
  </si>
  <si>
    <t>Humberside</t>
  </si>
  <si>
    <t>Prax Group</t>
  </si>
  <si>
    <t>Eastham</t>
  </si>
  <si>
    <t>Nynas/Shell</t>
  </si>
  <si>
    <t>Dundee</t>
  </si>
  <si>
    <t>Teesside</t>
  </si>
  <si>
    <t>Petroplus</t>
  </si>
  <si>
    <t>Stanlow</t>
  </si>
  <si>
    <t>Essar</t>
  </si>
  <si>
    <t>Pembroke</t>
  </si>
  <si>
    <t>Valero</t>
  </si>
  <si>
    <t>Milford Haven</t>
  </si>
  <si>
    <t>Murco</t>
  </si>
  <si>
    <t>Whitegate</t>
  </si>
  <si>
    <t>IRVIN OIL</t>
  </si>
  <si>
    <t>Antwerp</t>
  </si>
  <si>
    <t>TotalEnergies</t>
  </si>
  <si>
    <t>Gunvor</t>
  </si>
  <si>
    <t>APC (Vitol)</t>
  </si>
  <si>
    <t>Rotterdam</t>
  </si>
  <si>
    <t>NRC (Rotterdam)</t>
  </si>
  <si>
    <t>BP</t>
  </si>
  <si>
    <t>Vitol (VPR Energy)</t>
  </si>
  <si>
    <t>Pernis</t>
  </si>
  <si>
    <t>Shell+Statoil</t>
  </si>
  <si>
    <t>Vlissingen (Zeeland)</t>
  </si>
  <si>
    <t>TotalEnergies/Lukoil</t>
  </si>
  <si>
    <t>Bayern oil</t>
  </si>
  <si>
    <t>ENI/VAROPreem/Bundesnetzagentur</t>
  </si>
  <si>
    <t>Salzbergen</t>
  </si>
  <si>
    <t>H&amp;R</t>
  </si>
  <si>
    <t>Wilhelmshaven</t>
  </si>
  <si>
    <t>HES Wilhelmshaven Tank Terminal</t>
  </si>
  <si>
    <t>Heide</t>
  </si>
  <si>
    <t>RHG (Klesch)</t>
  </si>
  <si>
    <t>Rheinland</t>
  </si>
  <si>
    <t>Shell</t>
  </si>
  <si>
    <t>Ingolstadt</t>
  </si>
  <si>
    <t>Leuna</t>
  </si>
  <si>
    <t>Kalrsruhe</t>
  </si>
  <si>
    <t>MiRO (Phillips66/ExxonMobil/Shell/Bundesnetzagentur)</t>
  </si>
  <si>
    <t>Burghausen</t>
  </si>
  <si>
    <t>OMV</t>
  </si>
  <si>
    <t>Schwedt</t>
  </si>
  <si>
    <t>PCK (Shell/Bundesnetzagentur/ENI)</t>
  </si>
  <si>
    <t>Harburg</t>
  </si>
  <si>
    <t>Gelsenkirchen</t>
  </si>
  <si>
    <t>Lingen</t>
  </si>
  <si>
    <t>Brunsbuttel</t>
  </si>
  <si>
    <t>Schwechat</t>
  </si>
  <si>
    <t>Lavera</t>
  </si>
  <si>
    <t>Reichstett</t>
  </si>
  <si>
    <t>Dunkerque</t>
  </si>
  <si>
    <t>SRD</t>
  </si>
  <si>
    <t>Fos</t>
  </si>
  <si>
    <t>RhôneEnergies</t>
  </si>
  <si>
    <t>Port-Jerome</t>
  </si>
  <si>
    <t>North Atlantic</t>
  </si>
  <si>
    <t>Berre</t>
  </si>
  <si>
    <t>LyondellBasell</t>
  </si>
  <si>
    <t>Petit Couronne</t>
  </si>
  <si>
    <t>Donges</t>
  </si>
  <si>
    <t>Feyzin</t>
  </si>
  <si>
    <t>Grandpuits</t>
  </si>
  <si>
    <t>Gonfreville</t>
  </si>
  <si>
    <t>SARA</t>
  </si>
  <si>
    <t>Castellon</t>
  </si>
  <si>
    <t>Teneriffe</t>
  </si>
  <si>
    <t>MOEVE</t>
  </si>
  <si>
    <t>Huelva (La Rabida)</t>
  </si>
  <si>
    <t>San Roque</t>
  </si>
  <si>
    <t>Lubrisur</t>
  </si>
  <si>
    <t>Petronor (Somorrostro)</t>
  </si>
  <si>
    <t>Repsol</t>
  </si>
  <si>
    <t>Cartagena</t>
  </si>
  <si>
    <t>La Coruna</t>
  </si>
  <si>
    <t>Puertollano</t>
  </si>
  <si>
    <t>Tarragona</t>
  </si>
  <si>
    <t>ASESA</t>
  </si>
  <si>
    <t>MOEVE/REPSOL</t>
  </si>
  <si>
    <t>Leca</t>
  </si>
  <si>
    <t>Galp Energia</t>
  </si>
  <si>
    <t>Sines</t>
  </si>
  <si>
    <t>Livorno</t>
  </si>
  <si>
    <t>ENI</t>
  </si>
  <si>
    <t>Sannazzaro</t>
  </si>
  <si>
    <t>Taranto</t>
  </si>
  <si>
    <t>Falconara</t>
  </si>
  <si>
    <t>API</t>
  </si>
  <si>
    <t>Mantova (Frassino)</t>
  </si>
  <si>
    <t>MOL</t>
  </si>
  <si>
    <t>Priolo &amp; Melilli</t>
  </si>
  <si>
    <t>GOI Energy</t>
  </si>
  <si>
    <t>RAM (Milazzo)</t>
  </si>
  <si>
    <t>ENI/KPI</t>
  </si>
  <si>
    <t>Roma</t>
  </si>
  <si>
    <t>TotalEnergies/ERG</t>
  </si>
  <si>
    <t>Trecate</t>
  </si>
  <si>
    <t>Busalla</t>
  </si>
  <si>
    <t>IPLOM</t>
  </si>
  <si>
    <t>Sarroch</t>
  </si>
  <si>
    <t>Vitol</t>
  </si>
  <si>
    <t>Cremona</t>
  </si>
  <si>
    <t>TAMOIL</t>
  </si>
  <si>
    <t>Thessaloniki</t>
  </si>
  <si>
    <t>HELLENiQ ENERGY</t>
  </si>
  <si>
    <t>Aspropyrgos</t>
  </si>
  <si>
    <t>Elefsis</t>
  </si>
  <si>
    <t>Agii Theodori (Corinth)</t>
  </si>
  <si>
    <t>MotorOil Hellas</t>
  </si>
  <si>
    <t>Kralupy</t>
  </si>
  <si>
    <t>Orlen</t>
  </si>
  <si>
    <t>Litvinov</t>
  </si>
  <si>
    <t>Pardubice</t>
  </si>
  <si>
    <t>Paramo (Orlen)</t>
  </si>
  <si>
    <t>Kolin</t>
  </si>
  <si>
    <t>Koramo (PKN Orlen)</t>
  </si>
  <si>
    <t>Szazhalombata (Duna)</t>
  </si>
  <si>
    <t>Tisza</t>
  </si>
  <si>
    <t>Zala</t>
  </si>
  <si>
    <t>Gdansk</t>
  </si>
  <si>
    <t>Jaslo</t>
  </si>
  <si>
    <t>Lotos</t>
  </si>
  <si>
    <t>Jedlicze</t>
  </si>
  <si>
    <t>Plock</t>
  </si>
  <si>
    <t>Trzebinia</t>
  </si>
  <si>
    <t>Slovnaft (Bratislava)</t>
  </si>
  <si>
    <t>Mazeikiu (Lietuva)</t>
  </si>
  <si>
    <t>Burgas</t>
  </si>
  <si>
    <t>Lukoil</t>
  </si>
  <si>
    <t>Pitesti</t>
  </si>
  <si>
    <t>Arpechim (Petrom)</t>
  </si>
  <si>
    <t>Petrobrazi (Ploiesti)</t>
  </si>
  <si>
    <t>Ploiesti</t>
  </si>
  <si>
    <t>Petrotel (Lukoil)</t>
  </si>
  <si>
    <t>Navodari (Constanza)</t>
  </si>
  <si>
    <t>Petromidia (KMG International)</t>
  </si>
  <si>
    <t>Slagen</t>
  </si>
  <si>
    <t>Mongstad</t>
  </si>
  <si>
    <t>Equinor+Shell</t>
  </si>
  <si>
    <t>Cressier</t>
  </si>
  <si>
    <t>Collombey</t>
  </si>
  <si>
    <t>Tamoil</t>
  </si>
  <si>
    <t>Sisak</t>
  </si>
  <si>
    <t>INA</t>
  </si>
  <si>
    <t>Rijeka</t>
  </si>
  <si>
    <t>Harburg (Holborn)</t>
  </si>
  <si>
    <t>Ploiesti (Vega)</t>
  </si>
  <si>
    <t>Rompetrol</t>
  </si>
  <si>
    <t>Augusta</t>
  </si>
  <si>
    <t>Sonatrach</t>
  </si>
  <si>
    <t>Hamburg/Neuhoff</t>
  </si>
  <si>
    <t>Porvoo</t>
  </si>
  <si>
    <t>Ravenna</t>
  </si>
  <si>
    <t>ALMA</t>
  </si>
  <si>
    <t>BRADFORD</t>
  </si>
  <si>
    <t>AMERICAN REFINING GROUP INC</t>
  </si>
  <si>
    <t>Operable</t>
  </si>
  <si>
    <t>Atmospheric crude distillation</t>
  </si>
  <si>
    <t>EIA-820</t>
  </si>
  <si>
    <t>https://www.eia.gov/petroleum/refinerycapacity/refcap26.xlsx</t>
  </si>
  <si>
    <t>Pennsylvania; operable включает временно простаивающие мощности</t>
  </si>
  <si>
    <t>NORTH POLE</t>
  </si>
  <si>
    <t>PETRO STAR INC</t>
  </si>
  <si>
    <t>Alaska; operable включает временно простаивающие мощности</t>
  </si>
  <si>
    <t>VALDEZ</t>
  </si>
  <si>
    <t>NIXON</t>
  </si>
  <si>
    <t>LAZARUS ENERGY LLC</t>
  </si>
  <si>
    <t>Texas; operable включает временно простаивающие мощности</t>
  </si>
  <si>
    <t>WHITING</t>
  </si>
  <si>
    <t>BP PRODUCTS NORTH AMERICA INC</t>
  </si>
  <si>
    <t>Indiana; operable включает временно простаивающие мощности</t>
  </si>
  <si>
    <t>FERNDALE</t>
  </si>
  <si>
    <t>Washington; operable включает временно простаивающие мощности</t>
  </si>
  <si>
    <t>CORPUS CHRISTI</t>
  </si>
  <si>
    <t>BUCKEYE TEXAS PROCESSING LLC</t>
  </si>
  <si>
    <t>COTTON VALLEY</t>
  </si>
  <si>
    <t>CALUMET COTTON VALLEY REFINING LLC</t>
  </si>
  <si>
    <t>Louisiana; operable включает временно простаивающие мощности</t>
  </si>
  <si>
    <t>GREAT FALLS</t>
  </si>
  <si>
    <t>CALUMET MONTANA REFINING LLC</t>
  </si>
  <si>
    <t>Montana; operable включает временно простаивающие мощности</t>
  </si>
  <si>
    <t>PRINCETON</t>
  </si>
  <si>
    <t>CALUMET PRINCETON REFINING LLC</t>
  </si>
  <si>
    <t>SHREVEPORT</t>
  </si>
  <si>
    <t>CALUMET SHREVEPORT REFINING LLC</t>
  </si>
  <si>
    <t>LIMA</t>
  </si>
  <si>
    <t>LIMA REFINING COMPANY</t>
  </si>
  <si>
    <t>Ohio; operable включает временно простаивающие мощности</t>
  </si>
  <si>
    <t>TOLEDO</t>
  </si>
  <si>
    <t>OHIO REFINING COMPANY LLC</t>
  </si>
  <si>
    <t>SUPERIOR</t>
  </si>
  <si>
    <t>SUPERIOR REFINING COMPANY LLC</t>
  </si>
  <si>
    <t>Wisconsin; operable включает временно простаивающие мощности</t>
  </si>
  <si>
    <t>EL SEGUNDO</t>
  </si>
  <si>
    <t>CHEVRON USA INC</t>
  </si>
  <si>
    <t>California; operable включает временно простаивающие мощности</t>
  </si>
  <si>
    <t>RICHMOND</t>
  </si>
  <si>
    <t>PASCAGOULA</t>
  </si>
  <si>
    <t>Mississippi; operable включает временно простаивающие мощности</t>
  </si>
  <si>
    <t>SALT LAKE CITY</t>
  </si>
  <si>
    <t>Utah; operable включает временно простаивающие мощности</t>
  </si>
  <si>
    <t>PASADENA</t>
  </si>
  <si>
    <t>PASADENA REFINING SYSTEMS INC</t>
  </si>
  <si>
    <t>LAUREL</t>
  </si>
  <si>
    <t>CENEX HARVEST STATES COOP</t>
  </si>
  <si>
    <t>MCPHERSON</t>
  </si>
  <si>
    <t>CHS MCPHERSON REFINERY INC</t>
  </si>
  <si>
    <t>Kansas; operable включает временно простаивающие мощности</t>
  </si>
  <si>
    <t>PRUDHOE BAY</t>
  </si>
  <si>
    <t>CONOCOPHILLIPS ALASKA INC</t>
  </si>
  <si>
    <t>MOUNT VERNON</t>
  </si>
  <si>
    <t>COUNTRYMARK REFINING &amp; LOGISTICS LLC</t>
  </si>
  <si>
    <t>COFFEYVILLE</t>
  </si>
  <si>
    <t>CVR REFINING CVL LLC</t>
  </si>
  <si>
    <t>WYNNEWOOD</t>
  </si>
  <si>
    <t>CVR REFINING WYN LLC</t>
  </si>
  <si>
    <t>Oklahoma; operable включает временно простаивающие мощности</t>
  </si>
  <si>
    <t>KROTZ SPRINGS</t>
  </si>
  <si>
    <t>ALON REFINING KROTZ SPRINGS INC</t>
  </si>
  <si>
    <t>BIG SPRING</t>
  </si>
  <si>
    <t>ALON USA ENERGY INC</t>
  </si>
  <si>
    <t>TYLER</t>
  </si>
  <si>
    <t>DELEK REFINING LTD</t>
  </si>
  <si>
    <t>EL DORADO</t>
  </si>
  <si>
    <t>LION OIL CO</t>
  </si>
  <si>
    <t>Arkansas; operable включает временно простаивающие мощности</t>
  </si>
  <si>
    <t>TRAINER</t>
  </si>
  <si>
    <t>MONROE ENERGY LLC</t>
  </si>
  <si>
    <t>VICKSBURG</t>
  </si>
  <si>
    <t>ERGON REFINING INC</t>
  </si>
  <si>
    <t>NEWELL</t>
  </si>
  <si>
    <t>ERGON WEST VIRGINIA INC</t>
  </si>
  <si>
    <t>West Virginia; operable включает временно простаивающие мощности</t>
  </si>
  <si>
    <t>JOLIET</t>
  </si>
  <si>
    <t>EXXONMOBIL REFINING &amp; SUPPLY CO</t>
  </si>
  <si>
    <t>Illinois; operable включает временно простаивающие мощности</t>
  </si>
  <si>
    <t>BATON ROUGE</t>
  </si>
  <si>
    <t>BAYTOWN</t>
  </si>
  <si>
    <t>BEAUMONT</t>
  </si>
  <si>
    <t>NORTH SALT LAKE</t>
  </si>
  <si>
    <t>BIG WEST OIL CO</t>
  </si>
  <si>
    <t>ELY</t>
  </si>
  <si>
    <t>FORELAND REFINING CORP</t>
  </si>
  <si>
    <t>Nevada; operable включает временно простаивающие мощности</t>
  </si>
  <si>
    <t>ATMORE</t>
  </si>
  <si>
    <t>GOODWAY REFINING LLC</t>
  </si>
  <si>
    <t>Alabama; operable включает временно простаивающие мощности</t>
  </si>
  <si>
    <t>CHANNELVIEW</t>
  </si>
  <si>
    <t>HARTREE REFINING LLC</t>
  </si>
  <si>
    <t>EVANSVILLE</t>
  </si>
  <si>
    <t>HF SINCLAIR CASPER REFINING COMPANY</t>
  </si>
  <si>
    <t>Wyoming; operable включает временно простаивающие мощности</t>
  </si>
  <si>
    <t>HF SINCLAIR EL DORADO REFINING LLC</t>
  </si>
  <si>
    <t>ARTESIA</t>
  </si>
  <si>
    <t>HF SINCLAIR NAVAJO REFINING LLC</t>
  </si>
  <si>
    <t>New Mexico; operable включает временно простаивающие мощности</t>
  </si>
  <si>
    <t>ANACORTES</t>
  </si>
  <si>
    <t>HF SINCLAIR PUGET SOUND REFG LLC</t>
  </si>
  <si>
    <t>TULSA EAST</t>
  </si>
  <si>
    <t>HF SINCLAIR TULSA REFINING LLC</t>
  </si>
  <si>
    <t>TULSA WEST</t>
  </si>
  <si>
    <t>WOODS CROSS</t>
  </si>
  <si>
    <t>HF SINCLAIR WOODS CROSS REFINING LLC</t>
  </si>
  <si>
    <t>SINCLAIR</t>
  </si>
  <si>
    <t>HF SINCLAIR WYOMING REFINING CO</t>
  </si>
  <si>
    <t>HILCORP NORTH SLOPE LLC</t>
  </si>
  <si>
    <t>TUSCALOOSA</t>
  </si>
  <si>
    <t>HUNT REFINING CO</t>
  </si>
  <si>
    <t>SANDERSVILLE</t>
  </si>
  <si>
    <t>HUNT SOUTHLAND REFINING CO</t>
  </si>
  <si>
    <t>BAKERSFIELD</t>
  </si>
  <si>
    <t>KERN OIL &amp; REFINING CO</t>
  </si>
  <si>
    <t>GALENA PARK</t>
  </si>
  <si>
    <t>KINDER MORGAN CRUDE &amp; CONDENSATE</t>
  </si>
  <si>
    <t>SAINT PAUL</t>
  </si>
  <si>
    <t>FLINT HILLS RESOURCES LP</t>
  </si>
  <si>
    <t>Minnesota; operable включает временно простаивающие мощности</t>
  </si>
  <si>
    <t>CORPUS CHRISTI EAST</t>
  </si>
  <si>
    <t>CORPUS CHRISTI WEST</t>
  </si>
  <si>
    <t>ROBINSON</t>
  </si>
  <si>
    <t>MARATHON PETROLEUM CO LP</t>
  </si>
  <si>
    <t>CATLETTSBURG</t>
  </si>
  <si>
    <t>Kentucky; operable включает временно простаивающие мощности</t>
  </si>
  <si>
    <t>GARYVILLE</t>
  </si>
  <si>
    <t>DETROIT</t>
  </si>
  <si>
    <t>Michigan; operable включает временно простаивающие мощности</t>
  </si>
  <si>
    <t>CANTON</t>
  </si>
  <si>
    <t>GALVESTON BAY</t>
  </si>
  <si>
    <t>ST PAUL PARK REFINING CO LLC</t>
  </si>
  <si>
    <t>KENAI</t>
  </si>
  <si>
    <t>TESORO ALASKA COMPANY LLC</t>
  </si>
  <si>
    <t>CARSON</t>
  </si>
  <si>
    <t>TESORO REFINING &amp; MARKETING CO</t>
  </si>
  <si>
    <t>MANDAN</t>
  </si>
  <si>
    <t>North Dakota; operable включает временно простаивающие мощности</t>
  </si>
  <si>
    <t>EL PASO</t>
  </si>
  <si>
    <t>WESTERN REFINING COMPANY LP</t>
  </si>
  <si>
    <t>SMACKOVER</t>
  </si>
  <si>
    <t>CROSS OIL REFINING &amp; MARKETING INC</t>
  </si>
  <si>
    <t>MAGELLAN PROCESSING LP</t>
  </si>
  <si>
    <t>KAPOLEI</t>
  </si>
  <si>
    <t>PAR HAWAII REFINING LLC</t>
  </si>
  <si>
    <t>Hawaii; operable включает временно простаивающие мощности</t>
  </si>
  <si>
    <t>BILLINGS</t>
  </si>
  <si>
    <t>PAR MONTANA LLC</t>
  </si>
  <si>
    <t>TACOMA</t>
  </si>
  <si>
    <t>US OIL &amp; REFINING CO</t>
  </si>
  <si>
    <t>NEWCASTLE</t>
  </si>
  <si>
    <t>WYOMING REFINING CO</t>
  </si>
  <si>
    <t>CHALMETTE</t>
  </si>
  <si>
    <t>CHALMETTE REFINING LLC</t>
  </si>
  <si>
    <t>PAULSBORO</t>
  </si>
  <si>
    <t>CPI OPERATIONS LLC</t>
  </si>
  <si>
    <t>New Jersey; operable включает временно простаивающие мощности</t>
  </si>
  <si>
    <t>DELAWARE CITY</t>
  </si>
  <si>
    <t>DELAWARE CITY REFINING CO LLC</t>
  </si>
  <si>
    <t>Delaware; operable включает временно простаивающие мощности</t>
  </si>
  <si>
    <t>MARTINEZ</t>
  </si>
  <si>
    <t>MARTINEZ REFINING CO LLC</t>
  </si>
  <si>
    <t>PAULSBORO REFINING CO LLC</t>
  </si>
  <si>
    <t>TOLEDO REFINING CO LLC</t>
  </si>
  <si>
    <t>TORRANCE</t>
  </si>
  <si>
    <t>TORRANCE REFINING CO LLC</t>
  </si>
  <si>
    <t>LAKE CHARLES</t>
  </si>
  <si>
    <t>CITGO PETROLEUM CORP</t>
  </si>
  <si>
    <t>CITGO REFINING &amp; CHEMICAL INC</t>
  </si>
  <si>
    <t>LEMONT</t>
  </si>
  <si>
    <t>PDV MIDWEST REFINING LLC</t>
  </si>
  <si>
    <t>DEER PARK</t>
  </si>
  <si>
    <t>DEER PARK REFINING LP</t>
  </si>
  <si>
    <t>HOUSTON</t>
  </si>
  <si>
    <t>PETROMAX REFINING CO LLC</t>
  </si>
  <si>
    <t>WESTLAKE</t>
  </si>
  <si>
    <t>PHILLIPS 66 COMPANY</t>
  </si>
  <si>
    <t>LINDEN</t>
  </si>
  <si>
    <t>PONCA CITY</t>
  </si>
  <si>
    <t>SWEENY</t>
  </si>
  <si>
    <t>PORT ALLEN</t>
  </si>
  <si>
    <t>PLACID REFINING CO</t>
  </si>
  <si>
    <t>WARREN</t>
  </si>
  <si>
    <t>UNITED REFINING CO</t>
  </si>
  <si>
    <t>SAN JOAQUIN REFINING CO INC</t>
  </si>
  <si>
    <t>PORT ARTHUR</t>
  </si>
  <si>
    <t>MOTIVA ENTERPRISES LLC</t>
  </si>
  <si>
    <t>NORCO</t>
  </si>
  <si>
    <t>SHELL OIL PRODUCTS US</t>
  </si>
  <si>
    <t>SILVER EAGLE REFINING</t>
  </si>
  <si>
    <t>EVANSTON</t>
  </si>
  <si>
    <t>SAN ANTONIO</t>
  </si>
  <si>
    <t>THE SAN ANTONIO REFINERY LLC</t>
  </si>
  <si>
    <t>COMMERCE CITY EAST</t>
  </si>
  <si>
    <t>SUNCOR ENERGY (USA) INC</t>
  </si>
  <si>
    <t>Colorado; operable включает временно простаивающие мощности</t>
  </si>
  <si>
    <t>COMMERCE CITY WEST</t>
  </si>
  <si>
    <t>KERN</t>
  </si>
  <si>
    <t>TALLEY ASPHALT PRODUCTS INC</t>
  </si>
  <si>
    <t>GALVESTON</t>
  </si>
  <si>
    <t>TEXAS INTERNATIONAL TERMINALS</t>
  </si>
  <si>
    <t>TOTALENERGIES PETROCHEM &amp; REFG USA</t>
  </si>
  <si>
    <t>CALCASIEU REFINING CO</t>
  </si>
  <si>
    <t>SUNRAY</t>
  </si>
  <si>
    <t>DIAMOND SHAMROCK REFINING CO LP</t>
  </si>
  <si>
    <t>THREE RIVERS</t>
  </si>
  <si>
    <t>PREMCOR REFINING GROUP INC</t>
  </si>
  <si>
    <t>WILMINGTON REFINERY</t>
  </si>
  <si>
    <t>ULTRAMAR INC</t>
  </si>
  <si>
    <t>MEMPHIS</t>
  </si>
  <si>
    <t>VALERO REF COMPANY TENNESSEE LLC</t>
  </si>
  <si>
    <t>Tennessee; operable включает временно простаивающие мощности</t>
  </si>
  <si>
    <t>MERAUX</t>
  </si>
  <si>
    <t>VALERO REFINING - MERAUX LLC</t>
  </si>
  <si>
    <t>BENICIA</t>
  </si>
  <si>
    <t>VALERO REFINING CO CALIFORNIA</t>
  </si>
  <si>
    <t>WILMINGTON ASPHALT PLANT</t>
  </si>
  <si>
    <t>ARDMORE</t>
  </si>
  <si>
    <t>VALERO REFINING CO OKLAHOMA</t>
  </si>
  <si>
    <t>VALERO REFINING CO TEXAS LP</t>
  </si>
  <si>
    <t>TEXAS CITY</t>
  </si>
  <si>
    <t>VALERO REFINING NEW ORLEANS LLC</t>
  </si>
  <si>
    <t>SARALAND</t>
  </si>
  <si>
    <t>VERTEX REFINING ALABAMA LLC</t>
  </si>
  <si>
    <t>SOUTH GATE</t>
  </si>
  <si>
    <t>LUNDAY THAGARD CO</t>
  </si>
  <si>
    <t>WOOD RIVER</t>
  </si>
  <si>
    <t>WRB REFINING LP</t>
  </si>
  <si>
    <t>BORGER</t>
  </si>
  <si>
    <t>IOC, Digboi</t>
  </si>
  <si>
    <t>INDIAN OIL CORPORATION LIMITED</t>
  </si>
  <si>
    <t>Installed</t>
  </si>
  <si>
    <t>Установленная мощность</t>
  </si>
  <si>
    <t>PPAC</t>
  </si>
  <si>
    <t>ASSAM; тыс. т/год источника переведены в млн т/год; не конвертировано в баррели</t>
  </si>
  <si>
    <t>IOC, Guwahati</t>
  </si>
  <si>
    <t>IOC, Koyali</t>
  </si>
  <si>
    <t>GUJARAT; тыс. т/год источника переведены в млн т/год; не конвертировано в баррели</t>
  </si>
  <si>
    <t>IOC, Barauni</t>
  </si>
  <si>
    <t>BIHAR; тыс. т/год источника переведены в млн т/год; не конвертировано в баррели</t>
  </si>
  <si>
    <t>IOC, Haldia</t>
  </si>
  <si>
    <t>WEST BENGAL; тыс. т/год источника переведены в млн т/год; не конвертировано в баррели</t>
  </si>
  <si>
    <t>IOC, Mathura</t>
  </si>
  <si>
    <t>UTTAR PRADESH; тыс. т/год источника переведены в млн т/год; не конвертировано в баррели</t>
  </si>
  <si>
    <t>IOC, Panipat</t>
  </si>
  <si>
    <t>HARYANA; тыс. т/год источника переведены в млн т/год; не конвертировано в баррели</t>
  </si>
  <si>
    <t>IOC, Bongaigaon</t>
  </si>
  <si>
    <t>IOC, Paradip</t>
  </si>
  <si>
    <t>ODISHA; тыс. т/год источника переведены в млн т/год; не конвертировано в баррели</t>
  </si>
  <si>
    <t>HPC, Mumbai</t>
  </si>
  <si>
    <t>HINDUSTAN PETROLEUM CORPORATION LIMITED</t>
  </si>
  <si>
    <t>MAHARASHTRA; тыс. т/год источника переведены в млн т/год; не конвертировано в баррели</t>
  </si>
  <si>
    <t>HPC, Vizag</t>
  </si>
  <si>
    <t>ANDHRA PRADESH; тыс. т/год источника переведены в млн т/год; не конвертировано в баррели</t>
  </si>
  <si>
    <t>BPC, Mumbai</t>
  </si>
  <si>
    <t>BHARAT PETROLEUM CORPORATION LIMITED</t>
  </si>
  <si>
    <t>BPC, Kochi</t>
  </si>
  <si>
    <t>KERALA; тыс. т/год источника переведены в млн т/год; не конвертировано в баррели</t>
  </si>
  <si>
    <t>BPC, Bina</t>
  </si>
  <si>
    <t>MADHYA PRADESH; тыс. т/год источника переведены в млн т/год; не конвертировано в баррели</t>
  </si>
  <si>
    <t>CPCL,Manali</t>
  </si>
  <si>
    <t>CHENNAI PETROLEUM CORPORATION LIMITED</t>
  </si>
  <si>
    <t>CHENNAI; тыс. т/год источника переведены в млн т/год; не конвертировано в баррели</t>
  </si>
  <si>
    <t>CPCL, Cauvery Basin*</t>
  </si>
  <si>
    <t>Capacity augmentation</t>
  </si>
  <si>
    <t>NRL, Numaligarh</t>
  </si>
  <si>
    <t>NUMALIGARH REFINERY LIMITED</t>
  </si>
  <si>
    <t>ONGC, Tatipaka</t>
  </si>
  <si>
    <t>OIL AND NATURAL GAS CORPORATION</t>
  </si>
  <si>
    <t>MRPL, Mangalore</t>
  </si>
  <si>
    <t>MANGALORE REFINERY AND PETROCHEMICALS LIMITED</t>
  </si>
  <si>
    <t>KARNATAKA; тыс. т/год источника переведены в млн т/год; не конвертировано в баррели</t>
  </si>
  <si>
    <t>HMEL, GGSR</t>
  </si>
  <si>
    <t>HPCL–MITTAL ENERGY LIMITED</t>
  </si>
  <si>
    <t>PUNJAB; тыс. т/год источника переведены в млн т/год; не конвертировано в баррели</t>
  </si>
  <si>
    <t>HRRL, Pachpadra</t>
  </si>
  <si>
    <t>HPCL RAJASTHAN REFINERY LIMITED</t>
  </si>
  <si>
    <t>RAJASTHAN; тыс. т/год источника переведены в млн т/год; не конвертировано в баррели</t>
  </si>
  <si>
    <t>RIL, Jamnagar</t>
  </si>
  <si>
    <t>RELIANCE INDUSTRIES LIMITED</t>
  </si>
  <si>
    <t>RPL (SEZ), Jamnagar</t>
  </si>
  <si>
    <t>NEL, Vadinar</t>
  </si>
  <si>
    <t>NAYARA ENERGY LIMITED</t>
  </si>
  <si>
    <t>Atyrau</t>
  </si>
  <si>
    <t>KMG group</t>
  </si>
  <si>
    <t>Operating</t>
  </si>
  <si>
    <t>НПЗ КМГ</t>
  </si>
  <si>
    <t>КМГ, годовой отчёт 2025</t>
  </si>
  <si>
    <t>Мощность на 100% предприятия; доля владения не применяется</t>
  </si>
  <si>
    <t>Pavlodar</t>
  </si>
  <si>
    <t>Shymkent</t>
  </si>
  <si>
    <t>Caspi Bitum</t>
  </si>
  <si>
    <t>Marsden Point</t>
  </si>
  <si>
    <t>Channel Infrastructure</t>
  </si>
  <si>
    <t>НПЗ преобразован в импортный терминал</t>
  </si>
  <si>
    <t>MBIE</t>
  </si>
  <si>
    <t>Нефтепереработка прекращена в 2022</t>
  </si>
  <si>
    <t>Обновление стран и НПЗ</t>
  </si>
  <si>
    <t>Дата проверки: 16.09.2026</t>
  </si>
  <si>
    <t>Обновление</t>
  </si>
  <si>
    <t>16.09.2026. Данные загружены из открытых источников; дата проверки не заменяет год наблюдения.</t>
  </si>
  <si>
    <t>Добыча нефти и жидкостей</t>
  </si>
  <si>
    <t>Oilmap</t>
  </si>
  <si>
    <t>658 объектов, 114 стран/территорий. Слой изменён 18.02.2019; не является реестром действующих заводов на 2026 год.</t>
  </si>
  <si>
    <t>Сырая нефть и конденсат</t>
  </si>
  <si>
    <t>Сумма мощности Oilmap</t>
  </si>
  <si>
    <t>Суммируются только 635 явно указанных crude capacity. Для 23 объектов мощность неизвестна. Ноль объектов означает отсутствие в Oilmap, а не отсутствие НПЗ в стране.</t>
  </si>
  <si>
    <t>NGPL</t>
  </si>
  <si>
    <t>География</t>
  </si>
  <si>
    <t>Страны назначены по Natural Earth 10m. Прибрежные точки вне полигона сопоставлены ближайшему берегу; расстояние и способ сохранены на листе НПЗ Oilmap. Границы следуют исходному набору.</t>
  </si>
  <si>
    <t>Доли продуктов</t>
  </si>
  <si>
    <t>EIA</t>
  </si>
  <si>
    <t>Добыча: total petroleum and other liquids; сырая нефть включает lease condensate; NGPL — отдельный ряд. Тысячи барр./сут. умножены на 1000. Использованы последние полные годовые значения 2024–2025.</t>
  </si>
  <si>
    <t>Потребление</t>
  </si>
  <si>
    <t>JODI</t>
  </si>
  <si>
    <t>Для 2025 использован TOTPRODS/TOTDEMO/KBBL только при наличии 12 месяцев. Годовой объём / 365. Доли — от той же годовой базы; Jet и керосин суммированы.</t>
  </si>
  <si>
    <t>NY.GDP.MKTP.CD</t>
  </si>
  <si>
    <t>Продуктовые доли</t>
  </si>
  <si>
    <t>Доля JODI и доля EIA имеют разные базы; метод и источник указаны в комментарии и журнале. Отсутствующие доли не заменены нулями; суммы долей могут отличаться от 100% из-за других продуктов.</t>
  </si>
  <si>
    <t>NY.GDP.MKTP.KD.ZG</t>
  </si>
  <si>
    <t>Годовое потребление</t>
  </si>
  <si>
    <t>Формула учитывает 366 дней в високосном году. Числа в таблице хранятся как числа, а не форматированный текст.</t>
  </si>
  <si>
    <t>FP.CPI.TOTL.ZG</t>
  </si>
  <si>
    <t>World Bank</t>
  </si>
  <si>
    <t>ВВП, рост ВВП и CPI — последнее ненулевое наблюдение 2024–2025. Для каждого показателя сохранён собственный год. XKX используется только как код World Bank для Косово, а не как присвоенный ISO.</t>
  </si>
  <si>
    <t>Бензин цена</t>
  </si>
  <si>
    <t>Цены</t>
  </si>
  <si>
    <t>GPP, сравнительная таблица на 14.09.2026, USD/л. Дата таблицы не означает индивидуальное изменение регулируемого тарифа в этот день. Mayotte отсутствует во входном списке стран и не добавлялась.</t>
  </si>
  <si>
    <t>Дизель цена</t>
  </si>
  <si>
    <t>Jet и мазут</t>
  </si>
  <si>
    <t>Единые сопоставимые национальные цены в открытых источниках не подтверждены. Старые значения сохранены, статус явно указан; региональные котировки не подставлены вместо национальных.</t>
  </si>
  <si>
    <t>LPG цена</t>
  </si>
  <si>
    <t>НПЗ: первичные источники</t>
  </si>
  <si>
    <t>Concawe — 24 европейские страны, 2025; EIA — США, 01.01.2026; PPAC — Индия, 01.04.2026; КМГ — 4 крупных завода Казахстана, 2025; DCCEEW — Австралия, 2026; MBIE — Новая Зеландия, 2025/2026.</t>
  </si>
  <si>
    <t>Oilmap объекты</t>
  </si>
  <si>
    <t>НПЗ: различие охвата</t>
  </si>
  <si>
    <t>Европа включает действующие mainstream и специализированные НПЗ, исключает чистые биозаводы. США: 130 operable предприятий, в том числе 124 с первичной перегонкой; 128 operating и 2 idle.</t>
  </si>
  <si>
    <t>Oilmap страны</t>
  </si>
  <si>
    <t>Индия и Казахстан</t>
  </si>
  <si>
    <t>Индия: 23 строки с ненулевой установленной мощностью, 267.116 млн т/год; это не проверка operating-статуса каждой площадки. Казахстан: 4 крупных НПЗ группы КМГ, 19 млн т/год; мини-НПЗ не охвачены. Тонны в баррели без коэффициента не переводились.</t>
  </si>
  <si>
    <t>Первичные источники НПЗ, страны</t>
  </si>
  <si>
    <t>Мощность EI*</t>
  </si>
  <si>
    <t>69 стран: вторичная публикация Energy Factbook со ссылкой на EI 2026, показатели 2025. Прямую выгрузку EI получить не удалось; значения выделены отдельно и не приравнены к проверенному первоисточнику.</t>
  </si>
  <si>
    <t>Вторичная сводка EI, страны</t>
  </si>
  <si>
    <t>Ограничение свежей проверки</t>
  </si>
  <si>
    <t>Первичные сведения найдены для 29 стран. Это не полная индивидуальная перепроверка всех 658 НПЗ. Для остальных стран явно указано, подтверждена ли только вторичная мощность или свежие сведения отсутствуют.</t>
  </si>
  <si>
    <t>Свежие записи НПЗ</t>
  </si>
  <si>
    <t>Первичный источник подтверждает закрытие Marsden Point. Вторичная сводка EI содержит 30 тыс. барр./сут.; значение сохранено для видимости расхождения, но не принято как действующая мощность.</t>
  </si>
  <si>
    <t>Исходный аудит</t>
  </si>
  <si>
    <t>Лист Аудит сохранён как аудит входного файла. Его старые замечания не описывают обновлённые значения. Этот лист содержит результаты нового обновления.</t>
  </si>
  <si>
    <t>Сохранение данных</t>
  </si>
  <si>
    <t>Страны, территории и их порядок сохранены. Пропущенные ISO заполнены по точному имени Natural Earth. Неподтверждённые исходные значения сохранены; источник и статус новых значений записаны в журнале.</t>
  </si>
  <si>
    <t>До обновления</t>
  </si>
  <si>
    <t>После обновления</t>
  </si>
  <si>
    <t>URL / источник</t>
  </si>
  <si>
    <t>Метод</t>
  </si>
  <si>
    <t>https://github.com/nvkelso/natural-earth-vector/blob/master/geojson/ne_10m_admin_0_countries.geojson</t>
  </si>
  <si>
    <t>Заполнен пропущенный ISO по точному NAME_EN; территориальные агрегаты не наследуют код суверена</t>
  </si>
  <si>
    <t>852 689.00</t>
  </si>
  <si>
    <t>https://api.eia.gov/v2/international/data/?frequency=annual&amp;facets[productId][]=53&amp;facets[activityId][]=1&amp;facets[unit][]=TBPD</t>
  </si>
  <si>
    <t>EIA TBPD × 1000; календарный год</t>
  </si>
  <si>
    <t>581 668.00</t>
  </si>
  <si>
    <t>https://api.eia.gov/v2/international/data/?frequency=annual&amp;facets[productId][]=57&amp;facets[activityId][]=1&amp;facets[unit][]=TBPD</t>
  </si>
  <si>
    <t>20000</t>
  </si>
  <si>
    <t>https://api.eia.gov/v2/international/data/?frequency=annual&amp;facets[productId][]=58&amp;facets[activityId][]=1&amp;facets[unit][]=TBPD</t>
  </si>
  <si>
    <t>https://www.jodidata.org/_resources/files/downloads/oil-data/annual-csv/secondary/2025.csv</t>
  </si>
  <si>
    <t>JODI TOTPRODS/TOTDEMO/KBBL; сумма 12 месяцев × 1000 / 365</t>
  </si>
  <si>
    <t>30.5</t>
  </si>
  <si>
    <t>Доля от годового TOTPRODS; Jet и керосин суммированы</t>
  </si>
  <si>
    <t>39.0</t>
  </si>
  <si>
    <t>17.4</t>
  </si>
  <si>
    <t>Расчёт: барр./сут. × календарные дни / 1 000 000</t>
  </si>
  <si>
    <t>604 171.00</t>
  </si>
  <si>
    <t>512 670.00</t>
  </si>
  <si>
    <t>39579</t>
  </si>
  <si>
    <t>747 112.00</t>
  </si>
  <si>
    <t>https://api.eia.gov/v2/international/data/?frequency=annual&amp;facets[productId][]=5&amp;facets[activityId][]=2&amp;facets[unit][]=TBPD</t>
  </si>
  <si>
    <t>EIA petroleum and other liquids; TBPD × 1000</t>
  </si>
  <si>
    <t>26.8</t>
  </si>
  <si>
    <t>https://api.eia.gov/v2/international/data/?frequency=annual&amp;facets[productId][]=65&amp;facets[activityId][]=2&amp;facets[unit][]=TBPD</t>
  </si>
  <si>
    <t>Доля от petroleum and other liquids за тот же год</t>
  </si>
  <si>
    <t>43.5</t>
  </si>
  <si>
    <t>https://api.eia.gov/v2/international/data/?frequency=annual&amp;facets[productId][]=62&amp;facets[activityId][]=2&amp;facets[unit][]=TBPD</t>
  </si>
  <si>
    <t>11.0</t>
  </si>
  <si>
    <t>https://api.eia.gov/v2/international/data/?frequency=annual&amp;facets[productId][]=67&amp;facets[activityId][]=2&amp;facets[unit][]=TBPD</t>
  </si>
  <si>
    <t>https://api.eia.gov/v2/international/data/?frequency=annual&amp;facets[productId][]=63,64&amp;facets[activityId][]=2&amp;facets[unit][]=TBPD</t>
  </si>
  <si>
    <t>https://api.eia.gov/v2/international/data/?frequency=annual&amp;facets[productId][]=66&amp;facets[activityId][]=2&amp;facets[unit][]=TBPD</t>
  </si>
  <si>
    <t>272.70</t>
  </si>
  <si>
    <t>21 109.00</t>
  </si>
  <si>
    <t>1 968.30</t>
  </si>
  <si>
    <t>11828</t>
  </si>
  <si>
    <t>380 592.00</t>
  </si>
  <si>
    <t>23.2</t>
  </si>
  <si>
    <t>138.92</t>
  </si>
  <si>
    <t>51 866.00</t>
  </si>
  <si>
    <t>17 661.00</t>
  </si>
  <si>
    <t>32000</t>
  </si>
  <si>
    <t>103 845.00</t>
  </si>
  <si>
    <t>41.3</t>
  </si>
  <si>
    <t>38.8</t>
  </si>
  <si>
    <t>14.4</t>
  </si>
  <si>
    <t>37.90</t>
  </si>
  <si>
    <t>123 302.00</t>
  </si>
  <si>
    <t>44 153.00</t>
  </si>
  <si>
    <t>73326</t>
  </si>
  <si>
    <t>264 380.00</t>
  </si>
  <si>
    <t>41.5</t>
  </si>
  <si>
    <t>19.3</t>
  </si>
  <si>
    <t>27.2</t>
  </si>
  <si>
    <t>96.50</t>
  </si>
  <si>
    <t>983 537.00</t>
  </si>
  <si>
    <t>794 004.00</t>
  </si>
  <si>
    <t>130000</t>
  </si>
  <si>
    <t>734 573.00</t>
  </si>
  <si>
    <t>29.8</t>
  </si>
  <si>
    <t>268.12</t>
  </si>
  <si>
    <t>46 382.00</t>
  </si>
  <si>
    <t>Недостаточно данных за 12 месяцев; старые доли не смешиваются с новой базой</t>
  </si>
  <si>
    <t>16.93</t>
  </si>
  <si>
    <t>990 278.00</t>
  </si>
  <si>
    <t>580 600.00</t>
  </si>
  <si>
    <t>110560</t>
  </si>
  <si>
    <t>5 598 890.00</t>
  </si>
  <si>
    <t>33.6</t>
  </si>
  <si>
    <t>17.7</t>
  </si>
  <si>
    <t>2 043.59</t>
  </si>
  <si>
    <t>5 446 189.00</t>
  </si>
  <si>
    <t>4 324 685.00</t>
  </si>
  <si>
    <t>10000</t>
  </si>
  <si>
    <t>16 370 536.00</t>
  </si>
  <si>
    <t>22.6</t>
  </si>
  <si>
    <t>21.7</t>
  </si>
  <si>
    <t>5 975.25</t>
  </si>
  <si>
    <t>25 215.00</t>
  </si>
  <si>
    <t>220 375.00</t>
  </si>
  <si>
    <t>80.44</t>
  </si>
  <si>
    <t>34 405.00</t>
  </si>
  <si>
    <t>55.7</t>
  </si>
  <si>
    <t>21.8</t>
  </si>
  <si>
    <t>21.6</t>
  </si>
  <si>
    <t>12.56</t>
  </si>
  <si>
    <t>114 321.00</t>
  </si>
  <si>
    <t>41.73</t>
  </si>
  <si>
    <t>103 689.00</t>
  </si>
  <si>
    <t>48.4</t>
  </si>
  <si>
    <t>16.6</t>
  </si>
  <si>
    <t>37.85</t>
  </si>
  <si>
    <t>112 658.00</t>
  </si>
  <si>
    <t>11 890.00</t>
  </si>
  <si>
    <t>74.5</t>
  </si>
  <si>
    <t>9.5</t>
  </si>
  <si>
    <t>14.8</t>
  </si>
  <si>
    <t>4.34</t>
  </si>
  <si>
    <t>11 150.00</t>
  </si>
  <si>
    <t>35.0</t>
  </si>
  <si>
    <t>19.6</t>
  </si>
  <si>
    <t>4.07</t>
  </si>
  <si>
    <t>116 161.00</t>
  </si>
  <si>
    <t>38.9</t>
  </si>
  <si>
    <t>29.9</t>
  </si>
  <si>
    <t>13.7</t>
  </si>
  <si>
    <t>42.40</t>
  </si>
  <si>
    <t>10 525.00</t>
  </si>
  <si>
    <t>3.84</t>
  </si>
  <si>
    <t>83 536.00</t>
  </si>
  <si>
    <t>46.5</t>
  </si>
  <si>
    <t>32.9</t>
  </si>
  <si>
    <t>14.2</t>
  </si>
  <si>
    <t>30.49</t>
  </si>
  <si>
    <t>81 235.00</t>
  </si>
  <si>
    <t>75 247.00</t>
  </si>
  <si>
    <t>7690.6</t>
  </si>
  <si>
    <t>123 817.00</t>
  </si>
  <si>
    <t>29.4</t>
  </si>
  <si>
    <t>16.7</t>
  </si>
  <si>
    <t>45.19</t>
  </si>
  <si>
    <t>105889</t>
  </si>
  <si>
    <t>10222</t>
  </si>
  <si>
    <t>1501019</t>
  </si>
  <si>
    <t>50.1</t>
  </si>
  <si>
    <t>19</t>
  </si>
  <si>
    <t>547.871935</t>
  </si>
  <si>
    <t>11660</t>
  </si>
  <si>
    <t>12089</t>
  </si>
  <si>
    <t>14772</t>
  </si>
  <si>
    <t>5.39178</t>
  </si>
  <si>
    <t>747432</t>
  </si>
  <si>
    <t>26760</t>
  </si>
  <si>
    <t>48.2</t>
  </si>
  <si>
    <t>18.7</t>
  </si>
  <si>
    <t>9.7674</t>
  </si>
  <si>
    <t>110660</t>
  </si>
  <si>
    <t>2437060</t>
  </si>
  <si>
    <t>17.9</t>
  </si>
  <si>
    <t>12.6</t>
  </si>
  <si>
    <t>889.5269</t>
  </si>
  <si>
    <t>101.2</t>
  </si>
  <si>
    <t>18921</t>
  </si>
  <si>
    <t>27.4</t>
  </si>
  <si>
    <t>24.3</t>
  </si>
  <si>
    <t>43.7</t>
  </si>
  <si>
    <t>6.906165</t>
  </si>
  <si>
    <t>25</t>
  </si>
  <si>
    <t>321481</t>
  </si>
  <si>
    <t>41.2</t>
  </si>
  <si>
    <t>31.6</t>
  </si>
  <si>
    <t>117.340565</t>
  </si>
  <si>
    <t>1979.3</t>
  </si>
  <si>
    <t>0.7224445</t>
  </si>
  <si>
    <t>400</t>
  </si>
  <si>
    <t>64988</t>
  </si>
  <si>
    <t>23.72062</t>
  </si>
  <si>
    <t>35626</t>
  </si>
  <si>
    <t>36</t>
  </si>
  <si>
    <t>20.8</t>
  </si>
  <si>
    <t>21.9</t>
  </si>
  <si>
    <t>13.00349</t>
  </si>
  <si>
    <t>249033</t>
  </si>
  <si>
    <t>241236</t>
  </si>
  <si>
    <t>8000</t>
  </si>
  <si>
    <t>14100</t>
  </si>
  <si>
    <t>51.2</t>
  </si>
  <si>
    <t>7.3</t>
  </si>
  <si>
    <t>5.1465</t>
  </si>
  <si>
    <t>16000</t>
  </si>
  <si>
    <t>25053</t>
  </si>
  <si>
    <t>57</t>
  </si>
  <si>
    <t>34.3</t>
  </si>
  <si>
    <t>4.6</t>
  </si>
  <si>
    <t>9.144345</t>
  </si>
  <si>
    <t>5453</t>
  </si>
  <si>
    <t>1.990345</t>
  </si>
  <si>
    <t>7203.1</t>
  </si>
  <si>
    <t>205641</t>
  </si>
  <si>
    <t>52.2</t>
  </si>
  <si>
    <t>20.5</t>
  </si>
  <si>
    <t>15.9</t>
  </si>
  <si>
    <t>75.058965</t>
  </si>
  <si>
    <t>26009</t>
  </si>
  <si>
    <t>116200</t>
  </si>
  <si>
    <t>48.3</t>
  </si>
  <si>
    <t>20.2</t>
  </si>
  <si>
    <t>42.413</t>
  </si>
  <si>
    <t>24413</t>
  </si>
  <si>
    <t>57.2</t>
  </si>
  <si>
    <t>25.2</t>
  </si>
  <si>
    <t>9</t>
  </si>
  <si>
    <t>8.910745</t>
  </si>
  <si>
    <t>95210</t>
  </si>
  <si>
    <t>370.9</t>
  </si>
  <si>
    <t>1625.5</t>
  </si>
  <si>
    <t>612110</t>
  </si>
  <si>
    <t>44.4</t>
  </si>
  <si>
    <t>24.5</t>
  </si>
  <si>
    <t>223.42015</t>
  </si>
  <si>
    <t>1011409</t>
  </si>
  <si>
    <t>1002069</t>
  </si>
  <si>
    <t>230821</t>
  </si>
  <si>
    <t>32.4</t>
  </si>
  <si>
    <t>84.249665</t>
  </si>
  <si>
    <t>49686</t>
  </si>
  <si>
    <t>135564</t>
  </si>
  <si>
    <t>30.7</t>
  </si>
  <si>
    <t>20.3</t>
  </si>
  <si>
    <t>49.48086</t>
  </si>
  <si>
    <t>2149550</t>
  </si>
  <si>
    <t>2046610</t>
  </si>
  <si>
    <t>100404</t>
  </si>
  <si>
    <t>412115</t>
  </si>
  <si>
    <t>28.2</t>
  </si>
  <si>
    <t>28.5</t>
  </si>
  <si>
    <t>150.421975</t>
  </si>
  <si>
    <t>316</t>
  </si>
  <si>
    <t>32748</t>
  </si>
  <si>
    <t>24.8</t>
  </si>
  <si>
    <t>39.9</t>
  </si>
  <si>
    <t>11.95302</t>
  </si>
  <si>
    <t>8891.8</t>
  </si>
  <si>
    <t>64647</t>
  </si>
  <si>
    <t>23.596155</t>
  </si>
  <si>
    <t>4655066</t>
  </si>
  <si>
    <t>3268781</t>
  </si>
  <si>
    <t>1193.105065</t>
  </si>
  <si>
    <t>1411.6</t>
  </si>
  <si>
    <t>55247</t>
  </si>
  <si>
    <t>20.165155</t>
  </si>
  <si>
    <t>13672</t>
  </si>
  <si>
    <t>48220</t>
  </si>
  <si>
    <t>17.6003</t>
  </si>
  <si>
    <t>10534548</t>
  </si>
  <si>
    <t>3801859</t>
  </si>
  <si>
    <t>1387.678535</t>
  </si>
  <si>
    <t>10891</t>
  </si>
  <si>
    <t>217211</t>
  </si>
  <si>
    <t>79.282015</t>
  </si>
  <si>
    <t>185637</t>
  </si>
  <si>
    <t>2044090</t>
  </si>
  <si>
    <t>44.8</t>
  </si>
  <si>
    <t>23.4</t>
  </si>
  <si>
    <t>746.09285</t>
  </si>
  <si>
    <t>1595</t>
  </si>
  <si>
    <t>33145</t>
  </si>
  <si>
    <t>12.097925</t>
  </si>
  <si>
    <t>2051848</t>
  </si>
  <si>
    <t>238978</t>
  </si>
  <si>
    <t>87.22697</t>
  </si>
  <si>
    <t>13918</t>
  </si>
  <si>
    <t>270740</t>
  </si>
  <si>
    <t>98.8201</t>
  </si>
  <si>
    <t>48403</t>
  </si>
  <si>
    <t>17.667095</t>
  </si>
  <si>
    <t>4339251</t>
  </si>
  <si>
    <t>879804</t>
  </si>
  <si>
    <t>321.12846</t>
  </si>
  <si>
    <t>223.5</t>
  </si>
  <si>
    <t>38674</t>
  </si>
  <si>
    <t>14.11601</t>
  </si>
  <si>
    <t>566628</t>
  </si>
  <si>
    <t>111631</t>
  </si>
  <si>
    <t>40.745315</t>
  </si>
  <si>
    <t>5543.4</t>
  </si>
  <si>
    <t>30019</t>
  </si>
  <si>
    <t>10.956935</t>
  </si>
  <si>
    <t>69525</t>
  </si>
  <si>
    <t>51548</t>
  </si>
  <si>
    <t>2026.1</t>
  </si>
  <si>
    <t>222627</t>
  </si>
  <si>
    <t>60.2</t>
  </si>
  <si>
    <t>14</t>
  </si>
  <si>
    <t>81.258855</t>
  </si>
  <si>
    <t>649.7</t>
  </si>
  <si>
    <t>157693</t>
  </si>
  <si>
    <t>57.557945</t>
  </si>
  <si>
    <t>768557</t>
  </si>
  <si>
    <t>1383995</t>
  </si>
  <si>
    <t>505.158175</t>
  </si>
  <si>
    <t>86186</t>
  </si>
  <si>
    <t>31.45789</t>
  </si>
  <si>
    <t>22706</t>
  </si>
  <si>
    <t>8755</t>
  </si>
  <si>
    <t>235203</t>
  </si>
  <si>
    <t>51.3</t>
  </si>
  <si>
    <t>17.2</t>
  </si>
  <si>
    <t>85.849095</t>
  </si>
  <si>
    <t>1065349</t>
  </si>
  <si>
    <t>388.852385</t>
  </si>
  <si>
    <t>137151</t>
  </si>
  <si>
    <t>83704</t>
  </si>
  <si>
    <t>1206521</t>
  </si>
  <si>
    <t>440.380165</t>
  </si>
  <si>
    <t>4768756</t>
  </si>
  <si>
    <t>1998961</t>
  </si>
  <si>
    <t>729.620765</t>
  </si>
  <si>
    <t>79233</t>
  </si>
  <si>
    <t>21470</t>
  </si>
  <si>
    <t>1567.5</t>
  </si>
  <si>
    <t>784863</t>
  </si>
  <si>
    <t>18</t>
  </si>
  <si>
    <t>13.9</t>
  </si>
  <si>
    <t>286.474995</t>
  </si>
  <si>
    <t>93431</t>
  </si>
  <si>
    <t>34.102315</t>
  </si>
  <si>
    <t>87499</t>
  </si>
  <si>
    <t>31.937135</t>
  </si>
  <si>
    <t>76454</t>
  </si>
  <si>
    <t>27.90571</t>
  </si>
  <si>
    <t>492939</t>
  </si>
  <si>
    <t>179.922735</t>
  </si>
  <si>
    <t>47217</t>
  </si>
  <si>
    <t>17.234205</t>
  </si>
  <si>
    <t>128672</t>
  </si>
  <si>
    <t>46.96528</t>
  </si>
  <si>
    <t>81914</t>
  </si>
  <si>
    <t>29.89861</t>
  </si>
  <si>
    <t>49721</t>
  </si>
  <si>
    <t>18.148165</t>
  </si>
  <si>
    <t>276281</t>
  </si>
  <si>
    <t>100.842565</t>
  </si>
  <si>
    <t>3695113</t>
  </si>
  <si>
    <t>1348.716245</t>
  </si>
  <si>
    <t>22611</t>
  </si>
  <si>
    <t>8.253015</t>
  </si>
  <si>
    <t>37730</t>
  </si>
  <si>
    <t>13.77145</t>
  </si>
  <si>
    <t>479218</t>
  </si>
  <si>
    <t>174.91457</t>
  </si>
  <si>
    <t>108095</t>
  </si>
  <si>
    <t>39.454675</t>
  </si>
  <si>
    <t>1372480</t>
  </si>
  <si>
    <t>500.9552</t>
  </si>
  <si>
    <t>11656</t>
  </si>
  <si>
    <t>4.25444</t>
  </si>
  <si>
    <t>148388</t>
  </si>
  <si>
    <t>54.16162</t>
  </si>
  <si>
    <t>13284</t>
  </si>
  <si>
    <t>4.84866</t>
  </si>
  <si>
    <t>438020</t>
  </si>
  <si>
    <t>159.8773</t>
  </si>
  <si>
    <t>60331</t>
  </si>
  <si>
    <t>22.020815</t>
  </si>
  <si>
    <t>124149</t>
  </si>
  <si>
    <t>45.314385</t>
  </si>
  <si>
    <t>16338</t>
  </si>
  <si>
    <t>5.96337</t>
  </si>
  <si>
    <t>457331</t>
  </si>
  <si>
    <t>166.925815</t>
  </si>
  <si>
    <t>42455</t>
  </si>
  <si>
    <t>15.496075</t>
  </si>
  <si>
    <t>291106</t>
  </si>
  <si>
    <t>106.25369</t>
  </si>
  <si>
    <t>57740</t>
  </si>
  <si>
    <t>21.0751</t>
  </si>
  <si>
    <t>37151</t>
  </si>
  <si>
    <t>13.560115</t>
  </si>
  <si>
    <t>44015</t>
  </si>
  <si>
    <t>16.065475</t>
  </si>
  <si>
    <t>80931</t>
  </si>
  <si>
    <t>29.539815</t>
  </si>
  <si>
    <t>287951</t>
  </si>
  <si>
    <t>105.102115</t>
  </si>
  <si>
    <t>371584</t>
  </si>
  <si>
    <t>135.62816</t>
  </si>
  <si>
    <t>52113</t>
  </si>
  <si>
    <t>19.021245</t>
  </si>
  <si>
    <t>218477</t>
  </si>
  <si>
    <t>79.744105</t>
  </si>
  <si>
    <t>23629</t>
  </si>
  <si>
    <t>8.624585</t>
  </si>
  <si>
    <t>146281</t>
  </si>
  <si>
    <t>53.392565</t>
  </si>
  <si>
    <t>100695</t>
  </si>
  <si>
    <t>36.753675</t>
  </si>
  <si>
    <t>60691</t>
  </si>
  <si>
    <t>22.152215</t>
  </si>
  <si>
    <t>5715</t>
  </si>
  <si>
    <t>2.085975</t>
  </si>
  <si>
    <t>39089</t>
  </si>
  <si>
    <t>14.267485</t>
  </si>
  <si>
    <t>239012</t>
  </si>
  <si>
    <t>16084</t>
  </si>
  <si>
    <t>50.5</t>
  </si>
  <si>
    <t>11.3</t>
  </si>
  <si>
    <t>18.6</t>
  </si>
  <si>
    <t>5.87066</t>
  </si>
  <si>
    <t>20173</t>
  </si>
  <si>
    <t>7.363145</t>
  </si>
  <si>
    <t>39399</t>
  </si>
  <si>
    <t>14.380635</t>
  </si>
  <si>
    <t>15690</t>
  </si>
  <si>
    <t>5.72685</t>
  </si>
  <si>
    <t>102779</t>
  </si>
  <si>
    <t>37.514335</t>
  </si>
  <si>
    <t>2442.8</t>
  </si>
  <si>
    <t>0.891622</t>
  </si>
  <si>
    <t>88207</t>
  </si>
  <si>
    <t>32.195555</t>
  </si>
  <si>
    <t>20610329</t>
  </si>
  <si>
    <t>7522.770085</t>
  </si>
  <si>
    <t>2476562</t>
  </si>
  <si>
    <t>903.94513</t>
  </si>
  <si>
    <t>1830929</t>
  </si>
  <si>
    <t>668.289085</t>
  </si>
  <si>
    <t>5575.3</t>
  </si>
  <si>
    <t>2.0349845</t>
  </si>
  <si>
    <t>135002</t>
  </si>
  <si>
    <t>49.27573</t>
  </si>
  <si>
    <t>234478</t>
  </si>
  <si>
    <t>85.58447</t>
  </si>
  <si>
    <t>42716</t>
  </si>
  <si>
    <t>15.59134</t>
  </si>
  <si>
    <t>612614</t>
  </si>
  <si>
    <t>509596</t>
  </si>
  <si>
    <t>103936</t>
  </si>
  <si>
    <t>959494</t>
  </si>
  <si>
    <t>36.3</t>
  </si>
  <si>
    <t>19.5</t>
  </si>
  <si>
    <t>18.3</t>
  </si>
  <si>
    <t>350.21531</t>
  </si>
  <si>
    <t>15202</t>
  </si>
  <si>
    <t>100734</t>
  </si>
  <si>
    <t>51.8</t>
  </si>
  <si>
    <t>27</t>
  </si>
  <si>
    <t>36.76791</t>
  </si>
  <si>
    <t>30550</t>
  </si>
  <si>
    <t>56.4</t>
  </si>
  <si>
    <t>7.6</t>
  </si>
  <si>
    <t>25.7</t>
  </si>
  <si>
    <t>11.15075</t>
  </si>
  <si>
    <t>95563</t>
  </si>
  <si>
    <t>6337.4</t>
  </si>
  <si>
    <t>2.313151</t>
  </si>
  <si>
    <t>3639.9</t>
  </si>
  <si>
    <t>1.3285635</t>
  </si>
  <si>
    <t>96</t>
  </si>
  <si>
    <t>278541</t>
  </si>
  <si>
    <t>101.667465</t>
  </si>
  <si>
    <t>1150540</t>
  </si>
  <si>
    <t>419.9471</t>
  </si>
  <si>
    <t>3531.1</t>
  </si>
  <si>
    <t>1.2888515</t>
  </si>
  <si>
    <t>15411</t>
  </si>
  <si>
    <t>5.625015</t>
  </si>
  <si>
    <t>19035</t>
  </si>
  <si>
    <t>7914.7</t>
  </si>
  <si>
    <t>4038.9</t>
  </si>
  <si>
    <t>159959</t>
  </si>
  <si>
    <t>31.1</t>
  </si>
  <si>
    <t>58.385035</t>
  </si>
  <si>
    <t>14334</t>
  </si>
  <si>
    <t>473464</t>
  </si>
  <si>
    <t>40.4</t>
  </si>
  <si>
    <t>27.1</t>
  </si>
  <si>
    <t>172.81436</t>
  </si>
  <si>
    <t>91962</t>
  </si>
  <si>
    <t>36.6</t>
  </si>
  <si>
    <t>25.9</t>
  </si>
  <si>
    <t>12.1</t>
  </si>
  <si>
    <t>33.56613</t>
  </si>
  <si>
    <t>25612</t>
  </si>
  <si>
    <t>893971</t>
  </si>
  <si>
    <t>13</t>
  </si>
  <si>
    <t>21</t>
  </si>
  <si>
    <t>326.299415</t>
  </si>
  <si>
    <t>102909</t>
  </si>
  <si>
    <t>3106.6</t>
  </si>
  <si>
    <t>4259.5</t>
  </si>
  <si>
    <t>3071463</t>
  </si>
  <si>
    <t>22.5</t>
  </si>
  <si>
    <t>24.4</t>
  </si>
  <si>
    <t>1121.083995</t>
  </si>
  <si>
    <t>11001</t>
  </si>
  <si>
    <t>4.015365</t>
  </si>
  <si>
    <t>5018.7</t>
  </si>
  <si>
    <t>1.8318255</t>
  </si>
  <si>
    <t>1929</t>
  </si>
  <si>
    <t>0.704085</t>
  </si>
  <si>
    <t>16405</t>
  </si>
  <si>
    <t>5.987825</t>
  </si>
  <si>
    <t>5831.2</t>
  </si>
  <si>
    <t>2.128388</t>
  </si>
  <si>
    <t>28460</t>
  </si>
  <si>
    <t>10.3879</t>
  </si>
  <si>
    <t>4791.5</t>
  </si>
  <si>
    <t>1.7488975</t>
  </si>
  <si>
    <t>46802</t>
  </si>
  <si>
    <t>17.08273</t>
  </si>
  <si>
    <t>5288</t>
  </si>
  <si>
    <t>1.93012</t>
  </si>
  <si>
    <t>1482170</t>
  </si>
  <si>
    <t>540.99205</t>
  </si>
  <si>
    <t>12787</t>
  </si>
  <si>
    <t>4.667255</t>
  </si>
  <si>
    <t>22006</t>
  </si>
  <si>
    <t>8.03219</t>
  </si>
  <si>
    <t>70235</t>
  </si>
  <si>
    <t>25.635775</t>
  </si>
  <si>
    <t>https://api.worldbank.org/v2/country/IDN/indicator/NY.GDP.MKTP.CD?format=json</t>
  </si>
  <si>
    <t>Последнее ненулевое наблюдение WDI; фактический год сохранён</t>
  </si>
  <si>
    <t>422.23</t>
  </si>
  <si>
    <t>https://api.worldbank.org/v2/country/MYS/indicator/NY.GDP.MKTP.CD?format=json</t>
  </si>
  <si>
    <t>330.27</t>
  </si>
  <si>
    <t>https://api.worldbank.org/v2/country/CHL/indicator/NY.GDP.MKTP.CD?format=json</t>
  </si>
  <si>
    <t>54.88</t>
  </si>
  <si>
    <t>https://api.worldbank.org/v2/country/BOL/indicator/NY.GDP.MKTP.CD?format=json</t>
  </si>
  <si>
    <t>289.22</t>
  </si>
  <si>
    <t>https://api.worldbank.org/v2/country/PER/indicator/NY.GDP.MKTP.CD?format=json</t>
  </si>
  <si>
    <t>638.37</t>
  </si>
  <si>
    <t>https://api.worldbank.org/v2/country/ARG/indicator/NY.GDP.MKTP.CD?format=json</t>
  </si>
  <si>
    <t>37.63</t>
  </si>
  <si>
    <t>https://api.worldbank.org/v2/country/CYP/indicator/NY.GDP.MKTP.CD?format=json</t>
  </si>
  <si>
    <t>3 909.90</t>
  </si>
  <si>
    <t>https://api.worldbank.org/v2/country/IND/indicator/NY.GDP.MKTP.CD?format=json</t>
  </si>
  <si>
    <t>18 743.80</t>
  </si>
  <si>
    <t>https://api.worldbank.org/v2/country/CHN/indicator/NY.GDP.MKTP.CD?format=json</t>
  </si>
  <si>
    <t>540.38</t>
  </si>
  <si>
    <t>https://api.worldbank.org/v2/country/ISR/indicator/NY.GDP.MKTP.CD?format=json</t>
  </si>
  <si>
    <t>13.71</t>
  </si>
  <si>
    <t>https://api.worldbank.org/v2/country/PSE/indicator/NY.GDP.MKTP.CD?format=json</t>
  </si>
  <si>
    <t>20.08</t>
  </si>
  <si>
    <t>https://api.worldbank.org/v2/country/LBN/indicator/NY.GDP.MKTP.CD?format=json</t>
  </si>
  <si>
    <t>149.74</t>
  </si>
  <si>
    <t>https://api.worldbank.org/v2/country/ETH/indicator/NY.GDP.MKTP.CD?format=json</t>
  </si>
  <si>
    <t>11.97</t>
  </si>
  <si>
    <t>https://api.worldbank.org/v2/country/SOM/indicator/NY.GDP.MKTP.CD?format=json</t>
  </si>
  <si>
    <t>120.34</t>
  </si>
  <si>
    <t>https://api.worldbank.org/v2/country/KEN/indicator/NY.GDP.MKTP.CD?format=json</t>
  </si>
  <si>
    <t>11.32</t>
  </si>
  <si>
    <t>https://api.worldbank.org/v2/country/MWI/indicator/NY.GDP.MKTP.CD?format=json</t>
  </si>
  <si>
    <t>https://api.worldbank.org/v2/country/TZA/indicator/NY.GDP.MKTP.CD?format=json</t>
  </si>
  <si>
    <t>3160.44</t>
  </si>
  <si>
    <t>https://api.worldbank.org/v2/country/FRA/indicator/NY.GDP.MKTP.CD?format=json</t>
  </si>
  <si>
    <t>4.42</t>
  </si>
  <si>
    <t>https://api.worldbank.org/v2/country/SUR/indicator/NY.GDP.MKTP.CD?format=json</t>
  </si>
  <si>
    <t>24.66</t>
  </si>
  <si>
    <t>https://api.worldbank.org/v2/country/GUY/indicator/NY.GDP.MKTP.CD?format=json</t>
  </si>
  <si>
    <t>https://api.worldbank.org/v2/country/KOR/indicator/NY.GDP.MKTP.CD?format=json</t>
  </si>
  <si>
    <t>160.61</t>
  </si>
  <si>
    <t>https://api.worldbank.org/v2/country/MAR/indicator/NY.GDP.MKTP.CD?format=json</t>
  </si>
  <si>
    <t>https://api.worldbank.org/v2/country/CRI/indicator/NY.GDP.MKTP.CD?format=json</t>
  </si>
  <si>
    <t>19.69</t>
  </si>
  <si>
    <t>https://api.worldbank.org/v2/country/NIC/indicator/NY.GDP.MKTP.CD?format=json</t>
  </si>
  <si>
    <t>15.72</t>
  </si>
  <si>
    <t>https://api.worldbank.org/v2/country/COG/indicator/NY.GDP.MKTP.CD?format=json</t>
  </si>
  <si>
    <t>https://api.worldbank.org/v2/country/COD/indicator/NY.GDP.MKTP.CD?format=json</t>
  </si>
  <si>
    <t>3.3466</t>
  </si>
  <si>
    <t>https://api.worldbank.org/v2/country/BTN/indicator/NY.GDP.MKTP.CD?format=json</t>
  </si>
  <si>
    <t>190.83</t>
  </si>
  <si>
    <t>https://api.worldbank.org/v2/country/UKR/indicator/NY.GDP.MKTP.CD?format=json</t>
  </si>
  <si>
    <t>https://api.worldbank.org/v2/country/BLR/indicator/NY.GDP.MKTP.CD?format=json</t>
  </si>
  <si>
    <t>https://api.worldbank.org/v2/country/NAM/indicator/NY.GDP.MKTP.CD?format=json</t>
  </si>
  <si>
    <t>https://api.worldbank.org/v2/country/ZAF/indicator/NY.GDP.MKTP.CD?format=json</t>
  </si>
  <si>
    <t>https://api.worldbank.org/v2/country/SXM/indicator/NY.GDP.MKTP.CD?format=json</t>
  </si>
  <si>
    <t>https://api.worldbank.org/v2/country/OMN/indicator/NY.GDP.MKTP.CD?format=json</t>
  </si>
  <si>
    <t>https://api.worldbank.org/v2/country/UZB/indicator/NY.GDP.MKTP.CD?format=json</t>
  </si>
  <si>
    <t>https://api.worldbank.org/v2/country/KAZ/indicator/NY.GDP.MKTP.CD?format=json</t>
  </si>
  <si>
    <t>https://api.worldbank.org/v2/country/TJK/indicator/NY.GDP.MKTP.CD?format=json</t>
  </si>
  <si>
    <t>https://api.worldbank.org/v2/country/LTU/indicator/NY.GDP.MKTP.CD?format=json</t>
  </si>
  <si>
    <t>https://api.worldbank.org/v2/country/BRA/indicator/NY.GDP.MKTP.CD?format=json</t>
  </si>
  <si>
    <t>https://api.worldbank.org/v2/country/URY/indicator/NY.GDP.MKTP.CD?format=json</t>
  </si>
  <si>
    <t>https://api.worldbank.org/v2/country/MNG/indicator/NY.GDP.MKTP.CD?format=json</t>
  </si>
  <si>
    <t>https://api.worldbank.org/v2/country/RUS/indicator/NY.GDP.MKTP.CD?format=json</t>
  </si>
  <si>
    <t>https://api.worldbank.org/v2/country/CZE/indicator/NY.GDP.MKTP.CD?format=json</t>
  </si>
  <si>
    <t>https://api.worldbank.org/v2/country/DEU/indicator/NY.GDP.MKTP.CD?format=json</t>
  </si>
  <si>
    <t>https://api.worldbank.org/v2/country/EST/indicator/NY.GDP.MKTP.CD?format=json</t>
  </si>
  <si>
    <t>https://api.worldbank.org/v2/country/LVA/indicator/NY.GDP.MKTP.CD?format=json</t>
  </si>
  <si>
    <t>https://api.worldbank.org/v2/country/NOR/indicator/NY.GDP.MKTP.CD?format=json</t>
  </si>
  <si>
    <t>https://api.worldbank.org/v2/country/SWE/indicator/NY.GDP.MKTP.CD?format=json</t>
  </si>
  <si>
    <t>https://api.worldbank.org/v2/country/FIN/indicator/NY.GDP.MKTP.CD?format=json</t>
  </si>
  <si>
    <t>https://api.worldbank.org/v2/country/VNM/indicator/NY.GDP.MKTP.CD?format=json</t>
  </si>
  <si>
    <t>https://api.worldbank.org/v2/country/KHM/indicator/NY.GDP.MKTP.CD?format=json</t>
  </si>
  <si>
    <t>https://api.worldbank.org/v2/country/LUX/indicator/NY.GDP.MKTP.CD?format=json</t>
  </si>
  <si>
    <t>https://api.worldbank.org/v2/country/ARE/indicator/NY.GDP.MKTP.CD?format=json</t>
  </si>
  <si>
    <t>https://api.worldbank.org/v2/country/BEL/indicator/NY.GDP.MKTP.CD?format=json</t>
  </si>
  <si>
    <t>https://api.worldbank.org/v2/country/GEO/indicator/NY.GDP.MKTP.CD?format=json</t>
  </si>
  <si>
    <t>https://api.worldbank.org/v2/country/MKD/indicator/NY.GDP.MKTP.CD?format=json</t>
  </si>
  <si>
    <t>https://api.worldbank.org/v2/country/ALB/indicator/NY.GDP.MKTP.CD?format=json</t>
  </si>
  <si>
    <t>https://api.worldbank.org/v2/country/AZE/indicator/NY.GDP.MKTP.CD?format=json</t>
  </si>
  <si>
    <t>https://api.worldbank.org/v2/country/XKX/indicator/NY.GDP.MKTP.CD?format=json</t>
  </si>
  <si>
    <t>https://api.worldbank.org/v2/country/TUR/indicator/NY.GDP.MKTP.CD?format=json</t>
  </si>
  <si>
    <t>https://api.worldbank.org/v2/country/ESP/indicator/NY.GDP.MKTP.CD?format=json</t>
  </si>
  <si>
    <t>https://api.worldbank.org/v2/country/LAO/indicator/NY.GDP.MKTP.CD?format=json</t>
  </si>
  <si>
    <t>https://api.worldbank.org/v2/country/KGZ/indicator/NY.GDP.MKTP.CD?format=json</t>
  </si>
  <si>
    <t>https://api.worldbank.org/v2/country/ARM/indicator/NY.GDP.MKTP.CD?format=json</t>
  </si>
  <si>
    <t>https://api.worldbank.org/v2/country/DNK/indicator/NY.GDP.MKTP.CD?format=json</t>
  </si>
  <si>
    <t>https://api.worldbank.org/v2/country/LBY/indicator/NY.GDP.MKTP.CD?format=json</t>
  </si>
  <si>
    <t>https://api.worldbank.org/v2/country/TUN/indicator/NY.GDP.MKTP.CD?format=json</t>
  </si>
  <si>
    <t>https://api.worldbank.org/v2/country/ROU/indicator/NY.GDP.MKTP.CD?format=json</t>
  </si>
  <si>
    <t>https://api.worldbank.org/v2/country/HUN/indicator/NY.GDP.MKTP.CD?format=json</t>
  </si>
  <si>
    <t>https://api.worldbank.org/v2/country/SVK/indicator/NY.GDP.MKTP.CD?format=json</t>
  </si>
  <si>
    <t>https://api.worldbank.org/v2/country/POL/indicator/NY.GDP.MKTP.CD?format=json</t>
  </si>
  <si>
    <t>https://api.worldbank.org/v2/country/IRL/indicator/NY.GDP.MKTP.CD?format=json</t>
  </si>
  <si>
    <t>https://api.worldbank.org/v2/country/GBR/indicator/NY.GDP.MKTP.CD?format=json</t>
  </si>
  <si>
    <t>https://api.worldbank.org/v2/country/GRC/indicator/NY.GDP.MKTP.CD?format=json</t>
  </si>
  <si>
    <t>https://api.worldbank.org/v2/country/ZMB/indicator/NY.GDP.MKTP.CD?format=json</t>
  </si>
  <si>
    <t>https://api.worldbank.org/v2/country/SLE/indicator/NY.GDP.MKTP.CD?format=json</t>
  </si>
  <si>
    <t>https://api.worldbank.org/v2/country/GIN/indicator/NY.GDP.MKTP.CD?format=json</t>
  </si>
  <si>
    <t>https://api.worldbank.org/v2/country/LBR/indicator/NY.GDP.MKTP.CD?format=json</t>
  </si>
  <si>
    <t>https://api.worldbank.org/v2/country/CAF/indicator/NY.GDP.MKTP.CD?format=json</t>
  </si>
  <si>
    <t>https://api.worldbank.org/v2/country/SDN/indicator/NY.GDP.MKTP.CD?format=json</t>
  </si>
  <si>
    <t>https://api.worldbank.org/v2/country/DJI/indicator/NY.GDP.MKTP.CD?format=json</t>
  </si>
  <si>
    <t>https://api.worldbank.org/v2/country/AUT/indicator/NY.GDP.MKTP.CD?format=json</t>
  </si>
  <si>
    <t>https://api.worldbank.org/v2/country/IRQ/indicator/NY.GDP.MKTP.CD?format=json</t>
  </si>
  <si>
    <t>https://api.worldbank.org/v2/country/ITA/indicator/NY.GDP.MKTP.CD?format=json</t>
  </si>
  <si>
    <t>https://api.worldbank.org/v2/country/CHE/indicator/NY.GDP.MKTP.CD?format=json</t>
  </si>
  <si>
    <t>https://api.worldbank.org/v2/country/IRN/indicator/NY.GDP.MKTP.CD?format=json</t>
  </si>
  <si>
    <t>https://api.worldbank.org/v2/country/NLD/indicator/NY.GDP.MKTP.CD?format=json</t>
  </si>
  <si>
    <t>https://api.worldbank.org/v2/country/LIE/indicator/NY.GDP.MKTP.CD?format=json</t>
  </si>
  <si>
    <t>https://api.worldbank.org/v2/country/CIV/indicator/NY.GDP.MKTP.CD?format=json</t>
  </si>
  <si>
    <t>https://api.worldbank.org/v2/country/SRB/indicator/NY.GDP.MKTP.CD?format=json</t>
  </si>
  <si>
    <t>https://api.worldbank.org/v2/country/MLI/indicator/NY.GDP.MKTP.CD?format=json</t>
  </si>
  <si>
    <t>https://api.worldbank.org/v2/country/SEN/indicator/NY.GDP.MKTP.CD?format=json</t>
  </si>
  <si>
    <t>https://api.worldbank.org/v2/country/NGA/indicator/NY.GDP.MKTP.CD?format=json</t>
  </si>
  <si>
    <t>https://api.worldbank.org/v2/country/BEN/indicator/NY.GDP.MKTP.CD?format=json</t>
  </si>
  <si>
    <t>https://api.worldbank.org/v2/country/AGO/indicator/NY.GDP.MKTP.CD?format=json</t>
  </si>
  <si>
    <t>https://api.worldbank.org/v2/country/HRV/indicator/NY.GDP.MKTP.CD?format=json</t>
  </si>
  <si>
    <t>https://api.worldbank.org/v2/country/SVN/indicator/NY.GDP.MKTP.CD?format=json</t>
  </si>
  <si>
    <t>https://api.worldbank.org/v2/country/QAT/indicator/NY.GDP.MKTP.CD?format=json</t>
  </si>
  <si>
    <t>https://api.worldbank.org/v2/country/SAU/indicator/NY.GDP.MKTP.CD?format=json</t>
  </si>
  <si>
    <t>https://api.worldbank.org/v2/country/BWA/indicator/NY.GDP.MKTP.CD?format=json</t>
  </si>
  <si>
    <t>https://api.worldbank.org/v2/country/ZWE/indicator/NY.GDP.MKTP.CD?format=json</t>
  </si>
  <si>
    <t>https://api.worldbank.org/v2/country/PAK/indicator/NY.GDP.MKTP.CD?format=json</t>
  </si>
  <si>
    <t>https://api.worldbank.org/v2/country/BGR/indicator/NY.GDP.MKTP.CD?format=json</t>
  </si>
  <si>
    <t>https://api.worldbank.org/v2/country/THA/indicator/NY.GDP.MKTP.CD?format=json</t>
  </si>
  <si>
    <t>https://api.worldbank.org/v2/country/HTI/indicator/NY.GDP.MKTP.CD?format=json</t>
  </si>
  <si>
    <t>https://api.worldbank.org/v2/country/DOM/indicator/NY.GDP.MKTP.CD?format=json</t>
  </si>
  <si>
    <t>https://api.worldbank.org/v2/country/TCD/indicator/NY.GDP.MKTP.CD?format=json</t>
  </si>
  <si>
    <t>https://api.worldbank.org/v2/country/KWT/indicator/NY.GDP.MKTP.CD?format=json</t>
  </si>
  <si>
    <t>https://api.worldbank.org/v2/country/SLV/indicator/NY.GDP.MKTP.CD?format=json</t>
  </si>
  <si>
    <t>https://api.worldbank.org/v2/country/GTM/indicator/NY.GDP.MKTP.CD?format=json</t>
  </si>
  <si>
    <t>https://api.worldbank.org/v2/country/TLS/indicator/NY.GDP.MKTP.CD?format=json</t>
  </si>
  <si>
    <t>https://api.worldbank.org/v2/country/BRN/indicator/NY.GDP.MKTP.CD?format=json</t>
  </si>
  <si>
    <t>https://api.worldbank.org/v2/country/MCO/indicator/NY.GDP.MKTP.CD?format=json</t>
  </si>
  <si>
    <t>https://api.worldbank.org/v2/country/DZA/indicator/NY.GDP.MKTP.CD?format=json</t>
  </si>
  <si>
    <t>https://api.worldbank.org/v2/country/MOZ/indicator/NY.GDP.MKTP.CD?format=json</t>
  </si>
  <si>
    <t>https://api.worldbank.org/v2/country/SWZ/indicator/NY.GDP.MKTP.CD?format=json</t>
  </si>
  <si>
    <t>https://api.worldbank.org/v2/country/BDI/indicator/NY.GDP.MKTP.CD?format=json</t>
  </si>
  <si>
    <t>https://api.worldbank.org/v2/country/RWA/indicator/NY.GDP.MKTP.CD?format=json</t>
  </si>
  <si>
    <t>https://api.worldbank.org/v2/country/MMR/indicator/NY.GDP.MKTP.CD?format=json</t>
  </si>
  <si>
    <t>https://api.worldbank.org/v2/country/BGD/indicator/NY.GDP.MKTP.CD?format=json</t>
  </si>
  <si>
    <t>https://api.worldbank.org/v2/country/AND/indicator/NY.GDP.MKTP.CD?format=json</t>
  </si>
  <si>
    <t>https://api.worldbank.org/v2/country/AFG/indicator/NY.GDP.MKTP.CD?format=json</t>
  </si>
  <si>
    <t>https://api.worldbank.org/v2/country/MNE/indicator/NY.GDP.MKTP.CD?format=json</t>
  </si>
  <si>
    <t>https://api.worldbank.org/v2/country/BIH/indicator/NY.GDP.MKTP.CD?format=json</t>
  </si>
  <si>
    <t>https://api.worldbank.org/v2/country/UGA/indicator/NY.GDP.MKTP.CD?format=json</t>
  </si>
  <si>
    <t>https://api.worldbank.org/v2/country/HND/indicator/NY.GDP.MKTP.CD?format=json</t>
  </si>
  <si>
    <t>https://api.worldbank.org/v2/country/ECU/indicator/NY.GDP.MKTP.CD?format=json</t>
  </si>
  <si>
    <t>https://api.worldbank.org/v2/country/COL/indicator/NY.GDP.MKTP.CD?format=json</t>
  </si>
  <si>
    <t>https://api.worldbank.org/v2/country/PRY/indicator/NY.GDP.MKTP.CD?format=json</t>
  </si>
  <si>
    <t>https://api.worldbank.org/v2/country/PRT/indicator/NY.GDP.MKTP.CD?format=json</t>
  </si>
  <si>
    <t>https://api.worldbank.org/v2/country/MDA/indicator/NY.GDP.MKTP.CD?format=json</t>
  </si>
  <si>
    <t>https://api.worldbank.org/v2/country/TKM/indicator/NY.GDP.MKTP.CD?format=json</t>
  </si>
  <si>
    <t>https://api.worldbank.org/v2/country/JOR/indicator/NY.GDP.MKTP.CD?format=json</t>
  </si>
  <si>
    <t>https://api.worldbank.org/v2/country/NPL/indicator/NY.GDP.MKTP.CD?format=json</t>
  </si>
  <si>
    <t>https://api.worldbank.org/v2/country/LSO/indicator/NY.GDP.MKTP.CD?format=json</t>
  </si>
  <si>
    <t>https://api.worldbank.org/v2/country/CMR/indicator/NY.GDP.MKTP.CD?format=json</t>
  </si>
  <si>
    <t>https://api.worldbank.org/v2/country/GAB/indicator/NY.GDP.MKTP.CD?format=json</t>
  </si>
  <si>
    <t>https://api.worldbank.org/v2/country/NER/indicator/NY.GDP.MKTP.CD?format=json</t>
  </si>
  <si>
    <t>https://api.worldbank.org/v2/country/BFA/indicator/NY.GDP.MKTP.CD?format=json</t>
  </si>
  <si>
    <t>https://api.worldbank.org/v2/country/TGO/indicator/NY.GDP.MKTP.CD?format=json</t>
  </si>
  <si>
    <t>https://api.worldbank.org/v2/country/GHA/indicator/NY.GDP.MKTP.CD?format=json</t>
  </si>
  <si>
    <t>https://api.worldbank.org/v2/country/GNB/indicator/NY.GDP.MKTP.CD?format=json</t>
  </si>
  <si>
    <t>https://api.worldbank.org/v2/country/USA/indicator/NY.GDP.MKTP.CD?format=json</t>
  </si>
  <si>
    <t>https://api.worldbank.org/v2/country/CAN/indicator/NY.GDP.MKTP.CD?format=json</t>
  </si>
  <si>
    <t>https://api.worldbank.org/v2/country/MEX/indicator/NY.GDP.MKTP.CD?format=json</t>
  </si>
  <si>
    <t>https://api.worldbank.org/v2/country/BLZ/indicator/NY.GDP.MKTP.CD?format=json</t>
  </si>
  <si>
    <t>https://api.worldbank.org/v2/country/PAN/indicator/NY.GDP.MKTP.CD?format=json</t>
  </si>
  <si>
    <t>https://api.worldbank.org/v2/country/VEN/indicator/NY.GDP.MKTP.CD?format=json</t>
  </si>
  <si>
    <t>https://api.worldbank.org/v2/country/PNG/indicator/NY.GDP.MKTP.CD?format=json</t>
  </si>
  <si>
    <t>https://api.worldbank.org/v2/country/EGY/indicator/NY.GDP.MKTP.CD?format=json</t>
  </si>
  <si>
    <t>https://api.worldbank.org/v2/country/MRT/indicator/NY.GDP.MKTP.CD?format=json</t>
  </si>
  <si>
    <t>https://api.worldbank.org/v2/country/GNQ/indicator/NY.GDP.MKTP.CD?format=json</t>
  </si>
  <si>
    <t>https://api.worldbank.org/v2/country/GMB/indicator/NY.GDP.MKTP.CD?format=json</t>
  </si>
  <si>
    <t>https://api.worldbank.org/v2/country/HKG/indicator/NY.GDP.MKTP.CD?format=json</t>
  </si>
  <si>
    <t>https://api.worldbank.org/v2/country/AUS/indicator/NY.GDP.MKTP.CD?format=json</t>
  </si>
  <si>
    <t>https://api.worldbank.org/v2/country/FJI/indicator/NY.GDP.MKTP.CD?format=json</t>
  </si>
  <si>
    <t>https://api.worldbank.org/v2/country/NZL/indicator/NY.GDP.MKTP.CD?format=json</t>
  </si>
  <si>
    <t>https://api.worldbank.org/v2/country/NCL/indicator/NY.GDP.MKTP.CD?format=json</t>
  </si>
  <si>
    <t>https://api.worldbank.org/v2/country/MDG/indicator/NY.GDP.MKTP.CD?format=json</t>
  </si>
  <si>
    <t>https://api.worldbank.org/v2/country/PHL/indicator/NY.GDP.MKTP.CD?format=json</t>
  </si>
  <si>
    <t>https://api.worldbank.org/v2/country/LKA/indicator/NY.GDP.MKTP.CD?format=json</t>
  </si>
  <si>
    <t>https://api.worldbank.org/v2/country/CUW/indicator/NY.GDP.MKTP.CD?format=json</t>
  </si>
  <si>
    <t>https://api.worldbank.org/v2/country/ABW/indicator/NY.GDP.MKTP.CD?format=json</t>
  </si>
  <si>
    <t>https://api.worldbank.org/v2/country/BHS/indicator/NY.GDP.MKTP.CD?format=json</t>
  </si>
  <si>
    <t>https://api.worldbank.org/v2/country/TCA/indicator/NY.GDP.MKTP.CD?format=json</t>
  </si>
  <si>
    <t>https://api.worldbank.org/v2/country/JPN/indicator/NY.GDP.MKTP.CD?format=json</t>
  </si>
  <si>
    <t>https://api.worldbank.org/v2/country/ISL/indicator/NY.GDP.MKTP.CD?format=json</t>
  </si>
  <si>
    <t>https://api.worldbank.org/v2/country/PYF/indicator/NY.GDP.MKTP.CD?format=json</t>
  </si>
  <si>
    <t>https://api.worldbank.org/v2/country/SYC/indicator/NY.GDP.MKTP.CD?format=json</t>
  </si>
  <si>
    <t>https://api.worldbank.org/v2/country/KIR/indicator/NY.GDP.MKTP.CD?format=json</t>
  </si>
  <si>
    <t>https://api.worldbank.org/v2/country/MHL/indicator/NY.GDP.MKTP.CD?format=json</t>
  </si>
  <si>
    <t>https://api.worldbank.org/v2/country/TTO/indicator/NY.GDP.MKTP.CD?format=json</t>
  </si>
  <si>
    <t>https://api.worldbank.org/v2/country/GRD/indicator/NY.GDP.MKTP.CD?format=json</t>
  </si>
  <si>
    <t>https://api.worldbank.org/v2/country/VCT/indicator/NY.GDP.MKTP.CD?format=json</t>
  </si>
  <si>
    <t>https://api.worldbank.org/v2/country/BRB/indicator/NY.GDP.MKTP.CD?format=json</t>
  </si>
  <si>
    <t>https://api.worldbank.org/v2/country/LCA/indicator/NY.GDP.MKTP.CD?format=json</t>
  </si>
  <si>
    <t>https://api.worldbank.org/v2/country/DMA/indicator/NY.GDP.MKTP.CD?format=json</t>
  </si>
  <si>
    <t>https://api.worldbank.org/v2/country/ATG/indicator/NY.GDP.MKTP.CD?format=json</t>
  </si>
  <si>
    <t>https://api.worldbank.org/v2/country/KNA/indicator/NY.GDP.MKTP.CD?format=json</t>
  </si>
  <si>
    <t>https://api.worldbank.org/v2/country/PRI/indicator/NY.GDP.MKTP.CD?format=json</t>
  </si>
  <si>
    <t>https://api.worldbank.org/v2/country/JAM/indicator/NY.GDP.MKTP.CD?format=json</t>
  </si>
  <si>
    <t>https://api.worldbank.org/v2/country/CYM/indicator/NY.GDP.MKTP.CD?format=json</t>
  </si>
  <si>
    <t>https://api.worldbank.org/v2/country/BMU/indicator/NY.GDP.MKTP.CD?format=json</t>
  </si>
  <si>
    <t>https://api.worldbank.org/v2/country/MUS/indicator/NY.GDP.MKTP.CD?format=json</t>
  </si>
  <si>
    <t>https://api.worldbank.org/v2/country/COM/indicator/NY.GDP.MKTP.CD?format=json</t>
  </si>
  <si>
    <t>https://api.worldbank.org/v2/country/STP/indicator/NY.GDP.MKTP.CD?format=json</t>
  </si>
  <si>
    <t>https://api.worldbank.org/v2/country/CPV/indicator/NY.GDP.MKTP.CD?format=json</t>
  </si>
  <si>
    <t>https://api.worldbank.org/v2/country/MLT/indicator/NY.GDP.MKTP.CD?format=json</t>
  </si>
  <si>
    <t>https://api.worldbank.org/v2/country/FRO/indicator/NY.GDP.MKTP.CD?format=json</t>
  </si>
  <si>
    <t>https://api.worldbank.org/v2/country/SGP/indicator/NY.GDP.MKTP.CD?format=json</t>
  </si>
  <si>
    <t>https://api.worldbank.org/v2/country/TON/indicator/NY.GDP.MKTP.CD?format=json</t>
  </si>
  <si>
    <t>https://api.worldbank.org/v2/country/WSM/indicator/NY.GDP.MKTP.CD?format=json</t>
  </si>
  <si>
    <t>https://api.worldbank.org/v2/country/SLB/indicator/NY.GDP.MKTP.CD?format=json</t>
  </si>
  <si>
    <t>https://api.worldbank.org/v2/country/TUV/indicator/NY.GDP.MKTP.CD?format=json</t>
  </si>
  <si>
    <t>https://api.worldbank.org/v2/country/MDV/indicator/NY.GDP.MKTP.CD?format=json</t>
  </si>
  <si>
    <t>https://api.worldbank.org/v2/country/NRU/indicator/NY.GDP.MKTP.CD?format=json</t>
  </si>
  <si>
    <t>https://api.worldbank.org/v2/country/FSM/indicator/NY.GDP.MKTP.CD?format=json</t>
  </si>
  <si>
    <t>https://api.worldbank.org/v2/country/VUT/indicator/NY.GDP.MKTP.CD?format=json</t>
  </si>
  <si>
    <t>https://api.worldbank.org/v2/country/PLW/indicator/NY.GDP.MKTP.CD?format=json</t>
  </si>
  <si>
    <t>https://api.worldbank.org/v2/country/BHR/indicator/NY.GDP.MKTP.CD?format=json</t>
  </si>
  <si>
    <t>https://api.worldbank.org/v2/country/MAC/indicator/NY.GDP.MKTP.CD?format=json</t>
  </si>
  <si>
    <t>https://api.worldbank.org/v2/country/IDN/indicator/NY.GDP.MKTP.KD.ZG?format=json</t>
  </si>
  <si>
    <t>5.10</t>
  </si>
  <si>
    <t>https://api.worldbank.org/v2/country/MYS/indicator/NY.GDP.MKTP.KD.ZG?format=json</t>
  </si>
  <si>
    <t>2.60</t>
  </si>
  <si>
    <t>https://api.worldbank.org/v2/country/CHL/indicator/NY.GDP.MKTP.KD.ZG?format=json</t>
  </si>
  <si>
    <t>-1.10</t>
  </si>
  <si>
    <t>https://api.worldbank.org/v2/country/BOL/indicator/NY.GDP.MKTP.KD.ZG?format=json</t>
  </si>
  <si>
    <t>https://api.worldbank.org/v2/country/PER/indicator/NY.GDP.MKTP.KD.ZG?format=json</t>
  </si>
  <si>
    <t>-1.30</t>
  </si>
  <si>
    <t>https://api.worldbank.org/v2/country/ARG/indicator/NY.GDP.MKTP.KD.ZG?format=json</t>
  </si>
  <si>
    <t>3.90</t>
  </si>
  <si>
    <t>https://api.worldbank.org/v2/country/CYP/indicator/NY.GDP.MKTP.KD.ZG?format=json</t>
  </si>
  <si>
    <t>6.50</t>
  </si>
  <si>
    <t>https://api.worldbank.org/v2/country/IND/indicator/NY.GDP.MKTP.KD.ZG?format=json</t>
  </si>
  <si>
    <t>https://api.worldbank.org/v2/country/CHN/indicator/NY.GDP.MKTP.KD.ZG?format=json</t>
  </si>
  <si>
    <t>0.90</t>
  </si>
  <si>
    <t>https://api.worldbank.org/v2/country/ISR/indicator/NY.GDP.MKTP.KD.ZG?format=json</t>
  </si>
  <si>
    <t>-26.60</t>
  </si>
  <si>
    <t>https://api.worldbank.org/v2/country/PSE/indicator/NY.GDP.MKTP.KD.ZG?format=json</t>
  </si>
  <si>
    <t>-0.80</t>
  </si>
  <si>
    <t>https://api.worldbank.org/v2/country/LBN/indicator/NY.GDP.MKTP.KD.ZG?format=json</t>
  </si>
  <si>
    <t>7.60</t>
  </si>
  <si>
    <t>https://api.worldbank.org/v2/country/ETH/indicator/NY.GDP.MKTP.KD.ZG?format=json</t>
  </si>
  <si>
    <t>4.10</t>
  </si>
  <si>
    <t>https://api.worldbank.org/v2/country/SOM/indicator/NY.GDP.MKTP.KD.ZG?format=json</t>
  </si>
  <si>
    <t>4.70</t>
  </si>
  <si>
    <t>https://api.worldbank.org/v2/country/KEN/indicator/NY.GDP.MKTP.KD.ZG?format=json</t>
  </si>
  <si>
    <t>1.70</t>
  </si>
  <si>
    <t>https://api.worldbank.org/v2/country/MWI/indicator/NY.GDP.MKTP.KD.ZG?format=json</t>
  </si>
  <si>
    <t>5.50</t>
  </si>
  <si>
    <t>https://api.worldbank.org/v2/country/TZA/indicator/NY.GDP.MKTP.KD.ZG?format=json</t>
  </si>
  <si>
    <t>https://api.worldbank.org/v2/country/FRA/indicator/NY.GDP.MKTP.KD.ZG?format=json</t>
  </si>
  <si>
    <t>1.7</t>
  </si>
  <si>
    <t>https://api.worldbank.org/v2/country/SUR/indicator/NY.GDP.MKTP.KD.ZG?format=json</t>
  </si>
  <si>
    <t>43.8</t>
  </si>
  <si>
    <t>https://api.worldbank.org/v2/country/GUY/indicator/NY.GDP.MKTP.KD.ZG?format=json</t>
  </si>
  <si>
    <t>https://api.worldbank.org/v2/country/KOR/indicator/NY.GDP.MKTP.KD.ZG?format=json</t>
  </si>
  <si>
    <t>3.2</t>
  </si>
  <si>
    <t>https://api.worldbank.org/v2/country/MAR/indicator/NY.GDP.MKTP.KD.ZG?format=json</t>
  </si>
  <si>
    <t>https://api.worldbank.org/v2/country/CRI/indicator/NY.GDP.MKTP.KD.ZG?format=json</t>
  </si>
  <si>
    <t>3.6</t>
  </si>
  <si>
    <t>https://api.worldbank.org/v2/country/NIC/indicator/NY.GDP.MKTP.KD.ZG?format=json</t>
  </si>
  <si>
    <t>2.6</t>
  </si>
  <si>
    <t>https://api.worldbank.org/v2/country/COG/indicator/NY.GDP.MKTP.KD.ZG?format=json</t>
  </si>
  <si>
    <t>https://api.worldbank.org/v2/country/COD/indicator/NY.GDP.MKTP.KD.ZG?format=json</t>
  </si>
  <si>
    <t>7.5</t>
  </si>
  <si>
    <t>https://api.worldbank.org/v2/country/BTN/indicator/NY.GDP.MKTP.KD.ZG?format=json</t>
  </si>
  <si>
    <t>https://api.worldbank.org/v2/country/UKR/indicator/NY.GDP.MKTP.KD.ZG?format=json</t>
  </si>
  <si>
    <t>https://api.worldbank.org/v2/country/BLR/indicator/NY.GDP.MKTP.KD.ZG?format=json</t>
  </si>
  <si>
    <t>https://api.worldbank.org/v2/country/NAM/indicator/NY.GDP.MKTP.KD.ZG?format=json</t>
  </si>
  <si>
    <t>https://api.worldbank.org/v2/country/ZAF/indicator/NY.GDP.MKTP.KD.ZG?format=json</t>
  </si>
  <si>
    <t>https://api.worldbank.org/v2/country/SXM/indicator/NY.GDP.MKTP.KD.ZG?format=json</t>
  </si>
  <si>
    <t>https://api.worldbank.org/v2/country/OMN/indicator/NY.GDP.MKTP.KD.ZG?format=json</t>
  </si>
  <si>
    <t>https://api.worldbank.org/v2/country/UZB/indicator/NY.GDP.MKTP.KD.ZG?format=json</t>
  </si>
  <si>
    <t>https://api.worldbank.org/v2/country/KAZ/indicator/NY.GDP.MKTP.KD.ZG?format=json</t>
  </si>
  <si>
    <t>https://api.worldbank.org/v2/country/TJK/indicator/NY.GDP.MKTP.KD.ZG?format=json</t>
  </si>
  <si>
    <t>https://api.worldbank.org/v2/country/LTU/indicator/NY.GDP.MKTP.KD.ZG?format=json</t>
  </si>
  <si>
    <t>https://api.worldbank.org/v2/country/BRA/indicator/NY.GDP.MKTP.KD.ZG?format=json</t>
  </si>
  <si>
    <t>https://api.worldbank.org/v2/country/URY/indicator/NY.GDP.MKTP.KD.ZG?format=json</t>
  </si>
  <si>
    <t>https://api.worldbank.org/v2/country/MNG/indicator/NY.GDP.MKTP.KD.ZG?format=json</t>
  </si>
  <si>
    <t>https://api.worldbank.org/v2/country/RUS/indicator/NY.GDP.MKTP.KD.ZG?format=json</t>
  </si>
  <si>
    <t>https://api.worldbank.org/v2/country/CZE/indicator/NY.GDP.MKTP.KD.ZG?format=json</t>
  </si>
  <si>
    <t>https://api.worldbank.org/v2/country/DEU/indicator/NY.GDP.MKTP.KD.ZG?format=json</t>
  </si>
  <si>
    <t>https://api.worldbank.org/v2/country/EST/indicator/NY.GDP.MKTP.KD.ZG?format=json</t>
  </si>
  <si>
    <t>https://api.worldbank.org/v2/country/LVA/indicator/NY.GDP.MKTP.KD.ZG?format=json</t>
  </si>
  <si>
    <t>https://api.worldbank.org/v2/country/NOR/indicator/NY.GDP.MKTP.KD.ZG?format=json</t>
  </si>
  <si>
    <t>https://api.worldbank.org/v2/country/SWE/indicator/NY.GDP.MKTP.KD.ZG?format=json</t>
  </si>
  <si>
    <t>https://api.worldbank.org/v2/country/FIN/indicator/NY.GDP.MKTP.KD.ZG?format=json</t>
  </si>
  <si>
    <t>https://api.worldbank.org/v2/country/VNM/indicator/NY.GDP.MKTP.KD.ZG?format=json</t>
  </si>
  <si>
    <t>https://api.worldbank.org/v2/country/KHM/indicator/NY.GDP.MKTP.KD.ZG?format=json</t>
  </si>
  <si>
    <t>https://api.worldbank.org/v2/country/LUX/indicator/NY.GDP.MKTP.KD.ZG?format=json</t>
  </si>
  <si>
    <t>https://api.worldbank.org/v2/country/ARE/indicator/NY.GDP.MKTP.KD.ZG?format=json</t>
  </si>
  <si>
    <t>https://api.worldbank.org/v2/country/BEL/indicator/NY.GDP.MKTP.KD.ZG?format=json</t>
  </si>
  <si>
    <t>https://api.worldbank.org/v2/country/GEO/indicator/NY.GDP.MKTP.KD.ZG?format=json</t>
  </si>
  <si>
    <t>https://api.worldbank.org/v2/country/MKD/indicator/NY.GDP.MKTP.KD.ZG?format=json</t>
  </si>
  <si>
    <t>https://api.worldbank.org/v2/country/ALB/indicator/NY.GDP.MKTP.KD.ZG?format=json</t>
  </si>
  <si>
    <t>https://api.worldbank.org/v2/country/AZE/indicator/NY.GDP.MKTP.KD.ZG?format=json</t>
  </si>
  <si>
    <t>https://api.worldbank.org/v2/country/XKX/indicator/NY.GDP.MKTP.KD.ZG?format=json</t>
  </si>
  <si>
    <t>https://api.worldbank.org/v2/country/TUR/indicator/NY.GDP.MKTP.KD.ZG?format=json</t>
  </si>
  <si>
    <t>https://api.worldbank.org/v2/country/ESP/indicator/NY.GDP.MKTP.KD.ZG?format=json</t>
  </si>
  <si>
    <t>https://api.worldbank.org/v2/country/LAO/indicator/NY.GDP.MKTP.KD.ZG?format=json</t>
  </si>
  <si>
    <t>https://api.worldbank.org/v2/country/KGZ/indicator/NY.GDP.MKTP.KD.ZG?format=json</t>
  </si>
  <si>
    <t>https://api.worldbank.org/v2/country/ARM/indicator/NY.GDP.MKTP.KD.ZG?format=json</t>
  </si>
  <si>
    <t>https://api.worldbank.org/v2/country/DNK/indicator/NY.GDP.MKTP.KD.ZG?format=json</t>
  </si>
  <si>
    <t>https://api.worldbank.org/v2/country/LBY/indicator/NY.GDP.MKTP.KD.ZG?format=json</t>
  </si>
  <si>
    <t>https://api.worldbank.org/v2/country/TUN/indicator/NY.GDP.MKTP.KD.ZG?format=json</t>
  </si>
  <si>
    <t>https://api.worldbank.org/v2/country/ROU/indicator/NY.GDP.MKTP.KD.ZG?format=json</t>
  </si>
  <si>
    <t>https://api.worldbank.org/v2/country/HUN/indicator/NY.GDP.MKTP.KD.ZG?format=json</t>
  </si>
  <si>
    <t>https://api.worldbank.org/v2/country/SVK/indicator/NY.GDP.MKTP.KD.ZG?format=json</t>
  </si>
  <si>
    <t>https://api.worldbank.org/v2/country/POL/indicator/NY.GDP.MKTP.KD.ZG?format=json</t>
  </si>
  <si>
    <t>https://api.worldbank.org/v2/country/IRL/indicator/NY.GDP.MKTP.KD.ZG?format=json</t>
  </si>
  <si>
    <t>https://api.worldbank.org/v2/country/GBR/indicator/NY.GDP.MKTP.KD.ZG?format=json</t>
  </si>
  <si>
    <t>https://api.worldbank.org/v2/country/GRC/indicator/NY.GDP.MKTP.KD.ZG?format=json</t>
  </si>
  <si>
    <t>https://api.worldbank.org/v2/country/ZMB/indicator/NY.GDP.MKTP.KD.ZG?format=json</t>
  </si>
  <si>
    <t>https://api.worldbank.org/v2/country/SLE/indicator/NY.GDP.MKTP.KD.ZG?format=json</t>
  </si>
  <si>
    <t>https://api.worldbank.org/v2/country/GIN/indicator/NY.GDP.MKTP.KD.ZG?format=json</t>
  </si>
  <si>
    <t>https://api.worldbank.org/v2/country/LBR/indicator/NY.GDP.MKTP.KD.ZG?format=json</t>
  </si>
  <si>
    <t>https://api.worldbank.org/v2/country/CAF/indicator/NY.GDP.MKTP.KD.ZG?format=json</t>
  </si>
  <si>
    <t>https://api.worldbank.org/v2/country/SDN/indicator/NY.GDP.MKTP.KD.ZG?format=json</t>
  </si>
  <si>
    <t>https://api.worldbank.org/v2/country/DJI/indicator/NY.GDP.MKTP.KD.ZG?format=json</t>
  </si>
  <si>
    <t>https://api.worldbank.org/v2/country/AUT/indicator/NY.GDP.MKTP.KD.ZG?format=json</t>
  </si>
  <si>
    <t>https://api.worldbank.org/v2/country/IRQ/indicator/NY.GDP.MKTP.KD.ZG?format=json</t>
  </si>
  <si>
    <t>https://api.worldbank.org/v2/country/ITA/indicator/NY.GDP.MKTP.KD.ZG?format=json</t>
  </si>
  <si>
    <t>https://api.worldbank.org/v2/country/CHE/indicator/NY.GDP.MKTP.KD.ZG?format=json</t>
  </si>
  <si>
    <t>https://api.worldbank.org/v2/country/IRN/indicator/NY.GDP.MKTP.KD.ZG?format=json</t>
  </si>
  <si>
    <t>https://api.worldbank.org/v2/country/NLD/indicator/NY.GDP.MKTP.KD.ZG?format=json</t>
  </si>
  <si>
    <t>https://api.worldbank.org/v2/country/CIV/indicator/NY.GDP.MKTP.KD.ZG?format=json</t>
  </si>
  <si>
    <t>https://api.worldbank.org/v2/country/SRB/indicator/NY.GDP.MKTP.KD.ZG?format=json</t>
  </si>
  <si>
    <t>https://api.worldbank.org/v2/country/MLI/indicator/NY.GDP.MKTP.KD.ZG?format=json</t>
  </si>
  <si>
    <t>https://api.worldbank.org/v2/country/SEN/indicator/NY.GDP.MKTP.KD.ZG?format=json</t>
  </si>
  <si>
    <t>https://api.worldbank.org/v2/country/NGA/indicator/NY.GDP.MKTP.KD.ZG?format=json</t>
  </si>
  <si>
    <t>https://api.worldbank.org/v2/country/BEN/indicator/NY.GDP.MKTP.KD.ZG?format=json</t>
  </si>
  <si>
    <t>https://api.worldbank.org/v2/country/AGO/indicator/NY.GDP.MKTP.KD.ZG?format=json</t>
  </si>
  <si>
    <t>https://api.worldbank.org/v2/country/HRV/indicator/NY.GDP.MKTP.KD.ZG?format=json</t>
  </si>
  <si>
    <t>https://api.worldbank.org/v2/country/SVN/indicator/NY.GDP.MKTP.KD.ZG?format=json</t>
  </si>
  <si>
    <t>https://api.worldbank.org/v2/country/QAT/indicator/NY.GDP.MKTP.KD.ZG?format=json</t>
  </si>
  <si>
    <t>https://api.worldbank.org/v2/country/SAU/indicator/NY.GDP.MKTP.KD.ZG?format=json</t>
  </si>
  <si>
    <t>https://api.worldbank.org/v2/country/BWA/indicator/NY.GDP.MKTP.KD.ZG?format=json</t>
  </si>
  <si>
    <t>https://api.worldbank.org/v2/country/ZWE/indicator/NY.GDP.MKTP.KD.ZG?format=json</t>
  </si>
  <si>
    <t>https://api.worldbank.org/v2/country/PAK/indicator/NY.GDP.MKTP.KD.ZG?format=json</t>
  </si>
  <si>
    <t>https://api.worldbank.org/v2/country/BGR/indicator/NY.GDP.MKTP.KD.ZG?format=json</t>
  </si>
  <si>
    <t>https://api.worldbank.org/v2/country/THA/indicator/NY.GDP.MKTP.KD.ZG?format=json</t>
  </si>
  <si>
    <t>https://api.worldbank.org/v2/country/HTI/indicator/NY.GDP.MKTP.KD.ZG?format=json</t>
  </si>
  <si>
    <t>https://api.worldbank.org/v2/country/DOM/indicator/NY.GDP.MKTP.KD.ZG?format=json</t>
  </si>
  <si>
    <t>https://api.worldbank.org/v2/country/TCD/indicator/NY.GDP.MKTP.KD.ZG?format=json</t>
  </si>
  <si>
    <t>https://api.worldbank.org/v2/country/KWT/indicator/NY.GDP.MKTP.KD.ZG?format=json</t>
  </si>
  <si>
    <t>https://api.worldbank.org/v2/country/SLV/indicator/NY.GDP.MKTP.KD.ZG?format=json</t>
  </si>
  <si>
    <t>https://api.worldbank.org/v2/country/GTM/indicator/NY.GDP.MKTP.KD.ZG?format=json</t>
  </si>
  <si>
    <t>https://api.worldbank.org/v2/country/TLS/indicator/NY.GDP.MKTP.KD.ZG?format=json</t>
  </si>
  <si>
    <t>https://api.worldbank.org/v2/country/BRN/indicator/NY.GDP.MKTP.KD.ZG?format=json</t>
  </si>
  <si>
    <t>https://api.worldbank.org/v2/country/MCO/indicator/NY.GDP.MKTP.KD.ZG?format=json</t>
  </si>
  <si>
    <t>https://api.worldbank.org/v2/country/DZA/indicator/NY.GDP.MKTP.KD.ZG?format=json</t>
  </si>
  <si>
    <t>https://api.worldbank.org/v2/country/MOZ/indicator/NY.GDP.MKTP.KD.ZG?format=json</t>
  </si>
  <si>
    <t>https://api.worldbank.org/v2/country/SWZ/indicator/NY.GDP.MKTP.KD.ZG?format=json</t>
  </si>
  <si>
    <t>https://api.worldbank.org/v2/country/BDI/indicator/NY.GDP.MKTP.KD.ZG?format=json</t>
  </si>
  <si>
    <t>https://api.worldbank.org/v2/country/RWA/indicator/NY.GDP.MKTP.KD.ZG?format=json</t>
  </si>
  <si>
    <t>https://api.worldbank.org/v2/country/MMR/indicator/NY.GDP.MKTP.KD.ZG?format=json</t>
  </si>
  <si>
    <t>https://api.worldbank.org/v2/country/BGD/indicator/NY.GDP.MKTP.KD.ZG?format=json</t>
  </si>
  <si>
    <t>https://api.worldbank.org/v2/country/AND/indicator/NY.GDP.MKTP.KD.ZG?format=json</t>
  </si>
  <si>
    <t>https://api.worldbank.org/v2/country/AFG/indicator/NY.GDP.MKTP.KD.ZG?format=json</t>
  </si>
  <si>
    <t>https://api.worldbank.org/v2/country/MNE/indicator/NY.GDP.MKTP.KD.ZG?format=json</t>
  </si>
  <si>
    <t>https://api.worldbank.org/v2/country/BIH/indicator/NY.GDP.MKTP.KD.ZG?format=json</t>
  </si>
  <si>
    <t>https://api.worldbank.org/v2/country/UGA/indicator/NY.GDP.MKTP.KD.ZG?format=json</t>
  </si>
  <si>
    <t>https://api.worldbank.org/v2/country/CUB/indicator/NY.GDP.MKTP.KD.ZG?format=json</t>
  </si>
  <si>
    <t>https://api.worldbank.org/v2/country/HND/indicator/NY.GDP.MKTP.KD.ZG?format=json</t>
  </si>
  <si>
    <t>https://api.worldbank.org/v2/country/ECU/indicator/NY.GDP.MKTP.KD.ZG?format=json</t>
  </si>
  <si>
    <t>https://api.worldbank.org/v2/country/COL/indicator/NY.GDP.MKTP.KD.ZG?format=json</t>
  </si>
  <si>
    <t>https://api.worldbank.org/v2/country/PRY/indicator/NY.GDP.MKTP.KD.ZG?format=json</t>
  </si>
  <si>
    <t>https://api.worldbank.org/v2/country/PRT/indicator/NY.GDP.MKTP.KD.ZG?format=json</t>
  </si>
  <si>
    <t>https://api.worldbank.org/v2/country/MDA/indicator/NY.GDP.MKTP.KD.ZG?format=json</t>
  </si>
  <si>
    <t>https://api.worldbank.org/v2/country/TKM/indicator/NY.GDP.MKTP.KD.ZG?format=json</t>
  </si>
  <si>
    <t>https://api.worldbank.org/v2/country/JOR/indicator/NY.GDP.MKTP.KD.ZG?format=json</t>
  </si>
  <si>
    <t>https://api.worldbank.org/v2/country/NPL/indicator/NY.GDP.MKTP.KD.ZG?format=json</t>
  </si>
  <si>
    <t>https://api.worldbank.org/v2/country/LSO/indicator/NY.GDP.MKTP.KD.ZG?format=json</t>
  </si>
  <si>
    <t>https://api.worldbank.org/v2/country/CMR/indicator/NY.GDP.MKTP.KD.ZG?format=json</t>
  </si>
  <si>
    <t>https://api.worldbank.org/v2/country/GAB/indicator/NY.GDP.MKTP.KD.ZG?format=json</t>
  </si>
  <si>
    <t>https://api.worldbank.org/v2/country/NER/indicator/NY.GDP.MKTP.KD.ZG?format=json</t>
  </si>
  <si>
    <t>https://api.worldbank.org/v2/country/BFA/indicator/NY.GDP.MKTP.KD.ZG?format=json</t>
  </si>
  <si>
    <t>https://api.worldbank.org/v2/country/TGO/indicator/NY.GDP.MKTP.KD.ZG?format=json</t>
  </si>
  <si>
    <t>https://api.worldbank.org/v2/country/GHA/indicator/NY.GDP.MKTP.KD.ZG?format=json</t>
  </si>
  <si>
    <t>https://api.worldbank.org/v2/country/GNB/indicator/NY.GDP.MKTP.KD.ZG?format=json</t>
  </si>
  <si>
    <t>https://api.worldbank.org/v2/country/USA/indicator/NY.GDP.MKTP.KD.ZG?format=json</t>
  </si>
  <si>
    <t>https://api.worldbank.org/v2/country/CAN/indicator/NY.GDP.MKTP.KD.ZG?format=json</t>
  </si>
  <si>
    <t>https://api.worldbank.org/v2/country/MEX/indicator/NY.GDP.MKTP.KD.ZG?format=json</t>
  </si>
  <si>
    <t>https://api.worldbank.org/v2/country/BLZ/indicator/NY.GDP.MKTP.KD.ZG?format=json</t>
  </si>
  <si>
    <t>https://api.worldbank.org/v2/country/PAN/indicator/NY.GDP.MKTP.KD.ZG?format=json</t>
  </si>
  <si>
    <t>https://api.worldbank.org/v2/country/VEN/indicator/NY.GDP.MKTP.KD.ZG?format=json</t>
  </si>
  <si>
    <t>https://api.worldbank.org/v2/country/PNG/indicator/NY.GDP.MKTP.KD.ZG?format=json</t>
  </si>
  <si>
    <t>https://api.worldbank.org/v2/country/EGY/indicator/NY.GDP.MKTP.KD.ZG?format=json</t>
  </si>
  <si>
    <t>https://api.worldbank.org/v2/country/MRT/indicator/NY.GDP.MKTP.KD.ZG?format=json</t>
  </si>
  <si>
    <t>https://api.worldbank.org/v2/country/GNQ/indicator/NY.GDP.MKTP.KD.ZG?format=json</t>
  </si>
  <si>
    <t>https://api.worldbank.org/v2/country/GMB/indicator/NY.GDP.MKTP.KD.ZG?format=json</t>
  </si>
  <si>
    <t>https://api.worldbank.org/v2/country/HKG/indicator/NY.GDP.MKTP.KD.ZG?format=json</t>
  </si>
  <si>
    <t>https://api.worldbank.org/v2/country/AUS/indicator/NY.GDP.MKTP.KD.ZG?format=json</t>
  </si>
  <si>
    <t>https://api.worldbank.org/v2/country/FJI/indicator/NY.GDP.MKTP.KD.ZG?format=json</t>
  </si>
  <si>
    <t>https://api.worldbank.org/v2/country/NZL/indicator/NY.GDP.MKTP.KD.ZG?format=json</t>
  </si>
  <si>
    <t>https://api.worldbank.org/v2/country/NCL/indicator/NY.GDP.MKTP.KD.ZG?format=json</t>
  </si>
  <si>
    <t>https://api.worldbank.org/v2/country/MDG/indicator/NY.GDP.MKTP.KD.ZG?format=json</t>
  </si>
  <si>
    <t>https://api.worldbank.org/v2/country/PHL/indicator/NY.GDP.MKTP.KD.ZG?format=json</t>
  </si>
  <si>
    <t>https://api.worldbank.org/v2/country/LKA/indicator/NY.GDP.MKTP.KD.ZG?format=json</t>
  </si>
  <si>
    <t>https://api.worldbank.org/v2/country/CUW/indicator/NY.GDP.MKTP.KD.ZG?format=json</t>
  </si>
  <si>
    <t>https://api.worldbank.org/v2/country/ABW/indicator/NY.GDP.MKTP.KD.ZG?format=json</t>
  </si>
  <si>
    <t>https://api.worldbank.org/v2/country/BHS/indicator/NY.GDP.MKTP.KD.ZG?format=json</t>
  </si>
  <si>
    <t>https://api.worldbank.org/v2/country/TCA/indicator/NY.GDP.MKTP.KD.ZG?format=json</t>
  </si>
  <si>
    <t>https://api.worldbank.org/v2/country/JPN/indicator/NY.GDP.MKTP.KD.ZG?format=json</t>
  </si>
  <si>
    <t>https://api.worldbank.org/v2/country/ISL/indicator/NY.GDP.MKTP.KD.ZG?format=json</t>
  </si>
  <si>
    <t>https://api.worldbank.org/v2/country/PYF/indicator/NY.GDP.MKTP.KD.ZG?format=json</t>
  </si>
  <si>
    <t>https://api.worldbank.org/v2/country/SYC/indicator/NY.GDP.MKTP.KD.ZG?format=json</t>
  </si>
  <si>
    <t>https://api.worldbank.org/v2/country/KIR/indicator/NY.GDP.MKTP.KD.ZG?format=json</t>
  </si>
  <si>
    <t>https://api.worldbank.org/v2/country/MHL/indicator/NY.GDP.MKTP.KD.ZG?format=json</t>
  </si>
  <si>
    <t>https://api.worldbank.org/v2/country/TTO/indicator/NY.GDP.MKTP.KD.ZG?format=json</t>
  </si>
  <si>
    <t>https://api.worldbank.org/v2/country/GRD/indicator/NY.GDP.MKTP.KD.ZG?format=json</t>
  </si>
  <si>
    <t>https://api.worldbank.org/v2/country/VCT/indicator/NY.GDP.MKTP.KD.ZG?format=json</t>
  </si>
  <si>
    <t>https://api.worldbank.org/v2/country/BRB/indicator/NY.GDP.MKTP.KD.ZG?format=json</t>
  </si>
  <si>
    <t>https://api.worldbank.org/v2/country/LCA/indicator/NY.GDP.MKTP.KD.ZG?format=json</t>
  </si>
  <si>
    <t>https://api.worldbank.org/v2/country/DMA/indicator/NY.GDP.MKTP.KD.ZG?format=json</t>
  </si>
  <si>
    <t>https://api.worldbank.org/v2/country/ATG/indicator/NY.GDP.MKTP.KD.ZG?format=json</t>
  </si>
  <si>
    <t>https://api.worldbank.org/v2/country/KNA/indicator/NY.GDP.MKTP.KD.ZG?format=json</t>
  </si>
  <si>
    <t>https://api.worldbank.org/v2/country/PRI/indicator/NY.GDP.MKTP.KD.ZG?format=json</t>
  </si>
  <si>
    <t>https://api.worldbank.org/v2/country/JAM/indicator/NY.GDP.MKTP.KD.ZG?format=json</t>
  </si>
  <si>
    <t>https://api.worldbank.org/v2/country/CYM/indicator/NY.GDP.MKTP.KD.ZG?format=json</t>
  </si>
  <si>
    <t>https://api.worldbank.org/v2/country/BMU/indicator/NY.GDP.MKTP.KD.ZG?format=json</t>
  </si>
  <si>
    <t>https://api.worldbank.org/v2/country/MUS/indicator/NY.GDP.MKTP.KD.ZG?format=json</t>
  </si>
  <si>
    <t>https://api.worldbank.org/v2/country/COM/indicator/NY.GDP.MKTP.KD.ZG?format=json</t>
  </si>
  <si>
    <t>https://api.worldbank.org/v2/country/STP/indicator/NY.GDP.MKTP.KD.ZG?format=json</t>
  </si>
  <si>
    <t>https://api.worldbank.org/v2/country/CPV/indicator/NY.GDP.MKTP.KD.ZG?format=json</t>
  </si>
  <si>
    <t>https://api.worldbank.org/v2/country/MLT/indicator/NY.GDP.MKTP.KD.ZG?format=json</t>
  </si>
  <si>
    <t>https://api.worldbank.org/v2/country/FRO/indicator/NY.GDP.MKTP.KD.ZG?format=json</t>
  </si>
  <si>
    <t>https://api.worldbank.org/v2/country/SGP/indicator/NY.GDP.MKTP.KD.ZG?format=json</t>
  </si>
  <si>
    <t>https://api.worldbank.org/v2/country/TON/indicator/NY.GDP.MKTP.KD.ZG?format=json</t>
  </si>
  <si>
    <t>https://api.worldbank.org/v2/country/WSM/indicator/NY.GDP.MKTP.KD.ZG?format=json</t>
  </si>
  <si>
    <t>https://api.worldbank.org/v2/country/SLB/indicator/NY.GDP.MKTP.KD.ZG?format=json</t>
  </si>
  <si>
    <t>https://api.worldbank.org/v2/country/TUV/indicator/NY.GDP.MKTP.KD.ZG?format=json</t>
  </si>
  <si>
    <t>https://api.worldbank.org/v2/country/MDV/indicator/NY.GDP.MKTP.KD.ZG?format=json</t>
  </si>
  <si>
    <t>https://api.worldbank.org/v2/country/NRU/indicator/NY.GDP.MKTP.KD.ZG?format=json</t>
  </si>
  <si>
    <t>https://api.worldbank.org/v2/country/FSM/indicator/NY.GDP.MKTP.KD.ZG?format=json</t>
  </si>
  <si>
    <t>https://api.worldbank.org/v2/country/VUT/indicator/NY.GDP.MKTP.KD.ZG?format=json</t>
  </si>
  <si>
    <t>https://api.worldbank.org/v2/country/PLW/indicator/NY.GDP.MKTP.KD.ZG?format=json</t>
  </si>
  <si>
    <t>https://api.worldbank.org/v2/country/BHR/indicator/NY.GDP.MKTP.KD.ZG?format=json</t>
  </si>
  <si>
    <t>https://api.worldbank.org/v2/country/MAC/indicator/NY.GDP.MKTP.KD.ZG?format=json</t>
  </si>
  <si>
    <t>2.20</t>
  </si>
  <si>
    <t>https://api.worldbank.org/v2/country/IDN/indicator/FP.CPI.TOTL.ZG?format=json</t>
  </si>
  <si>
    <t>https://api.worldbank.org/v2/country/MYS/indicator/FP.CPI.TOTL.ZG?format=json</t>
  </si>
  <si>
    <t>4.30</t>
  </si>
  <si>
    <t>https://api.worldbank.org/v2/country/CHL/indicator/FP.CPI.TOTL.ZG?format=json</t>
  </si>
  <si>
    <t>https://api.worldbank.org/v2/country/BOL/indicator/FP.CPI.TOTL.ZG?format=json</t>
  </si>
  <si>
    <t>2.00</t>
  </si>
  <si>
    <t>https://api.worldbank.org/v2/country/PER/indicator/FP.CPI.TOTL.ZG?format=json</t>
  </si>
  <si>
    <t>219.90</t>
  </si>
  <si>
    <t>https://api.worldbank.org/v2/country/ARG/indicator/FP.CPI.TOTL.ZG?format=json</t>
  </si>
  <si>
    <t>https://api.worldbank.org/v2/country/CYP/indicator/FP.CPI.TOTL.ZG?format=json</t>
  </si>
  <si>
    <t>https://api.worldbank.org/v2/country/IND/indicator/FP.CPI.TOTL.ZG?format=json</t>
  </si>
  <si>
    <t>0.20</t>
  </si>
  <si>
    <t>https://api.worldbank.org/v2/country/CHN/indicator/FP.CPI.TOTL.ZG?format=json</t>
  </si>
  <si>
    <t>3.10</t>
  </si>
  <si>
    <t>https://api.worldbank.org/v2/country/ISR/indicator/FP.CPI.TOTL.ZG?format=json</t>
  </si>
  <si>
    <t>53.70</t>
  </si>
  <si>
    <t>https://api.worldbank.org/v2/country/PSE/indicator/FP.CPI.TOTL.ZG?format=json</t>
  </si>
  <si>
    <t>45.20</t>
  </si>
  <si>
    <t>https://api.worldbank.org/v2/country/LBN/indicator/FP.CPI.TOTL.ZG?format=json</t>
  </si>
  <si>
    <t>21.00</t>
  </si>
  <si>
    <t>https://api.worldbank.org/v2/country/ETH/indicator/FP.CPI.TOTL.ZG?format=json</t>
  </si>
  <si>
    <t>91.40</t>
  </si>
  <si>
    <t>https://api.worldbank.org/v2/country/SSD/indicator/FP.CPI.TOTL.ZG?format=json</t>
  </si>
  <si>
    <t>https://api.worldbank.org/v2/country/KEN/indicator/FP.CPI.TOTL.ZG?format=json</t>
  </si>
  <si>
    <t>32.20</t>
  </si>
  <si>
    <t>https://api.worldbank.org/v2/country/MWI/indicator/FP.CPI.TOTL.ZG?format=json</t>
  </si>
  <si>
    <t>https://api.worldbank.org/v2/country/TZA/indicator/FP.CPI.TOTL.ZG?format=json</t>
  </si>
  <si>
    <t>https://api.worldbank.org/v2/country/FRA/indicator/FP.CPI.TOTL.ZG?format=json</t>
  </si>
  <si>
    <t>16.2</t>
  </si>
  <si>
    <t>https://api.worldbank.org/v2/country/SUR/indicator/FP.CPI.TOTL.ZG?format=json</t>
  </si>
  <si>
    <t>2.9</t>
  </si>
  <si>
    <t>https://api.worldbank.org/v2/country/GUY/indicator/FP.CPI.TOTL.ZG?format=json</t>
  </si>
  <si>
    <t>https://api.worldbank.org/v2/country/KOR/indicator/FP.CPI.TOTL.ZG?format=json</t>
  </si>
  <si>
    <t>https://api.worldbank.org/v2/country/MAR/indicator/FP.CPI.TOTL.ZG?format=json</t>
  </si>
  <si>
    <t>https://api.worldbank.org/v2/country/CRI/indicator/FP.CPI.TOTL.ZG?format=json</t>
  </si>
  <si>
    <t>https://api.worldbank.org/v2/country/NIC/indicator/FP.CPI.TOTL.ZG?format=json</t>
  </si>
  <si>
    <t>3.1</t>
  </si>
  <si>
    <t>https://api.worldbank.org/v2/country/COG/indicator/FP.CPI.TOTL.ZG?format=json</t>
  </si>
  <si>
    <t>2.8</t>
  </si>
  <si>
    <t>https://api.worldbank.org/v2/country/BTN/indicator/FP.CPI.TOTL.ZG?format=json</t>
  </si>
  <si>
    <t>https://api.worldbank.org/v2/country/UKR/indicator/FP.CPI.TOTL.ZG?format=json</t>
  </si>
  <si>
    <t>https://api.worldbank.org/v2/country/BLR/indicator/FP.CPI.TOTL.ZG?format=json</t>
  </si>
  <si>
    <t>https://api.worldbank.org/v2/country/NAM/indicator/FP.CPI.TOTL.ZG?format=json</t>
  </si>
  <si>
    <t>https://api.worldbank.org/v2/country/ZAF/indicator/FP.CPI.TOTL.ZG?format=json</t>
  </si>
  <si>
    <t>https://api.worldbank.org/v2/country/OMN/indicator/FP.CPI.TOTL.ZG?format=json</t>
  </si>
  <si>
    <t>https://api.worldbank.org/v2/country/UZB/indicator/FP.CPI.TOTL.ZG?format=json</t>
  </si>
  <si>
    <t>https://api.worldbank.org/v2/country/KAZ/indicator/FP.CPI.TOTL.ZG?format=json</t>
  </si>
  <si>
    <t>https://api.worldbank.org/v2/country/LTU/indicator/FP.CPI.TOTL.ZG?format=json</t>
  </si>
  <si>
    <t>https://api.worldbank.org/v2/country/BRA/indicator/FP.CPI.TOTL.ZG?format=json</t>
  </si>
  <si>
    <t>https://api.worldbank.org/v2/country/URY/indicator/FP.CPI.TOTL.ZG?format=json</t>
  </si>
  <si>
    <t>https://api.worldbank.org/v2/country/MNG/indicator/FP.CPI.TOTL.ZG?format=json</t>
  </si>
  <si>
    <t>https://api.worldbank.org/v2/country/RUS/indicator/FP.CPI.TOTL.ZG?format=json</t>
  </si>
  <si>
    <t>https://api.worldbank.org/v2/country/CZE/indicator/FP.CPI.TOTL.ZG?format=json</t>
  </si>
  <si>
    <t>https://api.worldbank.org/v2/country/DEU/indicator/FP.CPI.TOTL.ZG?format=json</t>
  </si>
  <si>
    <t>https://api.worldbank.org/v2/country/EST/indicator/FP.CPI.TOTL.ZG?format=json</t>
  </si>
  <si>
    <t>https://api.worldbank.org/v2/country/LVA/indicator/FP.CPI.TOTL.ZG?format=json</t>
  </si>
  <si>
    <t>https://api.worldbank.org/v2/country/NOR/indicator/FP.CPI.TOTL.ZG?format=json</t>
  </si>
  <si>
    <t>https://api.worldbank.org/v2/country/SWE/indicator/FP.CPI.TOTL.ZG?format=json</t>
  </si>
  <si>
    <t>https://api.worldbank.org/v2/country/FIN/indicator/FP.CPI.TOTL.ZG?format=json</t>
  </si>
  <si>
    <t>https://api.worldbank.org/v2/country/VNM/indicator/FP.CPI.TOTL.ZG?format=json</t>
  </si>
  <si>
    <t>https://api.worldbank.org/v2/country/KHM/indicator/FP.CPI.TOTL.ZG?format=json</t>
  </si>
  <si>
    <t>https://api.worldbank.org/v2/country/LUX/indicator/FP.CPI.TOTL.ZG?format=json</t>
  </si>
  <si>
    <t>https://api.worldbank.org/v2/country/ARE/indicator/FP.CPI.TOTL.ZG?format=json</t>
  </si>
  <si>
    <t>https://api.worldbank.org/v2/country/BEL/indicator/FP.CPI.TOTL.ZG?format=json</t>
  </si>
  <si>
    <t>https://api.worldbank.org/v2/country/GEO/indicator/FP.CPI.TOTL.ZG?format=json</t>
  </si>
  <si>
    <t>https://api.worldbank.org/v2/country/MKD/indicator/FP.CPI.TOTL.ZG?format=json</t>
  </si>
  <si>
    <t>https://api.worldbank.org/v2/country/ALB/indicator/FP.CPI.TOTL.ZG?format=json</t>
  </si>
  <si>
    <t>https://api.worldbank.org/v2/country/AZE/indicator/FP.CPI.TOTL.ZG?format=json</t>
  </si>
  <si>
    <t>https://api.worldbank.org/v2/country/XKX/indicator/FP.CPI.TOTL.ZG?format=json</t>
  </si>
  <si>
    <t>https://api.worldbank.org/v2/country/TUR/indicator/FP.CPI.TOTL.ZG?format=json</t>
  </si>
  <si>
    <t>https://api.worldbank.org/v2/country/ESP/indicator/FP.CPI.TOTL.ZG?format=json</t>
  </si>
  <si>
    <t>https://api.worldbank.org/v2/country/LAO/indicator/FP.CPI.TOTL.ZG?format=json</t>
  </si>
  <si>
    <t>https://api.worldbank.org/v2/country/KGZ/indicator/FP.CPI.TOTL.ZG?format=json</t>
  </si>
  <si>
    <t>https://api.worldbank.org/v2/country/ARM/indicator/FP.CPI.TOTL.ZG?format=json</t>
  </si>
  <si>
    <t>https://api.worldbank.org/v2/country/DNK/indicator/FP.CPI.TOTL.ZG?format=json</t>
  </si>
  <si>
    <t>https://api.worldbank.org/v2/country/LBY/indicator/FP.CPI.TOTL.ZG?format=json</t>
  </si>
  <si>
    <t>https://api.worldbank.org/v2/country/TUN/indicator/FP.CPI.TOTL.ZG?format=json</t>
  </si>
  <si>
    <t>https://api.worldbank.org/v2/country/ROU/indicator/FP.CPI.TOTL.ZG?format=json</t>
  </si>
  <si>
    <t>https://api.worldbank.org/v2/country/HUN/indicator/FP.CPI.TOTL.ZG?format=json</t>
  </si>
  <si>
    <t>https://api.worldbank.org/v2/country/SVK/indicator/FP.CPI.TOTL.ZG?format=json</t>
  </si>
  <si>
    <t>https://api.worldbank.org/v2/country/POL/indicator/FP.CPI.TOTL.ZG?format=json</t>
  </si>
  <si>
    <t>https://api.worldbank.org/v2/country/IRL/indicator/FP.CPI.TOTL.ZG?format=json</t>
  </si>
  <si>
    <t>https://api.worldbank.org/v2/country/GBR/indicator/FP.CPI.TOTL.ZG?format=json</t>
  </si>
  <si>
    <t>https://api.worldbank.org/v2/country/GRC/indicator/FP.CPI.TOTL.ZG?format=json</t>
  </si>
  <si>
    <t>https://api.worldbank.org/v2/country/ZMB/indicator/FP.CPI.TOTL.ZG?format=json</t>
  </si>
  <si>
    <t>https://api.worldbank.org/v2/country/SLE/indicator/FP.CPI.TOTL.ZG?format=json</t>
  </si>
  <si>
    <t>https://api.worldbank.org/v2/country/GIN/indicator/FP.CPI.TOTL.ZG?format=json</t>
  </si>
  <si>
    <t>https://api.worldbank.org/v2/country/LBR/indicator/FP.CPI.TOTL.ZG?format=json</t>
  </si>
  <si>
    <t>https://api.worldbank.org/v2/country/CAF/indicator/FP.CPI.TOTL.ZG?format=json</t>
  </si>
  <si>
    <t>https://api.worldbank.org/v2/country/DJI/indicator/FP.CPI.TOTL.ZG?format=json</t>
  </si>
  <si>
    <t>https://api.worldbank.org/v2/country/AUT/indicator/FP.CPI.TOTL.ZG?format=json</t>
  </si>
  <si>
    <t>https://api.worldbank.org/v2/country/IRQ/indicator/FP.CPI.TOTL.ZG?format=json</t>
  </si>
  <si>
    <t>https://api.worldbank.org/v2/country/ITA/indicator/FP.CPI.TOTL.ZG?format=json</t>
  </si>
  <si>
    <t>https://api.worldbank.org/v2/country/CHE/indicator/FP.CPI.TOTL.ZG?format=json</t>
  </si>
  <si>
    <t>https://api.worldbank.org/v2/country/IRN/indicator/FP.CPI.TOTL.ZG?format=json</t>
  </si>
  <si>
    <t>https://api.worldbank.org/v2/country/NLD/indicator/FP.CPI.TOTL.ZG?format=json</t>
  </si>
  <si>
    <t>https://api.worldbank.org/v2/country/CIV/indicator/FP.CPI.TOTL.ZG?format=json</t>
  </si>
  <si>
    <t>https://api.worldbank.org/v2/country/SRB/indicator/FP.CPI.TOTL.ZG?format=json</t>
  </si>
  <si>
    <t>https://api.worldbank.org/v2/country/MLI/indicator/FP.CPI.TOTL.ZG?format=json</t>
  </si>
  <si>
    <t>https://api.worldbank.org/v2/country/SEN/indicator/FP.CPI.TOTL.ZG?format=json</t>
  </si>
  <si>
    <t>https://api.worldbank.org/v2/country/NGA/indicator/FP.CPI.TOTL.ZG?format=json</t>
  </si>
  <si>
    <t>https://api.worldbank.org/v2/country/BEN/indicator/FP.CPI.TOTL.ZG?format=json</t>
  </si>
  <si>
    <t>https://api.worldbank.org/v2/country/AGO/indicator/FP.CPI.TOTL.ZG?format=json</t>
  </si>
  <si>
    <t>https://api.worldbank.org/v2/country/HRV/indicator/FP.CPI.TOTL.ZG?format=json</t>
  </si>
  <si>
    <t>https://api.worldbank.org/v2/country/SVN/indicator/FP.CPI.TOTL.ZG?format=json</t>
  </si>
  <si>
    <t>https://api.worldbank.org/v2/country/QAT/indicator/FP.CPI.TOTL.ZG?format=json</t>
  </si>
  <si>
    <t>https://api.worldbank.org/v2/country/SAU/indicator/FP.CPI.TOTL.ZG?format=json</t>
  </si>
  <si>
    <t>https://api.worldbank.org/v2/country/BWA/indicator/FP.CPI.TOTL.ZG?format=json</t>
  </si>
  <si>
    <t>https://api.worldbank.org/v2/country/PAK/indicator/FP.CPI.TOTL.ZG?format=json</t>
  </si>
  <si>
    <t>https://api.worldbank.org/v2/country/BGR/indicator/FP.CPI.TOTL.ZG?format=json</t>
  </si>
  <si>
    <t>https://api.worldbank.org/v2/country/THA/indicator/FP.CPI.TOTL.ZG?format=json</t>
  </si>
  <si>
    <t>https://api.worldbank.org/v2/country/SMR/indicator/FP.CPI.TOTL.ZG?format=json</t>
  </si>
  <si>
    <t>https://api.worldbank.org/v2/country/HTI/indicator/FP.CPI.TOTL.ZG?format=json</t>
  </si>
  <si>
    <t>https://api.worldbank.org/v2/country/DOM/indicator/FP.CPI.TOTL.ZG?format=json</t>
  </si>
  <si>
    <t>https://api.worldbank.org/v2/country/TCD/indicator/FP.CPI.TOTL.ZG?format=json</t>
  </si>
  <si>
    <t>https://api.worldbank.org/v2/country/KWT/indicator/FP.CPI.TOTL.ZG?format=json</t>
  </si>
  <si>
    <t>https://api.worldbank.org/v2/country/SLV/indicator/FP.CPI.TOTL.ZG?format=json</t>
  </si>
  <si>
    <t>https://api.worldbank.org/v2/country/GTM/indicator/FP.CPI.TOTL.ZG?format=json</t>
  </si>
  <si>
    <t>https://api.worldbank.org/v2/country/TLS/indicator/FP.CPI.TOTL.ZG?format=json</t>
  </si>
  <si>
    <t>https://api.worldbank.org/v2/country/BRN/indicator/FP.CPI.TOTL.ZG?format=json</t>
  </si>
  <si>
    <t>https://api.worldbank.org/v2/country/DZA/indicator/FP.CPI.TOTL.ZG?format=json</t>
  </si>
  <si>
    <t>https://api.worldbank.org/v2/country/MOZ/indicator/FP.CPI.TOTL.ZG?format=json</t>
  </si>
  <si>
    <t>https://api.worldbank.org/v2/country/BDI/indicator/FP.CPI.TOTL.ZG?format=json</t>
  </si>
  <si>
    <t>https://api.worldbank.org/v2/country/RWA/indicator/FP.CPI.TOTL.ZG?format=json</t>
  </si>
  <si>
    <t>https://api.worldbank.org/v2/country/BGD/indicator/FP.CPI.TOTL.ZG?format=json</t>
  </si>
  <si>
    <t>https://api.worldbank.org/v2/country/AFG/indicator/FP.CPI.TOTL.ZG?format=json</t>
  </si>
  <si>
    <t>https://api.worldbank.org/v2/country/MNE/indicator/FP.CPI.TOTL.ZG?format=json</t>
  </si>
  <si>
    <t>https://api.worldbank.org/v2/country/UGA/indicator/FP.CPI.TOTL.ZG?format=json</t>
  </si>
  <si>
    <t>https://api.worldbank.org/v2/country/HND/indicator/FP.CPI.TOTL.ZG?format=json</t>
  </si>
  <si>
    <t>https://api.worldbank.org/v2/country/ECU/indicator/FP.CPI.TOTL.ZG?format=json</t>
  </si>
  <si>
    <t>https://api.worldbank.org/v2/country/COL/indicator/FP.CPI.TOTL.ZG?format=json</t>
  </si>
  <si>
    <t>https://api.worldbank.org/v2/country/PRY/indicator/FP.CPI.TOTL.ZG?format=json</t>
  </si>
  <si>
    <t>https://api.worldbank.org/v2/country/PRT/indicator/FP.CPI.TOTL.ZG?format=json</t>
  </si>
  <si>
    <t>https://api.worldbank.org/v2/country/MDA/indicator/FP.CPI.TOTL.ZG?format=json</t>
  </si>
  <si>
    <t>https://api.worldbank.org/v2/country/JOR/indicator/FP.CPI.TOTL.ZG?format=json</t>
  </si>
  <si>
    <t>https://api.worldbank.org/v2/country/NPL/indicator/FP.CPI.TOTL.ZG?format=json</t>
  </si>
  <si>
    <t>https://api.worldbank.org/v2/country/LSO/indicator/FP.CPI.TOTL.ZG?format=json</t>
  </si>
  <si>
    <t>https://api.worldbank.org/v2/country/CMR/indicator/FP.CPI.TOTL.ZG?format=json</t>
  </si>
  <si>
    <t>https://api.worldbank.org/v2/country/GAB/indicator/FP.CPI.TOTL.ZG?format=json</t>
  </si>
  <si>
    <t>https://api.worldbank.org/v2/country/NER/indicator/FP.CPI.TOTL.ZG?format=json</t>
  </si>
  <si>
    <t>https://api.worldbank.org/v2/country/BFA/indicator/FP.CPI.TOTL.ZG?format=json</t>
  </si>
  <si>
    <t>https://api.worldbank.org/v2/country/TGO/indicator/FP.CPI.TOTL.ZG?format=json</t>
  </si>
  <si>
    <t>https://api.worldbank.org/v2/country/GHA/indicator/FP.CPI.TOTL.ZG?format=json</t>
  </si>
  <si>
    <t>https://api.worldbank.org/v2/country/GNB/indicator/FP.CPI.TOTL.ZG?format=json</t>
  </si>
  <si>
    <t>https://api.worldbank.org/v2/country/USA/indicator/FP.CPI.TOTL.ZG?format=json</t>
  </si>
  <si>
    <t>https://api.worldbank.org/v2/country/CAN/indicator/FP.CPI.TOTL.ZG?format=json</t>
  </si>
  <si>
    <t>https://api.worldbank.org/v2/country/MEX/indicator/FP.CPI.TOTL.ZG?format=json</t>
  </si>
  <si>
    <t>https://api.worldbank.org/v2/country/BLZ/indicator/FP.CPI.TOTL.ZG?format=json</t>
  </si>
  <si>
    <t>https://api.worldbank.org/v2/country/PAN/indicator/FP.CPI.TOTL.ZG?format=json</t>
  </si>
  <si>
    <t>https://api.worldbank.org/v2/country/PNG/indicator/FP.CPI.TOTL.ZG?format=json</t>
  </si>
  <si>
    <t>https://api.worldbank.org/v2/country/EGY/indicator/FP.CPI.TOTL.ZG?format=json</t>
  </si>
  <si>
    <t>https://api.worldbank.org/v2/country/MRT/indicator/FP.CPI.TOTL.ZG?format=json</t>
  </si>
  <si>
    <t>https://api.worldbank.org/v2/country/GNQ/indicator/FP.CPI.TOTL.ZG?format=json</t>
  </si>
  <si>
    <t>https://api.worldbank.org/v2/country/GMB/indicator/FP.CPI.TOTL.ZG?format=json</t>
  </si>
  <si>
    <t>https://api.worldbank.org/v2/country/HKG/indicator/FP.CPI.TOTL.ZG?format=json</t>
  </si>
  <si>
    <t>https://api.worldbank.org/v2/country/AUS/indicator/FP.CPI.TOTL.ZG?format=json</t>
  </si>
  <si>
    <t>https://api.worldbank.org/v2/country/FJI/indicator/FP.CPI.TOTL.ZG?format=json</t>
  </si>
  <si>
    <t>https://api.worldbank.org/v2/country/NZL/indicator/FP.CPI.TOTL.ZG?format=json</t>
  </si>
  <si>
    <t>https://api.worldbank.org/v2/country/MDG/indicator/FP.CPI.TOTL.ZG?format=json</t>
  </si>
  <si>
    <t>https://api.worldbank.org/v2/country/PHL/indicator/FP.CPI.TOTL.ZG?format=json</t>
  </si>
  <si>
    <t>https://api.worldbank.org/v2/country/LKA/indicator/FP.CPI.TOTL.ZG?format=json</t>
  </si>
  <si>
    <t>https://api.worldbank.org/v2/country/BHS/indicator/FP.CPI.TOTL.ZG?format=json</t>
  </si>
  <si>
    <t>https://api.worldbank.org/v2/country/JPN/indicator/FP.CPI.TOTL.ZG?format=json</t>
  </si>
  <si>
    <t>https://api.worldbank.org/v2/country/ISL/indicator/FP.CPI.TOTL.ZG?format=json</t>
  </si>
  <si>
    <t>https://api.worldbank.org/v2/country/SYC/indicator/FP.CPI.TOTL.ZG?format=json</t>
  </si>
  <si>
    <t>https://api.worldbank.org/v2/country/KIR/indicator/FP.CPI.TOTL.ZG?format=json</t>
  </si>
  <si>
    <t>https://api.worldbank.org/v2/country/TTO/indicator/FP.CPI.TOTL.ZG?format=json</t>
  </si>
  <si>
    <t>https://api.worldbank.org/v2/country/GRD/indicator/FP.CPI.TOTL.ZG?format=json</t>
  </si>
  <si>
    <t>https://api.worldbank.org/v2/country/VCT/indicator/FP.CPI.TOTL.ZG?format=json</t>
  </si>
  <si>
    <t>https://api.worldbank.org/v2/country/BRB/indicator/FP.CPI.TOTL.ZG?format=json</t>
  </si>
  <si>
    <t>https://api.worldbank.org/v2/country/LCA/indicator/FP.CPI.TOTL.ZG?format=json</t>
  </si>
  <si>
    <t>https://api.worldbank.org/v2/country/DMA/indicator/FP.CPI.TOTL.ZG?format=json</t>
  </si>
  <si>
    <t>https://api.worldbank.org/v2/country/ATG/indicator/FP.CPI.TOTL.ZG?format=json</t>
  </si>
  <si>
    <t>https://api.worldbank.org/v2/country/JAM/indicator/FP.CPI.TOTL.ZG?format=json</t>
  </si>
  <si>
    <t>https://api.worldbank.org/v2/country/MUS/indicator/FP.CPI.TOTL.ZG?format=json</t>
  </si>
  <si>
    <t>https://api.worldbank.org/v2/country/COM/indicator/FP.CPI.TOTL.ZG?format=json</t>
  </si>
  <si>
    <t>https://api.worldbank.org/v2/country/STP/indicator/FP.CPI.TOTL.ZG?format=json</t>
  </si>
  <si>
    <t>https://api.worldbank.org/v2/country/CPV/indicator/FP.CPI.TOTL.ZG?format=json</t>
  </si>
  <si>
    <t>https://api.worldbank.org/v2/country/MLT/indicator/FP.CPI.TOTL.ZG?format=json</t>
  </si>
  <si>
    <t>https://api.worldbank.org/v2/country/SGP/indicator/FP.CPI.TOTL.ZG?format=json</t>
  </si>
  <si>
    <t>https://api.worldbank.org/v2/country/TON/indicator/FP.CPI.TOTL.ZG?format=json</t>
  </si>
  <si>
    <t>https://api.worldbank.org/v2/country/WSM/indicator/FP.CPI.TOTL.ZG?format=json</t>
  </si>
  <si>
    <t>https://api.worldbank.org/v2/country/SLB/indicator/FP.CPI.TOTL.ZG?format=json</t>
  </si>
  <si>
    <t>https://api.worldbank.org/v2/country/MDV/indicator/FP.CPI.TOTL.ZG?format=json</t>
  </si>
  <si>
    <t>https://api.worldbank.org/v2/country/VUT/indicator/FP.CPI.TOTL.ZG?format=json</t>
  </si>
  <si>
    <t>https://api.worldbank.org/v2/country/PLW/indicator/FP.CPI.TOTL.ZG?format=json</t>
  </si>
  <si>
    <t>https://api.worldbank.org/v2/country/BHR/indicator/FP.CPI.TOTL.ZG?format=json</t>
  </si>
  <si>
    <t>https://api.worldbank.org/v2/country/MAC/indicator/FP.CPI.TOTL.ZG?format=json</t>
  </si>
  <si>
    <t>0.939</t>
  </si>
  <si>
    <t>2026-09-14</t>
  </si>
  <si>
    <t>https://www.globalpetrolprices.com/Indonesia/gasoline_prices/</t>
  </si>
  <si>
    <t>GPP: USD за литр; дата мировой сравнительной таблицы, не дата индивидуального изменения тарифа</t>
  </si>
  <si>
    <t>1.445</t>
  </si>
  <si>
    <t>https://www.globalpetrolprices.com/Indonesia/diesel_prices/</t>
  </si>
  <si>
    <t>0.994</t>
  </si>
  <si>
    <t>https://www.globalpetrolprices.com/Malaysia/gasoline_prices/</t>
  </si>
  <si>
    <t>1.152</t>
  </si>
  <si>
    <t>https://www.globalpetrolprices.com/Malaysia/diesel_prices/</t>
  </si>
  <si>
    <t>1.522</t>
  </si>
  <si>
    <t>https://www.globalpetrolprices.com/Chile/gasoline_prices/</t>
  </si>
  <si>
    <t>1.361</t>
  </si>
  <si>
    <t>https://www.globalpetrolprices.com/Chile/diesel_prices/</t>
  </si>
  <si>
    <t>https://www.globalpetrolprices.com/Chile/lpg_prices/</t>
  </si>
  <si>
    <t>0.603</t>
  </si>
  <si>
    <t>https://www.globalpetrolprices.com/Bolivia/gasoline_prices/</t>
  </si>
  <si>
    <t>0.786</t>
  </si>
  <si>
    <t>https://www.globalpetrolprices.com/Bolivia/diesel_prices/</t>
  </si>
  <si>
    <t>1.723</t>
  </si>
  <si>
    <t>https://www.globalpetrolprices.com/Peru/gasoline_prices/</t>
  </si>
  <si>
    <t>1.965</t>
  </si>
  <si>
    <t>https://www.globalpetrolprices.com/Peru/diesel_prices/</t>
  </si>
  <si>
    <t>0.642</t>
  </si>
  <si>
    <t>https://www.globalpetrolprices.com/Peru/lpg_prices/</t>
  </si>
  <si>
    <t>1.412</t>
  </si>
  <si>
    <t>https://www.globalpetrolprices.com/Argentina/gasoline_prices/</t>
  </si>
  <si>
    <t>1.513</t>
  </si>
  <si>
    <t>https://www.globalpetrolprices.com/Argentina/diesel_prices/</t>
  </si>
  <si>
    <t>1.907</t>
  </si>
  <si>
    <t>https://www.globalpetrolprices.com/Cyprus/gasoline_prices/</t>
  </si>
  <si>
    <t>2.198</t>
  </si>
  <si>
    <t>https://www.globalpetrolprices.com/Cyprus/diesel_prices/</t>
  </si>
  <si>
    <t>1.132</t>
  </si>
  <si>
    <t>https://www.globalpetrolprices.com/India/gasoline_prices/</t>
  </si>
  <si>
    <t>1.037</t>
  </si>
  <si>
    <t>https://www.globalpetrolprices.com/India/diesel_prices/</t>
  </si>
  <si>
    <t>0.689</t>
  </si>
  <si>
    <t>https://www.globalpetrolprices.com/India/lpg_prices/</t>
  </si>
  <si>
    <t>1.326</t>
  </si>
  <si>
    <t>https://www.globalpetrolprices.com/China/gasoline_prices/</t>
  </si>
  <si>
    <t>1.155</t>
  </si>
  <si>
    <t>https://www.globalpetrolprices.com/China/diesel_prices/</t>
  </si>
  <si>
    <t>2.632</t>
  </si>
  <si>
    <t>https://www.globalpetrolprices.com/Israel/gasoline_prices/</t>
  </si>
  <si>
    <t>2.526</t>
  </si>
  <si>
    <t>https://www.globalpetrolprices.com/Israel/diesel_prices/</t>
  </si>
  <si>
    <t>1.099</t>
  </si>
  <si>
    <t>https://www.globalpetrolprices.com/Israel/lpg_prices/</t>
  </si>
  <si>
    <t>1.380</t>
  </si>
  <si>
    <t>https://www.globalpetrolprices.com/Lebanon/gasoline_prices/</t>
  </si>
  <si>
    <t>1.262</t>
  </si>
  <si>
    <t>https://www.globalpetrolprices.com/Lebanon/diesel_prices/</t>
  </si>
  <si>
    <t>0.604</t>
  </si>
  <si>
    <t>https://www.globalpetrolprices.com/Lebanon/lpg_prices/</t>
  </si>
  <si>
    <t>1.027</t>
  </si>
  <si>
    <t>https://www.globalpetrolprices.com/Ethiopia/gasoline_prices/</t>
  </si>
  <si>
    <t>1.120</t>
  </si>
  <si>
    <t>https://www.globalpetrolprices.com/Ethiopia/diesel_prices/</t>
  </si>
  <si>
    <t>1.642</t>
  </si>
  <si>
    <t>https://www.globalpetrolprices.com/Kenya/gasoline_prices/</t>
  </si>
  <si>
    <t>1.672</t>
  </si>
  <si>
    <t>https://www.globalpetrolprices.com/Kenya/diesel_prices/</t>
  </si>
  <si>
    <t>3.242</t>
  </si>
  <si>
    <t>https://www.globalpetrolprices.com/Malawi/gasoline_prices/</t>
  </si>
  <si>
    <t>3.375</t>
  </si>
  <si>
    <t>https://www.globalpetrolprices.com/Malawi/diesel_prices/</t>
  </si>
  <si>
    <t>1.435</t>
  </si>
  <si>
    <t>https://www.globalpetrolprices.com/Tanzania/gasoline_prices/</t>
  </si>
  <si>
    <t>1.466</t>
  </si>
  <si>
    <t>https://www.globalpetrolprices.com/Tanzania/diesel_prices/</t>
  </si>
  <si>
    <t>1.299</t>
  </si>
  <si>
    <t>https://www.globalpetrolprices.com/Syria/gasoline_prices/</t>
  </si>
  <si>
    <t>1.068</t>
  </si>
  <si>
    <t>https://www.globalpetrolprices.com/Syria/diesel_prices/</t>
  </si>
  <si>
    <t>2.425</t>
  </si>
  <si>
    <t>https://www.globalpetrolprices.com/France/gasoline_prices/</t>
  </si>
  <si>
    <t>2.624</t>
  </si>
  <si>
    <t>https://www.globalpetrolprices.com/France/diesel_prices/</t>
  </si>
  <si>
    <t>1.188</t>
  </si>
  <si>
    <t>https://www.globalpetrolprices.com/France/lpg_prices/</t>
  </si>
  <si>
    <t>https://www.globalpetrolprices.com/Suriname/gasoline_prices/</t>
  </si>
  <si>
    <t>1.405</t>
  </si>
  <si>
    <t>https://www.globalpetrolprices.com/Suriname/diesel_prices/</t>
  </si>
  <si>
    <t>1.092</t>
  </si>
  <si>
    <t>https://www.globalpetrolprices.com/Guyana/gasoline_prices/</t>
  </si>
  <si>
    <t>1.140</t>
  </si>
  <si>
    <t>https://www.globalpetrolprices.com/Guyana/diesel_prices/</t>
  </si>
  <si>
    <t>1.413</t>
  </si>
  <si>
    <t>https://www.globalpetrolprices.com/South-Korea/gasoline_prices/</t>
  </si>
  <si>
    <t>1.402</t>
  </si>
  <si>
    <t>https://www.globalpetrolprices.com/South-Korea/diesel_prices/</t>
  </si>
  <si>
    <t>0.835</t>
  </si>
  <si>
    <t>https://www.globalpetrolprices.com/South-Korea/lpg_prices/</t>
  </si>
  <si>
    <t>1.582</t>
  </si>
  <si>
    <t>https://www.globalpetrolprices.com/Morocco/gasoline_prices/</t>
  </si>
  <si>
    <t>1.600</t>
  </si>
  <si>
    <t>https://www.globalpetrolprices.com/Morocco/diesel_prices/</t>
  </si>
  <si>
    <t>1.625</t>
  </si>
  <si>
    <t>https://www.globalpetrolprices.com/Costa-Rica/gasoline_prices/</t>
  </si>
  <si>
    <t>1.335</t>
  </si>
  <si>
    <t>https://www.globalpetrolprices.com/Costa-Rica/diesel_prices/</t>
  </si>
  <si>
    <t>1.333</t>
  </si>
  <si>
    <t>https://www.globalpetrolprices.com/Nicaragua/gasoline_prices/</t>
  </si>
  <si>
    <t>1.179</t>
  </si>
  <si>
    <t>https://www.globalpetrolprices.com/Nicaragua/diesel_prices/</t>
  </si>
  <si>
    <t>1.146</t>
  </si>
  <si>
    <t>https://www.globalpetrolprices.com/Democratic-Republic-of-the-Congo/gasoline_prices/</t>
  </si>
  <si>
    <t>1.143</t>
  </si>
  <si>
    <t>https://www.globalpetrolprices.com/Democratic-Republic-of-the-Congo/diesel_prices/</t>
  </si>
  <si>
    <t>1.032</t>
  </si>
  <si>
    <t>https://www.globalpetrolprices.com/Bhutan/gasoline_prices/</t>
  </si>
  <si>
    <t>1.100</t>
  </si>
  <si>
    <t>https://www.globalpetrolprices.com/Bhutan/diesel_prices/</t>
  </si>
  <si>
    <t>1.976</t>
  </si>
  <si>
    <t>https://www.globalpetrolprices.com/Ukraine/gasoline_prices/</t>
  </si>
  <si>
    <t>2.155</t>
  </si>
  <si>
    <t>https://www.globalpetrolprices.com/Ukraine/diesel_prices/</t>
  </si>
  <si>
    <t>0.995</t>
  </si>
  <si>
    <t>https://www.globalpetrolprices.com/Ukraine/lpg_prices/</t>
  </si>
  <si>
    <t>0.894</t>
  </si>
  <si>
    <t>https://www.globalpetrolprices.com/Belarus/gasoline_prices/</t>
  </si>
  <si>
    <t>0.881</t>
  </si>
  <si>
    <t>https://www.globalpetrolprices.com/Belarus/diesel_prices/</t>
  </si>
  <si>
    <t>0.436</t>
  </si>
  <si>
    <t>https://www.globalpetrolprices.com/Belarus/lpg_prices/</t>
  </si>
  <si>
    <t>1.554</t>
  </si>
  <si>
    <t>https://www.globalpetrolprices.com/Namibia/gasoline_prices/</t>
  </si>
  <si>
    <t>1.741</t>
  </si>
  <si>
    <t>https://www.globalpetrolprices.com/Namibia/diesel_prices/</t>
  </si>
  <si>
    <t>1.630</t>
  </si>
  <si>
    <t>https://www.globalpetrolprices.com/South-Africa/gasoline_prices/</t>
  </si>
  <si>
    <t>1.992</t>
  </si>
  <si>
    <t>https://www.globalpetrolprices.com/South-Africa/diesel_prices/</t>
  </si>
  <si>
    <t>0.622</t>
  </si>
  <si>
    <t>https://www.globalpetrolprices.com/Oman/gasoline_prices/</t>
  </si>
  <si>
    <t>0.671</t>
  </si>
  <si>
    <t>https://www.globalpetrolprices.com/Oman/diesel_prices/</t>
  </si>
  <si>
    <t>1.496</t>
  </si>
  <si>
    <t>https://www.globalpetrolprices.com/Uzbekistan/gasoline_prices/</t>
  </si>
  <si>
    <t>1.350</t>
  </si>
  <si>
    <t>https://www.globalpetrolprices.com/Uzbekistan/diesel_prices/</t>
  </si>
  <si>
    <t>0.721</t>
  </si>
  <si>
    <t>https://www.globalpetrolprices.com/Kazakhstan/gasoline_prices/</t>
  </si>
  <si>
    <t>0.761</t>
  </si>
  <si>
    <t>https://www.globalpetrolprices.com/Kazakhstan/diesel_prices/</t>
  </si>
  <si>
    <t>0.247</t>
  </si>
  <si>
    <t>https://www.globalpetrolprices.com/Kazakhstan/lpg_prices/</t>
  </si>
  <si>
    <t>2.111</t>
  </si>
  <si>
    <t>https://www.globalpetrolprices.com/Lithuania/gasoline_prices/</t>
  </si>
  <si>
    <t>2.324</t>
  </si>
  <si>
    <t>https://www.globalpetrolprices.com/Lithuania/diesel_prices/</t>
  </si>
  <si>
    <t>1.016</t>
  </si>
  <si>
    <t>https://www.globalpetrolprices.com/Lithuania/lpg_prices/</t>
  </si>
  <si>
    <t>1.274</t>
  </si>
  <si>
    <t>https://www.globalpetrolprices.com/Brazil/gasoline_prices/</t>
  </si>
  <si>
    <t>https://www.globalpetrolprices.com/Brazil/diesel_prices/</t>
  </si>
  <si>
    <t>2.204</t>
  </si>
  <si>
    <t>https://www.globalpetrolprices.com/Uruguay/gasoline_prices/</t>
  </si>
  <si>
    <t>1.459</t>
  </si>
  <si>
    <t>https://www.globalpetrolprices.com/Uruguay/diesel_prices/</t>
  </si>
  <si>
    <t>1.783</t>
  </si>
  <si>
    <t>https://www.globalpetrolprices.com/Mongolia/gasoline_prices/</t>
  </si>
  <si>
    <t>1.590</t>
  </si>
  <si>
    <t>https://www.globalpetrolprices.com/Mongolia/diesel_prices/</t>
  </si>
  <si>
    <t>0.817</t>
  </si>
  <si>
    <t>https://www.globalpetrolprices.com/Mongolia/lpg_prices/</t>
  </si>
  <si>
    <t>0.884</t>
  </si>
  <si>
    <t>https://www.globalpetrolprices.com/Russia/gasoline_prices/</t>
  </si>
  <si>
    <t>0.963</t>
  </si>
  <si>
    <t>https://www.globalpetrolprices.com/Russia/diesel_prices/</t>
  </si>
  <si>
    <t>0.432</t>
  </si>
  <si>
    <t>https://www.globalpetrolprices.com/Russia/lpg_prices/</t>
  </si>
  <si>
    <t>2.076</t>
  </si>
  <si>
    <t>https://www.globalpetrolprices.com/Czech-Republic/gasoline_prices/</t>
  </si>
  <si>
    <t>2.206</t>
  </si>
  <si>
    <t>https://www.globalpetrolprices.com/Czech-Republic/diesel_prices/</t>
  </si>
  <si>
    <t>1.051</t>
  </si>
  <si>
    <t>https://www.globalpetrolprices.com/Czech-Republic/lpg_prices/</t>
  </si>
  <si>
    <t>2.671</t>
  </si>
  <si>
    <t>https://www.globalpetrolprices.com/Germany/gasoline_prices/</t>
  </si>
  <si>
    <t>2.720</t>
  </si>
  <si>
    <t>https://www.globalpetrolprices.com/Germany/diesel_prices/</t>
  </si>
  <si>
    <t>https://www.globalpetrolprices.com/Germany/lpg_prices/</t>
  </si>
  <si>
    <t>2.048</t>
  </si>
  <si>
    <t>https://www.globalpetrolprices.com/Estonia/gasoline_prices/</t>
  </si>
  <si>
    <t>2.134</t>
  </si>
  <si>
    <t>https://www.globalpetrolprices.com/Estonia/diesel_prices/</t>
  </si>
  <si>
    <t>1.126</t>
  </si>
  <si>
    <t>https://www.globalpetrolprices.com/Estonia/lpg_prices/</t>
  </si>
  <si>
    <t>2.239</t>
  </si>
  <si>
    <t>https://www.globalpetrolprices.com/Latvia/gasoline_prices/</t>
  </si>
  <si>
    <t>2.369</t>
  </si>
  <si>
    <t>https://www.globalpetrolprices.com/Latvia/diesel_prices/</t>
  </si>
  <si>
    <t>1.133</t>
  </si>
  <si>
    <t>https://www.globalpetrolprices.com/Latvia/lpg_prices/</t>
  </si>
  <si>
    <t>3.164</t>
  </si>
  <si>
    <t>https://www.globalpetrolprices.com/Norway/gasoline_prices/</t>
  </si>
  <si>
    <t>2.974</t>
  </si>
  <si>
    <t>https://www.globalpetrolprices.com/Norway/diesel_prices/</t>
  </si>
  <si>
    <t>1.896</t>
  </si>
  <si>
    <t>https://www.globalpetrolprices.com/Sweden/gasoline_prices/</t>
  </si>
  <si>
    <t>2.269</t>
  </si>
  <si>
    <t>https://www.globalpetrolprices.com/Sweden/diesel_prices/</t>
  </si>
  <si>
    <t>2.602</t>
  </si>
  <si>
    <t>https://www.globalpetrolprices.com/Finland/gasoline_prices/</t>
  </si>
  <si>
    <t>2.709</t>
  </si>
  <si>
    <t>https://www.globalpetrolprices.com/Finland/diesel_prices/</t>
  </si>
  <si>
    <t>0.968</t>
  </si>
  <si>
    <t>https://www.globalpetrolprices.com/Vietnam/gasoline_prices/</t>
  </si>
  <si>
    <t>1.075</t>
  </si>
  <si>
    <t>https://www.globalpetrolprices.com/Vietnam/diesel_prices/</t>
  </si>
  <si>
    <t>1.505</t>
  </si>
  <si>
    <t>https://www.globalpetrolprices.com/Cambodia/gasoline_prices/</t>
  </si>
  <si>
    <t>1.270</t>
  </si>
  <si>
    <t>https://www.globalpetrolprices.com/Cambodia/diesel_prices/</t>
  </si>
  <si>
    <t>2.191</t>
  </si>
  <si>
    <t>https://www.globalpetrolprices.com/Luxembourg/gasoline_prices/</t>
  </si>
  <si>
    <t>2.353</t>
  </si>
  <si>
    <t>https://www.globalpetrolprices.com/Luxembourg/diesel_prices/</t>
  </si>
  <si>
    <t>0.858</t>
  </si>
  <si>
    <t>https://www.globalpetrolprices.com/Luxembourg/lpg_prices/</t>
  </si>
  <si>
    <t>1.005</t>
  </si>
  <si>
    <t>https://www.globalpetrolprices.com/United-Arab-Emirates/gasoline_prices/</t>
  </si>
  <si>
    <t>1.171</t>
  </si>
  <si>
    <t>https://www.globalpetrolprices.com/United-Arab-Emirates/diesel_prices/</t>
  </si>
  <si>
    <t>2.289</t>
  </si>
  <si>
    <t>https://www.globalpetrolprices.com/Belgium/gasoline_prices/</t>
  </si>
  <si>
    <t>2.648</t>
  </si>
  <si>
    <t>https://www.globalpetrolprices.com/Belgium/diesel_prices/</t>
  </si>
  <si>
    <t>1.011</t>
  </si>
  <si>
    <t>https://www.globalpetrolprices.com/Belgium/lpg_prices/</t>
  </si>
  <si>
    <t>1.546</t>
  </si>
  <si>
    <t>https://www.globalpetrolprices.com/Georgia/gasoline_prices/</t>
  </si>
  <si>
    <t>1.735</t>
  </si>
  <si>
    <t>https://www.globalpetrolprices.com/Georgia/diesel_prices/</t>
  </si>
  <si>
    <t>1.887</t>
  </si>
  <si>
    <t>https://www.globalpetrolprices.com/Macedonia/gasoline_prices/</t>
  </si>
  <si>
    <t>1.908</t>
  </si>
  <si>
    <t>https://www.globalpetrolprices.com/Macedonia/diesel_prices/</t>
  </si>
  <si>
    <t>0.888</t>
  </si>
  <si>
    <t>https://www.globalpetrolprices.com/Macedonia/lpg_prices/</t>
  </si>
  <si>
    <t>2.578</t>
  </si>
  <si>
    <t>https://www.globalpetrolprices.com/Albania/gasoline_prices/</t>
  </si>
  <si>
    <t>2.760</t>
  </si>
  <si>
    <t>https://www.globalpetrolprices.com/Albania/diesel_prices/</t>
  </si>
  <si>
    <t>0.870</t>
  </si>
  <si>
    <t>https://www.globalpetrolprices.com/Albania/lpg_prices/</t>
  </si>
  <si>
    <t>0.676</t>
  </si>
  <si>
    <t>https://www.globalpetrolprices.com/Azerbaijan/gasoline_prices/</t>
  </si>
  <si>
    <t>0.647</t>
  </si>
  <si>
    <t>https://www.globalpetrolprices.com/Azerbaijan/diesel_prices/</t>
  </si>
  <si>
    <t>0.412</t>
  </si>
  <si>
    <t>https://www.globalpetrolprices.com/Azerbaijan/lpg_prices/</t>
  </si>
  <si>
    <t>1.651</t>
  </si>
  <si>
    <t>https://www.globalpetrolprices.com/Turkey/gasoline_prices/</t>
  </si>
  <si>
    <t>1.834</t>
  </si>
  <si>
    <t>https://www.globalpetrolprices.com/Turkey/diesel_prices/</t>
  </si>
  <si>
    <t>0.690</t>
  </si>
  <si>
    <t>https://www.globalpetrolprices.com/Turkey/lpg_prices/</t>
  </si>
  <si>
    <t>2.196</t>
  </si>
  <si>
    <t>https://www.globalpetrolprices.com/Spain/gasoline_prices/</t>
  </si>
  <si>
    <t>2.101</t>
  </si>
  <si>
    <t>https://www.globalpetrolprices.com/Spain/diesel_prices/</t>
  </si>
  <si>
    <t>https://www.globalpetrolprices.com/Spain/lpg_prices/</t>
  </si>
  <si>
    <t>https://www.globalpetrolprices.com/Laos/gasoline_prices/</t>
  </si>
  <si>
    <t>1.398</t>
  </si>
  <si>
    <t>https://www.globalpetrolprices.com/Laos/diesel_prices/</t>
  </si>
  <si>
    <t>1.250</t>
  </si>
  <si>
    <t>https://www.globalpetrolprices.com/Kyrgyzstan/gasoline_prices/</t>
  </si>
  <si>
    <t>1.162</t>
  </si>
  <si>
    <t>https://www.globalpetrolprices.com/Kyrgyzstan/diesel_prices/</t>
  </si>
  <si>
    <t>1.648</t>
  </si>
  <si>
    <t>https://www.globalpetrolprices.com/Armenia/gasoline_prices/</t>
  </si>
  <si>
    <t>1.815</t>
  </si>
  <si>
    <t>https://www.globalpetrolprices.com/Armenia/diesel_prices/</t>
  </si>
  <si>
    <t>0.660</t>
  </si>
  <si>
    <t>https://www.globalpetrolprices.com/Armenia/lpg_prices/</t>
  </si>
  <si>
    <t>3.004</t>
  </si>
  <si>
    <t>https://www.globalpetrolprices.com/Denmark/gasoline_prices/</t>
  </si>
  <si>
    <t>3.026</t>
  </si>
  <si>
    <t>https://www.globalpetrolprices.com/Denmark/diesel_prices/</t>
  </si>
  <si>
    <t>0.024</t>
  </si>
  <si>
    <t>https://www.globalpetrolprices.com/Libya/gasoline_prices/</t>
  </si>
  <si>
    <t>https://www.globalpetrolprices.com/Libya/diesel_prices/</t>
  </si>
  <si>
    <t>0.862</t>
  </si>
  <si>
    <t>https://www.globalpetrolprices.com/Tunisia/gasoline_prices/</t>
  </si>
  <si>
    <t>0.760</t>
  </si>
  <si>
    <t>https://www.globalpetrolprices.com/Tunisia/diesel_prices/</t>
  </si>
  <si>
    <t>2.190</t>
  </si>
  <si>
    <t>https://www.globalpetrolprices.com/Romania/gasoline_prices/</t>
  </si>
  <si>
    <t>2.261</t>
  </si>
  <si>
    <t>https://www.globalpetrolprices.com/Romania/diesel_prices/</t>
  </si>
  <si>
    <t>1.035</t>
  </si>
  <si>
    <t>https://www.globalpetrolprices.com/Romania/lpg_prices/</t>
  </si>
  <si>
    <t>https://www.globalpetrolprices.com/Hungary/gasoline_prices/</t>
  </si>
  <si>
    <t>2.163</t>
  </si>
  <si>
    <t>https://www.globalpetrolprices.com/Hungary/diesel_prices/</t>
  </si>
  <si>
    <t>1.131</t>
  </si>
  <si>
    <t>https://www.globalpetrolprices.com/Hungary/lpg_prices/</t>
  </si>
  <si>
    <t>https://www.globalpetrolprices.com/Slovakia/gasoline_prices/</t>
  </si>
  <si>
    <t>2.189</t>
  </si>
  <si>
    <t>https://www.globalpetrolprices.com/Slovakia/diesel_prices/</t>
  </si>
  <si>
    <t>0.932</t>
  </si>
  <si>
    <t>https://www.globalpetrolprices.com/Slovakia/lpg_prices/</t>
  </si>
  <si>
    <t>https://www.globalpetrolprices.com/Poland/gasoline_prices/</t>
  </si>
  <si>
    <t>1.947</t>
  </si>
  <si>
    <t>https://www.globalpetrolprices.com/Poland/diesel_prices/</t>
  </si>
  <si>
    <t>0.784</t>
  </si>
  <si>
    <t>https://www.globalpetrolprices.com/Poland/lpg_prices/</t>
  </si>
  <si>
    <t>2.141</t>
  </si>
  <si>
    <t>https://www.globalpetrolprices.com/Ireland/gasoline_prices/</t>
  </si>
  <si>
    <t>2.244</t>
  </si>
  <si>
    <t>https://www.globalpetrolprices.com/Ireland/diesel_prices/</t>
  </si>
  <si>
    <t>2.266</t>
  </si>
  <si>
    <t>https://www.globalpetrolprices.com/United-Kingdom/gasoline_prices/</t>
  </si>
  <si>
    <t>2.524</t>
  </si>
  <si>
    <t>https://www.globalpetrolprices.com/United-Kingdom/diesel_prices/</t>
  </si>
  <si>
    <t>1.428</t>
  </si>
  <si>
    <t>https://www.globalpetrolprices.com/United-Kingdom/lpg_prices/</t>
  </si>
  <si>
    <t>2.416</t>
  </si>
  <si>
    <t>https://www.globalpetrolprices.com/Greece/gasoline_prices/</t>
  </si>
  <si>
    <t>2.387</t>
  </si>
  <si>
    <t>https://www.globalpetrolprices.com/Greece/diesel_prices/</t>
  </si>
  <si>
    <t>1.125</t>
  </si>
  <si>
    <t>https://www.globalpetrolprices.com/Greece/lpg_prices/</t>
  </si>
  <si>
    <t>1.297</t>
  </si>
  <si>
    <t>https://www.globalpetrolprices.com/Zambia/gasoline_prices/</t>
  </si>
  <si>
    <t>1.395</t>
  </si>
  <si>
    <t>https://www.globalpetrolprices.com/Zambia/diesel_prices/</t>
  </si>
  <si>
    <t>2.033</t>
  </si>
  <si>
    <t>https://www.globalpetrolprices.com/Sierra-Leone/gasoline_prices/</t>
  </si>
  <si>
    <t>2.287</t>
  </si>
  <si>
    <t>https://www.globalpetrolprices.com/Sierra-Leone/diesel_prices/</t>
  </si>
  <si>
    <t>1.368</t>
  </si>
  <si>
    <t>https://www.globalpetrolprices.com/Guinea/gasoline_prices/</t>
  </si>
  <si>
    <t>1.367</t>
  </si>
  <si>
    <t>https://www.globalpetrolprices.com/Guinea/diesel_prices/</t>
  </si>
  <si>
    <t>https://www.globalpetrolprices.com/Liberia/gasoline_prices/</t>
  </si>
  <si>
    <t>1.366</t>
  </si>
  <si>
    <t>https://www.globalpetrolprices.com/Liberia/diesel_prices/</t>
  </si>
  <si>
    <t>1.849</t>
  </si>
  <si>
    <t>https://www.globalpetrolprices.com/Central-African-Republic/gasoline_prices/</t>
  </si>
  <si>
    <t>2.215</t>
  </si>
  <si>
    <t>https://www.globalpetrolprices.com/Central-African-Republic/diesel_prices/</t>
  </si>
  <si>
    <t>0.700</t>
  </si>
  <si>
    <t>https://www.globalpetrolprices.com/Sudan/gasoline_prices/</t>
  </si>
  <si>
    <t>0.656</t>
  </si>
  <si>
    <t>https://www.globalpetrolprices.com/Sudan/diesel_prices/</t>
  </si>
  <si>
    <t>2.186</t>
  </si>
  <si>
    <t>https://www.globalpetrolprices.com/Austria/gasoline_prices/</t>
  </si>
  <si>
    <t>2.471</t>
  </si>
  <si>
    <t>https://www.globalpetrolprices.com/Austria/diesel_prices/</t>
  </si>
  <si>
    <t>0.650</t>
  </si>
  <si>
    <t>https://www.globalpetrolprices.com/Iraq/gasoline_prices/</t>
  </si>
  <si>
    <t>2.445</t>
  </si>
  <si>
    <t>https://www.globalpetrolprices.com/Italy/gasoline_prices/</t>
  </si>
  <si>
    <t>2.528</t>
  </si>
  <si>
    <t>https://www.globalpetrolprices.com/Italy/diesel_prices/</t>
  </si>
  <si>
    <t>0.892</t>
  </si>
  <si>
    <t>https://www.globalpetrolprices.com/Italy/lpg_prices/</t>
  </si>
  <si>
    <t>2.479</t>
  </si>
  <si>
    <t>https://www.globalpetrolprices.com/Switzerland/gasoline_prices/</t>
  </si>
  <si>
    <t>2.804</t>
  </si>
  <si>
    <t>https://www.globalpetrolprices.com/Switzerland/diesel_prices/</t>
  </si>
  <si>
    <t>1.465</t>
  </si>
  <si>
    <t>https://www.globalpetrolprices.com/Switzerland/lpg_prices/</t>
  </si>
  <si>
    <t>0.029</t>
  </si>
  <si>
    <t>https://www.globalpetrolprices.com/Iran/gasoline_prices/</t>
  </si>
  <si>
    <t>0.006</t>
  </si>
  <si>
    <t>https://www.globalpetrolprices.com/Iran/diesel_prices/</t>
  </si>
  <si>
    <t>2.844</t>
  </si>
  <si>
    <t>https://www.globalpetrolprices.com/Netherlands/gasoline_prices/</t>
  </si>
  <si>
    <t>2.725</t>
  </si>
  <si>
    <t>https://www.globalpetrolprices.com/Netherlands/diesel_prices/</t>
  </si>
  <si>
    <t>1.084</t>
  </si>
  <si>
    <t>https://www.globalpetrolprices.com/Netherlands/lpg_prices/</t>
  </si>
  <si>
    <t>2.552</t>
  </si>
  <si>
    <t>https://www.globalpetrolprices.com/Liechtenstein/gasoline_prices/</t>
  </si>
  <si>
    <t>2.791</t>
  </si>
  <si>
    <t>https://www.globalpetrolprices.com/Liechtenstein/diesel_prices/</t>
  </si>
  <si>
    <t>1.594</t>
  </si>
  <si>
    <t>https://www.globalpetrolprices.com/Ivory-Coast/gasoline_prices/</t>
  </si>
  <si>
    <t>1.284</t>
  </si>
  <si>
    <t>https://www.globalpetrolprices.com/Ivory-Coast/diesel_prices/</t>
  </si>
  <si>
    <t>2.016</t>
  </si>
  <si>
    <t>https://www.globalpetrolprices.com/Serbia/gasoline_prices/</t>
  </si>
  <si>
    <t>2.317</t>
  </si>
  <si>
    <t>https://www.globalpetrolprices.com/Serbia/diesel_prices/</t>
  </si>
  <si>
    <t>1.049</t>
  </si>
  <si>
    <t>https://www.globalpetrolprices.com/Serbia/lpg_prices/</t>
  </si>
  <si>
    <t>1.541</t>
  </si>
  <si>
    <t>https://www.globalpetrolprices.com/Mali/gasoline_prices/</t>
  </si>
  <si>
    <t>1.665</t>
  </si>
  <si>
    <t>https://www.globalpetrolprices.com/Mali/diesel_prices/</t>
  </si>
  <si>
    <t>1.743</t>
  </si>
  <si>
    <t>https://www.globalpetrolprices.com/Senegal/gasoline_prices/</t>
  </si>
  <si>
    <t>1.337</t>
  </si>
  <si>
    <t>https://www.globalpetrolprices.com/Senegal/diesel_prices/</t>
  </si>
  <si>
    <t>1.019</t>
  </si>
  <si>
    <t>https://www.globalpetrolprices.com/Nigeria/gasoline_prices/</t>
  </si>
  <si>
    <t>1.324</t>
  </si>
  <si>
    <t>https://www.globalpetrolprices.com/Nigeria/diesel_prices/</t>
  </si>
  <si>
    <t>0.756</t>
  </si>
  <si>
    <t>https://www.globalpetrolprices.com/Nigeria/lpg_prices/</t>
  </si>
  <si>
    <t>1.277</t>
  </si>
  <si>
    <t>https://www.globalpetrolprices.com/Benin/gasoline_prices/</t>
  </si>
  <si>
    <t>https://www.globalpetrolprices.com/Benin/diesel_prices/</t>
  </si>
  <si>
    <t>0.327</t>
  </si>
  <si>
    <t>https://www.globalpetrolprices.com/Angola/gasoline_prices/</t>
  </si>
  <si>
    <t>0.458</t>
  </si>
  <si>
    <t>https://www.globalpetrolprices.com/Angola/diesel_prices/</t>
  </si>
  <si>
    <t>0.109</t>
  </si>
  <si>
    <t>https://www.globalpetrolprices.com/Angola/lpg_prices/</t>
  </si>
  <si>
    <t>1.998</t>
  </si>
  <si>
    <t>https://www.globalpetrolprices.com/Croatia/gasoline_prices/</t>
  </si>
  <si>
    <t>2.312</t>
  </si>
  <si>
    <t>https://www.globalpetrolprices.com/Croatia/diesel_prices/</t>
  </si>
  <si>
    <t>0.865</t>
  </si>
  <si>
    <t>https://www.globalpetrolprices.com/Croatia/lpg_prices/</t>
  </si>
  <si>
    <t>1.932</t>
  </si>
  <si>
    <t>https://www.globalpetrolprices.com/Slovenia/gasoline_prices/</t>
  </si>
  <si>
    <t>2.254</t>
  </si>
  <si>
    <t>https://www.globalpetrolprices.com/Slovenia/diesel_prices/</t>
  </si>
  <si>
    <t>1.134</t>
  </si>
  <si>
    <t>https://www.globalpetrolprices.com/Slovenia/lpg_prices/</t>
  </si>
  <si>
    <t>0.576</t>
  </si>
  <si>
    <t>https://www.globalpetrolprices.com/Qatar/gasoline_prices/</t>
  </si>
  <si>
    <t>0.562</t>
  </si>
  <si>
    <t>https://www.globalpetrolprices.com/Qatar/diesel_prices/</t>
  </si>
  <si>
    <t>0.621</t>
  </si>
  <si>
    <t>https://www.globalpetrolprices.com/Saudi-Arabia/gasoline_prices/</t>
  </si>
  <si>
    <t>0.477</t>
  </si>
  <si>
    <t>https://www.globalpetrolprices.com/Saudi-Arabia/diesel_prices/</t>
  </si>
  <si>
    <t>0.290</t>
  </si>
  <si>
    <t>https://www.globalpetrolprices.com/Saudi-Arabia/lpg_prices/</t>
  </si>
  <si>
    <t>1.347</t>
  </si>
  <si>
    <t>https://www.globalpetrolprices.com/Botswana/gasoline_prices/</t>
  </si>
  <si>
    <t>1.560</t>
  </si>
  <si>
    <t>https://www.globalpetrolprices.com/Botswana/diesel_prices/</t>
  </si>
  <si>
    <t>1.990</t>
  </si>
  <si>
    <t>https://www.globalpetrolprices.com/Zimbabwe/gasoline_prices/</t>
  </si>
  <si>
    <t>1.950</t>
  </si>
  <si>
    <t>https://www.globalpetrolprices.com/Zimbabwe/diesel_prices/</t>
  </si>
  <si>
    <t>1.386</t>
  </si>
  <si>
    <t>https://www.globalpetrolprices.com/Pakistan/gasoline_prices/</t>
  </si>
  <si>
    <t>1.391</t>
  </si>
  <si>
    <t>https://www.globalpetrolprices.com/Pakistan/diesel_prices/</t>
  </si>
  <si>
    <t>1.871</t>
  </si>
  <si>
    <t>https://www.globalpetrolprices.com/Bulgaria/gasoline_prices/</t>
  </si>
  <si>
    <t>2.142</t>
  </si>
  <si>
    <t>https://www.globalpetrolprices.com/Bulgaria/diesel_prices/</t>
  </si>
  <si>
    <t>0.770</t>
  </si>
  <si>
    <t>https://www.globalpetrolprices.com/Bulgaria/lpg_prices/</t>
  </si>
  <si>
    <t>1.477</t>
  </si>
  <si>
    <t>https://www.globalpetrolprices.com/Thailand/gasoline_prices/</t>
  </si>
  <si>
    <t>1.189</t>
  </si>
  <si>
    <t>https://www.globalpetrolprices.com/Thailand/diesel_prices/</t>
  </si>
  <si>
    <t>2.133</t>
  </si>
  <si>
    <t>https://www.globalpetrolprices.com/San-Marino/gasoline_prices/</t>
  </si>
  <si>
    <t>2.404</t>
  </si>
  <si>
    <t>https://www.globalpetrolprices.com/San-Marino/diesel_prices/</t>
  </si>
  <si>
    <t>0.789</t>
  </si>
  <si>
    <t>https://www.globalpetrolprices.com/San-Marino/lpg_prices/</t>
  </si>
  <si>
    <t>1.315</t>
  </si>
  <si>
    <t>https://www.globalpetrolprices.com/Haiti/gasoline_prices/</t>
  </si>
  <si>
    <t>1.414</t>
  </si>
  <si>
    <t>https://www.globalpetrolprices.com/Haiti/diesel_prices/</t>
  </si>
  <si>
    <t>1.525</t>
  </si>
  <si>
    <t>https://www.globalpetrolprices.com/Dominican-Republic/gasoline_prices/</t>
  </si>
  <si>
    <t>1.182</t>
  </si>
  <si>
    <t>https://www.globalpetrolprices.com/Dominican-Republic/diesel_prices/</t>
  </si>
  <si>
    <t>0.608</t>
  </si>
  <si>
    <t>https://www.globalpetrolprices.com/Dominican-Republic/lpg_prices/</t>
  </si>
  <si>
    <t>0.340</t>
  </si>
  <si>
    <t>https://www.globalpetrolprices.com/Kuwait/gasoline_prices/</t>
  </si>
  <si>
    <t>0.372</t>
  </si>
  <si>
    <t>https://www.globalpetrolprices.com/Kuwait/diesel_prices/</t>
  </si>
  <si>
    <t>1.357</t>
  </si>
  <si>
    <t>https://www.globalpetrolprices.com/El-Salvador/gasoline_prices/</t>
  </si>
  <si>
    <t>1.239</t>
  </si>
  <si>
    <t>https://www.globalpetrolprices.com/El-Salvador/diesel_prices/</t>
  </si>
  <si>
    <t>1.443</t>
  </si>
  <si>
    <t>https://www.globalpetrolprices.com/Guatemala/gasoline_prices/</t>
  </si>
  <si>
    <t>1.587</t>
  </si>
  <si>
    <t>https://www.globalpetrolprices.com/Guatemala/diesel_prices/</t>
  </si>
  <si>
    <t>2.466</t>
  </si>
  <si>
    <t>https://www.globalpetrolprices.com/Monaco/gasoline_prices/</t>
  </si>
  <si>
    <t>2.651</t>
  </si>
  <si>
    <t>https://www.globalpetrolprices.com/Monaco/diesel_prices/</t>
  </si>
  <si>
    <t>0.351</t>
  </si>
  <si>
    <t>https://www.globalpetrolprices.com/Algeria/gasoline_prices/</t>
  </si>
  <si>
    <t>0.233</t>
  </si>
  <si>
    <t>https://www.globalpetrolprices.com/Algeria/diesel_prices/</t>
  </si>
  <si>
    <t>0.090</t>
  </si>
  <si>
    <t>https://www.globalpetrolprices.com/Algeria/lpg_prices/</t>
  </si>
  <si>
    <t>https://www.globalpetrolprices.com/Mozambique/gasoline_prices/</t>
  </si>
  <si>
    <t>1.819</t>
  </si>
  <si>
    <t>https://www.globalpetrolprices.com/Mozambique/diesel_prices/</t>
  </si>
  <si>
    <t>1.597</t>
  </si>
  <si>
    <t>https://www.globalpetrolprices.com/Swaziland/gasoline_prices/</t>
  </si>
  <si>
    <t>1.803</t>
  </si>
  <si>
    <t>https://www.globalpetrolprices.com/Swaziland/diesel_prices/</t>
  </si>
  <si>
    <t>1.336</t>
  </si>
  <si>
    <t>https://www.globalpetrolprices.com/Burundi/gasoline_prices/</t>
  </si>
  <si>
    <t>1.313</t>
  </si>
  <si>
    <t>https://www.globalpetrolprices.com/Burundi/diesel_prices/</t>
  </si>
  <si>
    <t>2.003</t>
  </si>
  <si>
    <t>https://www.globalpetrolprices.com/Rwanda/gasoline_prices/</t>
  </si>
  <si>
    <t>https://www.globalpetrolprices.com/Rwanda/diesel_prices/</t>
  </si>
  <si>
    <t>1.260</t>
  </si>
  <si>
    <t>https://www.globalpetrolprices.com/Burma-Myanmar/gasoline_prices/</t>
  </si>
  <si>
    <t>https://www.globalpetrolprices.com/Burma-Myanmar/diesel_prices/</t>
  </si>
  <si>
    <t>https://www.globalpetrolprices.com/Bangladesh/gasoline_prices/</t>
  </si>
  <si>
    <t>0.937</t>
  </si>
  <si>
    <t>https://www.globalpetrolprices.com/Bangladesh/diesel_prices/</t>
  </si>
  <si>
    <t>https://www.globalpetrolprices.com/Andorra/gasoline_prices/</t>
  </si>
  <si>
    <t>1.895</t>
  </si>
  <si>
    <t>https://www.globalpetrolprices.com/Andorra/diesel_prices/</t>
  </si>
  <si>
    <t>1.018</t>
  </si>
  <si>
    <t>https://www.globalpetrolprices.com/Andorra/lpg_prices/</t>
  </si>
  <si>
    <t>1.341</t>
  </si>
  <si>
    <t>https://www.globalpetrolprices.com/Afghanistan/gasoline_prices/</t>
  </si>
  <si>
    <t>1.208</t>
  </si>
  <si>
    <t>https://www.globalpetrolprices.com/Afghanistan/diesel_prices/</t>
  </si>
  <si>
    <t>1.009</t>
  </si>
  <si>
    <t>https://www.globalpetrolprices.com/Afghanistan/lpg_prices/</t>
  </si>
  <si>
    <t>1.985</t>
  </si>
  <si>
    <t>https://www.globalpetrolprices.com/Montenegro/gasoline_prices/</t>
  </si>
  <si>
    <t>2.174</t>
  </si>
  <si>
    <t>https://www.globalpetrolprices.com/Montenegro/diesel_prices/</t>
  </si>
  <si>
    <t>1.890</t>
  </si>
  <si>
    <t>https://www.globalpetrolprices.com/Bosnia-and-Herzegovina/gasoline_prices/</t>
  </si>
  <si>
    <t>2.044</t>
  </si>
  <si>
    <t>https://www.globalpetrolprices.com/Bosnia-and-Herzegovina/diesel_prices/</t>
  </si>
  <si>
    <t>0.808</t>
  </si>
  <si>
    <t>https://www.globalpetrolprices.com/Bosnia-and-Herzegovina/lpg_prices/</t>
  </si>
  <si>
    <t>1.664</t>
  </si>
  <si>
    <t>https://www.globalpetrolprices.com/Uganda/gasoline_prices/</t>
  </si>
  <si>
    <t>1.758</t>
  </si>
  <si>
    <t>https://www.globalpetrolprices.com/Uganda/diesel_prices/</t>
  </si>
  <si>
    <t>2.000</t>
  </si>
  <si>
    <t>https://www.globalpetrolprices.com/Cuba/gasoline_prices/</t>
  </si>
  <si>
    <t>https://www.globalpetrolprices.com/Cuba/diesel_prices/</t>
  </si>
  <si>
    <t>1.396</t>
  </si>
  <si>
    <t>https://www.globalpetrolprices.com/Honduras/gasoline_prices/</t>
  </si>
  <si>
    <t>https://www.globalpetrolprices.com/Honduras/diesel_prices/</t>
  </si>
  <si>
    <t>0.464</t>
  </si>
  <si>
    <t>https://www.globalpetrolprices.com/Honduras/lpg_prices/</t>
  </si>
  <si>
    <t>0.848</t>
  </si>
  <si>
    <t>https://www.globalpetrolprices.com/Ecuador/gasoline_prices/</t>
  </si>
  <si>
    <t>https://www.globalpetrolprices.com/Ecuador/diesel_prices/</t>
  </si>
  <si>
    <t>1.355</t>
  </si>
  <si>
    <t>https://www.globalpetrolprices.com/Colombia/gasoline_prices/</t>
  </si>
  <si>
    <t>0.959</t>
  </si>
  <si>
    <t>https://www.globalpetrolprices.com/Colombia/diesel_prices/</t>
  </si>
  <si>
    <t>https://www.globalpetrolprices.com/Paraguay/gasoline_prices/</t>
  </si>
  <si>
    <t>https://www.globalpetrolprices.com/Paraguay/diesel_prices/</t>
  </si>
  <si>
    <t>0.717</t>
  </si>
  <si>
    <t>https://www.globalpetrolprices.com/Paraguay/lpg_prices/</t>
  </si>
  <si>
    <t>2.390</t>
  </si>
  <si>
    <t>https://www.globalpetrolprices.com/Portugal/gasoline_prices/</t>
  </si>
  <si>
    <t>2.446</t>
  </si>
  <si>
    <t>https://www.globalpetrolprices.com/Portugal/diesel_prices/</t>
  </si>
  <si>
    <t>1.034</t>
  </si>
  <si>
    <t>https://www.globalpetrolprices.com/Portugal/lpg_prices/</t>
  </si>
  <si>
    <t>1.924</t>
  </si>
  <si>
    <t>https://www.globalpetrolprices.com/Moldova/gasoline_prices/</t>
  </si>
  <si>
    <t>1.939</t>
  </si>
  <si>
    <t>https://www.globalpetrolprices.com/Moldova/diesel_prices/</t>
  </si>
  <si>
    <t>0.907</t>
  </si>
  <si>
    <t>https://www.globalpetrolprices.com/Moldova/lpg_prices/</t>
  </si>
  <si>
    <t>0.429</t>
  </si>
  <si>
    <t>https://www.globalpetrolprices.com/Turkmenistan/gasoline_prices/</t>
  </si>
  <si>
    <t>0.285</t>
  </si>
  <si>
    <t>https://www.globalpetrolprices.com/Turkmenistan/diesel_prices/</t>
  </si>
  <si>
    <t>1.848</t>
  </si>
  <si>
    <t>https://www.globalpetrolprices.com/Jordan/gasoline_prices/</t>
  </si>
  <si>
    <t>1.199</t>
  </si>
  <si>
    <t>https://www.globalpetrolprices.com/Jordan/diesel_prices/</t>
  </si>
  <si>
    <t>1.304</t>
  </si>
  <si>
    <t>https://www.globalpetrolprices.com/Nepal/gasoline_prices/</t>
  </si>
  <si>
    <t>https://www.globalpetrolprices.com/Nepal/diesel_prices/</t>
  </si>
  <si>
    <t>1.527</t>
  </si>
  <si>
    <t>https://www.globalpetrolprices.com/Lesotho/gasoline_prices/</t>
  </si>
  <si>
    <t>1.934</t>
  </si>
  <si>
    <t>https://www.globalpetrolprices.com/Lesotho/diesel_prices/</t>
  </si>
  <si>
    <t>1.479</t>
  </si>
  <si>
    <t>https://www.globalpetrolprices.com/Cameroon/gasoline_prices/</t>
  </si>
  <si>
    <t>1.467</t>
  </si>
  <si>
    <t>https://www.globalpetrolprices.com/Cameroon/diesel_prices/</t>
  </si>
  <si>
    <t>1.048</t>
  </si>
  <si>
    <t>https://www.globalpetrolprices.com/Gabon/gasoline_prices/</t>
  </si>
  <si>
    <t>https://www.globalpetrolprices.com/Gabon/diesel_prices/</t>
  </si>
  <si>
    <t>0.879</t>
  </si>
  <si>
    <t>https://www.globalpetrolprices.com/Niger/gasoline_prices/</t>
  </si>
  <si>
    <t>1.095</t>
  </si>
  <si>
    <t>https://www.globalpetrolprices.com/Niger/diesel_prices/</t>
  </si>
  <si>
    <t>1.497</t>
  </si>
  <si>
    <t>https://www.globalpetrolprices.com/Burkina-Faso/gasoline_prices/</t>
  </si>
  <si>
    <t>https://www.globalpetrolprices.com/Burkina-Faso/diesel_prices/</t>
  </si>
  <si>
    <t>https://www.globalpetrolprices.com/Togo/gasoline_prices/</t>
  </si>
  <si>
    <t>https://www.globalpetrolprices.com/Togo/diesel_prices/</t>
  </si>
  <si>
    <t>1.563</t>
  </si>
  <si>
    <t>https://www.globalpetrolprices.com/Ghana/gasoline_prices/</t>
  </si>
  <si>
    <t>1.511</t>
  </si>
  <si>
    <t>https://www.globalpetrolprices.com/Ghana/diesel_prices/</t>
  </si>
  <si>
    <t>1.233</t>
  </si>
  <si>
    <t>https://www.globalpetrolprices.com/USA/gasoline_prices/</t>
  </si>
  <si>
    <t>1.576</t>
  </si>
  <si>
    <t>https://www.globalpetrolprices.com/USA/diesel_prices/</t>
  </si>
  <si>
    <t>1.483</t>
  </si>
  <si>
    <t>https://www.globalpetrolprices.com/Canada/gasoline_prices/</t>
  </si>
  <si>
    <t>https://www.globalpetrolprices.com/Canada/diesel_prices/</t>
  </si>
  <si>
    <t>0.919</t>
  </si>
  <si>
    <t>https://www.globalpetrolprices.com/Canada/lpg_prices/</t>
  </si>
  <si>
    <t>1.653</t>
  </si>
  <si>
    <t>https://www.globalpetrolprices.com/Mexico/gasoline_prices/</t>
  </si>
  <si>
    <t>1.588</t>
  </si>
  <si>
    <t>https://www.globalpetrolprices.com/Mexico/diesel_prices/</t>
  </si>
  <si>
    <t>1.923</t>
  </si>
  <si>
    <t>https://www.globalpetrolprices.com/Belize/gasoline_prices/</t>
  </si>
  <si>
    <t>1.962</t>
  </si>
  <si>
    <t>https://www.globalpetrolprices.com/Belize/diesel_prices/</t>
  </si>
  <si>
    <t>https://www.globalpetrolprices.com/Panama/gasoline_prices/</t>
  </si>
  <si>
    <t>1.400</t>
  </si>
  <si>
    <t>https://www.globalpetrolprices.com/Panama/diesel_prices/</t>
  </si>
  <si>
    <t>0.035</t>
  </si>
  <si>
    <t>https://www.globalpetrolprices.com/Venezuela/gasoline_prices/</t>
  </si>
  <si>
    <t>0.004</t>
  </si>
  <si>
    <t>https://www.globalpetrolprices.com/Venezuela/diesel_prices/</t>
  </si>
  <si>
    <t>https://www.globalpetrolprices.com/Egypt/gasoline_prices/</t>
  </si>
  <si>
    <t>0.402</t>
  </si>
  <si>
    <t>https://www.globalpetrolprices.com/Egypt/diesel_prices/</t>
  </si>
  <si>
    <t>4.196</t>
  </si>
  <si>
    <t>https://www.globalpetrolprices.com/Hong-Kong/gasoline_prices/</t>
  </si>
  <si>
    <t>4.697</t>
  </si>
  <si>
    <t>https://www.globalpetrolprices.com/Hong-Kong/diesel_prices/</t>
  </si>
  <si>
    <t>1.519</t>
  </si>
  <si>
    <t>https://www.globalpetrolprices.com/Australia/gasoline_prices/</t>
  </si>
  <si>
    <t>1.710</t>
  </si>
  <si>
    <t>https://www.globalpetrolprices.com/Australia/diesel_prices/</t>
  </si>
  <si>
    <t>0.447</t>
  </si>
  <si>
    <t>https://www.globalpetrolprices.com/Australia/lpg_prices/</t>
  </si>
  <si>
    <t>https://www.globalpetrolprices.com/Fiji/gasoline_prices/</t>
  </si>
  <si>
    <t>1.458</t>
  </si>
  <si>
    <t>https://www.globalpetrolprices.com/Fiji/diesel_prices/</t>
  </si>
  <si>
    <t>0.966</t>
  </si>
  <si>
    <t>https://www.globalpetrolprices.com/Fiji/lpg_prices/</t>
  </si>
  <si>
    <t>1.830</t>
  </si>
  <si>
    <t>https://www.globalpetrolprices.com/New-Zealand/gasoline_prices/</t>
  </si>
  <si>
    <t>1.569</t>
  </si>
  <si>
    <t>https://www.globalpetrolprices.com/New-Zealand/diesel_prices/</t>
  </si>
  <si>
    <t>1.183</t>
  </si>
  <si>
    <t>https://www.globalpetrolprices.com/Madagascar/gasoline_prices/</t>
  </si>
  <si>
    <t>1.121</t>
  </si>
  <si>
    <t>https://www.globalpetrolprices.com/Madagascar/diesel_prices/</t>
  </si>
  <si>
    <t>https://www.globalpetrolprices.com/Philippines/gasoline_prices/</t>
  </si>
  <si>
    <t>1.370</t>
  </si>
  <si>
    <t>https://www.globalpetrolprices.com/Philippines/diesel_prices/</t>
  </si>
  <si>
    <t>https://www.globalpetrolprices.com/Philippines/lpg_prices/</t>
  </si>
  <si>
    <t>1.442</t>
  </si>
  <si>
    <t>https://www.globalpetrolprices.com/Sri-Lanka/gasoline_prices/</t>
  </si>
  <si>
    <t>1.455</t>
  </si>
  <si>
    <t>https://www.globalpetrolprices.com/Sri-Lanka/diesel_prices/</t>
  </si>
  <si>
    <t>https://www.globalpetrolprices.com/Curacao/gasoline_prices/</t>
  </si>
  <si>
    <t>https://www.globalpetrolprices.com/Curacao/diesel_prices/</t>
  </si>
  <si>
    <t>https://www.globalpetrolprices.com/Aruba/gasoline_prices/</t>
  </si>
  <si>
    <t>1.720</t>
  </si>
  <si>
    <t>https://www.globalpetrolprices.com/Aruba/diesel_prices/</t>
  </si>
  <si>
    <t>https://www.globalpetrolprices.com/Bahamas/gasoline_prices/</t>
  </si>
  <si>
    <t>1.686</t>
  </si>
  <si>
    <t>https://www.globalpetrolprices.com/Bahamas/diesel_prices/</t>
  </si>
  <si>
    <t>1.028</t>
  </si>
  <si>
    <t>https://www.globalpetrolprices.com/Taiwan/gasoline_prices/</t>
  </si>
  <si>
    <t>0.930</t>
  </si>
  <si>
    <t>https://www.globalpetrolprices.com/Taiwan/diesel_prices/</t>
  </si>
  <si>
    <t>0.517</t>
  </si>
  <si>
    <t>https://www.globalpetrolprices.com/Taiwan/lpg_prices/</t>
  </si>
  <si>
    <t>https://www.globalpetrolprices.com/Japan/gasoline_prices/</t>
  </si>
  <si>
    <t>https://www.globalpetrolprices.com/Japan/diesel_prices/</t>
  </si>
  <si>
    <t>2.093</t>
  </si>
  <si>
    <t>https://www.globalpetrolprices.com/Iceland/gasoline_prices/</t>
  </si>
  <si>
    <t>2.343</t>
  </si>
  <si>
    <t>https://www.globalpetrolprices.com/Iceland/diesel_prices/</t>
  </si>
  <si>
    <t>1.785</t>
  </si>
  <si>
    <t>https://www.globalpetrolprices.com/Seychelles/gasoline_prices/</t>
  </si>
  <si>
    <t>1.822</t>
  </si>
  <si>
    <t>https://www.globalpetrolprices.com/Seychelles/diesel_prices/</t>
  </si>
  <si>
    <t>1.144</t>
  </si>
  <si>
    <t>https://www.globalpetrolprices.com/Trinidad-and-Tobago/gasoline_prices/</t>
  </si>
  <si>
    <t>0.651</t>
  </si>
  <si>
    <t>https://www.globalpetrolprices.com/Trinidad-and-Tobago/diesel_prices/</t>
  </si>
  <si>
    <t>1.384</t>
  </si>
  <si>
    <t>https://www.globalpetrolprices.com/Grenada/gasoline_prices/</t>
  </si>
  <si>
    <t>https://www.globalpetrolprices.com/Grenada/diesel_prices/</t>
  </si>
  <si>
    <t>1.994</t>
  </si>
  <si>
    <t>https://www.globalpetrolprices.com/Barbados/gasoline_prices/</t>
  </si>
  <si>
    <t>1.595</t>
  </si>
  <si>
    <t>https://www.globalpetrolprices.com/Barbados/diesel_prices/</t>
  </si>
  <si>
    <t>1.404</t>
  </si>
  <si>
    <t>https://www.globalpetrolprices.com/Saint-Lucia/gasoline_prices/</t>
  </si>
  <si>
    <t>1.364</t>
  </si>
  <si>
    <t>https://www.globalpetrolprices.com/Saint-Lucia/diesel_prices/</t>
  </si>
  <si>
    <t>1.551</t>
  </si>
  <si>
    <t>https://www.globalpetrolprices.com/Dominica/gasoline_prices/</t>
  </si>
  <si>
    <t>https://www.globalpetrolprices.com/Dominica/diesel_prices/</t>
  </si>
  <si>
    <t>1.323</t>
  </si>
  <si>
    <t>https://www.globalpetrolprices.com/Puerto-Rico/gasoline_prices/</t>
  </si>
  <si>
    <t>1.406</t>
  </si>
  <si>
    <t>https://www.globalpetrolprices.com/Puerto-Rico/diesel_prices/</t>
  </si>
  <si>
    <t>1.621</t>
  </si>
  <si>
    <t>https://www.globalpetrolprices.com/Jamaica/gasoline_prices/</t>
  </si>
  <si>
    <t>1.771</t>
  </si>
  <si>
    <t>https://www.globalpetrolprices.com/Jamaica/diesel_prices/</t>
  </si>
  <si>
    <t>1.580</t>
  </si>
  <si>
    <t>https://www.globalpetrolprices.com/Cayman-Islands/gasoline_prices/</t>
  </si>
  <si>
    <t>https://www.globalpetrolprices.com/Cayman-Islands/diesel_prices/</t>
  </si>
  <si>
    <t>1.509</t>
  </si>
  <si>
    <t>https://www.globalpetrolprices.com/Mauritius/gasoline_prices/</t>
  </si>
  <si>
    <t>1.521</t>
  </si>
  <si>
    <t>https://www.globalpetrolprices.com/Mauritius/diesel_prices/</t>
  </si>
  <si>
    <t>1.827</t>
  </si>
  <si>
    <t>https://www.globalpetrolprices.com/Cape-Verde/gasoline_prices/</t>
  </si>
  <si>
    <t>1.778</t>
  </si>
  <si>
    <t>https://www.globalpetrolprices.com/Cape-Verde/diesel_prices/</t>
  </si>
  <si>
    <t>1.547</t>
  </si>
  <si>
    <t>https://www.globalpetrolprices.com/Malta/gasoline_prices/</t>
  </si>
  <si>
    <t>https://www.globalpetrolprices.com/Malta/diesel_prices/</t>
  </si>
  <si>
    <t>2.402</t>
  </si>
  <si>
    <t>https://www.globalpetrolprices.com/Singapore/gasoline_prices/</t>
  </si>
  <si>
    <t>2.780</t>
  </si>
  <si>
    <t>https://www.globalpetrolprices.com/Singapore/diesel_prices/</t>
  </si>
  <si>
    <t>2.170</t>
  </si>
  <si>
    <t>https://www.globalpetrolprices.com/Wallis-and-Futuna-Islands/gasoline_prices/</t>
  </si>
  <si>
    <t>https://www.globalpetrolprices.com/Wallis-and-Futuna-Islands/diesel_prices/</t>
  </si>
  <si>
    <t>1.039</t>
  </si>
  <si>
    <t>https://www.globalpetrolprices.com/Maldives/gasoline_prices/</t>
  </si>
  <si>
    <t>1.135</t>
  </si>
  <si>
    <t>https://www.globalpetrolprices.com/Maldives/diesel_prices/</t>
  </si>
  <si>
    <t>0.655</t>
  </si>
  <si>
    <t>https://www.globalpetrolprices.com/Bahrain/gasoline_prices/</t>
  </si>
  <si>
    <t>0.607</t>
  </si>
  <si>
    <t>https://www.globalpetrolprices.com/Bahrain/diesel_prices/</t>
  </si>
  <si>
    <t>Не подтверждено свежим сопоставимым источником; исходное значение сохранено. Период указан как в исходном файле.</t>
  </si>
  <si>
    <t>12.00</t>
  </si>
  <si>
    <t>-10.80</t>
  </si>
  <si>
    <t>23.62</t>
  </si>
  <si>
    <t>0.70</t>
  </si>
  <si>
    <t>13.40</t>
  </si>
  <si>
    <t>2 019.00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</si>
</sst>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.0000000"/>
    <numFmt numFmtId="170" formatCode="0.000"/>
    <numFmt numFmtId="171" formatCode="#,##0.###"/>
    <numFmt numFmtId="172" formatCode="0.000000"/>
  </numFmts>
  <fonts count="4" x14ac:knownFonts="1">
    <font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1" applyNumberFormat="1" applyFont="1" applyFill="1"/>
    <xf numFmtId="0" fontId="1" fillId="2" borderId="0" xfId="1" applyNumberFormat="1" applyFont="1" applyFill="1" applyAlignment="1">
      <alignment wrapText="1"/>
    </xf>
    <xf numFmtId="0" fontId="1" fillId="3" borderId="0" xfId="1" applyNumberFormat="1" applyFont="1" applyFill="1"/>
    <xf numFmtId="0" fontId="0" fillId="0" borderId="0" xfId="1" applyNumberFormat="1" applyFont="1" applyAlignment="1">
      <alignment wrapText="1"/>
    </xf>
    <xf numFmtId="0" fontId="1" fillId="4" borderId="0" xfId="1" applyNumberFormat="1" applyFont="1" applyFill="1"/>
    <xf numFmtId="0" fontId="0" fillId="0" borderId="0" xfId="1" applyNumberFormat="1" applyFont="1" applyAlignment="1">
      <alignment vertical="center"/>
    </xf>
    <xf numFmtId="0" fontId="3" fillId="5" borderId="0" xfId="1" applyNumberFormat="1" applyFont="1" applyFill="1" applyAlignment="1">
      <alignment vertical="center" wrapText="1"/>
    </xf>
    <xf numFmtId="3" fontId="0" fillId="0" borderId="0" xfId="1" applyNumberFormat="1" applyFont="1" applyAlignment="1">
      <alignment vertical="center"/>
    </xf>
    <xf numFmtId="169" fontId="0" fillId="0" borderId="0" xfId="1" applyNumberFormat="1" applyFont="1" applyAlignment="1">
      <alignment vertical="center"/>
    </xf>
    <xf numFmtId="170" fontId="0" fillId="0" borderId="0" xfId="1" applyNumberFormat="1" applyFont="1" applyAlignment="1">
      <alignment vertical="center"/>
    </xf>
    <xf numFmtId="171" fontId="0" fillId="0" borderId="0" xfId="1" applyNumberFormat="1" applyFont="1" applyAlignment="1">
      <alignment vertical="center"/>
    </xf>
    <xf numFmtId="0" fontId="0" fillId="0" borderId="0" xfId="1" applyNumberFormat="1" applyFont="1" applyAlignment="1">
      <alignment vertical="center" wrapText="1"/>
    </xf>
    <xf numFmtId="172" fontId="0" fillId="0" borderId="0" xfId="1" applyNumberFormat="1" applyFont="1" applyAlignment="1">
      <alignment vertical="center"/>
    </xf>
    <xf numFmtId="0" fontId="1" fillId="2" borderId="0" xfId="1" applyNumberFormat="1" applyFont="1" applyFill="1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170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/>
    </xf>
    <xf numFmtId="0" fontId="0" fillId="6" borderId="0" xfId="1" applyNumberFormat="1" applyFont="1" applyFill="1" applyAlignment="1">
      <alignment wrapText="1"/>
    </xf>
    <xf numFmtId="0" fontId="1" fillId="5" borderId="0" xfId="1" applyNumberFormat="1" applyFont="1" applyFill="1" applyAlignment="1">
      <alignment vertical="center"/>
    </xf>
    <xf numFmtId="0" fontId="0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fineryCountries" displayName="RefineryCountries" ref="A1:Q259" totalsRowShown="0">
  <tableColumns count="17">
    <tableColumn id="1" xr3:uid="{00000000-0010-0000-0000-000001000000}" name="Страна"/>
    <tableColumn id="2" xr3:uid="{00000000-0010-0000-0000-000002000000}" name="Название на русском"/>
    <tableColumn id="3" xr3:uid="{00000000-0010-0000-0000-000003000000}" name="ISO3"/>
    <tableColumn id="4" xr3:uid="{00000000-0010-0000-0000-000004000000}" name="НПЗ Oilmap, шт."/>
    <tableColumn id="5" xr3:uid="{00000000-0010-0000-0000-000005000000}" name="Мощность Oilmap, барр./сут."/>
    <tableColumn id="6" xr3:uid="{00000000-0010-0000-0000-000006000000}" name="С известной мощностью"/>
    <tableColumn id="7" xr3:uid="{00000000-0010-0000-0000-000007000000}" name="Без мощности"/>
    <tableColumn id="8" xr3:uid="{00000000-0010-0000-0000-000008000000}" name="НПЗ: первичный источник, шт."/>
    <tableColumn id="9" xr3:uid="{00000000-0010-0000-0000-000009000000}" name="Мощность: первичный источник"/>
    <tableColumn id="10" xr3:uid="{00000000-0010-0000-0000-00000A000000}" name="Единица мощности"/>
    <tableColumn id="11" xr3:uid="{00000000-0010-0000-0000-00000B000000}" name="Период первичного источника"/>
    <tableColumn id="12" xr3:uid="{00000000-0010-0000-0000-00000C000000}" name="Охват первичного источника"/>
    <tableColumn id="13" xr3:uid="{00000000-0010-0000-0000-00000D000000}" name="URL первичного источника"/>
    <tableColumn id="14" xr3:uid="{00000000-0010-0000-0000-00000E000000}" name="Мощность EI*, барр./сут."/>
    <tableColumn id="15" xr3:uid="{00000000-0010-0000-0000-00000F000000}" name="Год EI*"/>
    <tableColumn id="16" xr3:uid="{00000000-0010-0000-0000-000010000000}" name="URL вторичной публикации EI*"/>
    <tableColumn id="17" xr3:uid="{00000000-0010-0000-0000-000011000000}" name="Статус провер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ilmapRefineries" displayName="OilmapRefineries" ref="A1:O659" totalsRowShown="0">
  <tableColumns count="15">
    <tableColumn id="1" xr3:uid="{00000000-0010-0000-0100-000001000000}" name="ID Oilmap"/>
    <tableColumn id="2" xr3:uid="{00000000-0010-0000-0100-000002000000}" name="Страна"/>
    <tableColumn id="3" xr3:uid="{00000000-0010-0000-0100-000003000000}" name="ISO3"/>
    <tableColumn id="4" xr3:uid="{00000000-0010-0000-0100-000004000000}" name="name"/>
    <tableColumn id="5" xr3:uid="{00000000-0010-0000-0100-000005000000}" name="bpd crude capacity"/>
    <tableColumn id="6" xr3:uid="{00000000-0010-0000-0100-000006000000}" name="rank"/>
    <tableColumn id="7" xr3:uid="{00000000-0010-0000-0100-000007000000}" name="x"/>
    <tableColumn id="8" xr3:uid="{00000000-0010-0000-0100-000008000000}" name="y"/>
    <tableColumn id="9" xr3:uid="{00000000-0010-0000-0100-000009000000}" name="link to wiki"/>
    <tableColumn id="10" xr3:uid="{00000000-0010-0000-0100-00000A000000}" name="link to web"/>
    <tableColumn id="11" xr3:uid="{00000000-0010-0000-0100-00000B000000}" name="Дата слоя"/>
    <tableColumn id="12" xr3:uid="{00000000-0010-0000-0100-00000C000000}" name="Привязка к стране"/>
    <tableColumn id="13" xr3:uid="{00000000-0010-0000-0100-00000D000000}" name="До берега, км"/>
    <tableColumn id="14" xr3:uid="{00000000-0010-0000-0100-00000E000000}" name="Источник"/>
    <tableColumn id="15" xr3:uid="{00000000-0010-0000-0100-00000F000000}" name="Мощность известн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eshRefineryRegisters" displayName="FreshRefineryRegisters" ref="A1:M274" totalsRowShown="0">
  <tableColumns count="13">
    <tableColumn id="1" xr3:uid="{00000000-0010-0000-0200-000001000000}" name="Страна"/>
    <tableColumn id="2" xr3:uid="{00000000-0010-0000-0200-000002000000}" name="НПЗ / площадка"/>
    <tableColumn id="3" xr3:uid="{00000000-0010-0000-0200-000003000000}" name="Компания"/>
    <tableColumn id="4" xr3:uid="{00000000-0010-0000-0200-000004000000}" name="Статус источника"/>
    <tableColumn id="5" xr3:uid="{00000000-0010-0000-0200-000005000000}" name="Тип / охват"/>
    <tableColumn id="6" xr3:uid="{00000000-0010-0000-0200-000006000000}" name="Мощность, барр./сут."/>
    <tableColumn id="7" xr3:uid="{00000000-0010-0000-0200-000007000000}" name="Мощность, млн т/год"/>
    <tableColumn id="8" xr3:uid="{00000000-0010-0000-0200-000008000000}" name="Период"/>
    <tableColumn id="9" xr3:uid="{00000000-0010-0000-0200-000009000000}" name="x"/>
    <tableColumn id="10" xr3:uid="{00000000-0010-0000-0200-00000A000000}" name="y"/>
    <tableColumn id="11" xr3:uid="{00000000-0010-0000-0200-00000B000000}" name="Источник"/>
    <tableColumn id="12" xr3:uid="{00000000-0010-0000-0200-00000C000000}" name="URL"/>
    <tableColumn id="13" xr3:uid="{00000000-0010-0000-0200-00000D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dateLog" displayName="UpdateLog" ref="A26:H4674" totalsRowShown="0">
  <tableColumns count="8">
    <tableColumn id="1" xr3:uid="{00000000-0010-0000-0300-000001000000}" name="Страна"/>
    <tableColumn id="2" xr3:uid="{00000000-0010-0000-0300-000002000000}" name="Показатель"/>
    <tableColumn id="3" xr3:uid="{00000000-0010-0000-0300-000003000000}" name="До обновления"/>
    <tableColumn id="4" xr3:uid="{00000000-0010-0000-0300-000004000000}" name="После обновления"/>
    <tableColumn id="5" xr3:uid="{00000000-0010-0000-0300-000005000000}" name="Период"/>
    <tableColumn id="6" xr3:uid="{00000000-0010-0000-0300-000006000000}" name="URL / источник"/>
    <tableColumn id="7" xr3:uid="{00000000-0010-0000-0300-000007000000}" name="Метод"/>
    <tableColumn id="8" xr3:uid="{00000000-0010-0000-0300-000008000000}" name="Дата провер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9"/>
  <sheetViews>
    <sheetView tabSelected="1" workbookViewId="0">
      <pane ySplit="1" topLeftCell="A14" activePane="bottomLeft" state="frozen"/>
      <selection pane="bottomLeft"/>
    </sheetView>
  </sheetViews>
  <sheetFormatPr defaultRowHeight="15" x14ac:dyDescent="0.2"/>
  <cols>
    <col min="1" max="1" width="15"/>
    <col min="2" max="3" width="20" customWidth="1"/>
    <col min="4" max="4" width="24" customWidth="1"/>
    <col min="5" max="5" width="16" customWidth="1"/>
    <col min="6" max="6" width="23" customWidth="1"/>
    <col min="7" max="33" width="16" customWidth="1"/>
    <col min="34" max="35" width="10" customWidth="1"/>
    <col min="36" max="39" width="22" customWidth="1"/>
    <col min="40" max="40" width="50" customWidth="1"/>
    <col min="41" max="44" width="22" customWidth="1"/>
    <col min="45" max="1024" width="15"/>
  </cols>
  <sheetData>
    <row r="1" spans="1:44" ht="90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</row>
    <row r="2" spans="1:44" ht="42" customHeight="1" x14ac:dyDescent="0.2">
      <c r="A2" s="15">
        <v>1</v>
      </c>
      <c r="B2" s="15" t="s">
        <v>44</v>
      </c>
      <c r="C2" s="15" t="s">
        <v>45</v>
      </c>
      <c r="D2" s="16">
        <v>2153449.3150684931</v>
      </c>
      <c r="E2" s="19">
        <v>2025</v>
      </c>
      <c r="F2" s="17">
        <f t="shared" ref="F2:F65" si="0">IF(AND(ISNUMBER(D2),ISNUMBER(E2)),D2*(DATE(E2+1,1,1)-DATE(E2,1,1))/1000000,"н/д")</f>
        <v>786.00900000000001</v>
      </c>
      <c r="G2" s="17">
        <v>31.704726027310119</v>
      </c>
      <c r="H2" s="17">
        <v>30.451941389984082</v>
      </c>
      <c r="I2" s="17">
        <v>14.642962103487363</v>
      </c>
      <c r="J2" s="17">
        <v>7.830444689564624</v>
      </c>
      <c r="K2" s="17">
        <v>1.5610508276622788</v>
      </c>
      <c r="L2" s="16">
        <v>852688.86769507127</v>
      </c>
      <c r="M2" s="19">
        <v>2025</v>
      </c>
      <c r="N2" s="16">
        <v>581668.49315068498</v>
      </c>
      <c r="O2" s="16">
        <v>20000</v>
      </c>
      <c r="P2" s="17">
        <v>1445.6425841638102</v>
      </c>
      <c r="Q2" s="19">
        <v>2025</v>
      </c>
      <c r="R2" s="17">
        <v>5.1080890443802502</v>
      </c>
      <c r="S2" s="19">
        <v>2025</v>
      </c>
      <c r="T2" s="17">
        <v>1.9133344329508</v>
      </c>
      <c r="U2" s="19">
        <v>2025</v>
      </c>
      <c r="V2" s="18">
        <v>0.93899999999999995</v>
      </c>
      <c r="W2" s="18">
        <v>1.4379999999999999</v>
      </c>
      <c r="X2" s="18" t="s">
        <v>46</v>
      </c>
      <c r="Y2" s="18" t="s">
        <v>46</v>
      </c>
      <c r="Z2" s="18" t="s">
        <v>46</v>
      </c>
      <c r="AA2" s="15" t="s">
        <v>47</v>
      </c>
      <c r="AB2" s="15" t="s">
        <v>48</v>
      </c>
      <c r="AC2" s="15" t="s">
        <v>49</v>
      </c>
      <c r="AD2" s="15" t="s">
        <v>50</v>
      </c>
      <c r="AE2" s="15" t="s">
        <v>51</v>
      </c>
      <c r="AF2" s="15" t="s">
        <v>52</v>
      </c>
      <c r="AG2" s="15" t="s">
        <v>53</v>
      </c>
      <c r="AH2" s="15" t="s">
        <v>54</v>
      </c>
      <c r="AI2" s="15" t="s">
        <v>55</v>
      </c>
      <c r="AJ2" s="8">
        <f>'Сводка НПЗ'!D2</f>
        <v>8</v>
      </c>
      <c r="AK2" s="8">
        <f>IF('Сводка НПЗ'!F2&gt;0,'Сводка НПЗ'!E2,"")</f>
        <v>1046370</v>
      </c>
      <c r="AL2" s="8">
        <f>'Сводка НПЗ'!G2</f>
        <v>0</v>
      </c>
      <c r="AM2" s="6" t="s">
        <v>56</v>
      </c>
      <c r="AN2" s="12" t="s">
        <v>57</v>
      </c>
      <c r="AO2" s="20">
        <v>2025</v>
      </c>
      <c r="AP2" s="20">
        <v>2025</v>
      </c>
      <c r="AQ2" s="20">
        <v>2025</v>
      </c>
      <c r="AR2" s="6" t="s">
        <v>58</v>
      </c>
    </row>
    <row r="3" spans="1:44" ht="42" customHeight="1" x14ac:dyDescent="0.2">
      <c r="A3" s="15">
        <v>2</v>
      </c>
      <c r="B3" s="15" t="s">
        <v>59</v>
      </c>
      <c r="C3" s="15" t="s">
        <v>60</v>
      </c>
      <c r="D3" s="16">
        <v>747111.56570599996</v>
      </c>
      <c r="E3" s="19">
        <v>2024</v>
      </c>
      <c r="F3" s="17">
        <f t="shared" si="0"/>
        <v>273.44283304839598</v>
      </c>
      <c r="G3" s="17">
        <v>26.813777418998285</v>
      </c>
      <c r="H3" s="17">
        <v>43.478960641311794</v>
      </c>
      <c r="I3" s="17">
        <v>11.01442343918718</v>
      </c>
      <c r="J3" s="17">
        <v>7.1779446143794763</v>
      </c>
      <c r="K3" s="17">
        <v>3.2695489162876208</v>
      </c>
      <c r="L3" s="16">
        <v>604170.89593203389</v>
      </c>
      <c r="M3" s="19">
        <v>2025</v>
      </c>
      <c r="N3" s="16">
        <v>512670.1369863014</v>
      </c>
      <c r="O3" s="16">
        <v>39578.995433790049</v>
      </c>
      <c r="P3" s="17">
        <v>472.19312864459698</v>
      </c>
      <c r="Q3" s="19">
        <v>2025</v>
      </c>
      <c r="R3" s="17">
        <v>5.1712708291105702</v>
      </c>
      <c r="S3" s="19">
        <v>2025</v>
      </c>
      <c r="T3" s="17">
        <v>1.3806087229369199</v>
      </c>
      <c r="U3" s="19">
        <v>2025</v>
      </c>
      <c r="V3" s="18">
        <v>0.99399999999999999</v>
      </c>
      <c r="W3" s="18">
        <v>1.216</v>
      </c>
      <c r="X3" s="18" t="s">
        <v>46</v>
      </c>
      <c r="Y3" s="18" t="s">
        <v>46</v>
      </c>
      <c r="Z3" s="18" t="s">
        <v>46</v>
      </c>
      <c r="AA3" s="15" t="s">
        <v>47</v>
      </c>
      <c r="AB3" s="15" t="s">
        <v>48</v>
      </c>
      <c r="AC3" s="15" t="s">
        <v>61</v>
      </c>
      <c r="AD3" s="15" t="s">
        <v>62</v>
      </c>
      <c r="AE3" s="15" t="s">
        <v>63</v>
      </c>
      <c r="AF3" s="15" t="s">
        <v>64</v>
      </c>
      <c r="AG3" s="15" t="s">
        <v>53</v>
      </c>
      <c r="AH3" s="15" t="s">
        <v>65</v>
      </c>
      <c r="AI3" s="15" t="s">
        <v>66</v>
      </c>
      <c r="AJ3" s="8">
        <f>'Сводка НПЗ'!D3</f>
        <v>6</v>
      </c>
      <c r="AK3" s="8">
        <f>IF('Сводка НПЗ'!F3&gt;0,'Сводка НПЗ'!E3,"")</f>
        <v>545000</v>
      </c>
      <c r="AL3" s="8">
        <f>'Сводка НПЗ'!G3</f>
        <v>0</v>
      </c>
      <c r="AM3" s="6" t="s">
        <v>56</v>
      </c>
      <c r="AN3" s="12" t="s">
        <v>57</v>
      </c>
      <c r="AO3" s="20">
        <v>2024</v>
      </c>
      <c r="AP3" s="20">
        <v>2025</v>
      </c>
      <c r="AQ3" s="20">
        <v>2025</v>
      </c>
      <c r="AR3" s="6" t="s">
        <v>58</v>
      </c>
    </row>
    <row r="4" spans="1:44" ht="42" customHeight="1" x14ac:dyDescent="0.2">
      <c r="A4" s="15">
        <v>3</v>
      </c>
      <c r="B4" s="15" t="s">
        <v>67</v>
      </c>
      <c r="C4" s="15" t="s">
        <v>68</v>
      </c>
      <c r="D4" s="16">
        <v>374295.89041095891</v>
      </c>
      <c r="E4" s="19">
        <v>2025</v>
      </c>
      <c r="F4" s="17">
        <f t="shared" si="0"/>
        <v>136.61799999999999</v>
      </c>
      <c r="G4" s="17">
        <v>49.002049510313427</v>
      </c>
      <c r="H4" s="17">
        <v>24.575751365120261</v>
      </c>
      <c r="I4" s="17">
        <v>11.836068453644469</v>
      </c>
      <c r="J4" s="17">
        <v>14.142433647103603</v>
      </c>
      <c r="K4" s="17">
        <v>1.8786836288044033</v>
      </c>
      <c r="L4" s="16">
        <v>21108.607859886764</v>
      </c>
      <c r="M4" s="19">
        <v>2025</v>
      </c>
      <c r="N4" s="16">
        <v>1968.3219693957576</v>
      </c>
      <c r="O4" s="16">
        <v>11828.373062463606</v>
      </c>
      <c r="P4" s="17">
        <v>357.37115957486202</v>
      </c>
      <c r="Q4" s="19">
        <v>2025</v>
      </c>
      <c r="R4" s="17">
        <v>2.4592547478137399</v>
      </c>
      <c r="S4" s="19">
        <v>2025</v>
      </c>
      <c r="T4" s="17">
        <v>4.2129360169429297</v>
      </c>
      <c r="U4" s="19">
        <v>2025</v>
      </c>
      <c r="V4" s="18">
        <v>1.522</v>
      </c>
      <c r="W4" s="18">
        <v>1.319</v>
      </c>
      <c r="X4" s="18" t="s">
        <v>46</v>
      </c>
      <c r="Y4" s="18">
        <v>0.71499999999999997</v>
      </c>
      <c r="Z4" s="18" t="s">
        <v>46</v>
      </c>
      <c r="AA4" s="15" t="s">
        <v>47</v>
      </c>
      <c r="AB4" s="15" t="s">
        <v>69</v>
      </c>
      <c r="AC4" s="15" t="s">
        <v>70</v>
      </c>
      <c r="AD4" s="15" t="s">
        <v>71</v>
      </c>
      <c r="AE4" s="15" t="s">
        <v>72</v>
      </c>
      <c r="AF4" s="15" t="s">
        <v>52</v>
      </c>
      <c r="AG4" s="15" t="s">
        <v>73</v>
      </c>
      <c r="AH4" s="15" t="s">
        <v>74</v>
      </c>
      <c r="AI4" s="15" t="s">
        <v>75</v>
      </c>
      <c r="AJ4" s="8">
        <f>'Сводка НПЗ'!D4</f>
        <v>3</v>
      </c>
      <c r="AK4" s="8">
        <f>IF('Сводка НПЗ'!F4&gt;0,'Сводка НПЗ'!E4,"")</f>
        <v>226750</v>
      </c>
      <c r="AL4" s="8">
        <f>'Сводка НПЗ'!G4</f>
        <v>0</v>
      </c>
      <c r="AM4" s="6" t="s">
        <v>56</v>
      </c>
      <c r="AN4" s="12" t="s">
        <v>57</v>
      </c>
      <c r="AO4" s="20">
        <v>2025</v>
      </c>
      <c r="AP4" s="20">
        <v>2025</v>
      </c>
      <c r="AQ4" s="20">
        <v>2025</v>
      </c>
      <c r="AR4" s="6" t="s">
        <v>58</v>
      </c>
    </row>
    <row r="5" spans="1:44" ht="42" customHeight="1" x14ac:dyDescent="0.2">
      <c r="A5" s="15">
        <v>4</v>
      </c>
      <c r="B5" s="15" t="s">
        <v>76</v>
      </c>
      <c r="C5" s="15" t="s">
        <v>77</v>
      </c>
      <c r="D5" s="16">
        <v>103844.96705600001</v>
      </c>
      <c r="E5" s="19">
        <v>2024</v>
      </c>
      <c r="F5" s="17">
        <f t="shared" si="0"/>
        <v>38.007257942496004</v>
      </c>
      <c r="G5" s="17">
        <v>41.252248697713718</v>
      </c>
      <c r="H5" s="17">
        <v>38.801498659315044</v>
      </c>
      <c r="I5" s="17">
        <v>14.438110372662216</v>
      </c>
      <c r="J5" s="17">
        <v>3.7013216123678481</v>
      </c>
      <c r="K5" s="17">
        <v>0</v>
      </c>
      <c r="L5" s="16">
        <v>51865.890019876715</v>
      </c>
      <c r="M5" s="19">
        <v>2025</v>
      </c>
      <c r="N5" s="16">
        <v>17660.805479452054</v>
      </c>
      <c r="O5" s="16">
        <v>32000</v>
      </c>
      <c r="P5" s="17">
        <v>64.768947525325601</v>
      </c>
      <c r="Q5" s="19">
        <v>2025</v>
      </c>
      <c r="R5" s="17">
        <v>-1.5823756734824601</v>
      </c>
      <c r="S5" s="19">
        <v>2025</v>
      </c>
      <c r="T5" s="17">
        <v>19.517120804733</v>
      </c>
      <c r="U5" s="19">
        <v>2025</v>
      </c>
      <c r="V5" s="18">
        <v>0.60299999999999998</v>
      </c>
      <c r="W5" s="18">
        <v>0.85</v>
      </c>
      <c r="X5" s="18" t="s">
        <v>46</v>
      </c>
      <c r="Y5" s="18" t="s">
        <v>46</v>
      </c>
      <c r="Z5" s="18" t="s">
        <v>46</v>
      </c>
      <c r="AA5" s="15" t="s">
        <v>47</v>
      </c>
      <c r="AB5" s="15" t="s">
        <v>48</v>
      </c>
      <c r="AC5" s="15" t="s">
        <v>78</v>
      </c>
      <c r="AD5" s="15" t="s">
        <v>79</v>
      </c>
      <c r="AE5" s="15" t="s">
        <v>80</v>
      </c>
      <c r="AF5" s="15" t="s">
        <v>64</v>
      </c>
      <c r="AG5" s="15" t="s">
        <v>53</v>
      </c>
      <c r="AH5" s="15" t="s">
        <v>81</v>
      </c>
      <c r="AI5" s="15" t="s">
        <v>82</v>
      </c>
      <c r="AJ5" s="8">
        <f>'Сводка НПЗ'!D5</f>
        <v>2</v>
      </c>
      <c r="AK5" s="8">
        <f>IF('Сводка НПЗ'!F5&gt;0,'Сводка НПЗ'!E5,"")</f>
        <v>20000</v>
      </c>
      <c r="AL5" s="8">
        <f>'Сводка НПЗ'!G5</f>
        <v>1</v>
      </c>
      <c r="AM5" s="6" t="s">
        <v>56</v>
      </c>
      <c r="AN5" s="12" t="s">
        <v>83</v>
      </c>
      <c r="AO5" s="20">
        <v>2024</v>
      </c>
      <c r="AP5" s="20">
        <v>2025</v>
      </c>
      <c r="AQ5" s="20">
        <v>2025</v>
      </c>
      <c r="AR5" s="6" t="s">
        <v>58</v>
      </c>
    </row>
    <row r="6" spans="1:44" ht="42" customHeight="1" x14ac:dyDescent="0.2">
      <c r="A6" s="15">
        <v>5</v>
      </c>
      <c r="B6" s="15" t="s">
        <v>84</v>
      </c>
      <c r="C6" s="15" t="s">
        <v>85</v>
      </c>
      <c r="D6" s="16">
        <v>264380.44998800004</v>
      </c>
      <c r="E6" s="19">
        <v>2024</v>
      </c>
      <c r="F6" s="17">
        <f t="shared" si="0"/>
        <v>96.763244695608023</v>
      </c>
      <c r="G6" s="17">
        <v>41.462547781038836</v>
      </c>
      <c r="H6" s="17">
        <v>19.301276604346558</v>
      </c>
      <c r="I6" s="17">
        <v>27.160897321741945</v>
      </c>
      <c r="J6" s="17">
        <v>5.806015129597033</v>
      </c>
      <c r="K6" s="17">
        <v>5.2555087377416365</v>
      </c>
      <c r="L6" s="16">
        <v>123301.73268469315</v>
      </c>
      <c r="M6" s="19">
        <v>2025</v>
      </c>
      <c r="N6" s="16">
        <v>44152.745205479456</v>
      </c>
      <c r="O6" s="16">
        <v>73325.764383561647</v>
      </c>
      <c r="P6" s="17">
        <v>334.854659181893</v>
      </c>
      <c r="Q6" s="19">
        <v>2025</v>
      </c>
      <c r="R6" s="17">
        <v>3.4305639512446602</v>
      </c>
      <c r="S6" s="19">
        <v>2025</v>
      </c>
      <c r="T6" s="17">
        <v>1.53125450314273</v>
      </c>
      <c r="U6" s="19">
        <v>2025</v>
      </c>
      <c r="V6" s="18">
        <v>1.7230000000000001</v>
      </c>
      <c r="W6" s="18">
        <v>1.9650000000000001</v>
      </c>
      <c r="X6" s="18" t="s">
        <v>46</v>
      </c>
      <c r="Y6" s="18">
        <v>0.64200000000000002</v>
      </c>
      <c r="Z6" s="18" t="s">
        <v>46</v>
      </c>
      <c r="AA6" s="15" t="s">
        <v>47</v>
      </c>
      <c r="AB6" s="15" t="s">
        <v>69</v>
      </c>
      <c r="AC6" s="15" t="s">
        <v>86</v>
      </c>
      <c r="AD6" s="15" t="s">
        <v>87</v>
      </c>
      <c r="AE6" s="15" t="s">
        <v>88</v>
      </c>
      <c r="AF6" s="15" t="s">
        <v>64</v>
      </c>
      <c r="AG6" s="15" t="s">
        <v>73</v>
      </c>
      <c r="AH6" s="15" t="s">
        <v>89</v>
      </c>
      <c r="AI6" s="15" t="s">
        <v>90</v>
      </c>
      <c r="AJ6" s="8">
        <f>'Сводка НПЗ'!D6</f>
        <v>6</v>
      </c>
      <c r="AK6" s="8">
        <f>IF('Сводка НПЗ'!F6&gt;0,'Сводка НПЗ'!E6,"")</f>
        <v>165250</v>
      </c>
      <c r="AL6" s="8">
        <f>'Сводка НПЗ'!G6</f>
        <v>3</v>
      </c>
      <c r="AM6" s="6" t="s">
        <v>56</v>
      </c>
      <c r="AN6" s="12" t="s">
        <v>57</v>
      </c>
      <c r="AO6" s="20">
        <v>2024</v>
      </c>
      <c r="AP6" s="20">
        <v>2025</v>
      </c>
      <c r="AQ6" s="20">
        <v>2025</v>
      </c>
      <c r="AR6" s="6" t="s">
        <v>58</v>
      </c>
    </row>
    <row r="7" spans="1:44" ht="42" customHeight="1" x14ac:dyDescent="0.2">
      <c r="A7" s="15">
        <v>6</v>
      </c>
      <c r="B7" s="15" t="s">
        <v>91</v>
      </c>
      <c r="C7" s="15" t="s">
        <v>92</v>
      </c>
      <c r="D7" s="16">
        <v>734572.71244000003</v>
      </c>
      <c r="E7" s="19">
        <v>2024</v>
      </c>
      <c r="F7" s="17">
        <f t="shared" si="0"/>
        <v>268.85361275304001</v>
      </c>
      <c r="G7" s="17">
        <v>29.76553996591036</v>
      </c>
      <c r="H7" s="17">
        <v>26.230830159749296</v>
      </c>
      <c r="I7" s="17">
        <v>7.3289834237338871</v>
      </c>
      <c r="J7" s="17">
        <v>4.560683193460771</v>
      </c>
      <c r="K7" s="17">
        <v>1.9697892400518315</v>
      </c>
      <c r="L7" s="16">
        <v>983537.16616227594</v>
      </c>
      <c r="M7" s="19">
        <v>2025</v>
      </c>
      <c r="N7" s="16">
        <v>794004.44691526226</v>
      </c>
      <c r="O7" s="16">
        <v>130000</v>
      </c>
      <c r="P7" s="17">
        <v>683.09789161859703</v>
      </c>
      <c r="Q7" s="19">
        <v>2025</v>
      </c>
      <c r="R7" s="17">
        <v>4.3673333021702199</v>
      </c>
      <c r="S7" s="19">
        <v>2025</v>
      </c>
      <c r="T7" s="17">
        <v>219.883929014578</v>
      </c>
      <c r="U7" s="19">
        <v>2024</v>
      </c>
      <c r="V7" s="18">
        <v>1.4119999999999999</v>
      </c>
      <c r="W7" s="18">
        <v>1.518</v>
      </c>
      <c r="X7" s="18" t="s">
        <v>46</v>
      </c>
      <c r="Y7" s="18" t="s">
        <v>46</v>
      </c>
      <c r="Z7" s="18" t="s">
        <v>46</v>
      </c>
      <c r="AA7" s="15" t="s">
        <v>47</v>
      </c>
      <c r="AB7" s="15" t="s">
        <v>48</v>
      </c>
      <c r="AC7" s="15" t="s">
        <v>93</v>
      </c>
      <c r="AD7" s="15" t="s">
        <v>94</v>
      </c>
      <c r="AE7" s="15" t="s">
        <v>95</v>
      </c>
      <c r="AF7" s="15" t="s">
        <v>64</v>
      </c>
      <c r="AG7" s="15" t="s">
        <v>53</v>
      </c>
      <c r="AH7" s="15" t="s">
        <v>96</v>
      </c>
      <c r="AI7" s="15" t="s">
        <v>97</v>
      </c>
      <c r="AJ7" s="8">
        <f>'Сводка НПЗ'!D7</f>
        <v>10</v>
      </c>
      <c r="AK7" s="8">
        <f>IF('Сводка НПЗ'!F7&gt;0,'Сводка НПЗ'!E7,"")</f>
        <v>615575</v>
      </c>
      <c r="AL7" s="8">
        <f>'Сводка НПЗ'!G7</f>
        <v>0</v>
      </c>
      <c r="AM7" s="6" t="s">
        <v>56</v>
      </c>
      <c r="AN7" s="12" t="s">
        <v>57</v>
      </c>
      <c r="AO7" s="20">
        <v>2024</v>
      </c>
      <c r="AP7" s="20">
        <v>2025</v>
      </c>
      <c r="AQ7" s="20">
        <v>2025</v>
      </c>
      <c r="AR7" s="6" t="s">
        <v>58</v>
      </c>
    </row>
    <row r="8" spans="1:44" ht="42" customHeight="1" x14ac:dyDescent="0.2">
      <c r="A8" s="15">
        <v>7</v>
      </c>
      <c r="B8" s="15" t="s">
        <v>98</v>
      </c>
      <c r="C8" s="15" t="s">
        <v>99</v>
      </c>
      <c r="D8" s="16" t="s">
        <v>46</v>
      </c>
      <c r="E8" s="19" t="s">
        <v>46</v>
      </c>
      <c r="F8" s="17" t="str">
        <f t="shared" si="0"/>
        <v>н/д</v>
      </c>
      <c r="G8" s="17" t="s">
        <v>46</v>
      </c>
      <c r="H8" s="17" t="s">
        <v>46</v>
      </c>
      <c r="I8" s="17" t="s">
        <v>46</v>
      </c>
      <c r="J8" s="17" t="s">
        <v>46</v>
      </c>
      <c r="K8" s="17" t="s">
        <v>46</v>
      </c>
      <c r="L8" s="16" t="s">
        <v>46</v>
      </c>
      <c r="M8" s="19" t="s">
        <v>46</v>
      </c>
      <c r="N8" s="16" t="s">
        <v>46</v>
      </c>
      <c r="O8" s="16" t="s">
        <v>46</v>
      </c>
      <c r="P8" s="17" t="s">
        <v>46</v>
      </c>
      <c r="Q8" s="19" t="s">
        <v>46</v>
      </c>
      <c r="R8" s="17" t="s">
        <v>46</v>
      </c>
      <c r="S8" s="19" t="s">
        <v>46</v>
      </c>
      <c r="T8" s="17" t="s">
        <v>46</v>
      </c>
      <c r="U8" s="19" t="s">
        <v>46</v>
      </c>
      <c r="V8" s="18" t="s">
        <v>46</v>
      </c>
      <c r="W8" s="18" t="s">
        <v>46</v>
      </c>
      <c r="X8" s="18" t="s">
        <v>46</v>
      </c>
      <c r="Y8" s="18" t="s">
        <v>46</v>
      </c>
      <c r="Z8" s="18" t="s">
        <v>46</v>
      </c>
      <c r="AA8" s="15" t="s">
        <v>100</v>
      </c>
      <c r="AB8" s="15" t="s">
        <v>101</v>
      </c>
      <c r="AC8" s="15" t="s">
        <v>102</v>
      </c>
      <c r="AD8" s="15" t="s">
        <v>103</v>
      </c>
      <c r="AE8" s="15" t="s">
        <v>104</v>
      </c>
      <c r="AF8" s="15" t="s">
        <v>105</v>
      </c>
      <c r="AG8" s="15" t="s">
        <v>106</v>
      </c>
      <c r="AH8" s="15" t="s">
        <v>46</v>
      </c>
      <c r="AI8" s="15" t="s">
        <v>46</v>
      </c>
      <c r="AJ8" s="8">
        <f>'Сводка НПЗ'!D8</f>
        <v>0</v>
      </c>
      <c r="AK8" s="8" t="str">
        <f>IF('Сводка НПЗ'!F8&gt;0,'Сводка НПЗ'!E8,"")</f>
        <v/>
      </c>
      <c r="AL8" s="8">
        <f>'Сводка НПЗ'!G8</f>
        <v>0</v>
      </c>
      <c r="AM8" s="6" t="s">
        <v>56</v>
      </c>
      <c r="AN8" s="12" t="s">
        <v>83</v>
      </c>
      <c r="AO8" s="20"/>
      <c r="AP8" s="20"/>
      <c r="AQ8" s="20"/>
      <c r="AR8" s="6" t="s">
        <v>58</v>
      </c>
    </row>
    <row r="9" spans="1:44" ht="42" customHeight="1" x14ac:dyDescent="0.2">
      <c r="A9" s="15">
        <v>8</v>
      </c>
      <c r="B9" s="15" t="s">
        <v>107</v>
      </c>
      <c r="C9" s="15" t="s">
        <v>108</v>
      </c>
      <c r="D9" s="16">
        <v>48869.04109589041</v>
      </c>
      <c r="E9" s="19">
        <v>2025</v>
      </c>
      <c r="F9" s="17">
        <f t="shared" si="0"/>
        <v>17.837199999999999</v>
      </c>
      <c r="G9" s="17">
        <v>32.566770569371869</v>
      </c>
      <c r="H9" s="17">
        <v>16.440360594712175</v>
      </c>
      <c r="I9" s="17">
        <v>3.7068598210481465</v>
      </c>
      <c r="J9" s="17" t="s">
        <v>46</v>
      </c>
      <c r="K9" s="17">
        <v>26.346623909582224</v>
      </c>
      <c r="L9" s="16">
        <v>0</v>
      </c>
      <c r="M9" s="19">
        <v>2025</v>
      </c>
      <c r="N9" s="16">
        <v>0</v>
      </c>
      <c r="O9" s="16">
        <v>0</v>
      </c>
      <c r="P9" s="17">
        <v>41.225787247330899</v>
      </c>
      <c r="Q9" s="19">
        <v>2025</v>
      </c>
      <c r="R9" s="17">
        <v>3.7732534798272499</v>
      </c>
      <c r="S9" s="19">
        <v>2025</v>
      </c>
      <c r="T9" s="17">
        <v>0.12652885192018901</v>
      </c>
      <c r="U9" s="19">
        <v>2025</v>
      </c>
      <c r="V9" s="18">
        <v>1.907</v>
      </c>
      <c r="W9" s="18">
        <v>2.2130000000000001</v>
      </c>
      <c r="X9" s="18" t="s">
        <v>46</v>
      </c>
      <c r="Y9" s="18" t="s">
        <v>46</v>
      </c>
      <c r="Z9" s="18" t="s">
        <v>46</v>
      </c>
      <c r="AA9" s="15" t="s">
        <v>47</v>
      </c>
      <c r="AB9" s="15" t="s">
        <v>48</v>
      </c>
      <c r="AC9" s="15" t="s">
        <v>109</v>
      </c>
      <c r="AD9" s="15" t="s">
        <v>110</v>
      </c>
      <c r="AE9" s="15" t="s">
        <v>111</v>
      </c>
      <c r="AF9" s="15" t="s">
        <v>52</v>
      </c>
      <c r="AG9" s="15" t="s">
        <v>53</v>
      </c>
      <c r="AH9" s="15" t="s">
        <v>112</v>
      </c>
      <c r="AI9" s="15" t="s">
        <v>113</v>
      </c>
      <c r="AJ9" s="8">
        <f>'Сводка НПЗ'!D9</f>
        <v>0</v>
      </c>
      <c r="AK9" s="8" t="str">
        <f>IF('Сводка НПЗ'!F9&gt;0,'Сводка НПЗ'!E9,"")</f>
        <v/>
      </c>
      <c r="AL9" s="8">
        <f>'Сводка НПЗ'!G9</f>
        <v>0</v>
      </c>
      <c r="AM9" s="6" t="s">
        <v>56</v>
      </c>
      <c r="AN9" s="12" t="s">
        <v>83</v>
      </c>
      <c r="AO9" s="20">
        <v>2025</v>
      </c>
      <c r="AP9" s="20">
        <v>2025</v>
      </c>
      <c r="AQ9" s="20">
        <v>2025</v>
      </c>
      <c r="AR9" s="6" t="s">
        <v>58</v>
      </c>
    </row>
    <row r="10" spans="1:44" ht="42" customHeight="1" x14ac:dyDescent="0.2">
      <c r="A10" s="15">
        <v>9</v>
      </c>
      <c r="B10" s="15" t="s">
        <v>114</v>
      </c>
      <c r="C10" s="15" t="s">
        <v>115</v>
      </c>
      <c r="D10" s="16">
        <v>5477539.7260273974</v>
      </c>
      <c r="E10" s="19">
        <v>2025</v>
      </c>
      <c r="F10" s="17">
        <f t="shared" si="0"/>
        <v>1999.3019999999999</v>
      </c>
      <c r="G10" s="17">
        <v>35.242399997599158</v>
      </c>
      <c r="H10" s="17">
        <v>17.732722820264271</v>
      </c>
      <c r="I10" s="17">
        <v>19.236856162800816</v>
      </c>
      <c r="J10" s="17">
        <v>7.3199116491655589</v>
      </c>
      <c r="K10" s="17">
        <v>2.0233017323045743</v>
      </c>
      <c r="L10" s="16">
        <v>990278.10336983879</v>
      </c>
      <c r="M10" s="19">
        <v>2025</v>
      </c>
      <c r="N10" s="16">
        <v>580600.35005617037</v>
      </c>
      <c r="O10" s="16">
        <v>110560.12602739726</v>
      </c>
      <c r="P10" s="17">
        <v>3956.0671157716297</v>
      </c>
      <c r="Q10" s="19">
        <v>2025</v>
      </c>
      <c r="R10" s="17">
        <v>7.5666617928424396</v>
      </c>
      <c r="S10" s="19">
        <v>2025</v>
      </c>
      <c r="T10" s="17">
        <v>2.3988495418229401</v>
      </c>
      <c r="U10" s="19">
        <v>2025</v>
      </c>
      <c r="V10" s="18">
        <v>1.1319999999999999</v>
      </c>
      <c r="W10" s="18">
        <v>1.022</v>
      </c>
      <c r="X10" s="18" t="s">
        <v>46</v>
      </c>
      <c r="Y10" s="18">
        <v>0.68</v>
      </c>
      <c r="Z10" s="18" t="s">
        <v>46</v>
      </c>
      <c r="AA10" s="15" t="s">
        <v>47</v>
      </c>
      <c r="AB10" s="15" t="s">
        <v>69</v>
      </c>
      <c r="AC10" s="15" t="s">
        <v>116</v>
      </c>
      <c r="AD10" s="15" t="s">
        <v>117</v>
      </c>
      <c r="AE10" s="15" t="s">
        <v>118</v>
      </c>
      <c r="AF10" s="15" t="s">
        <v>52</v>
      </c>
      <c r="AG10" s="15" t="s">
        <v>73</v>
      </c>
      <c r="AH10" s="15" t="s">
        <v>119</v>
      </c>
      <c r="AI10" s="15" t="s">
        <v>120</v>
      </c>
      <c r="AJ10" s="8">
        <f>'Сводка НПЗ'!D10</f>
        <v>17</v>
      </c>
      <c r="AK10" s="8">
        <f>IF('Сводка НПЗ'!F10&gt;0,'Сводка НПЗ'!E10,"")</f>
        <v>2385000</v>
      </c>
      <c r="AL10" s="8">
        <f>'Сводка НПЗ'!G10</f>
        <v>0</v>
      </c>
      <c r="AM10" s="6" t="s">
        <v>56</v>
      </c>
      <c r="AN10" s="12" t="s">
        <v>121</v>
      </c>
      <c r="AO10" s="20">
        <v>2025</v>
      </c>
      <c r="AP10" s="20">
        <v>2025</v>
      </c>
      <c r="AQ10" s="20">
        <v>2025</v>
      </c>
      <c r="AR10" s="6" t="s">
        <v>58</v>
      </c>
    </row>
    <row r="11" spans="1:44" ht="42" customHeight="1" x14ac:dyDescent="0.2">
      <c r="A11" s="15">
        <v>10</v>
      </c>
      <c r="B11" s="15" t="s">
        <v>122</v>
      </c>
      <c r="C11" s="15" t="s">
        <v>123</v>
      </c>
      <c r="D11" s="16">
        <v>16639724.526027398</v>
      </c>
      <c r="E11" s="19">
        <v>2025</v>
      </c>
      <c r="F11" s="17">
        <f t="shared" si="0"/>
        <v>6073.499452</v>
      </c>
      <c r="G11" s="17">
        <v>22.978390811255149</v>
      </c>
      <c r="H11" s="17">
        <v>20.525818926179102</v>
      </c>
      <c r="I11" s="17">
        <v>16.657753771046195</v>
      </c>
      <c r="J11" s="17" t="s">
        <v>46</v>
      </c>
      <c r="K11" s="17">
        <v>4.8810398904766377</v>
      </c>
      <c r="L11" s="16">
        <v>5446188.7080698172</v>
      </c>
      <c r="M11" s="19">
        <v>2025</v>
      </c>
      <c r="N11" s="16">
        <v>4324684.9315068489</v>
      </c>
      <c r="O11" s="16">
        <v>10000</v>
      </c>
      <c r="P11" s="17">
        <v>19498.039388042602</v>
      </c>
      <c r="Q11" s="19">
        <v>2025</v>
      </c>
      <c r="R11" s="17">
        <v>4.9599488624099202</v>
      </c>
      <c r="S11" s="19">
        <v>2025</v>
      </c>
      <c r="T11" s="17">
        <v>5.9564691656540297E-2</v>
      </c>
      <c r="U11" s="19">
        <v>2025</v>
      </c>
      <c r="V11" s="18">
        <v>1.3260000000000001</v>
      </c>
      <c r="W11" s="18">
        <v>1.1870000000000001</v>
      </c>
      <c r="X11" s="18" t="s">
        <v>46</v>
      </c>
      <c r="Y11" s="18" t="s">
        <v>46</v>
      </c>
      <c r="Z11" s="18" t="s">
        <v>46</v>
      </c>
      <c r="AA11" s="15" t="s">
        <v>47</v>
      </c>
      <c r="AB11" s="15" t="s">
        <v>48</v>
      </c>
      <c r="AC11" s="15" t="s">
        <v>124</v>
      </c>
      <c r="AD11" s="15" t="s">
        <v>125</v>
      </c>
      <c r="AE11" s="15" t="s">
        <v>126</v>
      </c>
      <c r="AF11" s="15" t="s">
        <v>52</v>
      </c>
      <c r="AG11" s="15" t="s">
        <v>53</v>
      </c>
      <c r="AH11" s="15" t="s">
        <v>127</v>
      </c>
      <c r="AI11" s="15" t="s">
        <v>128</v>
      </c>
      <c r="AJ11" s="8">
        <f>'Сводка НПЗ'!D11</f>
        <v>51</v>
      </c>
      <c r="AK11" s="8">
        <f>IF('Сводка НПЗ'!F11&gt;0,'Сводка НПЗ'!E11,"")</f>
        <v>5950000</v>
      </c>
      <c r="AL11" s="8">
        <f>'Сводка НПЗ'!G11</f>
        <v>0</v>
      </c>
      <c r="AM11" s="6" t="s">
        <v>56</v>
      </c>
      <c r="AN11" s="12" t="s">
        <v>57</v>
      </c>
      <c r="AO11" s="20">
        <v>2025</v>
      </c>
      <c r="AP11" s="20">
        <v>2025</v>
      </c>
      <c r="AQ11" s="20">
        <v>2025</v>
      </c>
      <c r="AR11" s="6" t="s">
        <v>58</v>
      </c>
    </row>
    <row r="12" spans="1:44" ht="42" customHeight="1" x14ac:dyDescent="0.2">
      <c r="A12" s="15">
        <v>11</v>
      </c>
      <c r="B12" s="15" t="s">
        <v>129</v>
      </c>
      <c r="C12" s="15" t="s">
        <v>130</v>
      </c>
      <c r="D12" s="16">
        <v>221276.71299999999</v>
      </c>
      <c r="E12" s="19">
        <v>2025</v>
      </c>
      <c r="F12" s="17">
        <f t="shared" si="0"/>
        <v>80.766000244999987</v>
      </c>
      <c r="G12" s="17">
        <v>27.973404503708444</v>
      </c>
      <c r="H12" s="17">
        <v>33.947452934191041</v>
      </c>
      <c r="I12" s="17">
        <v>6.3974938022511214</v>
      </c>
      <c r="J12" s="17">
        <v>10.113166765994034</v>
      </c>
      <c r="K12" s="17">
        <v>3.0978384065204367</v>
      </c>
      <c r="L12" s="16">
        <v>25214.807856150685</v>
      </c>
      <c r="M12" s="19">
        <v>2025</v>
      </c>
      <c r="N12" s="16">
        <v>19520.547945205479</v>
      </c>
      <c r="O12" s="16">
        <v>0</v>
      </c>
      <c r="P12" s="17">
        <v>610.77784287359498</v>
      </c>
      <c r="Q12" s="19">
        <v>2025</v>
      </c>
      <c r="R12" s="17">
        <v>2.9311496638796801</v>
      </c>
      <c r="S12" s="19">
        <v>2025</v>
      </c>
      <c r="T12" s="17">
        <v>3.0414132155654001</v>
      </c>
      <c r="U12" s="19">
        <v>2025</v>
      </c>
      <c r="V12" s="18">
        <v>2.6320000000000001</v>
      </c>
      <c r="W12" s="18">
        <v>2.5009999999999999</v>
      </c>
      <c r="X12" s="18" t="s">
        <v>46</v>
      </c>
      <c r="Y12" s="18">
        <v>1.0880000000000001</v>
      </c>
      <c r="Z12" s="18" t="s">
        <v>46</v>
      </c>
      <c r="AA12" s="15" t="s">
        <v>47</v>
      </c>
      <c r="AB12" s="15" t="s">
        <v>69</v>
      </c>
      <c r="AC12" s="15" t="s">
        <v>131</v>
      </c>
      <c r="AD12" s="15" t="s">
        <v>132</v>
      </c>
      <c r="AE12" s="15" t="s">
        <v>133</v>
      </c>
      <c r="AF12" s="15" t="s">
        <v>134</v>
      </c>
      <c r="AG12" s="15" t="s">
        <v>73</v>
      </c>
      <c r="AH12" s="15" t="s">
        <v>135</v>
      </c>
      <c r="AI12" s="15" t="s">
        <v>136</v>
      </c>
      <c r="AJ12" s="8">
        <f>'Сводка НПЗ'!D12</f>
        <v>2</v>
      </c>
      <c r="AK12" s="8">
        <f>IF('Сводка НПЗ'!F12&gt;0,'Сводка НПЗ'!E12,"")</f>
        <v>240000</v>
      </c>
      <c r="AL12" s="8">
        <f>'Сводка НПЗ'!G12</f>
        <v>0</v>
      </c>
      <c r="AM12" s="6" t="s">
        <v>56</v>
      </c>
      <c r="AN12" s="12" t="s">
        <v>57</v>
      </c>
      <c r="AO12" s="20">
        <v>2025</v>
      </c>
      <c r="AP12" s="20">
        <v>2025</v>
      </c>
      <c r="AQ12" s="20">
        <v>2025</v>
      </c>
      <c r="AR12" s="6" t="s">
        <v>58</v>
      </c>
    </row>
    <row r="13" spans="1:44" ht="42" customHeight="1" x14ac:dyDescent="0.2">
      <c r="A13" s="15">
        <v>12</v>
      </c>
      <c r="B13" s="15" t="s">
        <v>137</v>
      </c>
      <c r="C13" s="15" t="s">
        <v>138</v>
      </c>
      <c r="D13" s="16">
        <v>34404.856010999996</v>
      </c>
      <c r="E13" s="19">
        <v>2024</v>
      </c>
      <c r="F13" s="17">
        <f t="shared" si="0"/>
        <v>12.592177300026</v>
      </c>
      <c r="G13" s="17">
        <v>55.684153317993101</v>
      </c>
      <c r="H13" s="17">
        <v>21.772048014399701</v>
      </c>
      <c r="I13" s="17">
        <v>21.623252978072173</v>
      </c>
      <c r="J13" s="17">
        <v>0.11518521974726366</v>
      </c>
      <c r="K13" s="17">
        <v>0.14510721970188806</v>
      </c>
      <c r="L13" s="16">
        <v>0</v>
      </c>
      <c r="M13" s="19">
        <v>2025</v>
      </c>
      <c r="N13" s="16">
        <v>0</v>
      </c>
      <c r="O13" s="16">
        <v>0</v>
      </c>
      <c r="P13" s="17">
        <v>17.167100000000001</v>
      </c>
      <c r="Q13" s="19">
        <v>2025</v>
      </c>
      <c r="R13" s="17">
        <v>4.3444407233757696</v>
      </c>
      <c r="S13" s="19">
        <v>2025</v>
      </c>
      <c r="T13" s="17">
        <v>9.8084011810049301</v>
      </c>
      <c r="U13" s="19">
        <v>2025</v>
      </c>
      <c r="V13" s="18" t="s">
        <v>46</v>
      </c>
      <c r="W13" s="18" t="s">
        <v>46</v>
      </c>
      <c r="X13" s="18" t="s">
        <v>46</v>
      </c>
      <c r="Y13" s="18" t="s">
        <v>46</v>
      </c>
      <c r="Z13" s="18" t="s">
        <v>46</v>
      </c>
      <c r="AA13" s="15" t="s">
        <v>100</v>
      </c>
      <c r="AB13" s="15" t="s">
        <v>101</v>
      </c>
      <c r="AC13" s="15" t="s">
        <v>139</v>
      </c>
      <c r="AD13" s="15" t="s">
        <v>140</v>
      </c>
      <c r="AE13" s="15" t="s">
        <v>104</v>
      </c>
      <c r="AF13" s="15" t="s">
        <v>64</v>
      </c>
      <c r="AG13" s="15" t="s">
        <v>106</v>
      </c>
      <c r="AH13" s="15" t="s">
        <v>141</v>
      </c>
      <c r="AI13" s="15" t="s">
        <v>142</v>
      </c>
      <c r="AJ13" s="8">
        <f>'Сводка НПЗ'!D13</f>
        <v>0</v>
      </c>
      <c r="AK13" s="8" t="str">
        <f>IF('Сводка НПЗ'!F13&gt;0,'Сводка НПЗ'!E13,"")</f>
        <v/>
      </c>
      <c r="AL13" s="8">
        <f>'Сводка НПЗ'!G13</f>
        <v>0</v>
      </c>
      <c r="AM13" s="6" t="s">
        <v>56</v>
      </c>
      <c r="AN13" s="12" t="s">
        <v>83</v>
      </c>
      <c r="AO13" s="20">
        <v>2024</v>
      </c>
      <c r="AP13" s="20">
        <v>2025</v>
      </c>
      <c r="AQ13" s="20">
        <v>2025</v>
      </c>
      <c r="AR13" s="6" t="s">
        <v>58</v>
      </c>
    </row>
    <row r="14" spans="1:44" ht="42" customHeight="1" x14ac:dyDescent="0.2">
      <c r="A14" s="15">
        <v>13</v>
      </c>
      <c r="B14" s="15" t="s">
        <v>143</v>
      </c>
      <c r="C14" s="15" t="s">
        <v>144</v>
      </c>
      <c r="D14" s="16">
        <v>114321.36649100001</v>
      </c>
      <c r="E14" s="19">
        <v>2024</v>
      </c>
      <c r="F14" s="17">
        <f t="shared" si="0"/>
        <v>41.841620135706002</v>
      </c>
      <c r="G14" s="17">
        <v>52.187509912853315</v>
      </c>
      <c r="H14" s="17">
        <v>34.559310155823184</v>
      </c>
      <c r="I14" s="17">
        <v>6.233257779123023</v>
      </c>
      <c r="J14" s="17">
        <v>3.644710525156313</v>
      </c>
      <c r="K14" s="17">
        <v>3.0353294983341361</v>
      </c>
      <c r="L14" s="16">
        <v>0</v>
      </c>
      <c r="M14" s="19">
        <v>2025</v>
      </c>
      <c r="N14" s="16">
        <v>0</v>
      </c>
      <c r="O14" s="16">
        <v>0</v>
      </c>
      <c r="P14" s="17">
        <v>25.971643441340802</v>
      </c>
      <c r="Q14" s="19">
        <v>2024</v>
      </c>
      <c r="R14" s="17">
        <v>-7.0798919286181397</v>
      </c>
      <c r="S14" s="19">
        <v>2024</v>
      </c>
      <c r="T14" s="17">
        <v>14.597595869611</v>
      </c>
      <c r="U14" s="19">
        <v>2025</v>
      </c>
      <c r="V14" s="18">
        <v>1.38</v>
      </c>
      <c r="W14" s="18">
        <v>1.341</v>
      </c>
      <c r="X14" s="18" t="s">
        <v>46</v>
      </c>
      <c r="Y14" s="18">
        <v>0.62</v>
      </c>
      <c r="Z14" s="18" t="s">
        <v>46</v>
      </c>
      <c r="AA14" s="15" t="s">
        <v>47</v>
      </c>
      <c r="AB14" s="15" t="s">
        <v>69</v>
      </c>
      <c r="AC14" s="15" t="s">
        <v>145</v>
      </c>
      <c r="AD14" s="15" t="s">
        <v>146</v>
      </c>
      <c r="AE14" s="15" t="s">
        <v>147</v>
      </c>
      <c r="AF14" s="15" t="s">
        <v>64</v>
      </c>
      <c r="AG14" s="15" t="s">
        <v>73</v>
      </c>
      <c r="AH14" s="15" t="s">
        <v>148</v>
      </c>
      <c r="AI14" s="15" t="s">
        <v>149</v>
      </c>
      <c r="AJ14" s="8">
        <f>'Сводка НПЗ'!D14</f>
        <v>0</v>
      </c>
      <c r="AK14" s="8" t="str">
        <f>IF('Сводка НПЗ'!F14&gt;0,'Сводка НПЗ'!E14,"")</f>
        <v/>
      </c>
      <c r="AL14" s="8">
        <f>'Сводка НПЗ'!G14</f>
        <v>0</v>
      </c>
      <c r="AM14" s="6" t="s">
        <v>56</v>
      </c>
      <c r="AN14" s="12" t="s">
        <v>83</v>
      </c>
      <c r="AO14" s="20">
        <v>2024</v>
      </c>
      <c r="AP14" s="20">
        <v>2025</v>
      </c>
      <c r="AQ14" s="20">
        <v>2025</v>
      </c>
      <c r="AR14" s="6" t="s">
        <v>58</v>
      </c>
    </row>
    <row r="15" spans="1:44" ht="42" customHeight="1" x14ac:dyDescent="0.2">
      <c r="A15" s="15">
        <v>14</v>
      </c>
      <c r="B15" s="15" t="s">
        <v>150</v>
      </c>
      <c r="C15" s="15" t="s">
        <v>151</v>
      </c>
      <c r="D15" s="16">
        <v>103689.339574</v>
      </c>
      <c r="E15" s="19">
        <v>2024</v>
      </c>
      <c r="F15" s="17">
        <f t="shared" si="0"/>
        <v>37.950298284083999</v>
      </c>
      <c r="G15" s="17">
        <v>48.39651580979217</v>
      </c>
      <c r="H15" s="17">
        <v>16.638355004361483</v>
      </c>
      <c r="I15" s="17">
        <v>0.3138225022330009</v>
      </c>
      <c r="J15" s="17">
        <v>26.344966139460002</v>
      </c>
      <c r="K15" s="17">
        <v>1.2432240732713069</v>
      </c>
      <c r="L15" s="16">
        <v>0</v>
      </c>
      <c r="M15" s="19">
        <v>2025</v>
      </c>
      <c r="N15" s="16">
        <v>0</v>
      </c>
      <c r="O15" s="16">
        <v>0</v>
      </c>
      <c r="P15" s="17">
        <v>126.358758448356</v>
      </c>
      <c r="Q15" s="19">
        <v>2025</v>
      </c>
      <c r="R15" s="17">
        <v>9.7715182202933999</v>
      </c>
      <c r="S15" s="19">
        <v>2025</v>
      </c>
      <c r="T15" s="17">
        <v>13.2296432836809</v>
      </c>
      <c r="U15" s="19">
        <v>2025</v>
      </c>
      <c r="V15" s="18">
        <v>1.0269999999999999</v>
      </c>
      <c r="W15" s="18">
        <v>1.1060000000000001</v>
      </c>
      <c r="X15" s="18" t="s">
        <v>46</v>
      </c>
      <c r="Y15" s="18" t="s">
        <v>46</v>
      </c>
      <c r="Z15" s="18" t="s">
        <v>46</v>
      </c>
      <c r="AA15" s="15" t="s">
        <v>47</v>
      </c>
      <c r="AB15" s="15" t="s">
        <v>48</v>
      </c>
      <c r="AC15" s="15" t="s">
        <v>152</v>
      </c>
      <c r="AD15" s="15" t="s">
        <v>153</v>
      </c>
      <c r="AE15" s="15" t="s">
        <v>154</v>
      </c>
      <c r="AF15" s="15" t="s">
        <v>64</v>
      </c>
      <c r="AG15" s="15" t="s">
        <v>53</v>
      </c>
      <c r="AH15" s="15" t="s">
        <v>155</v>
      </c>
      <c r="AI15" s="15" t="s">
        <v>156</v>
      </c>
      <c r="AJ15" s="8">
        <f>'Сводка НПЗ'!D15</f>
        <v>0</v>
      </c>
      <c r="AK15" s="8" t="str">
        <f>IF('Сводка НПЗ'!F15&gt;0,'Сводка НПЗ'!E15,"")</f>
        <v/>
      </c>
      <c r="AL15" s="8">
        <f>'Сводка НПЗ'!G15</f>
        <v>0</v>
      </c>
      <c r="AM15" s="6" t="s">
        <v>56</v>
      </c>
      <c r="AN15" s="12" t="s">
        <v>83</v>
      </c>
      <c r="AO15" s="20">
        <v>2024</v>
      </c>
      <c r="AP15" s="20">
        <v>2025</v>
      </c>
      <c r="AQ15" s="20">
        <v>2025</v>
      </c>
      <c r="AR15" s="6" t="s">
        <v>58</v>
      </c>
    </row>
    <row r="16" spans="1:44" ht="42" customHeight="1" x14ac:dyDescent="0.2">
      <c r="A16" s="15">
        <v>15</v>
      </c>
      <c r="B16" s="15" t="s">
        <v>157</v>
      </c>
      <c r="C16" s="15" t="s">
        <v>158</v>
      </c>
      <c r="D16" s="16">
        <v>11889.538179000001</v>
      </c>
      <c r="E16" s="19">
        <v>2024</v>
      </c>
      <c r="F16" s="17">
        <f t="shared" si="0"/>
        <v>4.3515709735139998</v>
      </c>
      <c r="G16" s="17">
        <v>74.536212555779542</v>
      </c>
      <c r="H16" s="17">
        <v>9.4696737000990634</v>
      </c>
      <c r="I16" s="17">
        <v>0.82199161589487313</v>
      </c>
      <c r="J16" s="17">
        <v>15.172122128226523</v>
      </c>
      <c r="K16" s="17">
        <v>0</v>
      </c>
      <c r="L16" s="16">
        <v>112657.53424657533</v>
      </c>
      <c r="M16" s="19">
        <v>2025</v>
      </c>
      <c r="N16" s="16">
        <v>112657.53424657533</v>
      </c>
      <c r="O16" s="16">
        <v>0</v>
      </c>
      <c r="P16" s="17">
        <v>12</v>
      </c>
      <c r="Q16" s="19">
        <v>2024</v>
      </c>
      <c r="R16" s="17">
        <v>-10.8</v>
      </c>
      <c r="S16" s="19">
        <v>2024</v>
      </c>
      <c r="T16" s="17">
        <v>91.440822076904595</v>
      </c>
      <c r="U16" s="19">
        <v>2024</v>
      </c>
      <c r="V16" s="18" t="s">
        <v>46</v>
      </c>
      <c r="W16" s="18" t="s">
        <v>46</v>
      </c>
      <c r="X16" s="18" t="s">
        <v>46</v>
      </c>
      <c r="Y16" s="18" t="s">
        <v>46</v>
      </c>
      <c r="Z16" s="18" t="s">
        <v>46</v>
      </c>
      <c r="AA16" s="15" t="s">
        <v>100</v>
      </c>
      <c r="AB16" s="15" t="s">
        <v>101</v>
      </c>
      <c r="AC16" s="15" t="s">
        <v>159</v>
      </c>
      <c r="AD16" s="15" t="s">
        <v>160</v>
      </c>
      <c r="AE16" s="15" t="s">
        <v>104</v>
      </c>
      <c r="AF16" s="15" t="s">
        <v>64</v>
      </c>
      <c r="AG16" s="15" t="s">
        <v>106</v>
      </c>
      <c r="AH16" s="15" t="s">
        <v>161</v>
      </c>
      <c r="AI16" s="15" t="s">
        <v>162</v>
      </c>
      <c r="AJ16" s="8">
        <f>'Сводка НПЗ'!D16</f>
        <v>0</v>
      </c>
      <c r="AK16" s="8" t="str">
        <f>IF('Сводка НПЗ'!F16&gt;0,'Сводка НПЗ'!E16,"")</f>
        <v/>
      </c>
      <c r="AL16" s="8">
        <f>'Сводка НПЗ'!G16</f>
        <v>0</v>
      </c>
      <c r="AM16" s="6" t="s">
        <v>56</v>
      </c>
      <c r="AN16" s="12" t="s">
        <v>83</v>
      </c>
      <c r="AO16" s="20">
        <v>2024</v>
      </c>
      <c r="AP16" s="20">
        <v>2025</v>
      </c>
      <c r="AQ16" s="20">
        <v>2025</v>
      </c>
      <c r="AR16" s="6" t="s">
        <v>58</v>
      </c>
    </row>
    <row r="17" spans="1:44" ht="42" customHeight="1" x14ac:dyDescent="0.2">
      <c r="A17" s="15">
        <v>16</v>
      </c>
      <c r="B17" s="15" t="s">
        <v>163</v>
      </c>
      <c r="C17" s="15" t="s">
        <v>164</v>
      </c>
      <c r="D17" s="16">
        <v>11150.204772000001</v>
      </c>
      <c r="E17" s="19">
        <v>2024</v>
      </c>
      <c r="F17" s="17">
        <f t="shared" si="0"/>
        <v>4.0809749465520007</v>
      </c>
      <c r="G17" s="17">
        <v>34.962559528857405</v>
      </c>
      <c r="H17" s="17">
        <v>19.602186755247867</v>
      </c>
      <c r="I17" s="17">
        <v>3.3576895730215925</v>
      </c>
      <c r="J17" s="17">
        <v>36.227180169315005</v>
      </c>
      <c r="K17" s="17">
        <v>5.8503839735581131</v>
      </c>
      <c r="L17" s="16">
        <v>0</v>
      </c>
      <c r="M17" s="19">
        <v>2025</v>
      </c>
      <c r="N17" s="16">
        <v>0</v>
      </c>
      <c r="O17" s="16">
        <v>0</v>
      </c>
      <c r="P17" s="17">
        <v>12.9952000002658</v>
      </c>
      <c r="Q17" s="19">
        <v>2025</v>
      </c>
      <c r="R17" s="17">
        <v>2.9911440448219699</v>
      </c>
      <c r="S17" s="19">
        <v>2025</v>
      </c>
      <c r="T17" s="17" t="s">
        <v>46</v>
      </c>
      <c r="U17" s="19" t="s">
        <v>46</v>
      </c>
      <c r="V17" s="18" t="s">
        <v>46</v>
      </c>
      <c r="W17" s="18" t="s">
        <v>46</v>
      </c>
      <c r="X17" s="18" t="s">
        <v>46</v>
      </c>
      <c r="Y17" s="18" t="s">
        <v>46</v>
      </c>
      <c r="Z17" s="18" t="s">
        <v>46</v>
      </c>
      <c r="AA17" s="15" t="s">
        <v>100</v>
      </c>
      <c r="AB17" s="15" t="s">
        <v>101</v>
      </c>
      <c r="AC17" s="15" t="s">
        <v>165</v>
      </c>
      <c r="AD17" s="15" t="s">
        <v>166</v>
      </c>
      <c r="AE17" s="15" t="s">
        <v>104</v>
      </c>
      <c r="AF17" s="15" t="s">
        <v>64</v>
      </c>
      <c r="AG17" s="15" t="s">
        <v>106</v>
      </c>
      <c r="AH17" s="15" t="s">
        <v>167</v>
      </c>
      <c r="AI17" s="15" t="s">
        <v>168</v>
      </c>
      <c r="AJ17" s="8">
        <f>'Сводка НПЗ'!D17</f>
        <v>0</v>
      </c>
      <c r="AK17" s="8" t="str">
        <f>IF('Сводка НПЗ'!F17&gt;0,'Сводка НПЗ'!E17,"")</f>
        <v/>
      </c>
      <c r="AL17" s="8">
        <f>'Сводка НПЗ'!G17</f>
        <v>0</v>
      </c>
      <c r="AM17" s="6" t="s">
        <v>56</v>
      </c>
      <c r="AN17" s="12" t="s">
        <v>83</v>
      </c>
      <c r="AO17" s="20">
        <v>2024</v>
      </c>
      <c r="AP17" s="20">
        <v>2025</v>
      </c>
      <c r="AQ17" s="20">
        <v>2025</v>
      </c>
      <c r="AR17" s="6" t="s">
        <v>58</v>
      </c>
    </row>
    <row r="18" spans="1:44" ht="42" customHeight="1" x14ac:dyDescent="0.2">
      <c r="A18" s="15">
        <v>17</v>
      </c>
      <c r="B18" s="15" t="s">
        <v>169</v>
      </c>
      <c r="C18" s="15" t="s">
        <v>170</v>
      </c>
      <c r="D18" s="16">
        <v>116161.20548</v>
      </c>
      <c r="E18" s="19">
        <v>2024</v>
      </c>
      <c r="F18" s="17">
        <f t="shared" si="0"/>
        <v>42.515001205680001</v>
      </c>
      <c r="G18" s="17">
        <v>38.902149210030736</v>
      </c>
      <c r="H18" s="17">
        <v>29.855816807936929</v>
      </c>
      <c r="I18" s="17">
        <v>11.35408421899583</v>
      </c>
      <c r="J18" s="17">
        <v>14.438979933698946</v>
      </c>
      <c r="K18" s="17">
        <v>3.8170383921880076</v>
      </c>
      <c r="L18" s="16">
        <v>0</v>
      </c>
      <c r="M18" s="19">
        <v>2025</v>
      </c>
      <c r="N18" s="16">
        <v>0</v>
      </c>
      <c r="O18" s="16">
        <v>0</v>
      </c>
      <c r="P18" s="17">
        <v>135.94127887881501</v>
      </c>
      <c r="Q18" s="19">
        <v>2025</v>
      </c>
      <c r="R18" s="17">
        <v>4.6326109384498402</v>
      </c>
      <c r="S18" s="19">
        <v>2025</v>
      </c>
      <c r="T18" s="17">
        <v>4.0691287854072904</v>
      </c>
      <c r="U18" s="19">
        <v>2025</v>
      </c>
      <c r="V18" s="18">
        <v>1.6419999999999999</v>
      </c>
      <c r="W18" s="18">
        <v>1.673</v>
      </c>
      <c r="X18" s="18" t="s">
        <v>46</v>
      </c>
      <c r="Y18" s="18" t="s">
        <v>46</v>
      </c>
      <c r="Z18" s="18" t="s">
        <v>46</v>
      </c>
      <c r="AA18" s="15" t="s">
        <v>47</v>
      </c>
      <c r="AB18" s="15" t="s">
        <v>48</v>
      </c>
      <c r="AC18" s="15" t="s">
        <v>171</v>
      </c>
      <c r="AD18" s="15" t="s">
        <v>172</v>
      </c>
      <c r="AE18" s="15" t="s">
        <v>173</v>
      </c>
      <c r="AF18" s="15" t="s">
        <v>64</v>
      </c>
      <c r="AG18" s="15" t="s">
        <v>53</v>
      </c>
      <c r="AH18" s="15" t="s">
        <v>174</v>
      </c>
      <c r="AI18" s="15" t="s">
        <v>175</v>
      </c>
      <c r="AJ18" s="8">
        <f>'Сводка НПЗ'!D18</f>
        <v>1</v>
      </c>
      <c r="AK18" s="8">
        <f>IF('Сводка НПЗ'!F18&gt;0,'Сводка НПЗ'!E18,"")</f>
        <v>90000</v>
      </c>
      <c r="AL18" s="8">
        <f>'Сводка НПЗ'!G18</f>
        <v>0</v>
      </c>
      <c r="AM18" s="6" t="s">
        <v>56</v>
      </c>
      <c r="AN18" s="12" t="s">
        <v>83</v>
      </c>
      <c r="AO18" s="20">
        <v>2024</v>
      </c>
      <c r="AP18" s="20">
        <v>2025</v>
      </c>
      <c r="AQ18" s="20">
        <v>2025</v>
      </c>
      <c r="AR18" s="6" t="s">
        <v>58</v>
      </c>
    </row>
    <row r="19" spans="1:44" ht="42" customHeight="1" x14ac:dyDescent="0.2">
      <c r="A19" s="15">
        <v>18</v>
      </c>
      <c r="B19" s="15" t="s">
        <v>176</v>
      </c>
      <c r="C19" s="15" t="s">
        <v>177</v>
      </c>
      <c r="D19" s="16">
        <v>10525.094664999999</v>
      </c>
      <c r="E19" s="19">
        <v>2024</v>
      </c>
      <c r="F19" s="17">
        <f t="shared" si="0"/>
        <v>3.8521846473899997</v>
      </c>
      <c r="G19" s="17">
        <v>48.585007743490927</v>
      </c>
      <c r="H19" s="17">
        <v>45.72315621068099</v>
      </c>
      <c r="I19" s="17">
        <v>0.62179200361615006</v>
      </c>
      <c r="J19" s="17">
        <v>1.0201677554222739</v>
      </c>
      <c r="K19" s="17">
        <v>0.44624300773450581</v>
      </c>
      <c r="L19" s="16">
        <v>0</v>
      </c>
      <c r="M19" s="19">
        <v>2025</v>
      </c>
      <c r="N19" s="16">
        <v>0</v>
      </c>
      <c r="O19" s="16">
        <v>0</v>
      </c>
      <c r="P19" s="17">
        <v>14.918276698303</v>
      </c>
      <c r="Q19" s="19">
        <v>2025</v>
      </c>
      <c r="R19" s="17">
        <v>1.88518707821663</v>
      </c>
      <c r="S19" s="19">
        <v>2025</v>
      </c>
      <c r="T19" s="17">
        <v>28.370256533028101</v>
      </c>
      <c r="U19" s="19">
        <v>2025</v>
      </c>
      <c r="V19" s="18">
        <v>3.242</v>
      </c>
      <c r="W19" s="18">
        <v>3.383</v>
      </c>
      <c r="X19" s="18" t="s">
        <v>46</v>
      </c>
      <c r="Y19" s="18" t="s">
        <v>46</v>
      </c>
      <c r="Z19" s="18" t="s">
        <v>46</v>
      </c>
      <c r="AA19" s="15" t="s">
        <v>47</v>
      </c>
      <c r="AB19" s="15" t="s">
        <v>48</v>
      </c>
      <c r="AC19" s="15" t="s">
        <v>178</v>
      </c>
      <c r="AD19" s="15" t="s">
        <v>179</v>
      </c>
      <c r="AE19" s="15" t="s">
        <v>180</v>
      </c>
      <c r="AF19" s="15" t="s">
        <v>64</v>
      </c>
      <c r="AG19" s="15" t="s">
        <v>53</v>
      </c>
      <c r="AH19" s="15" t="s">
        <v>181</v>
      </c>
      <c r="AI19" s="15" t="s">
        <v>182</v>
      </c>
      <c r="AJ19" s="8">
        <f>'Сводка НПЗ'!D19</f>
        <v>0</v>
      </c>
      <c r="AK19" s="8" t="str">
        <f>IF('Сводка НПЗ'!F19&gt;0,'Сводка НПЗ'!E19,"")</f>
        <v/>
      </c>
      <c r="AL19" s="8">
        <f>'Сводка НПЗ'!G19</f>
        <v>0</v>
      </c>
      <c r="AM19" s="6" t="s">
        <v>56</v>
      </c>
      <c r="AN19" s="12" t="s">
        <v>83</v>
      </c>
      <c r="AO19" s="20">
        <v>2024</v>
      </c>
      <c r="AP19" s="20">
        <v>2025</v>
      </c>
      <c r="AQ19" s="20">
        <v>2025</v>
      </c>
      <c r="AR19" s="6" t="s">
        <v>58</v>
      </c>
    </row>
    <row r="20" spans="1:44" ht="42" customHeight="1" x14ac:dyDescent="0.2">
      <c r="A20" s="15">
        <v>19</v>
      </c>
      <c r="B20" s="15" t="s">
        <v>183</v>
      </c>
      <c r="C20" s="15" t="s">
        <v>184</v>
      </c>
      <c r="D20" s="16">
        <v>83535.870403000008</v>
      </c>
      <c r="E20" s="19">
        <v>2024</v>
      </c>
      <c r="F20" s="17">
        <f t="shared" si="0"/>
        <v>30.574128567498001</v>
      </c>
      <c r="G20" s="17">
        <v>46.477095543144877</v>
      </c>
      <c r="H20" s="17">
        <v>32.90647346748996</v>
      </c>
      <c r="I20" s="17">
        <v>14.227915472313271</v>
      </c>
      <c r="J20" s="17">
        <v>4.7433329788561105</v>
      </c>
      <c r="K20" s="17">
        <v>1.409954840139789</v>
      </c>
      <c r="L20" s="16">
        <v>0</v>
      </c>
      <c r="M20" s="19">
        <v>2025</v>
      </c>
      <c r="N20" s="16">
        <v>0</v>
      </c>
      <c r="O20" s="16">
        <v>0</v>
      </c>
      <c r="P20" s="17">
        <v>90.143496090441104</v>
      </c>
      <c r="Q20" s="19">
        <v>2025</v>
      </c>
      <c r="R20" s="17">
        <v>5.8528682869273903</v>
      </c>
      <c r="S20" s="19">
        <v>2025</v>
      </c>
      <c r="T20" s="17">
        <v>3.3269736131610501</v>
      </c>
      <c r="U20" s="19">
        <v>2025</v>
      </c>
      <c r="V20" s="18">
        <v>1.4350000000000001</v>
      </c>
      <c r="W20" s="18">
        <v>1.4650000000000001</v>
      </c>
      <c r="X20" s="18" t="s">
        <v>46</v>
      </c>
      <c r="Y20" s="18" t="s">
        <v>46</v>
      </c>
      <c r="Z20" s="18" t="s">
        <v>46</v>
      </c>
      <c r="AA20" s="15" t="s">
        <v>47</v>
      </c>
      <c r="AB20" s="15" t="s">
        <v>48</v>
      </c>
      <c r="AC20" s="15" t="s">
        <v>185</v>
      </c>
      <c r="AD20" s="15" t="s">
        <v>186</v>
      </c>
      <c r="AE20" s="15" t="s">
        <v>187</v>
      </c>
      <c r="AF20" s="15" t="s">
        <v>64</v>
      </c>
      <c r="AG20" s="15" t="s">
        <v>53</v>
      </c>
      <c r="AH20" s="15" t="s">
        <v>188</v>
      </c>
      <c r="AI20" s="15" t="s">
        <v>189</v>
      </c>
      <c r="AJ20" s="8">
        <f>'Сводка НПЗ'!D20</f>
        <v>1</v>
      </c>
      <c r="AK20" s="8">
        <f>IF('Сводка НПЗ'!F20&gt;0,'Сводка НПЗ'!E20,"")</f>
        <v>14900</v>
      </c>
      <c r="AL20" s="8">
        <f>'Сводка НПЗ'!G20</f>
        <v>0</v>
      </c>
      <c r="AM20" s="6" t="s">
        <v>56</v>
      </c>
      <c r="AN20" s="12" t="s">
        <v>83</v>
      </c>
      <c r="AO20" s="20">
        <v>2024</v>
      </c>
      <c r="AP20" s="20">
        <v>2025</v>
      </c>
      <c r="AQ20" s="20">
        <v>2025</v>
      </c>
      <c r="AR20" s="6" t="s">
        <v>58</v>
      </c>
    </row>
    <row r="21" spans="1:44" ht="42" customHeight="1" x14ac:dyDescent="0.2">
      <c r="A21" s="15">
        <v>20</v>
      </c>
      <c r="B21" s="15" t="s">
        <v>190</v>
      </c>
      <c r="C21" s="15" t="s">
        <v>191</v>
      </c>
      <c r="D21" s="16">
        <v>123816.549423</v>
      </c>
      <c r="E21" s="19">
        <v>2024</v>
      </c>
      <c r="F21" s="17">
        <f t="shared" si="0"/>
        <v>45.316857088817997</v>
      </c>
      <c r="G21" s="17">
        <v>29.446712050939496</v>
      </c>
      <c r="H21" s="17">
        <v>16.730229429372262</v>
      </c>
      <c r="I21" s="17">
        <v>11.259030375959114</v>
      </c>
      <c r="J21" s="17">
        <v>1.3123756990260249</v>
      </c>
      <c r="K21" s="17">
        <v>38.606683809846551</v>
      </c>
      <c r="L21" s="16">
        <v>81234.654565345205</v>
      </c>
      <c r="M21" s="19">
        <v>2025</v>
      </c>
      <c r="N21" s="16">
        <v>75246.575342465745</v>
      </c>
      <c r="O21" s="16">
        <v>7690.580821917808</v>
      </c>
      <c r="P21" s="17">
        <v>23.62</v>
      </c>
      <c r="Q21" s="19">
        <v>2024</v>
      </c>
      <c r="R21" s="17">
        <v>0.7</v>
      </c>
      <c r="S21" s="19">
        <v>2024</v>
      </c>
      <c r="T21" s="17">
        <v>13.4</v>
      </c>
      <c r="U21" s="19">
        <v>2019</v>
      </c>
      <c r="V21" s="18">
        <v>1.2989999999999999</v>
      </c>
      <c r="W21" s="18">
        <v>1.0680000000000001</v>
      </c>
      <c r="X21" s="18" t="s">
        <v>46</v>
      </c>
      <c r="Y21" s="18" t="s">
        <v>46</v>
      </c>
      <c r="Z21" s="18" t="s">
        <v>46</v>
      </c>
      <c r="AA21" s="15" t="s">
        <v>47</v>
      </c>
      <c r="AB21" s="15" t="s">
        <v>48</v>
      </c>
      <c r="AC21" s="15" t="s">
        <v>192</v>
      </c>
      <c r="AD21" s="15" t="s">
        <v>103</v>
      </c>
      <c r="AE21" s="15" t="s">
        <v>193</v>
      </c>
      <c r="AF21" s="15" t="s">
        <v>64</v>
      </c>
      <c r="AG21" s="15" t="s">
        <v>53</v>
      </c>
      <c r="AH21" s="15" t="s">
        <v>194</v>
      </c>
      <c r="AI21" s="15" t="s">
        <v>195</v>
      </c>
      <c r="AJ21" s="8">
        <f>'Сводка НПЗ'!D21</f>
        <v>2</v>
      </c>
      <c r="AK21" s="8">
        <f>IF('Сводка НПЗ'!F21&gt;0,'Сводка НПЗ'!E21,"")</f>
        <v>239865</v>
      </c>
      <c r="AL21" s="8">
        <f>'Сводка НПЗ'!G21</f>
        <v>0</v>
      </c>
      <c r="AM21" s="6" t="s">
        <v>56</v>
      </c>
      <c r="AN21" s="12" t="s">
        <v>83</v>
      </c>
      <c r="AO21" s="20">
        <v>2024</v>
      </c>
      <c r="AP21" s="20">
        <v>2025</v>
      </c>
      <c r="AQ21" s="20">
        <v>2025</v>
      </c>
      <c r="AR21" s="6" t="s">
        <v>58</v>
      </c>
    </row>
    <row r="22" spans="1:44" ht="42" customHeight="1" x14ac:dyDescent="0.2">
      <c r="A22" s="15">
        <v>21</v>
      </c>
      <c r="B22" s="15" t="s">
        <v>196</v>
      </c>
      <c r="C22" s="15" t="s">
        <v>197</v>
      </c>
      <c r="D22" s="16" t="s">
        <v>46</v>
      </c>
      <c r="E22" s="19" t="s">
        <v>46</v>
      </c>
      <c r="F22" s="17" t="str">
        <f t="shared" si="0"/>
        <v>н/д</v>
      </c>
      <c r="G22" s="17" t="s">
        <v>46</v>
      </c>
      <c r="H22" s="17" t="s">
        <v>46</v>
      </c>
      <c r="I22" s="17" t="s">
        <v>46</v>
      </c>
      <c r="J22" s="17" t="s">
        <v>46</v>
      </c>
      <c r="K22" s="17" t="s">
        <v>46</v>
      </c>
      <c r="L22" s="16" t="s">
        <v>46</v>
      </c>
      <c r="M22" s="19" t="s">
        <v>46</v>
      </c>
      <c r="N22" s="16" t="s">
        <v>46</v>
      </c>
      <c r="O22" s="16" t="s">
        <v>46</v>
      </c>
      <c r="P22" s="17" t="s">
        <v>46</v>
      </c>
      <c r="Q22" s="19" t="s">
        <v>46</v>
      </c>
      <c r="R22" s="17" t="s">
        <v>46</v>
      </c>
      <c r="S22" s="19" t="s">
        <v>46</v>
      </c>
      <c r="T22" s="17" t="s">
        <v>46</v>
      </c>
      <c r="U22" s="19" t="s">
        <v>46</v>
      </c>
      <c r="V22" s="18" t="s">
        <v>46</v>
      </c>
      <c r="W22" s="18" t="s">
        <v>46</v>
      </c>
      <c r="X22" s="18" t="s">
        <v>46</v>
      </c>
      <c r="Y22" s="18" t="s">
        <v>46</v>
      </c>
      <c r="Z22" s="18" t="s">
        <v>46</v>
      </c>
      <c r="AA22" s="15" t="s">
        <v>100</v>
      </c>
      <c r="AB22" s="15" t="s">
        <v>101</v>
      </c>
      <c r="AC22" s="15" t="s">
        <v>198</v>
      </c>
      <c r="AD22" s="15" t="s">
        <v>103</v>
      </c>
      <c r="AE22" s="15" t="s">
        <v>104</v>
      </c>
      <c r="AF22" s="15" t="s">
        <v>105</v>
      </c>
      <c r="AG22" s="15" t="s">
        <v>106</v>
      </c>
      <c r="AH22" s="15" t="s">
        <v>46</v>
      </c>
      <c r="AI22" s="15" t="s">
        <v>46</v>
      </c>
      <c r="AJ22" s="8">
        <f>'Сводка НПЗ'!D22</f>
        <v>0</v>
      </c>
      <c r="AK22" s="8" t="str">
        <f>IF('Сводка НПЗ'!F22&gt;0,'Сводка НПЗ'!E22,"")</f>
        <v/>
      </c>
      <c r="AL22" s="8">
        <f>'Сводка НПЗ'!G22</f>
        <v>0</v>
      </c>
      <c r="AM22" s="6" t="s">
        <v>56</v>
      </c>
      <c r="AN22" s="12" t="s">
        <v>83</v>
      </c>
      <c r="AO22" s="20"/>
      <c r="AP22" s="20"/>
      <c r="AQ22" s="20"/>
      <c r="AR22" s="6" t="s">
        <v>58</v>
      </c>
    </row>
    <row r="23" spans="1:44" ht="42" customHeight="1" x14ac:dyDescent="0.2">
      <c r="A23" s="15">
        <v>22</v>
      </c>
      <c r="B23" s="15" t="s">
        <v>199</v>
      </c>
      <c r="C23" s="15" t="s">
        <v>200</v>
      </c>
      <c r="D23" s="16">
        <v>1512298.6301369863</v>
      </c>
      <c r="E23" s="19">
        <v>2025</v>
      </c>
      <c r="F23" s="17">
        <f t="shared" si="0"/>
        <v>551.98900000000003</v>
      </c>
      <c r="G23" s="17">
        <v>49.173461789999436</v>
      </c>
      <c r="H23" s="17">
        <v>18.512298252320246</v>
      </c>
      <c r="I23" s="17">
        <v>6.438968892496046</v>
      </c>
      <c r="J23" s="17">
        <v>22.826759228897679</v>
      </c>
      <c r="K23" s="17">
        <v>1.519052010094404</v>
      </c>
      <c r="L23" s="16">
        <v>105888.77140242192</v>
      </c>
      <c r="M23" s="19">
        <v>2025</v>
      </c>
      <c r="N23" s="16">
        <v>10221.830136986302</v>
      </c>
      <c r="O23" s="16">
        <v>0</v>
      </c>
      <c r="P23" s="17">
        <v>3366.3159274473301</v>
      </c>
      <c r="Q23" s="19">
        <v>2025</v>
      </c>
      <c r="R23" s="17">
        <v>0.84094995547958695</v>
      </c>
      <c r="S23" s="19">
        <v>2025</v>
      </c>
      <c r="T23" s="17">
        <v>0.94377021246997606</v>
      </c>
      <c r="U23" s="19">
        <v>2025</v>
      </c>
      <c r="V23" s="18">
        <v>2.4249999999999998</v>
      </c>
      <c r="W23" s="18">
        <v>2.6640000000000001</v>
      </c>
      <c r="X23" s="18" t="s">
        <v>46</v>
      </c>
      <c r="Y23" s="18">
        <v>1.1919999999999999</v>
      </c>
      <c r="Z23" s="18" t="s">
        <v>46</v>
      </c>
      <c r="AA23" s="15" t="s">
        <v>47</v>
      </c>
      <c r="AB23" s="15" t="s">
        <v>69</v>
      </c>
      <c r="AC23" s="15" t="s">
        <v>201</v>
      </c>
      <c r="AD23" s="15" t="s">
        <v>202</v>
      </c>
      <c r="AE23" s="15" t="s">
        <v>203</v>
      </c>
      <c r="AF23" s="15" t="s">
        <v>52</v>
      </c>
      <c r="AG23" s="15" t="s">
        <v>73</v>
      </c>
      <c r="AH23" s="15" t="s">
        <v>204</v>
      </c>
      <c r="AI23" s="15" t="s">
        <v>205</v>
      </c>
      <c r="AJ23" s="8">
        <f>'Сводка НПЗ'!D23</f>
        <v>14</v>
      </c>
      <c r="AK23" s="8">
        <f>IF('Сводка НПЗ'!F23&gt;0,'Сводка НПЗ'!E23,"")</f>
        <v>2075000</v>
      </c>
      <c r="AL23" s="8">
        <f>'Сводка НПЗ'!G23</f>
        <v>1</v>
      </c>
      <c r="AM23" s="6" t="s">
        <v>56</v>
      </c>
      <c r="AN23" s="12" t="s">
        <v>121</v>
      </c>
      <c r="AO23" s="20">
        <v>2025</v>
      </c>
      <c r="AP23" s="20">
        <v>2025</v>
      </c>
      <c r="AQ23" s="20">
        <v>2025</v>
      </c>
      <c r="AR23" s="6" t="s">
        <v>58</v>
      </c>
    </row>
    <row r="24" spans="1:44" ht="42" customHeight="1" x14ac:dyDescent="0.2">
      <c r="A24" s="15">
        <v>23</v>
      </c>
      <c r="B24" s="15" t="s">
        <v>206</v>
      </c>
      <c r="C24" s="15" t="s">
        <v>207</v>
      </c>
      <c r="D24" s="16">
        <v>14772.430312999999</v>
      </c>
      <c r="E24" s="19">
        <v>2024</v>
      </c>
      <c r="F24" s="17">
        <f t="shared" si="0"/>
        <v>5.4067094945580001</v>
      </c>
      <c r="G24" s="17">
        <v>43.899513956705313</v>
      </c>
      <c r="H24" s="17">
        <v>32.881617865716997</v>
      </c>
      <c r="I24" s="17">
        <v>5.1844541133223085</v>
      </c>
      <c r="J24" s="17">
        <v>6.645375122440762</v>
      </c>
      <c r="K24" s="17">
        <v>9.9219724916227481</v>
      </c>
      <c r="L24" s="16">
        <v>11659.956216257533</v>
      </c>
      <c r="M24" s="19">
        <v>2025</v>
      </c>
      <c r="N24" s="16">
        <v>12089.45095890411</v>
      </c>
      <c r="O24" s="16">
        <v>0</v>
      </c>
      <c r="P24" s="17">
        <v>4.5236577968642102</v>
      </c>
      <c r="Q24" s="19">
        <v>2025</v>
      </c>
      <c r="R24" s="17">
        <v>1.79169153226913</v>
      </c>
      <c r="S24" s="19">
        <v>2025</v>
      </c>
      <c r="T24" s="17">
        <v>9.2054681878918991</v>
      </c>
      <c r="U24" s="19">
        <v>2025</v>
      </c>
      <c r="V24" s="18">
        <v>1.28</v>
      </c>
      <c r="W24" s="18">
        <v>1.411</v>
      </c>
      <c r="X24" s="18" t="s">
        <v>46</v>
      </c>
      <c r="Y24" s="18" t="s">
        <v>46</v>
      </c>
      <c r="Z24" s="18" t="s">
        <v>46</v>
      </c>
      <c r="AA24" s="15" t="s">
        <v>47</v>
      </c>
      <c r="AB24" s="15" t="s">
        <v>48</v>
      </c>
      <c r="AC24" s="15" t="s">
        <v>208</v>
      </c>
      <c r="AD24" s="15" t="s">
        <v>209</v>
      </c>
      <c r="AE24" s="15" t="s">
        <v>210</v>
      </c>
      <c r="AF24" s="15" t="s">
        <v>64</v>
      </c>
      <c r="AG24" s="15" t="s">
        <v>53</v>
      </c>
      <c r="AH24" s="15" t="s">
        <v>211</v>
      </c>
      <c r="AI24" s="15" t="s">
        <v>212</v>
      </c>
      <c r="AJ24" s="8">
        <f>'Сводка НПЗ'!D24</f>
        <v>1</v>
      </c>
      <c r="AK24" s="8">
        <f>IF('Сводка НПЗ'!F24&gt;0,'Сводка НПЗ'!E24,"")</f>
        <v>7000</v>
      </c>
      <c r="AL24" s="8">
        <f>'Сводка НПЗ'!G24</f>
        <v>0</v>
      </c>
      <c r="AM24" s="6" t="s">
        <v>56</v>
      </c>
      <c r="AN24" s="12" t="s">
        <v>83</v>
      </c>
      <c r="AO24" s="20">
        <v>2024</v>
      </c>
      <c r="AP24" s="20">
        <v>2025</v>
      </c>
      <c r="AQ24" s="20">
        <v>2025</v>
      </c>
      <c r="AR24" s="6" t="s">
        <v>58</v>
      </c>
    </row>
    <row r="25" spans="1:44" ht="42" customHeight="1" x14ac:dyDescent="0.2">
      <c r="A25" s="15">
        <v>24</v>
      </c>
      <c r="B25" s="15" t="s">
        <v>213</v>
      </c>
      <c r="C25" s="15" t="s">
        <v>214</v>
      </c>
      <c r="D25" s="16">
        <v>26760.003584999999</v>
      </c>
      <c r="E25" s="19">
        <v>2024</v>
      </c>
      <c r="F25" s="17">
        <f t="shared" si="0"/>
        <v>9.7941613121099991</v>
      </c>
      <c r="G25" s="17">
        <v>48.208331882403968</v>
      </c>
      <c r="H25" s="17">
        <v>26.158058752741383</v>
      </c>
      <c r="I25" s="17">
        <v>3.2432061499665905</v>
      </c>
      <c r="J25" s="17">
        <v>2.1499594167561842</v>
      </c>
      <c r="K25" s="17">
        <v>18.659559196766828</v>
      </c>
      <c r="L25" s="16">
        <v>747432.14246575336</v>
      </c>
      <c r="M25" s="19">
        <v>2025</v>
      </c>
      <c r="N25" s="16">
        <v>747432.14246575336</v>
      </c>
      <c r="O25" s="16">
        <v>0</v>
      </c>
      <c r="P25" s="17">
        <v>27.0974772182254</v>
      </c>
      <c r="Q25" s="19">
        <v>2025</v>
      </c>
      <c r="R25" s="17">
        <v>19.336009709181798</v>
      </c>
      <c r="S25" s="19">
        <v>2025</v>
      </c>
      <c r="T25" s="17">
        <v>3.3298233913247501</v>
      </c>
      <c r="U25" s="19">
        <v>2025</v>
      </c>
      <c r="V25" s="18">
        <v>1.0920000000000001</v>
      </c>
      <c r="W25" s="18">
        <v>1.1399999999999999</v>
      </c>
      <c r="X25" s="18" t="s">
        <v>46</v>
      </c>
      <c r="Y25" s="18" t="s">
        <v>46</v>
      </c>
      <c r="Z25" s="18" t="s">
        <v>46</v>
      </c>
      <c r="AA25" s="15" t="s">
        <v>47</v>
      </c>
      <c r="AB25" s="15" t="s">
        <v>48</v>
      </c>
      <c r="AC25" s="15" t="s">
        <v>215</v>
      </c>
      <c r="AD25" s="15" t="s">
        <v>216</v>
      </c>
      <c r="AE25" s="15" t="s">
        <v>217</v>
      </c>
      <c r="AF25" s="15" t="s">
        <v>64</v>
      </c>
      <c r="AG25" s="15" t="s">
        <v>53</v>
      </c>
      <c r="AH25" s="15" t="s">
        <v>218</v>
      </c>
      <c r="AI25" s="15" t="s">
        <v>219</v>
      </c>
      <c r="AJ25" s="8">
        <f>'Сводка НПЗ'!D25</f>
        <v>0</v>
      </c>
      <c r="AK25" s="8" t="str">
        <f>IF('Сводка НПЗ'!F25&gt;0,'Сводка НПЗ'!E25,"")</f>
        <v/>
      </c>
      <c r="AL25" s="8">
        <f>'Сводка НПЗ'!G25</f>
        <v>0</v>
      </c>
      <c r="AM25" s="6" t="s">
        <v>56</v>
      </c>
      <c r="AN25" s="12" t="s">
        <v>83</v>
      </c>
      <c r="AO25" s="20">
        <v>2024</v>
      </c>
      <c r="AP25" s="20">
        <v>2025</v>
      </c>
      <c r="AQ25" s="20">
        <v>2025</v>
      </c>
      <c r="AR25" s="6" t="s">
        <v>58</v>
      </c>
    </row>
    <row r="26" spans="1:44" ht="42" customHeight="1" x14ac:dyDescent="0.2">
      <c r="A26" s="15">
        <v>25</v>
      </c>
      <c r="B26" s="15" t="s">
        <v>220</v>
      </c>
      <c r="C26" s="15" t="s">
        <v>221</v>
      </c>
      <c r="D26" s="16">
        <v>2832032.8767123288</v>
      </c>
      <c r="E26" s="19">
        <v>2025</v>
      </c>
      <c r="F26" s="17">
        <f t="shared" si="0"/>
        <v>1033.692</v>
      </c>
      <c r="G26" s="17">
        <v>15.293948294075992</v>
      </c>
      <c r="H26" s="17">
        <v>9.3552634633914167</v>
      </c>
      <c r="I26" s="17">
        <v>12.468665714739014</v>
      </c>
      <c r="J26" s="17">
        <v>12.550624363930455</v>
      </c>
      <c r="K26" s="17">
        <v>6.4841596916683102</v>
      </c>
      <c r="L26" s="16">
        <v>110659.65536371233</v>
      </c>
      <c r="M26" s="19">
        <v>2025</v>
      </c>
      <c r="N26" s="16">
        <v>0</v>
      </c>
      <c r="O26" s="16">
        <v>0</v>
      </c>
      <c r="P26" s="17">
        <v>1872.3749615531499</v>
      </c>
      <c r="Q26" s="19">
        <v>2025</v>
      </c>
      <c r="R26" s="17">
        <v>1.0070184029124201</v>
      </c>
      <c r="S26" s="19">
        <v>2025</v>
      </c>
      <c r="T26" s="17">
        <v>2.1230942145865899</v>
      </c>
      <c r="U26" s="19">
        <v>2025</v>
      </c>
      <c r="V26" s="18">
        <v>1.413</v>
      </c>
      <c r="W26" s="18">
        <v>1.401</v>
      </c>
      <c r="X26" s="18" t="s">
        <v>46</v>
      </c>
      <c r="Y26" s="18">
        <v>0.83499999999999996</v>
      </c>
      <c r="Z26" s="18" t="s">
        <v>46</v>
      </c>
      <c r="AA26" s="15" t="s">
        <v>47</v>
      </c>
      <c r="AB26" s="15" t="s">
        <v>69</v>
      </c>
      <c r="AC26" s="15" t="s">
        <v>222</v>
      </c>
      <c r="AD26" s="15" t="s">
        <v>223</v>
      </c>
      <c r="AE26" s="15" t="s">
        <v>224</v>
      </c>
      <c r="AF26" s="15" t="s">
        <v>52</v>
      </c>
      <c r="AG26" s="15" t="s">
        <v>73</v>
      </c>
      <c r="AH26" s="15" t="s">
        <v>225</v>
      </c>
      <c r="AI26" s="15" t="s">
        <v>226</v>
      </c>
      <c r="AJ26" s="8">
        <f>'Сводка НПЗ'!D26</f>
        <v>6</v>
      </c>
      <c r="AK26" s="8">
        <f>IF('Сводка НПЗ'!F26&gt;0,'Сводка НПЗ'!E26,"")</f>
        <v>2654500</v>
      </c>
      <c r="AL26" s="8">
        <f>'Сводка НПЗ'!G26</f>
        <v>0</v>
      </c>
      <c r="AM26" s="6" t="s">
        <v>56</v>
      </c>
      <c r="AN26" s="12" t="s">
        <v>57</v>
      </c>
      <c r="AO26" s="20">
        <v>2025</v>
      </c>
      <c r="AP26" s="20">
        <v>2025</v>
      </c>
      <c r="AQ26" s="20">
        <v>2025</v>
      </c>
      <c r="AR26" s="6" t="s">
        <v>58</v>
      </c>
    </row>
    <row r="27" spans="1:44" ht="42" customHeight="1" x14ac:dyDescent="0.2">
      <c r="A27" s="15">
        <v>26</v>
      </c>
      <c r="B27" s="15" t="s">
        <v>227</v>
      </c>
      <c r="C27" s="15" t="s">
        <v>228</v>
      </c>
      <c r="D27" s="16">
        <v>18921.401912000001</v>
      </c>
      <c r="E27" s="19">
        <v>2024</v>
      </c>
      <c r="F27" s="17">
        <f t="shared" si="0"/>
        <v>6.9252330997920009</v>
      </c>
      <c r="G27" s="17">
        <v>27.435143485366069</v>
      </c>
      <c r="H27" s="17">
        <v>24.257936464470149</v>
      </c>
      <c r="I27" s="17">
        <v>8.9724572623939944E-2</v>
      </c>
      <c r="J27" s="17">
        <v>4.4867124695532965</v>
      </c>
      <c r="K27" s="17">
        <v>43.730483007986543</v>
      </c>
      <c r="L27" s="16">
        <v>101.15509353150685</v>
      </c>
      <c r="M27" s="19">
        <v>2025</v>
      </c>
      <c r="N27" s="16">
        <v>0</v>
      </c>
      <c r="O27" s="16">
        <v>0</v>
      </c>
      <c r="P27" s="17" t="s">
        <v>46</v>
      </c>
      <c r="Q27" s="19" t="s">
        <v>46</v>
      </c>
      <c r="R27" s="17" t="s">
        <v>46</v>
      </c>
      <c r="S27" s="19" t="s">
        <v>46</v>
      </c>
      <c r="T27" s="17" t="s">
        <v>46</v>
      </c>
      <c r="U27" s="19" t="s">
        <v>46</v>
      </c>
      <c r="V27" s="18" t="s">
        <v>46</v>
      </c>
      <c r="W27" s="18" t="s">
        <v>46</v>
      </c>
      <c r="X27" s="18" t="s">
        <v>46</v>
      </c>
      <c r="Y27" s="18" t="s">
        <v>46</v>
      </c>
      <c r="Z27" s="18" t="s">
        <v>46</v>
      </c>
      <c r="AA27" s="15" t="s">
        <v>100</v>
      </c>
      <c r="AB27" s="15" t="s">
        <v>101</v>
      </c>
      <c r="AC27" s="15" t="s">
        <v>229</v>
      </c>
      <c r="AD27" s="15" t="s">
        <v>103</v>
      </c>
      <c r="AE27" s="15" t="s">
        <v>104</v>
      </c>
      <c r="AF27" s="15" t="s">
        <v>64</v>
      </c>
      <c r="AG27" s="15" t="s">
        <v>106</v>
      </c>
      <c r="AH27" s="15" t="s">
        <v>230</v>
      </c>
      <c r="AI27" s="15" t="s">
        <v>231</v>
      </c>
      <c r="AJ27" s="8">
        <f>'Сводка НПЗ'!D27</f>
        <v>2</v>
      </c>
      <c r="AK27" s="8">
        <f>IF('Сводка НПЗ'!F27&gt;0,'Сводка НПЗ'!E27,"")</f>
        <v>45000</v>
      </c>
      <c r="AL27" s="8">
        <f>'Сводка НПЗ'!G27</f>
        <v>1</v>
      </c>
      <c r="AM27" s="6" t="s">
        <v>56</v>
      </c>
      <c r="AN27" s="12" t="s">
        <v>83</v>
      </c>
      <c r="AO27" s="20">
        <v>2024</v>
      </c>
      <c r="AP27" s="20">
        <v>2025</v>
      </c>
      <c r="AQ27" s="20">
        <v>2025</v>
      </c>
      <c r="AR27" s="6" t="s">
        <v>58</v>
      </c>
    </row>
    <row r="28" spans="1:44" ht="42" customHeight="1" x14ac:dyDescent="0.2">
      <c r="A28" s="15">
        <v>27</v>
      </c>
      <c r="B28" s="15" t="s">
        <v>232</v>
      </c>
      <c r="C28" s="15" t="s">
        <v>233</v>
      </c>
      <c r="D28" s="16">
        <v>330769.8630136986</v>
      </c>
      <c r="E28" s="19">
        <v>2025</v>
      </c>
      <c r="F28" s="17">
        <f t="shared" si="0"/>
        <v>120.73099999999998</v>
      </c>
      <c r="G28" s="17">
        <v>40.888752681581373</v>
      </c>
      <c r="H28" s="17">
        <v>6.1744705170999987</v>
      </c>
      <c r="I28" s="17">
        <v>29.794833141446688</v>
      </c>
      <c r="J28" s="17">
        <v>13.311030307046243</v>
      </c>
      <c r="K28" s="17">
        <v>6.3691181221061699</v>
      </c>
      <c r="L28" s="16">
        <v>25</v>
      </c>
      <c r="M28" s="19">
        <v>2025</v>
      </c>
      <c r="N28" s="16">
        <v>25</v>
      </c>
      <c r="O28" s="16">
        <v>0</v>
      </c>
      <c r="P28" s="17">
        <v>182.37425061228001</v>
      </c>
      <c r="Q28" s="19">
        <v>2025</v>
      </c>
      <c r="R28" s="17">
        <v>4.5952434918224698</v>
      </c>
      <c r="S28" s="19">
        <v>2025</v>
      </c>
      <c r="T28" s="17">
        <v>0.70190215483954499</v>
      </c>
      <c r="U28" s="19">
        <v>2025</v>
      </c>
      <c r="V28" s="18">
        <v>1.5820000000000001</v>
      </c>
      <c r="W28" s="18">
        <v>1.59</v>
      </c>
      <c r="X28" s="18" t="s">
        <v>46</v>
      </c>
      <c r="Y28" s="18" t="s">
        <v>46</v>
      </c>
      <c r="Z28" s="18" t="s">
        <v>46</v>
      </c>
      <c r="AA28" s="15" t="s">
        <v>47</v>
      </c>
      <c r="AB28" s="15" t="s">
        <v>48</v>
      </c>
      <c r="AC28" s="15" t="s">
        <v>234</v>
      </c>
      <c r="AD28" s="15" t="s">
        <v>235</v>
      </c>
      <c r="AE28" s="15" t="s">
        <v>236</v>
      </c>
      <c r="AF28" s="15" t="s">
        <v>52</v>
      </c>
      <c r="AG28" s="15" t="s">
        <v>53</v>
      </c>
      <c r="AH28" s="15" t="s">
        <v>237</v>
      </c>
      <c r="AI28" s="15" t="s">
        <v>238</v>
      </c>
      <c r="AJ28" s="8">
        <f>'Сводка НПЗ'!D28</f>
        <v>2</v>
      </c>
      <c r="AK28" s="8">
        <f>IF('Сводка НПЗ'!F28&gt;0,'Сводка НПЗ'!E28,"")</f>
        <v>154900</v>
      </c>
      <c r="AL28" s="8">
        <f>'Сводка НПЗ'!G28</f>
        <v>0</v>
      </c>
      <c r="AM28" s="6" t="s">
        <v>56</v>
      </c>
      <c r="AN28" s="12" t="s">
        <v>83</v>
      </c>
      <c r="AO28" s="20">
        <v>2025</v>
      </c>
      <c r="AP28" s="20">
        <v>2025</v>
      </c>
      <c r="AQ28" s="20">
        <v>2025</v>
      </c>
      <c r="AR28" s="6" t="s">
        <v>58</v>
      </c>
    </row>
    <row r="29" spans="1:44" ht="42" customHeight="1" x14ac:dyDescent="0.2">
      <c r="A29" s="15">
        <v>28</v>
      </c>
      <c r="B29" s="15" t="s">
        <v>239</v>
      </c>
      <c r="C29" s="15" t="s">
        <v>240</v>
      </c>
      <c r="D29" s="16">
        <v>1979.261935</v>
      </c>
      <c r="E29" s="19">
        <v>2024</v>
      </c>
      <c r="F29" s="17">
        <f t="shared" si="0"/>
        <v>0.72440986820999997</v>
      </c>
      <c r="G29" s="17">
        <v>53.864542693789538</v>
      </c>
      <c r="H29" s="17">
        <v>8.0319240313182707</v>
      </c>
      <c r="I29" s="17">
        <v>0</v>
      </c>
      <c r="J29" s="17">
        <v>9.8307319288692323</v>
      </c>
      <c r="K29" s="17">
        <v>22.99644099405165</v>
      </c>
      <c r="L29" s="16">
        <v>0</v>
      </c>
      <c r="M29" s="19">
        <v>2025</v>
      </c>
      <c r="N29" s="16">
        <v>0</v>
      </c>
      <c r="O29" s="16">
        <v>0</v>
      </c>
      <c r="P29" s="17" t="s">
        <v>46</v>
      </c>
      <c r="Q29" s="19" t="s">
        <v>46</v>
      </c>
      <c r="R29" s="17" t="s">
        <v>46</v>
      </c>
      <c r="S29" s="19" t="s">
        <v>46</v>
      </c>
      <c r="T29" s="17" t="s">
        <v>46</v>
      </c>
      <c r="U29" s="19" t="s">
        <v>46</v>
      </c>
      <c r="V29" s="18" t="s">
        <v>46</v>
      </c>
      <c r="W29" s="18" t="s">
        <v>46</v>
      </c>
      <c r="X29" s="18" t="s">
        <v>46</v>
      </c>
      <c r="Y29" s="18" t="s">
        <v>46</v>
      </c>
      <c r="Z29" s="18" t="s">
        <v>46</v>
      </c>
      <c r="AA29" s="15" t="s">
        <v>100</v>
      </c>
      <c r="AB29" s="15" t="s">
        <v>101</v>
      </c>
      <c r="AC29" s="15" t="s">
        <v>241</v>
      </c>
      <c r="AD29" s="15" t="s">
        <v>103</v>
      </c>
      <c r="AE29" s="15" t="s">
        <v>104</v>
      </c>
      <c r="AF29" s="15" t="s">
        <v>64</v>
      </c>
      <c r="AG29" s="15" t="s">
        <v>106</v>
      </c>
      <c r="AH29" s="15" t="s">
        <v>242</v>
      </c>
      <c r="AI29" s="15" t="s">
        <v>243</v>
      </c>
      <c r="AJ29" s="8">
        <f>'Сводка НПЗ'!D29</f>
        <v>0</v>
      </c>
      <c r="AK29" s="8" t="str">
        <f>IF('Сводка НПЗ'!F29&gt;0,'Сводка НПЗ'!E29,"")</f>
        <v/>
      </c>
      <c r="AL29" s="8">
        <f>'Сводка НПЗ'!G29</f>
        <v>0</v>
      </c>
      <c r="AM29" s="6" t="s">
        <v>56</v>
      </c>
      <c r="AN29" s="12" t="s">
        <v>83</v>
      </c>
      <c r="AO29" s="20">
        <v>2024</v>
      </c>
      <c r="AP29" s="20">
        <v>2025</v>
      </c>
      <c r="AQ29" s="20">
        <v>2025</v>
      </c>
      <c r="AR29" s="6" t="s">
        <v>58</v>
      </c>
    </row>
    <row r="30" spans="1:44" ht="42" customHeight="1" x14ac:dyDescent="0.2">
      <c r="A30" s="15">
        <v>29</v>
      </c>
      <c r="B30" s="15" t="s">
        <v>244</v>
      </c>
      <c r="C30" s="15" t="s">
        <v>245</v>
      </c>
      <c r="D30" s="16">
        <v>64988</v>
      </c>
      <c r="E30" s="19">
        <v>2024</v>
      </c>
      <c r="F30" s="17">
        <f t="shared" si="0"/>
        <v>23.785608</v>
      </c>
      <c r="G30" s="17">
        <v>35.129014341109126</v>
      </c>
      <c r="H30" s="17">
        <v>36.283916692312431</v>
      </c>
      <c r="I30" s="17">
        <v>11.051987674647627</v>
      </c>
      <c r="J30" s="17">
        <v>8.4914306641226087</v>
      </c>
      <c r="K30" s="17">
        <v>5.250368668061796</v>
      </c>
      <c r="L30" s="16">
        <v>400</v>
      </c>
      <c r="M30" s="19">
        <v>2025</v>
      </c>
      <c r="N30" s="16">
        <v>0</v>
      </c>
      <c r="O30" s="16">
        <v>0</v>
      </c>
      <c r="P30" s="17">
        <v>102.904921157478</v>
      </c>
      <c r="Q30" s="19">
        <v>2025</v>
      </c>
      <c r="R30" s="17">
        <v>4.5603354784482901</v>
      </c>
      <c r="S30" s="19">
        <v>2025</v>
      </c>
      <c r="T30" s="17">
        <v>-7.3671440596216997E-2</v>
      </c>
      <c r="U30" s="19">
        <v>2025</v>
      </c>
      <c r="V30" s="18">
        <v>1.625</v>
      </c>
      <c r="W30" s="18">
        <v>1.54</v>
      </c>
      <c r="X30" s="18" t="s">
        <v>46</v>
      </c>
      <c r="Y30" s="18" t="s">
        <v>46</v>
      </c>
      <c r="Z30" s="18" t="s">
        <v>46</v>
      </c>
      <c r="AA30" s="15" t="s">
        <v>47</v>
      </c>
      <c r="AB30" s="15" t="s">
        <v>48</v>
      </c>
      <c r="AC30" s="15" t="s">
        <v>246</v>
      </c>
      <c r="AD30" s="15" t="s">
        <v>247</v>
      </c>
      <c r="AE30" s="15" t="s">
        <v>248</v>
      </c>
      <c r="AF30" s="15" t="s">
        <v>64</v>
      </c>
      <c r="AG30" s="15" t="s">
        <v>53</v>
      </c>
      <c r="AH30" s="15" t="s">
        <v>249</v>
      </c>
      <c r="AI30" s="15" t="s">
        <v>250</v>
      </c>
      <c r="AJ30" s="8">
        <f>'Сводка НПЗ'!D30</f>
        <v>1</v>
      </c>
      <c r="AK30" s="8">
        <f>IF('Сводка НПЗ'!F30&gt;0,'Сводка НПЗ'!E30,"")</f>
        <v>25000</v>
      </c>
      <c r="AL30" s="8">
        <f>'Сводка НПЗ'!G30</f>
        <v>0</v>
      </c>
      <c r="AM30" s="6" t="s">
        <v>56</v>
      </c>
      <c r="AN30" s="12" t="s">
        <v>83</v>
      </c>
      <c r="AO30" s="20">
        <v>2024</v>
      </c>
      <c r="AP30" s="20">
        <v>2025</v>
      </c>
      <c r="AQ30" s="20">
        <v>2025</v>
      </c>
      <c r="AR30" s="6" t="s">
        <v>58</v>
      </c>
    </row>
    <row r="31" spans="1:44" ht="42" customHeight="1" x14ac:dyDescent="0.2">
      <c r="A31" s="15">
        <v>30</v>
      </c>
      <c r="B31" s="15" t="s">
        <v>251</v>
      </c>
      <c r="C31" s="15" t="s">
        <v>252</v>
      </c>
      <c r="D31" s="16">
        <v>35626.247610999999</v>
      </c>
      <c r="E31" s="19">
        <v>2024</v>
      </c>
      <c r="F31" s="17">
        <f t="shared" si="0"/>
        <v>13.039206625625999</v>
      </c>
      <c r="G31" s="17">
        <v>35.971216390589412</v>
      </c>
      <c r="H31" s="17">
        <v>20.794910204667641</v>
      </c>
      <c r="I31" s="17">
        <v>13.202873430171982</v>
      </c>
      <c r="J31" s="17">
        <v>1.8295454214458162</v>
      </c>
      <c r="K31" s="17">
        <v>21.870104581528505</v>
      </c>
      <c r="L31" s="16">
        <v>-1.1756337561906343</v>
      </c>
      <c r="M31" s="19">
        <v>2025</v>
      </c>
      <c r="N31" s="16">
        <v>0</v>
      </c>
      <c r="O31" s="16">
        <v>0</v>
      </c>
      <c r="P31" s="17">
        <v>22.237167113091598</v>
      </c>
      <c r="Q31" s="19">
        <v>2025</v>
      </c>
      <c r="R31" s="17">
        <v>4.9235255677088903</v>
      </c>
      <c r="S31" s="19">
        <v>2025</v>
      </c>
      <c r="T31" s="17">
        <v>2.0813212709837599</v>
      </c>
      <c r="U31" s="19">
        <v>2025</v>
      </c>
      <c r="V31" s="18">
        <v>1.333</v>
      </c>
      <c r="W31" s="18">
        <v>1.1759999999999999</v>
      </c>
      <c r="X31" s="18" t="s">
        <v>46</v>
      </c>
      <c r="Y31" s="18" t="s">
        <v>46</v>
      </c>
      <c r="Z31" s="18" t="s">
        <v>46</v>
      </c>
      <c r="AA31" s="15" t="s">
        <v>47</v>
      </c>
      <c r="AB31" s="15" t="s">
        <v>48</v>
      </c>
      <c r="AC31" s="15" t="s">
        <v>253</v>
      </c>
      <c r="AD31" s="15" t="s">
        <v>254</v>
      </c>
      <c r="AE31" s="15" t="s">
        <v>255</v>
      </c>
      <c r="AF31" s="15" t="s">
        <v>64</v>
      </c>
      <c r="AG31" s="15" t="s">
        <v>53</v>
      </c>
      <c r="AH31" s="15" t="s">
        <v>256</v>
      </c>
      <c r="AI31" s="15" t="s">
        <v>257</v>
      </c>
      <c r="AJ31" s="8">
        <f>'Сводка НПЗ'!D31</f>
        <v>1</v>
      </c>
      <c r="AK31" s="8">
        <f>IF('Сводка НПЗ'!F31&gt;0,'Сводка НПЗ'!E31,"")</f>
        <v>20000</v>
      </c>
      <c r="AL31" s="8">
        <f>'Сводка НПЗ'!G31</f>
        <v>0</v>
      </c>
      <c r="AM31" s="6" t="s">
        <v>56</v>
      </c>
      <c r="AN31" s="12" t="s">
        <v>83</v>
      </c>
      <c r="AO31" s="20">
        <v>2024</v>
      </c>
      <c r="AP31" s="20">
        <v>2025</v>
      </c>
      <c r="AQ31" s="20">
        <v>2025</v>
      </c>
      <c r="AR31" s="6" t="s">
        <v>58</v>
      </c>
    </row>
    <row r="32" spans="1:44" ht="42" customHeight="1" x14ac:dyDescent="0.2">
      <c r="A32" s="15">
        <v>31</v>
      </c>
      <c r="B32" s="15" t="s">
        <v>258</v>
      </c>
      <c r="C32" s="15" t="s">
        <v>259</v>
      </c>
      <c r="D32" s="16">
        <v>14100.282329</v>
      </c>
      <c r="E32" s="19">
        <v>2024</v>
      </c>
      <c r="F32" s="17">
        <f t="shared" si="0"/>
        <v>5.1607033324140001</v>
      </c>
      <c r="G32" s="17">
        <v>51.222497489610362</v>
      </c>
      <c r="H32" s="17">
        <v>35.990486669637519</v>
      </c>
      <c r="I32" s="17">
        <v>2.3086644607852094</v>
      </c>
      <c r="J32" s="17">
        <v>7.4177787124789996</v>
      </c>
      <c r="K32" s="17">
        <v>0.13254921826324517</v>
      </c>
      <c r="L32" s="16">
        <v>249033.30617433149</v>
      </c>
      <c r="M32" s="19">
        <v>2025</v>
      </c>
      <c r="N32" s="16">
        <v>241235.61643835617</v>
      </c>
      <c r="O32" s="16">
        <v>8000</v>
      </c>
      <c r="P32" s="17">
        <v>16.306633778765001</v>
      </c>
      <c r="Q32" s="19">
        <v>2025</v>
      </c>
      <c r="R32" s="17">
        <v>3.0829272812006301</v>
      </c>
      <c r="S32" s="19">
        <v>2025</v>
      </c>
      <c r="T32" s="17">
        <v>2.4006955936174701</v>
      </c>
      <c r="U32" s="19">
        <v>2025</v>
      </c>
      <c r="V32" s="18" t="s">
        <v>46</v>
      </c>
      <c r="W32" s="18" t="s">
        <v>46</v>
      </c>
      <c r="X32" s="18" t="s">
        <v>46</v>
      </c>
      <c r="Y32" s="18" t="s">
        <v>46</v>
      </c>
      <c r="Z32" s="18" t="s">
        <v>46</v>
      </c>
      <c r="AA32" s="15" t="s">
        <v>100</v>
      </c>
      <c r="AB32" s="15" t="s">
        <v>101</v>
      </c>
      <c r="AC32" s="15" t="s">
        <v>260</v>
      </c>
      <c r="AD32" s="15" t="s">
        <v>261</v>
      </c>
      <c r="AE32" s="15" t="s">
        <v>104</v>
      </c>
      <c r="AF32" s="15" t="s">
        <v>64</v>
      </c>
      <c r="AG32" s="15" t="s">
        <v>106</v>
      </c>
      <c r="AH32" s="15" t="s">
        <v>262</v>
      </c>
      <c r="AI32" s="15" t="s">
        <v>263</v>
      </c>
      <c r="AJ32" s="8">
        <f>'Сводка НПЗ'!D32</f>
        <v>1</v>
      </c>
      <c r="AK32" s="8">
        <f>IF('Сводка НПЗ'!F32&gt;0,'Сводка НПЗ'!E32,"")</f>
        <v>21000</v>
      </c>
      <c r="AL32" s="8">
        <f>'Сводка НПЗ'!G32</f>
        <v>0</v>
      </c>
      <c r="AM32" s="6" t="s">
        <v>56</v>
      </c>
      <c r="AN32" s="12" t="s">
        <v>83</v>
      </c>
      <c r="AO32" s="20">
        <v>2024</v>
      </c>
      <c r="AP32" s="20">
        <v>2025</v>
      </c>
      <c r="AQ32" s="20">
        <v>2025</v>
      </c>
      <c r="AR32" s="6" t="s">
        <v>58</v>
      </c>
    </row>
    <row r="33" spans="1:44" ht="42" customHeight="1" x14ac:dyDescent="0.2">
      <c r="A33" s="15">
        <v>32</v>
      </c>
      <c r="B33" s="15" t="s">
        <v>264</v>
      </c>
      <c r="C33" s="15" t="s">
        <v>265</v>
      </c>
      <c r="D33" s="16">
        <v>25052.996229</v>
      </c>
      <c r="E33" s="19">
        <v>2024</v>
      </c>
      <c r="F33" s="17">
        <f t="shared" si="0"/>
        <v>9.1693966198140018</v>
      </c>
      <c r="G33" s="17">
        <v>57.0394492913329</v>
      </c>
      <c r="H33" s="17">
        <v>34.28145705805192</v>
      </c>
      <c r="I33" s="17">
        <v>0</v>
      </c>
      <c r="J33" s="17">
        <v>7.1019721782436083</v>
      </c>
      <c r="K33" s="17">
        <v>1.3420309528119876</v>
      </c>
      <c r="L33" s="16">
        <v>16000</v>
      </c>
      <c r="M33" s="19">
        <v>2025</v>
      </c>
      <c r="N33" s="16">
        <v>16000</v>
      </c>
      <c r="O33" s="16">
        <v>0</v>
      </c>
      <c r="P33" s="17">
        <v>91.030531316993603</v>
      </c>
      <c r="Q33" s="19">
        <v>2025</v>
      </c>
      <c r="R33" s="17">
        <v>5.7592447163999898</v>
      </c>
      <c r="S33" s="19">
        <v>2025</v>
      </c>
      <c r="T33" s="17" t="s">
        <v>46</v>
      </c>
      <c r="U33" s="19" t="s">
        <v>46</v>
      </c>
      <c r="V33" s="18">
        <v>1.1459999999999999</v>
      </c>
      <c r="W33" s="18">
        <v>1.139</v>
      </c>
      <c r="X33" s="18" t="s">
        <v>46</v>
      </c>
      <c r="Y33" s="18" t="s">
        <v>46</v>
      </c>
      <c r="Z33" s="18" t="s">
        <v>46</v>
      </c>
      <c r="AA33" s="15" t="s">
        <v>47</v>
      </c>
      <c r="AB33" s="15" t="s">
        <v>48</v>
      </c>
      <c r="AC33" s="15" t="s">
        <v>266</v>
      </c>
      <c r="AD33" s="15" t="s">
        <v>267</v>
      </c>
      <c r="AE33" s="15" t="s">
        <v>268</v>
      </c>
      <c r="AF33" s="15" t="s">
        <v>64</v>
      </c>
      <c r="AG33" s="15" t="s">
        <v>53</v>
      </c>
      <c r="AH33" s="15" t="s">
        <v>269</v>
      </c>
      <c r="AI33" s="15" t="s">
        <v>270</v>
      </c>
      <c r="AJ33" s="8">
        <f>'Сводка НПЗ'!D33</f>
        <v>0</v>
      </c>
      <c r="AK33" s="8" t="str">
        <f>IF('Сводка НПЗ'!F33&gt;0,'Сводка НПЗ'!E33,"")</f>
        <v/>
      </c>
      <c r="AL33" s="8">
        <f>'Сводка НПЗ'!G33</f>
        <v>0</v>
      </c>
      <c r="AM33" s="6" t="s">
        <v>56</v>
      </c>
      <c r="AN33" s="12" t="s">
        <v>83</v>
      </c>
      <c r="AO33" s="20">
        <v>2024</v>
      </c>
      <c r="AP33" s="20">
        <v>2025</v>
      </c>
      <c r="AQ33" s="20">
        <v>2025</v>
      </c>
      <c r="AR33" s="6" t="s">
        <v>58</v>
      </c>
    </row>
    <row r="34" spans="1:44" ht="42" customHeight="1" x14ac:dyDescent="0.2">
      <c r="A34" s="15">
        <v>33</v>
      </c>
      <c r="B34" s="15" t="s">
        <v>271</v>
      </c>
      <c r="C34" s="15" t="s">
        <v>272</v>
      </c>
      <c r="D34" s="16">
        <v>5453.0577789999998</v>
      </c>
      <c r="E34" s="19">
        <v>2024</v>
      </c>
      <c r="F34" s="17">
        <f t="shared" si="0"/>
        <v>1.9958191471139999</v>
      </c>
      <c r="G34" s="17">
        <v>60.964320235199175</v>
      </c>
      <c r="H34" s="17">
        <v>25.205873377928128</v>
      </c>
      <c r="I34" s="17">
        <v>5.0322820905507228</v>
      </c>
      <c r="J34" s="17">
        <v>1.6778870811227471</v>
      </c>
      <c r="K34" s="17">
        <v>0.95390597547526912</v>
      </c>
      <c r="L34" s="16">
        <v>0</v>
      </c>
      <c r="M34" s="19">
        <v>2025</v>
      </c>
      <c r="N34" s="16">
        <v>0</v>
      </c>
      <c r="O34" s="16">
        <v>0</v>
      </c>
      <c r="P34" s="17">
        <v>3.5793201451307701</v>
      </c>
      <c r="Q34" s="19">
        <v>2025</v>
      </c>
      <c r="R34" s="17">
        <v>8.0050271623309808</v>
      </c>
      <c r="S34" s="19">
        <v>2025</v>
      </c>
      <c r="T34" s="17">
        <v>3.5551366307498702</v>
      </c>
      <c r="U34" s="19">
        <v>2025</v>
      </c>
      <c r="V34" s="18">
        <v>1.032</v>
      </c>
      <c r="W34" s="18">
        <v>1.087</v>
      </c>
      <c r="X34" s="18" t="s">
        <v>46</v>
      </c>
      <c r="Y34" s="18" t="s">
        <v>46</v>
      </c>
      <c r="Z34" s="18" t="s">
        <v>46</v>
      </c>
      <c r="AA34" s="15" t="s">
        <v>47</v>
      </c>
      <c r="AB34" s="15" t="s">
        <v>48</v>
      </c>
      <c r="AC34" s="15" t="s">
        <v>273</v>
      </c>
      <c r="AD34" s="15" t="s">
        <v>274</v>
      </c>
      <c r="AE34" s="15" t="s">
        <v>275</v>
      </c>
      <c r="AF34" s="15" t="s">
        <v>64</v>
      </c>
      <c r="AG34" s="15" t="s">
        <v>53</v>
      </c>
      <c r="AH34" s="15" t="s">
        <v>276</v>
      </c>
      <c r="AI34" s="15" t="s">
        <v>277</v>
      </c>
      <c r="AJ34" s="8">
        <f>'Сводка НПЗ'!D34</f>
        <v>0</v>
      </c>
      <c r="AK34" s="8" t="str">
        <f>IF('Сводка НПЗ'!F34&gt;0,'Сводка НПЗ'!E34,"")</f>
        <v/>
      </c>
      <c r="AL34" s="8">
        <f>'Сводка НПЗ'!G34</f>
        <v>0</v>
      </c>
      <c r="AM34" s="6" t="s">
        <v>56</v>
      </c>
      <c r="AN34" s="12" t="s">
        <v>83</v>
      </c>
      <c r="AO34" s="20">
        <v>2024</v>
      </c>
      <c r="AP34" s="20">
        <v>2025</v>
      </c>
      <c r="AQ34" s="20">
        <v>2025</v>
      </c>
      <c r="AR34" s="6" t="s">
        <v>58</v>
      </c>
    </row>
    <row r="35" spans="1:44" ht="42" customHeight="1" x14ac:dyDescent="0.2">
      <c r="A35" s="15">
        <v>34</v>
      </c>
      <c r="B35" s="15" t="s">
        <v>278</v>
      </c>
      <c r="C35" s="15" t="s">
        <v>279</v>
      </c>
      <c r="D35" s="16">
        <v>205640.70496999999</v>
      </c>
      <c r="E35" s="19">
        <v>2024</v>
      </c>
      <c r="F35" s="17">
        <f t="shared" si="0"/>
        <v>75.264498019019996</v>
      </c>
      <c r="G35" s="17">
        <v>52.179051747392968</v>
      </c>
      <c r="H35" s="17">
        <v>20.455946903185723</v>
      </c>
      <c r="I35" s="17">
        <v>15.887265575541662</v>
      </c>
      <c r="J35" s="17">
        <v>0.68672774692443217</v>
      </c>
      <c r="K35" s="17">
        <v>0.35492146854217238</v>
      </c>
      <c r="L35" s="16">
        <v>57918.613688528763</v>
      </c>
      <c r="M35" s="19">
        <v>2025</v>
      </c>
      <c r="N35" s="16">
        <v>31230.73698630137</v>
      </c>
      <c r="O35" s="16">
        <v>19484.810958904109</v>
      </c>
      <c r="P35" s="17">
        <v>214.23331278439701</v>
      </c>
      <c r="Q35" s="19">
        <v>2025</v>
      </c>
      <c r="R35" s="17">
        <v>1.82152376756284</v>
      </c>
      <c r="S35" s="19">
        <v>2025</v>
      </c>
      <c r="T35" s="17">
        <v>12.7303341026903</v>
      </c>
      <c r="U35" s="19">
        <v>2025</v>
      </c>
      <c r="V35" s="18">
        <v>1.976</v>
      </c>
      <c r="W35" s="18">
        <v>2.2170000000000001</v>
      </c>
      <c r="X35" s="18" t="s">
        <v>46</v>
      </c>
      <c r="Y35" s="18">
        <v>1</v>
      </c>
      <c r="Z35" s="18" t="s">
        <v>46</v>
      </c>
      <c r="AA35" s="15" t="s">
        <v>47</v>
      </c>
      <c r="AB35" s="15" t="s">
        <v>69</v>
      </c>
      <c r="AC35" s="15" t="s">
        <v>280</v>
      </c>
      <c r="AD35" s="15" t="s">
        <v>281</v>
      </c>
      <c r="AE35" s="15" t="s">
        <v>282</v>
      </c>
      <c r="AF35" s="15" t="s">
        <v>64</v>
      </c>
      <c r="AG35" s="15" t="s">
        <v>73</v>
      </c>
      <c r="AH35" s="15" t="s">
        <v>283</v>
      </c>
      <c r="AI35" s="15" t="s">
        <v>284</v>
      </c>
      <c r="AJ35" s="8">
        <f>'Сводка НПЗ'!D35</f>
        <v>6</v>
      </c>
      <c r="AK35" s="8">
        <f>IF('Сводка НПЗ'!F35&gt;0,'Сводка НПЗ'!E35,"")</f>
        <v>685000</v>
      </c>
      <c r="AL35" s="8">
        <f>'Сводка НПЗ'!G35</f>
        <v>0</v>
      </c>
      <c r="AM35" s="6" t="s">
        <v>56</v>
      </c>
      <c r="AN35" s="12" t="s">
        <v>57</v>
      </c>
      <c r="AO35" s="20">
        <v>2024</v>
      </c>
      <c r="AP35" s="20">
        <v>2025</v>
      </c>
      <c r="AQ35" s="20">
        <v>2025</v>
      </c>
      <c r="AR35" s="6" t="s">
        <v>58</v>
      </c>
    </row>
    <row r="36" spans="1:44" ht="42" customHeight="1" x14ac:dyDescent="0.2">
      <c r="A36" s="15">
        <v>35</v>
      </c>
      <c r="B36" s="15" t="s">
        <v>285</v>
      </c>
      <c r="C36" s="15" t="s">
        <v>286</v>
      </c>
      <c r="D36" s="16">
        <v>116199.72602</v>
      </c>
      <c r="E36" s="19">
        <v>2024</v>
      </c>
      <c r="F36" s="17">
        <f t="shared" si="0"/>
        <v>42.529099723320002</v>
      </c>
      <c r="G36" s="17">
        <v>48.334539730612697</v>
      </c>
      <c r="H36" s="17">
        <v>20.152029219044451</v>
      </c>
      <c r="I36" s="17">
        <v>3.5828721913538981</v>
      </c>
      <c r="J36" s="17">
        <v>2.4680226952569537</v>
      </c>
      <c r="K36" s="17">
        <v>10.26961136547437</v>
      </c>
      <c r="L36" s="16">
        <v>26009.490410958904</v>
      </c>
      <c r="M36" s="19">
        <v>2025</v>
      </c>
      <c r="N36" s="16">
        <v>25730.490410958904</v>
      </c>
      <c r="O36" s="16">
        <v>0</v>
      </c>
      <c r="P36" s="17">
        <v>93.397215864198003</v>
      </c>
      <c r="Q36" s="19">
        <v>2025</v>
      </c>
      <c r="R36" s="17">
        <v>1.2999999999999801</v>
      </c>
      <c r="S36" s="19">
        <v>2025</v>
      </c>
      <c r="T36" s="17">
        <v>6.5987794595118201</v>
      </c>
      <c r="U36" s="19">
        <v>2025</v>
      </c>
      <c r="V36" s="18">
        <v>0.89400000000000002</v>
      </c>
      <c r="W36" s="18">
        <v>0.89400000000000002</v>
      </c>
      <c r="X36" s="18" t="s">
        <v>46</v>
      </c>
      <c r="Y36" s="18">
        <v>0.442</v>
      </c>
      <c r="Z36" s="18" t="s">
        <v>46</v>
      </c>
      <c r="AA36" s="15" t="s">
        <v>47</v>
      </c>
      <c r="AB36" s="15" t="s">
        <v>69</v>
      </c>
      <c r="AC36" s="15" t="s">
        <v>287</v>
      </c>
      <c r="AD36" s="15" t="s">
        <v>288</v>
      </c>
      <c r="AE36" s="15" t="s">
        <v>289</v>
      </c>
      <c r="AF36" s="15" t="s">
        <v>64</v>
      </c>
      <c r="AG36" s="15" t="s">
        <v>73</v>
      </c>
      <c r="AH36" s="15" t="s">
        <v>290</v>
      </c>
      <c r="AI36" s="15" t="s">
        <v>291</v>
      </c>
      <c r="AJ36" s="8">
        <f>'Сводка НПЗ'!D36</f>
        <v>2</v>
      </c>
      <c r="AK36" s="8">
        <f>IF('Сводка НПЗ'!F36&gt;0,'Сводка НПЗ'!E36,"")</f>
        <v>183000</v>
      </c>
      <c r="AL36" s="8">
        <f>'Сводка НПЗ'!G36</f>
        <v>0</v>
      </c>
      <c r="AM36" s="6" t="s">
        <v>56</v>
      </c>
      <c r="AN36" s="12" t="s">
        <v>57</v>
      </c>
      <c r="AO36" s="20">
        <v>2024</v>
      </c>
      <c r="AP36" s="20">
        <v>2025</v>
      </c>
      <c r="AQ36" s="20">
        <v>2025</v>
      </c>
      <c r="AR36" s="6" t="s">
        <v>58</v>
      </c>
    </row>
    <row r="37" spans="1:44" ht="42" customHeight="1" x14ac:dyDescent="0.2">
      <c r="A37" s="15">
        <v>36</v>
      </c>
      <c r="B37" s="15" t="s">
        <v>292</v>
      </c>
      <c r="C37" s="15" t="s">
        <v>293</v>
      </c>
      <c r="D37" s="16">
        <v>24412.71817</v>
      </c>
      <c r="E37" s="19">
        <v>2024</v>
      </c>
      <c r="F37" s="17">
        <f t="shared" si="0"/>
        <v>8.9350548502200002</v>
      </c>
      <c r="G37" s="17">
        <v>57.16185278027973</v>
      </c>
      <c r="H37" s="17">
        <v>25.161401091126429</v>
      </c>
      <c r="I37" s="17">
        <v>2.2722323181597601</v>
      </c>
      <c r="J37" s="17">
        <v>9.2286969329314967</v>
      </c>
      <c r="K37" s="17">
        <v>3.9904640082116671</v>
      </c>
      <c r="L37" s="16">
        <v>0</v>
      </c>
      <c r="M37" s="19">
        <v>2025</v>
      </c>
      <c r="N37" s="16">
        <v>0</v>
      </c>
      <c r="O37" s="16">
        <v>0</v>
      </c>
      <c r="P37" s="17">
        <v>15.0803406535276</v>
      </c>
      <c r="Q37" s="19">
        <v>2025</v>
      </c>
      <c r="R37" s="17">
        <v>1.7301815384233501</v>
      </c>
      <c r="S37" s="19">
        <v>2025</v>
      </c>
      <c r="T37" s="17">
        <v>3.5107453960958699</v>
      </c>
      <c r="U37" s="19">
        <v>2025</v>
      </c>
      <c r="V37" s="18">
        <v>1.554</v>
      </c>
      <c r="W37" s="18">
        <v>1.726</v>
      </c>
      <c r="X37" s="18" t="s">
        <v>46</v>
      </c>
      <c r="Y37" s="18" t="s">
        <v>46</v>
      </c>
      <c r="Z37" s="18" t="s">
        <v>46</v>
      </c>
      <c r="AA37" s="15" t="s">
        <v>47</v>
      </c>
      <c r="AB37" s="15" t="s">
        <v>48</v>
      </c>
      <c r="AC37" s="15" t="s">
        <v>294</v>
      </c>
      <c r="AD37" s="15" t="s">
        <v>295</v>
      </c>
      <c r="AE37" s="15" t="s">
        <v>296</v>
      </c>
      <c r="AF37" s="15" t="s">
        <v>64</v>
      </c>
      <c r="AG37" s="15" t="s">
        <v>53</v>
      </c>
      <c r="AH37" s="15" t="s">
        <v>297</v>
      </c>
      <c r="AI37" s="15" t="s">
        <v>298</v>
      </c>
      <c r="AJ37" s="8">
        <f>'Сводка НПЗ'!D37</f>
        <v>0</v>
      </c>
      <c r="AK37" s="8" t="str">
        <f>IF('Сводка НПЗ'!F37&gt;0,'Сводка НПЗ'!E37,"")</f>
        <v/>
      </c>
      <c r="AL37" s="8">
        <f>'Сводка НПЗ'!G37</f>
        <v>0</v>
      </c>
      <c r="AM37" s="6" t="s">
        <v>56</v>
      </c>
      <c r="AN37" s="12" t="s">
        <v>83</v>
      </c>
      <c r="AO37" s="20">
        <v>2024</v>
      </c>
      <c r="AP37" s="20">
        <v>2025</v>
      </c>
      <c r="AQ37" s="20">
        <v>2025</v>
      </c>
      <c r="AR37" s="6" t="s">
        <v>58</v>
      </c>
    </row>
    <row r="38" spans="1:44" ht="42" customHeight="1" x14ac:dyDescent="0.2">
      <c r="A38" s="15">
        <v>37</v>
      </c>
      <c r="B38" s="15" t="s">
        <v>299</v>
      </c>
      <c r="C38" s="15" t="s">
        <v>300</v>
      </c>
      <c r="D38" s="16">
        <v>612110.41623899993</v>
      </c>
      <c r="E38" s="19">
        <v>2024</v>
      </c>
      <c r="F38" s="17">
        <f t="shared" si="0"/>
        <v>224.03241234347396</v>
      </c>
      <c r="G38" s="17">
        <v>44.399559064828118</v>
      </c>
      <c r="H38" s="17">
        <v>24.490969230862849</v>
      </c>
      <c r="I38" s="17">
        <v>0.82373389101604122</v>
      </c>
      <c r="J38" s="17">
        <v>9.0499079496746759</v>
      </c>
      <c r="K38" s="17">
        <v>3.8445190860486194</v>
      </c>
      <c r="L38" s="16">
        <v>95209.682458180818</v>
      </c>
      <c r="M38" s="19">
        <v>2025</v>
      </c>
      <c r="N38" s="16">
        <v>370.91506849315073</v>
      </c>
      <c r="O38" s="16">
        <v>1625.490410958904</v>
      </c>
      <c r="P38" s="17">
        <v>427.18432599730698</v>
      </c>
      <c r="Q38" s="19">
        <v>2025</v>
      </c>
      <c r="R38" s="17">
        <v>1.1146260810395601</v>
      </c>
      <c r="S38" s="19">
        <v>2025</v>
      </c>
      <c r="T38" s="17">
        <v>3.2055047411260298</v>
      </c>
      <c r="U38" s="19">
        <v>2025</v>
      </c>
      <c r="V38" s="18">
        <v>1.63</v>
      </c>
      <c r="W38" s="18">
        <v>1.962</v>
      </c>
      <c r="X38" s="18" t="s">
        <v>46</v>
      </c>
      <c r="Y38" s="18" t="s">
        <v>46</v>
      </c>
      <c r="Z38" s="18" t="s">
        <v>46</v>
      </c>
      <c r="AA38" s="15" t="s">
        <v>47</v>
      </c>
      <c r="AB38" s="15" t="s">
        <v>48</v>
      </c>
      <c r="AC38" s="15" t="s">
        <v>301</v>
      </c>
      <c r="AD38" s="15" t="s">
        <v>302</v>
      </c>
      <c r="AE38" s="15" t="s">
        <v>303</v>
      </c>
      <c r="AF38" s="15" t="s">
        <v>64</v>
      </c>
      <c r="AG38" s="15" t="s">
        <v>53</v>
      </c>
      <c r="AH38" s="15" t="s">
        <v>304</v>
      </c>
      <c r="AI38" s="15" t="s">
        <v>305</v>
      </c>
      <c r="AJ38" s="8">
        <f>'Сводка НПЗ'!D38</f>
        <v>4</v>
      </c>
      <c r="AK38" s="8">
        <f>IF('Сводка НПЗ'!F38&gt;0,'Сводка НПЗ'!E38,"")</f>
        <v>496500</v>
      </c>
      <c r="AL38" s="8">
        <f>'Сводка НПЗ'!G38</f>
        <v>0</v>
      </c>
      <c r="AM38" s="6" t="s">
        <v>56</v>
      </c>
      <c r="AN38" s="12" t="s">
        <v>57</v>
      </c>
      <c r="AO38" s="20">
        <v>2024</v>
      </c>
      <c r="AP38" s="20">
        <v>2025</v>
      </c>
      <c r="AQ38" s="20">
        <v>2025</v>
      </c>
      <c r="AR38" s="6" t="s">
        <v>58</v>
      </c>
    </row>
    <row r="39" spans="1:44" ht="42" customHeight="1" x14ac:dyDescent="0.2">
      <c r="A39" s="15">
        <v>38</v>
      </c>
      <c r="B39" s="15" t="s">
        <v>306</v>
      </c>
      <c r="C39" s="15" t="s">
        <v>307</v>
      </c>
      <c r="D39" s="16" t="s">
        <v>46</v>
      </c>
      <c r="E39" s="19" t="s">
        <v>46</v>
      </c>
      <c r="F39" s="17" t="str">
        <f t="shared" si="0"/>
        <v>н/д</v>
      </c>
      <c r="G39" s="17" t="s">
        <v>46</v>
      </c>
      <c r="H39" s="17" t="s">
        <v>46</v>
      </c>
      <c r="I39" s="17" t="s">
        <v>46</v>
      </c>
      <c r="J39" s="17" t="s">
        <v>46</v>
      </c>
      <c r="K39" s="17" t="s">
        <v>46</v>
      </c>
      <c r="L39" s="16" t="s">
        <v>46</v>
      </c>
      <c r="M39" s="19" t="s">
        <v>46</v>
      </c>
      <c r="N39" s="16" t="s">
        <v>46</v>
      </c>
      <c r="O39" s="16" t="s">
        <v>46</v>
      </c>
      <c r="P39" s="17" t="s">
        <v>46</v>
      </c>
      <c r="Q39" s="19" t="s">
        <v>46</v>
      </c>
      <c r="R39" s="17" t="s">
        <v>46</v>
      </c>
      <c r="S39" s="19" t="s">
        <v>46</v>
      </c>
      <c r="T39" s="17" t="s">
        <v>46</v>
      </c>
      <c r="U39" s="19" t="s">
        <v>46</v>
      </c>
      <c r="V39" s="18" t="s">
        <v>46</v>
      </c>
      <c r="W39" s="18" t="s">
        <v>46</v>
      </c>
      <c r="X39" s="18" t="s">
        <v>46</v>
      </c>
      <c r="Y39" s="18" t="s">
        <v>46</v>
      </c>
      <c r="Z39" s="18" t="s">
        <v>46</v>
      </c>
      <c r="AA39" s="15" t="s">
        <v>100</v>
      </c>
      <c r="AB39" s="15" t="s">
        <v>101</v>
      </c>
      <c r="AC39" s="15" t="s">
        <v>198</v>
      </c>
      <c r="AD39" s="15" t="s">
        <v>103</v>
      </c>
      <c r="AE39" s="15" t="s">
        <v>104</v>
      </c>
      <c r="AF39" s="15" t="s">
        <v>105</v>
      </c>
      <c r="AG39" s="15" t="s">
        <v>106</v>
      </c>
      <c r="AH39" s="15" t="s">
        <v>308</v>
      </c>
      <c r="AI39" s="15" t="s">
        <v>309</v>
      </c>
      <c r="AJ39" s="8">
        <f>'Сводка НПЗ'!D39</f>
        <v>0</v>
      </c>
      <c r="AK39" s="8" t="str">
        <f>IF('Сводка НПЗ'!F39&gt;0,'Сводка НПЗ'!E39,"")</f>
        <v/>
      </c>
      <c r="AL39" s="8">
        <f>'Сводка НПЗ'!G39</f>
        <v>0</v>
      </c>
      <c r="AM39" s="6" t="s">
        <v>56</v>
      </c>
      <c r="AN39" s="12" t="s">
        <v>83</v>
      </c>
      <c r="AO39" s="20"/>
      <c r="AP39" s="20"/>
      <c r="AQ39" s="20"/>
      <c r="AR39" s="6" t="s">
        <v>58</v>
      </c>
    </row>
    <row r="40" spans="1:44" ht="42" customHeight="1" x14ac:dyDescent="0.2">
      <c r="A40" s="15">
        <v>39</v>
      </c>
      <c r="B40" s="15" t="s">
        <v>310</v>
      </c>
      <c r="C40" s="15" t="s">
        <v>311</v>
      </c>
      <c r="D40" s="16" t="s">
        <v>46</v>
      </c>
      <c r="E40" s="19" t="s">
        <v>46</v>
      </c>
      <c r="F40" s="17" t="str">
        <f t="shared" si="0"/>
        <v>н/д</v>
      </c>
      <c r="G40" s="17" t="s">
        <v>46</v>
      </c>
      <c r="H40" s="17" t="s">
        <v>46</v>
      </c>
      <c r="I40" s="17" t="s">
        <v>46</v>
      </c>
      <c r="J40" s="17" t="s">
        <v>46</v>
      </c>
      <c r="K40" s="17" t="s">
        <v>46</v>
      </c>
      <c r="L40" s="16" t="s">
        <v>46</v>
      </c>
      <c r="M40" s="19" t="s">
        <v>46</v>
      </c>
      <c r="N40" s="16" t="s">
        <v>46</v>
      </c>
      <c r="O40" s="16" t="s">
        <v>46</v>
      </c>
      <c r="P40" s="17">
        <v>1.8877284804469299</v>
      </c>
      <c r="Q40" s="19">
        <v>2025</v>
      </c>
      <c r="R40" s="17">
        <v>3.4000000000000101</v>
      </c>
      <c r="S40" s="19">
        <v>2025</v>
      </c>
      <c r="T40" s="17" t="s">
        <v>46</v>
      </c>
      <c r="U40" s="19" t="s">
        <v>46</v>
      </c>
      <c r="V40" s="18" t="s">
        <v>46</v>
      </c>
      <c r="W40" s="18" t="s">
        <v>46</v>
      </c>
      <c r="X40" s="18" t="s">
        <v>46</v>
      </c>
      <c r="Y40" s="18" t="s">
        <v>46</v>
      </c>
      <c r="Z40" s="18" t="s">
        <v>46</v>
      </c>
      <c r="AA40" s="15" t="s">
        <v>100</v>
      </c>
      <c r="AB40" s="15" t="s">
        <v>101</v>
      </c>
      <c r="AC40" s="15" t="s">
        <v>198</v>
      </c>
      <c r="AD40" s="15" t="s">
        <v>312</v>
      </c>
      <c r="AE40" s="15" t="s">
        <v>104</v>
      </c>
      <c r="AF40" s="15" t="s">
        <v>105</v>
      </c>
      <c r="AG40" s="15" t="s">
        <v>106</v>
      </c>
      <c r="AH40" s="15" t="s">
        <v>313</v>
      </c>
      <c r="AI40" s="15" t="s">
        <v>314</v>
      </c>
      <c r="AJ40" s="8">
        <f>'Сводка НПЗ'!D40</f>
        <v>0</v>
      </c>
      <c r="AK40" s="8" t="str">
        <f>IF('Сводка НПЗ'!F40&gt;0,'Сводка НПЗ'!E40,"")</f>
        <v/>
      </c>
      <c r="AL40" s="8">
        <f>'Сводка НПЗ'!G40</f>
        <v>0</v>
      </c>
      <c r="AM40" s="6" t="s">
        <v>56</v>
      </c>
      <c r="AN40" s="12" t="s">
        <v>83</v>
      </c>
      <c r="AO40" s="20"/>
      <c r="AP40" s="20"/>
      <c r="AQ40" s="20"/>
      <c r="AR40" s="6" t="s">
        <v>58</v>
      </c>
    </row>
    <row r="41" spans="1:44" ht="42" customHeight="1" x14ac:dyDescent="0.2">
      <c r="A41" s="15">
        <v>40</v>
      </c>
      <c r="B41" s="15" t="s">
        <v>315</v>
      </c>
      <c r="C41" s="15" t="s">
        <v>316</v>
      </c>
      <c r="D41" s="16">
        <v>230821.22726499999</v>
      </c>
      <c r="E41" s="19">
        <v>2024</v>
      </c>
      <c r="F41" s="17">
        <f t="shared" si="0"/>
        <v>84.480569178989995</v>
      </c>
      <c r="G41" s="17">
        <v>21.812012684690462</v>
      </c>
      <c r="H41" s="17">
        <v>32.398157126226906</v>
      </c>
      <c r="I41" s="17">
        <v>3.7561676353302444</v>
      </c>
      <c r="J41" s="17">
        <v>4.2701461658394679</v>
      </c>
      <c r="K41" s="17">
        <v>17.87547225135841</v>
      </c>
      <c r="L41" s="16">
        <v>1011409.0662340822</v>
      </c>
      <c r="M41" s="19">
        <v>2025</v>
      </c>
      <c r="N41" s="16">
        <v>1002069.1753424658</v>
      </c>
      <c r="O41" s="16">
        <v>8000</v>
      </c>
      <c r="P41" s="17">
        <v>109.60478069622999</v>
      </c>
      <c r="Q41" s="19">
        <v>2025</v>
      </c>
      <c r="R41" s="17">
        <v>2.3978738229539802</v>
      </c>
      <c r="S41" s="19">
        <v>2025</v>
      </c>
      <c r="T41" s="17">
        <v>0.96774193548392795</v>
      </c>
      <c r="U41" s="19">
        <v>2025</v>
      </c>
      <c r="V41" s="18">
        <v>0.622</v>
      </c>
      <c r="W41" s="18">
        <v>0.67100000000000004</v>
      </c>
      <c r="X41" s="18" t="s">
        <v>46</v>
      </c>
      <c r="Y41" s="18" t="s">
        <v>46</v>
      </c>
      <c r="Z41" s="18" t="s">
        <v>46</v>
      </c>
      <c r="AA41" s="15" t="s">
        <v>47</v>
      </c>
      <c r="AB41" s="15" t="s">
        <v>48</v>
      </c>
      <c r="AC41" s="15" t="s">
        <v>317</v>
      </c>
      <c r="AD41" s="15" t="s">
        <v>318</v>
      </c>
      <c r="AE41" s="15" t="s">
        <v>319</v>
      </c>
      <c r="AF41" s="15" t="s">
        <v>64</v>
      </c>
      <c r="AG41" s="15" t="s">
        <v>53</v>
      </c>
      <c r="AH41" s="15" t="s">
        <v>320</v>
      </c>
      <c r="AI41" s="15" t="s">
        <v>321</v>
      </c>
      <c r="AJ41" s="8">
        <f>'Сводка НПЗ'!D41</f>
        <v>1</v>
      </c>
      <c r="AK41" s="8">
        <f>IF('Сводка НПЗ'!F41&gt;0,'Сводка НПЗ'!E41,"")</f>
        <v>106000</v>
      </c>
      <c r="AL41" s="8">
        <f>'Сводка НПЗ'!G41</f>
        <v>0</v>
      </c>
      <c r="AM41" s="6" t="s">
        <v>56</v>
      </c>
      <c r="AN41" s="12" t="s">
        <v>57</v>
      </c>
      <c r="AO41" s="20">
        <v>2024</v>
      </c>
      <c r="AP41" s="20">
        <v>2025</v>
      </c>
      <c r="AQ41" s="20">
        <v>2025</v>
      </c>
      <c r="AR41" s="6" t="s">
        <v>58</v>
      </c>
    </row>
    <row r="42" spans="1:44" ht="42" customHeight="1" x14ac:dyDescent="0.2">
      <c r="A42" s="15">
        <v>41</v>
      </c>
      <c r="B42" s="15" t="s">
        <v>322</v>
      </c>
      <c r="C42" s="15" t="s">
        <v>323</v>
      </c>
      <c r="D42" s="16">
        <v>135563.95233</v>
      </c>
      <c r="E42" s="19">
        <v>2024</v>
      </c>
      <c r="F42" s="17">
        <f t="shared" si="0"/>
        <v>49.616406552779999</v>
      </c>
      <c r="G42" s="17">
        <v>16.644502334273305</v>
      </c>
      <c r="H42" s="17">
        <v>30.702650162250546</v>
      </c>
      <c r="I42" s="17">
        <v>20.348885486053607</v>
      </c>
      <c r="J42" s="17">
        <v>3.9905747265549643</v>
      </c>
      <c r="K42" s="17">
        <v>12.033020636851184</v>
      </c>
      <c r="L42" s="16">
        <v>49685.609770767122</v>
      </c>
      <c r="M42" s="19">
        <v>2025</v>
      </c>
      <c r="N42" s="16">
        <v>29583.860273972605</v>
      </c>
      <c r="O42" s="16">
        <v>0</v>
      </c>
      <c r="P42" s="17">
        <v>147.03808112940499</v>
      </c>
      <c r="Q42" s="19">
        <v>2025</v>
      </c>
      <c r="R42" s="17">
        <v>7.6996247793291301</v>
      </c>
      <c r="S42" s="19">
        <v>2025</v>
      </c>
      <c r="T42" s="17">
        <v>8.7963884705246098</v>
      </c>
      <c r="U42" s="19">
        <v>2025</v>
      </c>
      <c r="V42" s="18">
        <v>1.496</v>
      </c>
      <c r="W42" s="18">
        <v>1.3560000000000001</v>
      </c>
      <c r="X42" s="18" t="s">
        <v>46</v>
      </c>
      <c r="Y42" s="18" t="s">
        <v>46</v>
      </c>
      <c r="Z42" s="18" t="s">
        <v>46</v>
      </c>
      <c r="AA42" s="15" t="s">
        <v>47</v>
      </c>
      <c r="AB42" s="15" t="s">
        <v>48</v>
      </c>
      <c r="AC42" s="15" t="s">
        <v>324</v>
      </c>
      <c r="AD42" s="15" t="s">
        <v>325</v>
      </c>
      <c r="AE42" s="15" t="s">
        <v>326</v>
      </c>
      <c r="AF42" s="15" t="s">
        <v>64</v>
      </c>
      <c r="AG42" s="15" t="s">
        <v>53</v>
      </c>
      <c r="AH42" s="15" t="s">
        <v>327</v>
      </c>
      <c r="AI42" s="15" t="s">
        <v>328</v>
      </c>
      <c r="AJ42" s="8">
        <f>'Сводка НПЗ'!D42</f>
        <v>3</v>
      </c>
      <c r="AK42" s="8">
        <f>IF('Сводка НПЗ'!F42&gt;0,'Сводка НПЗ'!E42,"")</f>
        <v>66000</v>
      </c>
      <c r="AL42" s="8">
        <f>'Сводка НПЗ'!G42</f>
        <v>2</v>
      </c>
      <c r="AM42" s="6" t="s">
        <v>56</v>
      </c>
      <c r="AN42" s="12" t="s">
        <v>57</v>
      </c>
      <c r="AO42" s="20">
        <v>2024</v>
      </c>
      <c r="AP42" s="20">
        <v>2025</v>
      </c>
      <c r="AQ42" s="20">
        <v>2025</v>
      </c>
      <c r="AR42" s="6" t="s">
        <v>58</v>
      </c>
    </row>
    <row r="43" spans="1:44" ht="42" customHeight="1" x14ac:dyDescent="0.2">
      <c r="A43" s="15">
        <v>42</v>
      </c>
      <c r="B43" s="15" t="s">
        <v>329</v>
      </c>
      <c r="C43" s="15" t="s">
        <v>330</v>
      </c>
      <c r="D43" s="16">
        <v>412115.49588</v>
      </c>
      <c r="E43" s="19">
        <v>2024</v>
      </c>
      <c r="F43" s="17">
        <f t="shared" si="0"/>
        <v>150.83427149208001</v>
      </c>
      <c r="G43" s="17">
        <v>28.154376409031041</v>
      </c>
      <c r="H43" s="17">
        <v>28.472620749055054</v>
      </c>
      <c r="I43" s="17">
        <v>11.733244935803116</v>
      </c>
      <c r="J43" s="17">
        <v>4.5495890903018861</v>
      </c>
      <c r="K43" s="17">
        <v>3.8519591494861798</v>
      </c>
      <c r="L43" s="16">
        <v>2149550.3826413876</v>
      </c>
      <c r="M43" s="19">
        <v>2025</v>
      </c>
      <c r="N43" s="16">
        <v>2046610.1590152739</v>
      </c>
      <c r="O43" s="16">
        <v>100403.60675679616</v>
      </c>
      <c r="P43" s="17">
        <v>306.23920965002401</v>
      </c>
      <c r="Q43" s="19">
        <v>2025</v>
      </c>
      <c r="R43" s="17">
        <v>6.5</v>
      </c>
      <c r="S43" s="19">
        <v>2025</v>
      </c>
      <c r="T43" s="17">
        <v>11.3879454675914</v>
      </c>
      <c r="U43" s="19">
        <v>2025</v>
      </c>
      <c r="V43" s="18">
        <v>0.72099999999999997</v>
      </c>
      <c r="W43" s="18">
        <v>0.77300000000000002</v>
      </c>
      <c r="X43" s="18" t="s">
        <v>46</v>
      </c>
      <c r="Y43" s="18">
        <v>0.251</v>
      </c>
      <c r="Z43" s="18" t="s">
        <v>46</v>
      </c>
      <c r="AA43" s="15" t="s">
        <v>47</v>
      </c>
      <c r="AB43" s="15" t="s">
        <v>69</v>
      </c>
      <c r="AC43" s="15" t="s">
        <v>331</v>
      </c>
      <c r="AD43" s="15" t="s">
        <v>332</v>
      </c>
      <c r="AE43" s="15" t="s">
        <v>333</v>
      </c>
      <c r="AF43" s="15" t="s">
        <v>64</v>
      </c>
      <c r="AG43" s="15" t="s">
        <v>73</v>
      </c>
      <c r="AH43" s="15" t="s">
        <v>334</v>
      </c>
      <c r="AI43" s="15" t="s">
        <v>335</v>
      </c>
      <c r="AJ43" s="8">
        <f>'Сводка НПЗ'!D43</f>
        <v>3</v>
      </c>
      <c r="AK43" s="8">
        <f>IF('Сводка НПЗ'!F43&gt;0,'Сводка НПЗ'!E43,"")</f>
        <v>427066</v>
      </c>
      <c r="AL43" s="8">
        <f>'Сводка НПЗ'!G43</f>
        <v>0</v>
      </c>
      <c r="AM43" s="6" t="s">
        <v>56</v>
      </c>
      <c r="AN43" s="12" t="s">
        <v>121</v>
      </c>
      <c r="AO43" s="20">
        <v>2024</v>
      </c>
      <c r="AP43" s="20">
        <v>2025</v>
      </c>
      <c r="AQ43" s="20">
        <v>2025</v>
      </c>
      <c r="AR43" s="6" t="s">
        <v>58</v>
      </c>
    </row>
    <row r="44" spans="1:44" ht="42" customHeight="1" x14ac:dyDescent="0.2">
      <c r="A44" s="15">
        <v>43</v>
      </c>
      <c r="B44" s="15" t="s">
        <v>336</v>
      </c>
      <c r="C44" s="15" t="s">
        <v>337</v>
      </c>
      <c r="D44" s="16">
        <v>32747.98631</v>
      </c>
      <c r="E44" s="19">
        <v>2024</v>
      </c>
      <c r="F44" s="17">
        <f t="shared" si="0"/>
        <v>11.985762989460001</v>
      </c>
      <c r="G44" s="17">
        <v>27.242415413114301</v>
      </c>
      <c r="H44" s="17">
        <v>24.841372666373267</v>
      </c>
      <c r="I44" s="17">
        <v>39.876466315769626</v>
      </c>
      <c r="J44" s="17">
        <v>4.7236283029947321</v>
      </c>
      <c r="K44" s="17">
        <v>0.21730081149530073</v>
      </c>
      <c r="L44" s="16">
        <v>316</v>
      </c>
      <c r="M44" s="19">
        <v>2025</v>
      </c>
      <c r="N44" s="16">
        <v>316</v>
      </c>
      <c r="O44" s="16">
        <v>0</v>
      </c>
      <c r="P44" s="17">
        <v>17.660626562483198</v>
      </c>
      <c r="Q44" s="19">
        <v>2025</v>
      </c>
      <c r="R44" s="17">
        <v>8.4000005339007497</v>
      </c>
      <c r="S44" s="19">
        <v>2025</v>
      </c>
      <c r="T44" s="17" t="s">
        <v>46</v>
      </c>
      <c r="U44" s="19" t="s">
        <v>46</v>
      </c>
      <c r="V44" s="18" t="s">
        <v>46</v>
      </c>
      <c r="W44" s="18" t="s">
        <v>46</v>
      </c>
      <c r="X44" s="18" t="s">
        <v>46</v>
      </c>
      <c r="Y44" s="18" t="s">
        <v>46</v>
      </c>
      <c r="Z44" s="18" t="s">
        <v>46</v>
      </c>
      <c r="AA44" s="15" t="s">
        <v>100</v>
      </c>
      <c r="AB44" s="15" t="s">
        <v>101</v>
      </c>
      <c r="AC44" s="15" t="s">
        <v>338</v>
      </c>
      <c r="AD44" s="15" t="s">
        <v>339</v>
      </c>
      <c r="AE44" s="15" t="s">
        <v>104</v>
      </c>
      <c r="AF44" s="15" t="s">
        <v>64</v>
      </c>
      <c r="AG44" s="15" t="s">
        <v>106</v>
      </c>
      <c r="AH44" s="15" t="s">
        <v>340</v>
      </c>
      <c r="AI44" s="15" t="s">
        <v>341</v>
      </c>
      <c r="AJ44" s="8">
        <f>'Сводка НПЗ'!D44</f>
        <v>0</v>
      </c>
      <c r="AK44" s="8" t="str">
        <f>IF('Сводка НПЗ'!F44&gt;0,'Сводка НПЗ'!E44,"")</f>
        <v/>
      </c>
      <c r="AL44" s="8">
        <f>'Сводка НПЗ'!G44</f>
        <v>0</v>
      </c>
      <c r="AM44" s="6" t="s">
        <v>56</v>
      </c>
      <c r="AN44" s="12" t="s">
        <v>83</v>
      </c>
      <c r="AO44" s="20">
        <v>2024</v>
      </c>
      <c r="AP44" s="20">
        <v>2025</v>
      </c>
      <c r="AQ44" s="20">
        <v>2025</v>
      </c>
      <c r="AR44" s="6" t="s">
        <v>58</v>
      </c>
    </row>
    <row r="45" spans="1:44" ht="42" customHeight="1" x14ac:dyDescent="0.2">
      <c r="A45" s="15">
        <v>44</v>
      </c>
      <c r="B45" s="15" t="s">
        <v>342</v>
      </c>
      <c r="C45" s="15" t="s">
        <v>343</v>
      </c>
      <c r="D45" s="16">
        <v>53404.841095890413</v>
      </c>
      <c r="E45" s="19">
        <v>2025</v>
      </c>
      <c r="F45" s="17">
        <f t="shared" si="0"/>
        <v>19.492767000000001</v>
      </c>
      <c r="G45" s="17">
        <v>63.79709971396057</v>
      </c>
      <c r="H45" s="17">
        <v>15.042246182904664</v>
      </c>
      <c r="I45" s="17">
        <v>7.7957121223477408</v>
      </c>
      <c r="J45" s="17" t="s">
        <v>46</v>
      </c>
      <c r="K45" s="17">
        <v>3.3089196623547597E-2</v>
      </c>
      <c r="L45" s="16">
        <v>8891.8029522821907</v>
      </c>
      <c r="M45" s="19">
        <v>2025</v>
      </c>
      <c r="N45" s="16">
        <v>700</v>
      </c>
      <c r="O45" s="16">
        <v>0</v>
      </c>
      <c r="P45" s="17">
        <v>95.210150818351195</v>
      </c>
      <c r="Q45" s="19">
        <v>2025</v>
      </c>
      <c r="R45" s="17">
        <v>2.9200765646169602</v>
      </c>
      <c r="S45" s="19">
        <v>2025</v>
      </c>
      <c r="T45" s="17">
        <v>3.79170510860467</v>
      </c>
      <c r="U45" s="19">
        <v>2025</v>
      </c>
      <c r="V45" s="18">
        <v>2.1110000000000002</v>
      </c>
      <c r="W45" s="18">
        <v>2.3079999999999998</v>
      </c>
      <c r="X45" s="18" t="s">
        <v>46</v>
      </c>
      <c r="Y45" s="18">
        <v>1.0369999999999999</v>
      </c>
      <c r="Z45" s="18" t="s">
        <v>46</v>
      </c>
      <c r="AA45" s="15" t="s">
        <v>47</v>
      </c>
      <c r="AB45" s="15" t="s">
        <v>69</v>
      </c>
      <c r="AC45" s="15" t="s">
        <v>344</v>
      </c>
      <c r="AD45" s="15" t="s">
        <v>345</v>
      </c>
      <c r="AE45" s="15" t="s">
        <v>346</v>
      </c>
      <c r="AF45" s="15" t="s">
        <v>52</v>
      </c>
      <c r="AG45" s="15" t="s">
        <v>73</v>
      </c>
      <c r="AH45" s="15" t="s">
        <v>347</v>
      </c>
      <c r="AI45" s="15" t="s">
        <v>348</v>
      </c>
      <c r="AJ45" s="8">
        <f>'Сводка НПЗ'!D45</f>
        <v>1</v>
      </c>
      <c r="AK45" s="8">
        <f>IF('Сводка НПЗ'!F45&gt;0,'Сводка НПЗ'!E45,"")</f>
        <v>263000</v>
      </c>
      <c r="AL45" s="8">
        <f>'Сводка НПЗ'!G45</f>
        <v>0</v>
      </c>
      <c r="AM45" s="6" t="s">
        <v>56</v>
      </c>
      <c r="AN45" s="12" t="s">
        <v>121</v>
      </c>
      <c r="AO45" s="20">
        <v>2025</v>
      </c>
      <c r="AP45" s="20">
        <v>2025</v>
      </c>
      <c r="AQ45" s="20">
        <v>2025</v>
      </c>
      <c r="AR45" s="6" t="s">
        <v>58</v>
      </c>
    </row>
    <row r="46" spans="1:44" ht="42" customHeight="1" x14ac:dyDescent="0.2">
      <c r="A46" s="15">
        <v>45</v>
      </c>
      <c r="B46" s="15" t="s">
        <v>349</v>
      </c>
      <c r="C46" s="15" t="s">
        <v>350</v>
      </c>
      <c r="D46" s="16">
        <v>3268781.22138</v>
      </c>
      <c r="E46" s="19">
        <v>2024</v>
      </c>
      <c r="F46" s="17">
        <f t="shared" si="0"/>
        <v>1196.3739270250799</v>
      </c>
      <c r="G46" s="17">
        <v>35.543350328888081</v>
      </c>
      <c r="H46" s="17">
        <v>34.869824800290445</v>
      </c>
      <c r="I46" s="17">
        <v>7.225783939136929</v>
      </c>
      <c r="J46" s="17">
        <v>3.7120827250951116</v>
      </c>
      <c r="K46" s="17">
        <v>2.6498100449020754</v>
      </c>
      <c r="L46" s="16">
        <v>4655066.2774676075</v>
      </c>
      <c r="M46" s="19">
        <v>2025</v>
      </c>
      <c r="N46" s="16">
        <v>3769407.0101649459</v>
      </c>
      <c r="O46" s="16">
        <v>82809.042286645185</v>
      </c>
      <c r="P46" s="17">
        <v>2279.9200924921297</v>
      </c>
      <c r="Q46" s="19">
        <v>2025</v>
      </c>
      <c r="R46" s="17">
        <v>2.2857464902475</v>
      </c>
      <c r="S46" s="19">
        <v>2025</v>
      </c>
      <c r="T46" s="17">
        <v>5.01675279604836</v>
      </c>
      <c r="U46" s="19">
        <v>2025</v>
      </c>
      <c r="V46" s="18">
        <v>1.274</v>
      </c>
      <c r="W46" s="18">
        <v>1.278</v>
      </c>
      <c r="X46" s="18" t="s">
        <v>46</v>
      </c>
      <c r="Y46" s="18" t="s">
        <v>46</v>
      </c>
      <c r="Z46" s="18" t="s">
        <v>46</v>
      </c>
      <c r="AA46" s="15" t="s">
        <v>47</v>
      </c>
      <c r="AB46" s="15" t="s">
        <v>48</v>
      </c>
      <c r="AC46" s="15" t="s">
        <v>351</v>
      </c>
      <c r="AD46" s="15" t="s">
        <v>352</v>
      </c>
      <c r="AE46" s="15" t="s">
        <v>353</v>
      </c>
      <c r="AF46" s="15" t="s">
        <v>64</v>
      </c>
      <c r="AG46" s="15" t="s">
        <v>53</v>
      </c>
      <c r="AH46" s="15" t="s">
        <v>354</v>
      </c>
      <c r="AI46" s="15" t="s">
        <v>355</v>
      </c>
      <c r="AJ46" s="8">
        <f>'Сводка НПЗ'!D46</f>
        <v>13</v>
      </c>
      <c r="AK46" s="8">
        <f>IF('Сводка НПЗ'!F46&gt;0,'Сводка НПЗ'!E46,"")</f>
        <v>1972500</v>
      </c>
      <c r="AL46" s="8">
        <f>'Сводка НПЗ'!G46</f>
        <v>0</v>
      </c>
      <c r="AM46" s="6" t="s">
        <v>56</v>
      </c>
      <c r="AN46" s="12" t="s">
        <v>57</v>
      </c>
      <c r="AO46" s="20">
        <v>2024</v>
      </c>
      <c r="AP46" s="20">
        <v>2025</v>
      </c>
      <c r="AQ46" s="20">
        <v>2025</v>
      </c>
      <c r="AR46" s="6" t="s">
        <v>58</v>
      </c>
    </row>
    <row r="47" spans="1:44" ht="42" customHeight="1" x14ac:dyDescent="0.2">
      <c r="A47" s="15">
        <v>46</v>
      </c>
      <c r="B47" s="15" t="s">
        <v>356</v>
      </c>
      <c r="C47" s="15" t="s">
        <v>357</v>
      </c>
      <c r="D47" s="16">
        <v>55247.101888000005</v>
      </c>
      <c r="E47" s="19">
        <v>2024</v>
      </c>
      <c r="F47" s="17">
        <f t="shared" si="0"/>
        <v>20.220439291008002</v>
      </c>
      <c r="G47" s="17">
        <v>41.91379418769052</v>
      </c>
      <c r="H47" s="17">
        <v>24.894194555003985</v>
      </c>
      <c r="I47" s="17">
        <v>6.9665070591440035</v>
      </c>
      <c r="J47" s="17">
        <v>3.6997532814367773</v>
      </c>
      <c r="K47" s="17">
        <v>8.2969729241048871</v>
      </c>
      <c r="L47" s="16">
        <v>1411.551319630137</v>
      </c>
      <c r="M47" s="19">
        <v>2025</v>
      </c>
      <c r="N47" s="16">
        <v>0</v>
      </c>
      <c r="O47" s="16">
        <v>0</v>
      </c>
      <c r="P47" s="17">
        <v>85.347696277685898</v>
      </c>
      <c r="Q47" s="19">
        <v>2025</v>
      </c>
      <c r="R47" s="17">
        <v>1.7847111708275201</v>
      </c>
      <c r="S47" s="19">
        <v>2025</v>
      </c>
      <c r="T47" s="17">
        <v>4.65032720433324</v>
      </c>
      <c r="U47" s="19">
        <v>2025</v>
      </c>
      <c r="V47" s="18">
        <v>2.2040000000000002</v>
      </c>
      <c r="W47" s="18">
        <v>1.4590000000000001</v>
      </c>
      <c r="X47" s="18" t="s">
        <v>46</v>
      </c>
      <c r="Y47" s="18" t="s">
        <v>46</v>
      </c>
      <c r="Z47" s="18" t="s">
        <v>46</v>
      </c>
      <c r="AA47" s="15" t="s">
        <v>47</v>
      </c>
      <c r="AB47" s="15" t="s">
        <v>48</v>
      </c>
      <c r="AC47" s="15" t="s">
        <v>351</v>
      </c>
      <c r="AD47" s="15" t="s">
        <v>358</v>
      </c>
      <c r="AE47" s="15" t="s">
        <v>359</v>
      </c>
      <c r="AF47" s="15" t="s">
        <v>64</v>
      </c>
      <c r="AG47" s="15" t="s">
        <v>53</v>
      </c>
      <c r="AH47" s="15" t="s">
        <v>360</v>
      </c>
      <c r="AI47" s="15" t="s">
        <v>361</v>
      </c>
      <c r="AJ47" s="8">
        <f>'Сводка НПЗ'!D47</f>
        <v>1</v>
      </c>
      <c r="AK47" s="8">
        <f>IF('Сводка НПЗ'!F47&gt;0,'Сводка НПЗ'!E47,"")</f>
        <v>40000</v>
      </c>
      <c r="AL47" s="8">
        <f>'Сводка НПЗ'!G47</f>
        <v>0</v>
      </c>
      <c r="AM47" s="6" t="s">
        <v>56</v>
      </c>
      <c r="AN47" s="12" t="s">
        <v>83</v>
      </c>
      <c r="AO47" s="20">
        <v>2024</v>
      </c>
      <c r="AP47" s="20">
        <v>2025</v>
      </c>
      <c r="AQ47" s="20">
        <v>2025</v>
      </c>
      <c r="AR47" s="6" t="s">
        <v>58</v>
      </c>
    </row>
    <row r="48" spans="1:44" ht="42" customHeight="1" x14ac:dyDescent="0.2">
      <c r="A48" s="15">
        <v>47</v>
      </c>
      <c r="B48" s="15" t="s">
        <v>362</v>
      </c>
      <c r="C48" s="15" t="s">
        <v>363</v>
      </c>
      <c r="D48" s="16">
        <v>48219.792365000001</v>
      </c>
      <c r="E48" s="19">
        <v>2024</v>
      </c>
      <c r="F48" s="17">
        <f t="shared" si="0"/>
        <v>17.648444005590001</v>
      </c>
      <c r="G48" s="17">
        <v>58.529560509856829</v>
      </c>
      <c r="H48" s="17">
        <v>36.269430066427041</v>
      </c>
      <c r="I48" s="17">
        <v>0</v>
      </c>
      <c r="J48" s="17">
        <v>5.0808305569940426</v>
      </c>
      <c r="K48" s="17">
        <v>0.12017886672208611</v>
      </c>
      <c r="L48" s="16">
        <v>13671.846575342466</v>
      </c>
      <c r="M48" s="19">
        <v>2025</v>
      </c>
      <c r="N48" s="16">
        <v>13671.846575342466</v>
      </c>
      <c r="O48" s="16">
        <v>0</v>
      </c>
      <c r="P48" s="17">
        <v>25.369107325454898</v>
      </c>
      <c r="Q48" s="19">
        <v>2025</v>
      </c>
      <c r="R48" s="17">
        <v>6.8439141593860704</v>
      </c>
      <c r="S48" s="19">
        <v>2025</v>
      </c>
      <c r="T48" s="17">
        <v>8.6053648736969492</v>
      </c>
      <c r="U48" s="19">
        <v>2025</v>
      </c>
      <c r="V48" s="18">
        <v>1.7829999999999999</v>
      </c>
      <c r="W48" s="18">
        <v>1.59</v>
      </c>
      <c r="X48" s="18" t="s">
        <v>46</v>
      </c>
      <c r="Y48" s="18">
        <v>0.81699999999999995</v>
      </c>
      <c r="Z48" s="18" t="s">
        <v>46</v>
      </c>
      <c r="AA48" s="15" t="s">
        <v>47</v>
      </c>
      <c r="AB48" s="15" t="s">
        <v>69</v>
      </c>
      <c r="AC48" s="15" t="s">
        <v>351</v>
      </c>
      <c r="AD48" s="15" t="s">
        <v>364</v>
      </c>
      <c r="AE48" s="15" t="s">
        <v>365</v>
      </c>
      <c r="AF48" s="15" t="s">
        <v>64</v>
      </c>
      <c r="AG48" s="15" t="s">
        <v>73</v>
      </c>
      <c r="AH48" s="15" t="s">
        <v>366</v>
      </c>
      <c r="AI48" s="15" t="s">
        <v>367</v>
      </c>
      <c r="AJ48" s="8">
        <f>'Сводка НПЗ'!D48</f>
        <v>0</v>
      </c>
      <c r="AK48" s="8" t="str">
        <f>IF('Сводка НПЗ'!F48&gt;0,'Сводка НПЗ'!E48,"")</f>
        <v/>
      </c>
      <c r="AL48" s="8">
        <f>'Сводка НПЗ'!G48</f>
        <v>0</v>
      </c>
      <c r="AM48" s="6" t="s">
        <v>56</v>
      </c>
      <c r="AN48" s="12" t="s">
        <v>83</v>
      </c>
      <c r="AO48" s="20">
        <v>2024</v>
      </c>
      <c r="AP48" s="20">
        <v>2025</v>
      </c>
      <c r="AQ48" s="20">
        <v>2025</v>
      </c>
      <c r="AR48" s="6" t="s">
        <v>58</v>
      </c>
    </row>
    <row r="49" spans="1:44" ht="42" customHeight="1" x14ac:dyDescent="0.2">
      <c r="A49" s="15">
        <v>48</v>
      </c>
      <c r="B49" s="15" t="s">
        <v>368</v>
      </c>
      <c r="C49" s="15" t="s">
        <v>369</v>
      </c>
      <c r="D49" s="16">
        <v>3801859.2143699606</v>
      </c>
      <c r="E49" s="19">
        <v>2024</v>
      </c>
      <c r="F49" s="17">
        <f t="shared" si="0"/>
        <v>1391.4804724594057</v>
      </c>
      <c r="G49" s="17">
        <v>23.767709530822586</v>
      </c>
      <c r="H49" s="17">
        <v>23.973130148893087</v>
      </c>
      <c r="I49" s="17">
        <v>23.66681429441385</v>
      </c>
      <c r="J49" s="17">
        <v>6.2864237020072542</v>
      </c>
      <c r="K49" s="17">
        <v>1.3951006659984828</v>
      </c>
      <c r="L49" s="16">
        <v>10534547.925824292</v>
      </c>
      <c r="M49" s="19">
        <v>2025</v>
      </c>
      <c r="N49" s="16">
        <v>9885109.03296257</v>
      </c>
      <c r="O49" s="16">
        <v>621678.16654467606</v>
      </c>
      <c r="P49" s="17">
        <v>2561.31016935874</v>
      </c>
      <c r="Q49" s="19">
        <v>2025</v>
      </c>
      <c r="R49" s="17">
        <v>1.00117656925738</v>
      </c>
      <c r="S49" s="19">
        <v>2025</v>
      </c>
      <c r="T49" s="17">
        <v>8.7198693940266594</v>
      </c>
      <c r="U49" s="19">
        <v>2025</v>
      </c>
      <c r="V49" s="18">
        <v>0.88400000000000001</v>
      </c>
      <c r="W49" s="18">
        <v>0.96799999999999997</v>
      </c>
      <c r="X49" s="18" t="s">
        <v>46</v>
      </c>
      <c r="Y49" s="18">
        <v>0.42899999999999999</v>
      </c>
      <c r="Z49" s="18" t="s">
        <v>46</v>
      </c>
      <c r="AA49" s="15" t="s">
        <v>47</v>
      </c>
      <c r="AB49" s="15" t="s">
        <v>69</v>
      </c>
      <c r="AC49" s="15" t="s">
        <v>351</v>
      </c>
      <c r="AD49" s="15" t="s">
        <v>370</v>
      </c>
      <c r="AE49" s="15" t="s">
        <v>371</v>
      </c>
      <c r="AF49" s="15" t="s">
        <v>64</v>
      </c>
      <c r="AG49" s="15" t="s">
        <v>73</v>
      </c>
      <c r="AH49" s="15" t="s">
        <v>372</v>
      </c>
      <c r="AI49" s="15" t="s">
        <v>373</v>
      </c>
      <c r="AJ49" s="8">
        <f>'Сводка НПЗ'!D49</f>
        <v>41</v>
      </c>
      <c r="AK49" s="8">
        <f>IF('Сводка НПЗ'!F49&gt;0,'Сводка НПЗ'!E49,"")</f>
        <v>5513129</v>
      </c>
      <c r="AL49" s="8">
        <f>'Сводка НПЗ'!G49</f>
        <v>0</v>
      </c>
      <c r="AM49" s="6" t="s">
        <v>56</v>
      </c>
      <c r="AN49" s="12" t="s">
        <v>57</v>
      </c>
      <c r="AO49" s="20">
        <v>2024</v>
      </c>
      <c r="AP49" s="20">
        <v>2025</v>
      </c>
      <c r="AQ49" s="20">
        <v>2025</v>
      </c>
      <c r="AR49" s="6" t="s">
        <v>58</v>
      </c>
    </row>
    <row r="50" spans="1:44" ht="42" customHeight="1" x14ac:dyDescent="0.2">
      <c r="A50" s="15">
        <v>49</v>
      </c>
      <c r="B50" s="15" t="s">
        <v>374</v>
      </c>
      <c r="C50" s="15" t="s">
        <v>375</v>
      </c>
      <c r="D50" s="16">
        <v>218926.02739726027</v>
      </c>
      <c r="E50" s="19">
        <v>2025</v>
      </c>
      <c r="F50" s="17">
        <f t="shared" si="0"/>
        <v>79.908000000000001</v>
      </c>
      <c r="G50" s="17">
        <v>51.542598988837163</v>
      </c>
      <c r="H50" s="17">
        <v>19.372778695499825</v>
      </c>
      <c r="I50" s="17">
        <v>5.3421434649847326</v>
      </c>
      <c r="J50" s="17">
        <v>9.1513240226260208</v>
      </c>
      <c r="K50" s="17">
        <v>0.4439480402462832</v>
      </c>
      <c r="L50" s="16">
        <v>10891.300593235617</v>
      </c>
      <c r="M50" s="19">
        <v>2025</v>
      </c>
      <c r="N50" s="16">
        <v>1345.5506849315068</v>
      </c>
      <c r="O50" s="16">
        <v>0</v>
      </c>
      <c r="P50" s="17">
        <v>391.02696280047496</v>
      </c>
      <c r="Q50" s="19">
        <v>2025</v>
      </c>
      <c r="R50" s="17">
        <v>2.58046673293437</v>
      </c>
      <c r="S50" s="19">
        <v>2025</v>
      </c>
      <c r="T50" s="17">
        <v>2.4599636783886498</v>
      </c>
      <c r="U50" s="19">
        <v>2025</v>
      </c>
      <c r="V50" s="18">
        <v>2.0760000000000001</v>
      </c>
      <c r="W50" s="18">
        <v>2.2509999999999999</v>
      </c>
      <c r="X50" s="18" t="s">
        <v>46</v>
      </c>
      <c r="Y50" s="18">
        <v>1.0309999999999999</v>
      </c>
      <c r="Z50" s="18" t="s">
        <v>46</v>
      </c>
      <c r="AA50" s="15" t="s">
        <v>47</v>
      </c>
      <c r="AB50" s="15" t="s">
        <v>69</v>
      </c>
      <c r="AC50" s="15" t="s">
        <v>376</v>
      </c>
      <c r="AD50" s="15" t="s">
        <v>377</v>
      </c>
      <c r="AE50" s="15" t="s">
        <v>378</v>
      </c>
      <c r="AF50" s="15" t="s">
        <v>52</v>
      </c>
      <c r="AG50" s="15" t="s">
        <v>73</v>
      </c>
      <c r="AH50" s="15" t="s">
        <v>379</v>
      </c>
      <c r="AI50" s="15" t="s">
        <v>380</v>
      </c>
      <c r="AJ50" s="8">
        <f>'Сводка НПЗ'!D50</f>
        <v>4</v>
      </c>
      <c r="AK50" s="8">
        <f>IF('Сводка НПЗ'!F50&gt;0,'Сводка НПЗ'!E50,"")</f>
        <v>190000</v>
      </c>
      <c r="AL50" s="8">
        <f>'Сводка НПЗ'!G50</f>
        <v>1</v>
      </c>
      <c r="AM50" s="6" t="s">
        <v>56</v>
      </c>
      <c r="AN50" s="12" t="s">
        <v>121</v>
      </c>
      <c r="AO50" s="20">
        <v>2025</v>
      </c>
      <c r="AP50" s="20">
        <v>2025</v>
      </c>
      <c r="AQ50" s="20">
        <v>2025</v>
      </c>
      <c r="AR50" s="6" t="s">
        <v>58</v>
      </c>
    </row>
    <row r="51" spans="1:44" ht="42" customHeight="1" x14ac:dyDescent="0.2">
      <c r="A51" s="15">
        <v>50</v>
      </c>
      <c r="B51" s="15" t="s">
        <v>381</v>
      </c>
      <c r="C51" s="15" t="s">
        <v>382</v>
      </c>
      <c r="D51" s="16">
        <v>2172808.2191780824</v>
      </c>
      <c r="E51" s="19">
        <v>2025</v>
      </c>
      <c r="F51" s="17">
        <f t="shared" si="0"/>
        <v>793.07500000000016</v>
      </c>
      <c r="G51" s="17">
        <v>42.092808372474231</v>
      </c>
      <c r="H51" s="17">
        <v>21.892273744601709</v>
      </c>
      <c r="I51" s="17">
        <v>4.5605774989755066</v>
      </c>
      <c r="J51" s="17">
        <v>17.742730510985723</v>
      </c>
      <c r="K51" s="17">
        <v>2.2951044983135263</v>
      </c>
      <c r="L51" s="16">
        <v>185636.78917555342</v>
      </c>
      <c r="M51" s="19">
        <v>2025</v>
      </c>
      <c r="N51" s="16">
        <v>31579.964383561644</v>
      </c>
      <c r="O51" s="16">
        <v>0</v>
      </c>
      <c r="P51" s="17">
        <v>5050.9229250470498</v>
      </c>
      <c r="Q51" s="19">
        <v>2025</v>
      </c>
      <c r="R51" s="17">
        <v>0.23957834211788101</v>
      </c>
      <c r="S51" s="19">
        <v>2025</v>
      </c>
      <c r="T51" s="17">
        <v>2.17178770949721</v>
      </c>
      <c r="U51" s="19">
        <v>2025</v>
      </c>
      <c r="V51" s="18">
        <v>2.6709999999999998</v>
      </c>
      <c r="W51" s="18">
        <v>2.8130000000000002</v>
      </c>
      <c r="X51" s="18" t="s">
        <v>46</v>
      </c>
      <c r="Y51" s="18">
        <v>1.294</v>
      </c>
      <c r="Z51" s="18" t="s">
        <v>46</v>
      </c>
      <c r="AA51" s="15" t="s">
        <v>47</v>
      </c>
      <c r="AB51" s="15" t="s">
        <v>69</v>
      </c>
      <c r="AC51" s="15" t="s">
        <v>383</v>
      </c>
      <c r="AD51" s="15" t="s">
        <v>384</v>
      </c>
      <c r="AE51" s="15" t="s">
        <v>385</v>
      </c>
      <c r="AF51" s="15" t="s">
        <v>52</v>
      </c>
      <c r="AG51" s="15" t="s">
        <v>73</v>
      </c>
      <c r="AH51" s="15" t="s">
        <v>386</v>
      </c>
      <c r="AI51" s="15" t="s">
        <v>387</v>
      </c>
      <c r="AJ51" s="8">
        <f>'Сводка НПЗ'!D51</f>
        <v>15</v>
      </c>
      <c r="AK51" s="8">
        <f>IF('Сводка НПЗ'!F51&gt;0,'Сводка НПЗ'!E51,"")</f>
        <v>2335861</v>
      </c>
      <c r="AL51" s="8">
        <f>'Сводка НПЗ'!G51</f>
        <v>2</v>
      </c>
      <c r="AM51" s="6" t="s">
        <v>56</v>
      </c>
      <c r="AN51" s="12" t="s">
        <v>121</v>
      </c>
      <c r="AO51" s="20">
        <v>2025</v>
      </c>
      <c r="AP51" s="20">
        <v>2025</v>
      </c>
      <c r="AQ51" s="20">
        <v>2025</v>
      </c>
      <c r="AR51" s="6" t="s">
        <v>58</v>
      </c>
    </row>
    <row r="52" spans="1:44" ht="42" customHeight="1" x14ac:dyDescent="0.2">
      <c r="A52" s="15">
        <v>51</v>
      </c>
      <c r="B52" s="15" t="s">
        <v>388</v>
      </c>
      <c r="C52" s="15" t="s">
        <v>389</v>
      </c>
      <c r="D52" s="16">
        <v>22912.328767123287</v>
      </c>
      <c r="E52" s="19">
        <v>2025</v>
      </c>
      <c r="F52" s="17">
        <f t="shared" si="0"/>
        <v>8.3629999999999995</v>
      </c>
      <c r="G52" s="17">
        <v>72.253975845988279</v>
      </c>
      <c r="H52" s="17">
        <v>21.117421977759175</v>
      </c>
      <c r="I52" s="17">
        <v>1.9418868826975966</v>
      </c>
      <c r="J52" s="17">
        <v>0.56534736338634461</v>
      </c>
      <c r="K52" s="17">
        <v>4.3961497070429267</v>
      </c>
      <c r="L52" s="16">
        <v>22098.94794520548</v>
      </c>
      <c r="M52" s="19">
        <v>2025</v>
      </c>
      <c r="N52" s="16">
        <v>0</v>
      </c>
      <c r="O52" s="16">
        <v>0</v>
      </c>
      <c r="P52" s="17">
        <v>47.030833798586599</v>
      </c>
      <c r="Q52" s="19">
        <v>2025</v>
      </c>
      <c r="R52" s="17">
        <v>0.58430846478938703</v>
      </c>
      <c r="S52" s="19">
        <v>2025</v>
      </c>
      <c r="T52" s="17">
        <v>4.8292075362834197</v>
      </c>
      <c r="U52" s="19">
        <v>2025</v>
      </c>
      <c r="V52" s="18">
        <v>2.048</v>
      </c>
      <c r="W52" s="18">
        <v>2.14</v>
      </c>
      <c r="X52" s="18" t="s">
        <v>46</v>
      </c>
      <c r="Y52" s="18">
        <v>1.119</v>
      </c>
      <c r="Z52" s="18" t="s">
        <v>46</v>
      </c>
      <c r="AA52" s="15" t="s">
        <v>47</v>
      </c>
      <c r="AB52" s="15" t="s">
        <v>69</v>
      </c>
      <c r="AC52" s="15" t="s">
        <v>390</v>
      </c>
      <c r="AD52" s="15" t="s">
        <v>391</v>
      </c>
      <c r="AE52" s="15" t="s">
        <v>392</v>
      </c>
      <c r="AF52" s="15" t="s">
        <v>52</v>
      </c>
      <c r="AG52" s="15" t="s">
        <v>73</v>
      </c>
      <c r="AH52" s="15" t="s">
        <v>393</v>
      </c>
      <c r="AI52" s="15" t="s">
        <v>394</v>
      </c>
      <c r="AJ52" s="8">
        <f>'Сводка НПЗ'!D52</f>
        <v>0</v>
      </c>
      <c r="AK52" s="8" t="str">
        <f>IF('Сводка НПЗ'!F52&gt;0,'Сводка НПЗ'!E52,"")</f>
        <v/>
      </c>
      <c r="AL52" s="8">
        <f>'Сводка НПЗ'!G52</f>
        <v>0</v>
      </c>
      <c r="AM52" s="6" t="s">
        <v>56</v>
      </c>
      <c r="AN52" s="12" t="s">
        <v>83</v>
      </c>
      <c r="AO52" s="20">
        <v>2025</v>
      </c>
      <c r="AP52" s="20">
        <v>2025</v>
      </c>
      <c r="AQ52" s="20">
        <v>2025</v>
      </c>
      <c r="AR52" s="6" t="s">
        <v>58</v>
      </c>
    </row>
    <row r="53" spans="1:44" ht="42" customHeight="1" x14ac:dyDescent="0.2">
      <c r="A53" s="15">
        <v>52</v>
      </c>
      <c r="B53" s="15" t="s">
        <v>395</v>
      </c>
      <c r="C53" s="15" t="s">
        <v>396</v>
      </c>
      <c r="D53" s="16">
        <v>32816.438356164384</v>
      </c>
      <c r="E53" s="19">
        <v>2025</v>
      </c>
      <c r="F53" s="17">
        <f t="shared" si="0"/>
        <v>11.978</v>
      </c>
      <c r="G53" s="17">
        <v>67.014192686592082</v>
      </c>
      <c r="H53" s="17">
        <v>11.851728168308567</v>
      </c>
      <c r="I53" s="17">
        <v>7.4570045082651522</v>
      </c>
      <c r="J53" s="17">
        <v>17.104691935214561</v>
      </c>
      <c r="K53" s="17">
        <v>0</v>
      </c>
      <c r="L53" s="16">
        <v>1595</v>
      </c>
      <c r="M53" s="19">
        <v>2025</v>
      </c>
      <c r="N53" s="16">
        <v>0</v>
      </c>
      <c r="O53" s="16">
        <v>0</v>
      </c>
      <c r="P53" s="17">
        <v>48.618869160325403</v>
      </c>
      <c r="Q53" s="19">
        <v>2025</v>
      </c>
      <c r="R53" s="17">
        <v>2.1378685573128799</v>
      </c>
      <c r="S53" s="19">
        <v>2025</v>
      </c>
      <c r="T53" s="17">
        <v>3.7457731675194501</v>
      </c>
      <c r="U53" s="19">
        <v>2025</v>
      </c>
      <c r="V53" s="18">
        <v>2.2389999999999999</v>
      </c>
      <c r="W53" s="18">
        <v>2.407</v>
      </c>
      <c r="X53" s="18" t="s">
        <v>46</v>
      </c>
      <c r="Y53" s="18">
        <v>1.1830000000000001</v>
      </c>
      <c r="Z53" s="18" t="s">
        <v>46</v>
      </c>
      <c r="AA53" s="15" t="s">
        <v>47</v>
      </c>
      <c r="AB53" s="15" t="s">
        <v>69</v>
      </c>
      <c r="AC53" s="15" t="s">
        <v>376</v>
      </c>
      <c r="AD53" s="15" t="s">
        <v>397</v>
      </c>
      <c r="AE53" s="15" t="s">
        <v>398</v>
      </c>
      <c r="AF53" s="15" t="s">
        <v>52</v>
      </c>
      <c r="AG53" s="15" t="s">
        <v>73</v>
      </c>
      <c r="AH53" s="15" t="s">
        <v>399</v>
      </c>
      <c r="AI53" s="15" t="s">
        <v>400</v>
      </c>
      <c r="AJ53" s="8">
        <f>'Сводка НПЗ'!D53</f>
        <v>0</v>
      </c>
      <c r="AK53" s="8" t="str">
        <f>IF('Сводка НПЗ'!F53&gt;0,'Сводка НПЗ'!E53,"")</f>
        <v/>
      </c>
      <c r="AL53" s="8">
        <f>'Сводка НПЗ'!G53</f>
        <v>0</v>
      </c>
      <c r="AM53" s="6" t="s">
        <v>56</v>
      </c>
      <c r="AN53" s="12" t="s">
        <v>83</v>
      </c>
      <c r="AO53" s="20">
        <v>2025</v>
      </c>
      <c r="AP53" s="20">
        <v>2025</v>
      </c>
      <c r="AQ53" s="20">
        <v>2025</v>
      </c>
      <c r="AR53" s="6" t="s">
        <v>58</v>
      </c>
    </row>
    <row r="54" spans="1:44" ht="42" customHeight="1" x14ac:dyDescent="0.2">
      <c r="A54" s="15">
        <v>53</v>
      </c>
      <c r="B54" s="15" t="s">
        <v>401</v>
      </c>
      <c r="C54" s="15" t="s">
        <v>402</v>
      </c>
      <c r="D54" s="16">
        <v>219912.32876712328</v>
      </c>
      <c r="E54" s="19">
        <v>2025</v>
      </c>
      <c r="F54" s="17">
        <f t="shared" si="0"/>
        <v>80.268000000000001</v>
      </c>
      <c r="G54" s="17">
        <v>39.071410773907409</v>
      </c>
      <c r="H54" s="17">
        <v>6.463721532864902</v>
      </c>
      <c r="I54" s="17">
        <v>22.053122041162109</v>
      </c>
      <c r="J54" s="17">
        <v>17.386106543080679</v>
      </c>
      <c r="K54" s="17">
        <v>0</v>
      </c>
      <c r="L54" s="16">
        <v>2051847.5245633535</v>
      </c>
      <c r="M54" s="19">
        <v>2025</v>
      </c>
      <c r="N54" s="16">
        <v>1858464.2345479452</v>
      </c>
      <c r="O54" s="16">
        <v>187033.51189041097</v>
      </c>
      <c r="P54" s="17">
        <v>530.75571943887905</v>
      </c>
      <c r="Q54" s="19">
        <v>2025</v>
      </c>
      <c r="R54" s="17">
        <v>1.0852818503141699</v>
      </c>
      <c r="S54" s="19">
        <v>2025</v>
      </c>
      <c r="T54" s="17">
        <v>3.0556248441007701</v>
      </c>
      <c r="U54" s="19">
        <v>2025</v>
      </c>
      <c r="V54" s="18">
        <v>3.1640000000000001</v>
      </c>
      <c r="W54" s="18">
        <v>3.036</v>
      </c>
      <c r="X54" s="18" t="s">
        <v>46</v>
      </c>
      <c r="Y54" s="18" t="s">
        <v>46</v>
      </c>
      <c r="Z54" s="18" t="s">
        <v>46</v>
      </c>
      <c r="AA54" s="15" t="s">
        <v>47</v>
      </c>
      <c r="AB54" s="15" t="s">
        <v>48</v>
      </c>
      <c r="AC54" s="15" t="s">
        <v>376</v>
      </c>
      <c r="AD54" s="15" t="s">
        <v>403</v>
      </c>
      <c r="AE54" s="15" t="s">
        <v>404</v>
      </c>
      <c r="AF54" s="15" t="s">
        <v>52</v>
      </c>
      <c r="AG54" s="15" t="s">
        <v>53</v>
      </c>
      <c r="AH54" s="15" t="s">
        <v>405</v>
      </c>
      <c r="AI54" s="15" t="s">
        <v>406</v>
      </c>
      <c r="AJ54" s="8">
        <f>'Сводка НПЗ'!D54</f>
        <v>2</v>
      </c>
      <c r="AK54" s="8">
        <f>IF('Сводка НПЗ'!F54&gt;0,'Сводка НПЗ'!E54,"")</f>
        <v>200000</v>
      </c>
      <c r="AL54" s="8">
        <f>'Сводка НПЗ'!G54</f>
        <v>0</v>
      </c>
      <c r="AM54" s="6" t="s">
        <v>56</v>
      </c>
      <c r="AN54" s="12" t="s">
        <v>121</v>
      </c>
      <c r="AO54" s="20">
        <v>2025</v>
      </c>
      <c r="AP54" s="20">
        <v>2025</v>
      </c>
      <c r="AQ54" s="20">
        <v>2025</v>
      </c>
      <c r="AR54" s="6" t="s">
        <v>58</v>
      </c>
    </row>
    <row r="55" spans="1:44" ht="42" customHeight="1" x14ac:dyDescent="0.2">
      <c r="A55" s="15">
        <v>54</v>
      </c>
      <c r="B55" s="15" t="s">
        <v>407</v>
      </c>
      <c r="C55" s="15" t="s">
        <v>408</v>
      </c>
      <c r="D55" s="16">
        <v>281676.71232876711</v>
      </c>
      <c r="E55" s="19">
        <v>2025</v>
      </c>
      <c r="F55" s="17">
        <f t="shared" si="0"/>
        <v>102.812</v>
      </c>
      <c r="G55" s="17">
        <v>39.987608450375447</v>
      </c>
      <c r="H55" s="17">
        <v>17.177469556082947</v>
      </c>
      <c r="I55" s="17">
        <v>10.301132163560673</v>
      </c>
      <c r="J55" s="17">
        <v>11.573357195658094</v>
      </c>
      <c r="K55" s="17">
        <v>7.986275921098704</v>
      </c>
      <c r="L55" s="16">
        <v>13917.812827657535</v>
      </c>
      <c r="M55" s="19">
        <v>2025</v>
      </c>
      <c r="N55" s="16">
        <v>0</v>
      </c>
      <c r="O55" s="16">
        <v>0</v>
      </c>
      <c r="P55" s="17">
        <v>668.99866408208106</v>
      </c>
      <c r="Q55" s="19">
        <v>2025</v>
      </c>
      <c r="R55" s="17">
        <v>1.5431637326621701</v>
      </c>
      <c r="S55" s="19">
        <v>2025</v>
      </c>
      <c r="T55" s="17">
        <v>0.67986928524399504</v>
      </c>
      <c r="U55" s="19">
        <v>2025</v>
      </c>
      <c r="V55" s="18">
        <v>1.8959999999999999</v>
      </c>
      <c r="W55" s="18">
        <v>2.3559999999999999</v>
      </c>
      <c r="X55" s="18" t="s">
        <v>46</v>
      </c>
      <c r="Y55" s="18" t="s">
        <v>46</v>
      </c>
      <c r="Z55" s="18" t="s">
        <v>46</v>
      </c>
      <c r="AA55" s="15" t="s">
        <v>47</v>
      </c>
      <c r="AB55" s="15" t="s">
        <v>48</v>
      </c>
      <c r="AC55" s="15" t="s">
        <v>376</v>
      </c>
      <c r="AD55" s="15" t="s">
        <v>409</v>
      </c>
      <c r="AE55" s="15" t="s">
        <v>410</v>
      </c>
      <c r="AF55" s="15" t="s">
        <v>52</v>
      </c>
      <c r="AG55" s="15" t="s">
        <v>53</v>
      </c>
      <c r="AH55" s="15" t="s">
        <v>411</v>
      </c>
      <c r="AI55" s="15" t="s">
        <v>412</v>
      </c>
      <c r="AJ55" s="8">
        <f>'Сводка НПЗ'!D55</f>
        <v>5</v>
      </c>
      <c r="AK55" s="8">
        <f>IF('Сводка НПЗ'!F55&gt;0,'Сводка НПЗ'!E55,"")</f>
        <v>416000</v>
      </c>
      <c r="AL55" s="8">
        <f>'Сводка НПЗ'!G55</f>
        <v>0</v>
      </c>
      <c r="AM55" s="6" t="s">
        <v>56</v>
      </c>
      <c r="AN55" s="12" t="s">
        <v>121</v>
      </c>
      <c r="AO55" s="20">
        <v>2025</v>
      </c>
      <c r="AP55" s="20">
        <v>2025</v>
      </c>
      <c r="AQ55" s="20">
        <v>2025</v>
      </c>
      <c r="AR55" s="6" t="s">
        <v>58</v>
      </c>
    </row>
    <row r="56" spans="1:44" ht="42" customHeight="1" x14ac:dyDescent="0.2">
      <c r="A56" s="15">
        <v>55</v>
      </c>
      <c r="B56" s="15" t="s">
        <v>413</v>
      </c>
      <c r="C56" s="15" t="s">
        <v>414</v>
      </c>
      <c r="D56" s="16">
        <v>168227.39726027398</v>
      </c>
      <c r="E56" s="19">
        <v>2025</v>
      </c>
      <c r="F56" s="17">
        <f t="shared" si="0"/>
        <v>61.402999999999999</v>
      </c>
      <c r="G56" s="17">
        <v>40.78501050437275</v>
      </c>
      <c r="H56" s="17">
        <v>17.75238994837386</v>
      </c>
      <c r="I56" s="17">
        <v>18.92936827190854</v>
      </c>
      <c r="J56" s="17">
        <v>20.404866211748612</v>
      </c>
      <c r="K56" s="17">
        <v>3.3193817891633963</v>
      </c>
      <c r="L56" s="16">
        <v>16787.699300687669</v>
      </c>
      <c r="M56" s="19">
        <v>2025</v>
      </c>
      <c r="N56" s="16">
        <v>0</v>
      </c>
      <c r="O56" s="16">
        <v>0</v>
      </c>
      <c r="P56" s="17">
        <v>317.03936881960698</v>
      </c>
      <c r="Q56" s="19">
        <v>2025</v>
      </c>
      <c r="R56" s="17">
        <v>0.173444509584499</v>
      </c>
      <c r="S56" s="19">
        <v>2025</v>
      </c>
      <c r="T56" s="17">
        <v>0.33787465940057398</v>
      </c>
      <c r="U56" s="19">
        <v>2025</v>
      </c>
      <c r="V56" s="18">
        <v>2.6019999999999999</v>
      </c>
      <c r="W56" s="18">
        <v>2.7749999999999999</v>
      </c>
      <c r="X56" s="18" t="s">
        <v>46</v>
      </c>
      <c r="Y56" s="18" t="s">
        <v>46</v>
      </c>
      <c r="Z56" s="18" t="s">
        <v>46</v>
      </c>
      <c r="AA56" s="15" t="s">
        <v>47</v>
      </c>
      <c r="AB56" s="15" t="s">
        <v>48</v>
      </c>
      <c r="AC56" s="15" t="s">
        <v>390</v>
      </c>
      <c r="AD56" s="15" t="s">
        <v>415</v>
      </c>
      <c r="AE56" s="15" t="s">
        <v>416</v>
      </c>
      <c r="AF56" s="15" t="s">
        <v>52</v>
      </c>
      <c r="AG56" s="15" t="s">
        <v>53</v>
      </c>
      <c r="AH56" s="15" t="s">
        <v>417</v>
      </c>
      <c r="AI56" s="15" t="s">
        <v>418</v>
      </c>
      <c r="AJ56" s="8">
        <f>'Сводка НПЗ'!D56</f>
        <v>2</v>
      </c>
      <c r="AK56" s="8">
        <f>IF('Сводка НПЗ'!F56&gt;0,'Сводка НПЗ'!E56,"")</f>
        <v>200000</v>
      </c>
      <c r="AL56" s="8">
        <f>'Сводка НПЗ'!G56</f>
        <v>0</v>
      </c>
      <c r="AM56" s="6" t="s">
        <v>56</v>
      </c>
      <c r="AN56" s="12" t="s">
        <v>121</v>
      </c>
      <c r="AO56" s="20">
        <v>2025</v>
      </c>
      <c r="AP56" s="20">
        <v>2025</v>
      </c>
      <c r="AQ56" s="20">
        <v>2025</v>
      </c>
      <c r="AR56" s="6" t="s">
        <v>58</v>
      </c>
    </row>
    <row r="57" spans="1:44" ht="42" customHeight="1" x14ac:dyDescent="0.2">
      <c r="A57" s="15">
        <v>56</v>
      </c>
      <c r="B57" s="15" t="s">
        <v>419</v>
      </c>
      <c r="C57" s="15" t="s">
        <v>420</v>
      </c>
      <c r="D57" s="16">
        <v>555217.93920499994</v>
      </c>
      <c r="E57" s="19">
        <v>2024</v>
      </c>
      <c r="F57" s="17">
        <f t="shared" si="0"/>
        <v>203.20976574903</v>
      </c>
      <c r="G57" s="17">
        <v>38.43978470969369</v>
      </c>
      <c r="H57" s="17">
        <v>31.48394829430357</v>
      </c>
      <c r="I57" s="17">
        <v>13.401391721337582</v>
      </c>
      <c r="J57" s="17">
        <v>10.65361678293325</v>
      </c>
      <c r="K57" s="17">
        <v>1.6675360856057555</v>
      </c>
      <c r="L57" s="16">
        <v>199074.0266043123</v>
      </c>
      <c r="M57" s="19">
        <v>2025</v>
      </c>
      <c r="N57" s="16">
        <v>164669.95616438356</v>
      </c>
      <c r="O57" s="16">
        <v>24000</v>
      </c>
      <c r="P57" s="17">
        <v>514.69721516506502</v>
      </c>
      <c r="Q57" s="19">
        <v>2025</v>
      </c>
      <c r="R57" s="17">
        <v>8.01882998978245</v>
      </c>
      <c r="S57" s="19">
        <v>2025</v>
      </c>
      <c r="T57" s="17">
        <v>3.3099931421974</v>
      </c>
      <c r="U57" s="19">
        <v>2025</v>
      </c>
      <c r="V57" s="18">
        <v>0.96799999999999997</v>
      </c>
      <c r="W57" s="18">
        <v>1.1080000000000001</v>
      </c>
      <c r="X57" s="18" t="s">
        <v>46</v>
      </c>
      <c r="Y57" s="18" t="s">
        <v>46</v>
      </c>
      <c r="Z57" s="18" t="s">
        <v>46</v>
      </c>
      <c r="AA57" s="15" t="s">
        <v>47</v>
      </c>
      <c r="AB57" s="15" t="s">
        <v>48</v>
      </c>
      <c r="AC57" s="15" t="s">
        <v>421</v>
      </c>
      <c r="AD57" s="15" t="s">
        <v>422</v>
      </c>
      <c r="AE57" s="15" t="s">
        <v>423</v>
      </c>
      <c r="AF57" s="15" t="s">
        <v>64</v>
      </c>
      <c r="AG57" s="15" t="s">
        <v>53</v>
      </c>
      <c r="AH57" s="15" t="s">
        <v>424</v>
      </c>
      <c r="AI57" s="15" t="s">
        <v>425</v>
      </c>
      <c r="AJ57" s="8">
        <f>'Сводка НПЗ'!D57</f>
        <v>0</v>
      </c>
      <c r="AK57" s="8" t="str">
        <f>IF('Сводка НПЗ'!F57&gt;0,'Сводка НПЗ'!E57,"")</f>
        <v/>
      </c>
      <c r="AL57" s="8">
        <f>'Сводка НПЗ'!G57</f>
        <v>0</v>
      </c>
      <c r="AM57" s="6" t="s">
        <v>56</v>
      </c>
      <c r="AN57" s="12" t="s">
        <v>57</v>
      </c>
      <c r="AO57" s="20">
        <v>2024</v>
      </c>
      <c r="AP57" s="20">
        <v>2025</v>
      </c>
      <c r="AQ57" s="20">
        <v>2025</v>
      </c>
      <c r="AR57" s="6" t="s">
        <v>58</v>
      </c>
    </row>
    <row r="58" spans="1:44" ht="42" customHeight="1" x14ac:dyDescent="0.2">
      <c r="A58" s="15">
        <v>57</v>
      </c>
      <c r="B58" s="15" t="s">
        <v>426</v>
      </c>
      <c r="C58" s="15" t="s">
        <v>427</v>
      </c>
      <c r="D58" s="16">
        <v>73533.180310000011</v>
      </c>
      <c r="E58" s="19">
        <v>2024</v>
      </c>
      <c r="F58" s="17">
        <f t="shared" si="0"/>
        <v>26.913143993460004</v>
      </c>
      <c r="G58" s="17">
        <v>52.943632311120957</v>
      </c>
      <c r="H58" s="17">
        <v>26.684688010606184</v>
      </c>
      <c r="I58" s="17">
        <v>15.995373572058682</v>
      </c>
      <c r="J58" s="17">
        <v>2.2414760575449395</v>
      </c>
      <c r="K58" s="17">
        <v>1.6535479124852224</v>
      </c>
      <c r="L58" s="16">
        <v>0</v>
      </c>
      <c r="M58" s="19">
        <v>2025</v>
      </c>
      <c r="N58" s="16">
        <v>0</v>
      </c>
      <c r="O58" s="16">
        <v>0</v>
      </c>
      <c r="P58" s="17">
        <v>51.267065842964101</v>
      </c>
      <c r="Q58" s="19">
        <v>2025</v>
      </c>
      <c r="R58" s="17">
        <v>5.3493208457287702</v>
      </c>
      <c r="S58" s="19">
        <v>2025</v>
      </c>
      <c r="T58" s="17">
        <v>2.3512710589650698</v>
      </c>
      <c r="U58" s="19">
        <v>2025</v>
      </c>
      <c r="V58" s="18">
        <v>1.5049999999999999</v>
      </c>
      <c r="W58" s="18">
        <v>1.345</v>
      </c>
      <c r="X58" s="18" t="s">
        <v>46</v>
      </c>
      <c r="Y58" s="18" t="s">
        <v>46</v>
      </c>
      <c r="Z58" s="18" t="s">
        <v>46</v>
      </c>
      <c r="AA58" s="15" t="s">
        <v>47</v>
      </c>
      <c r="AB58" s="15" t="s">
        <v>48</v>
      </c>
      <c r="AC58" s="15" t="s">
        <v>421</v>
      </c>
      <c r="AD58" s="15" t="s">
        <v>428</v>
      </c>
      <c r="AE58" s="15" t="s">
        <v>429</v>
      </c>
      <c r="AF58" s="15" t="s">
        <v>64</v>
      </c>
      <c r="AG58" s="15" t="s">
        <v>53</v>
      </c>
      <c r="AH58" s="15" t="s">
        <v>430</v>
      </c>
      <c r="AI58" s="15" t="s">
        <v>431</v>
      </c>
      <c r="AJ58" s="8">
        <f>'Сводка НПЗ'!D58</f>
        <v>0</v>
      </c>
      <c r="AK58" s="8" t="str">
        <f>IF('Сводка НПЗ'!F58&gt;0,'Сводка НПЗ'!E58,"")</f>
        <v/>
      </c>
      <c r="AL58" s="8">
        <f>'Сводка НПЗ'!G58</f>
        <v>0</v>
      </c>
      <c r="AM58" s="6" t="s">
        <v>56</v>
      </c>
      <c r="AN58" s="12" t="s">
        <v>83</v>
      </c>
      <c r="AO58" s="20">
        <v>2024</v>
      </c>
      <c r="AP58" s="20">
        <v>2025</v>
      </c>
      <c r="AQ58" s="20">
        <v>2025</v>
      </c>
      <c r="AR58" s="6" t="s">
        <v>58</v>
      </c>
    </row>
    <row r="59" spans="1:44" ht="42" customHeight="1" x14ac:dyDescent="0.2">
      <c r="A59" s="15">
        <v>58</v>
      </c>
      <c r="B59" s="15" t="s">
        <v>432</v>
      </c>
      <c r="C59" s="15" t="s">
        <v>433</v>
      </c>
      <c r="D59" s="16">
        <v>47046.575342465752</v>
      </c>
      <c r="E59" s="19">
        <v>2025</v>
      </c>
      <c r="F59" s="17">
        <f t="shared" si="0"/>
        <v>17.172000000000001</v>
      </c>
      <c r="G59" s="17">
        <v>50.523992546005125</v>
      </c>
      <c r="H59" s="17">
        <v>20.372117400419288</v>
      </c>
      <c r="I59" s="17">
        <v>0.81062194269741428</v>
      </c>
      <c r="J59" s="17">
        <v>54.882832518052652</v>
      </c>
      <c r="K59" s="17">
        <v>0</v>
      </c>
      <c r="L59" s="16">
        <v>0</v>
      </c>
      <c r="M59" s="19">
        <v>2025</v>
      </c>
      <c r="N59" s="16">
        <v>0</v>
      </c>
      <c r="O59" s="16">
        <v>0</v>
      </c>
      <c r="P59" s="17">
        <v>101.15782949110699</v>
      </c>
      <c r="Q59" s="19">
        <v>2025</v>
      </c>
      <c r="R59" s="17">
        <v>0.63787818818334996</v>
      </c>
      <c r="S59" s="19">
        <v>2025</v>
      </c>
      <c r="T59" s="17">
        <v>2.2572381787172602</v>
      </c>
      <c r="U59" s="19">
        <v>2025</v>
      </c>
      <c r="V59" s="18">
        <v>2.1909999999999998</v>
      </c>
      <c r="W59" s="18">
        <v>2.4510000000000001</v>
      </c>
      <c r="X59" s="18" t="s">
        <v>46</v>
      </c>
      <c r="Y59" s="18">
        <v>0.91400000000000003</v>
      </c>
      <c r="Z59" s="18" t="s">
        <v>46</v>
      </c>
      <c r="AA59" s="15" t="s">
        <v>47</v>
      </c>
      <c r="AB59" s="15" t="s">
        <v>69</v>
      </c>
      <c r="AC59" s="15" t="s">
        <v>434</v>
      </c>
      <c r="AD59" s="15" t="s">
        <v>435</v>
      </c>
      <c r="AE59" s="15" t="s">
        <v>436</v>
      </c>
      <c r="AF59" s="15" t="s">
        <v>52</v>
      </c>
      <c r="AG59" s="15" t="s">
        <v>73</v>
      </c>
      <c r="AH59" s="15" t="s">
        <v>437</v>
      </c>
      <c r="AI59" s="15" t="s">
        <v>438</v>
      </c>
      <c r="AJ59" s="8">
        <f>'Сводка НПЗ'!D59</f>
        <v>0</v>
      </c>
      <c r="AK59" s="8" t="str">
        <f>IF('Сводка НПЗ'!F59&gt;0,'Сводка НПЗ'!E59,"")</f>
        <v/>
      </c>
      <c r="AL59" s="8">
        <f>'Сводка НПЗ'!G59</f>
        <v>0</v>
      </c>
      <c r="AM59" s="6" t="s">
        <v>56</v>
      </c>
      <c r="AN59" s="12" t="s">
        <v>83</v>
      </c>
      <c r="AO59" s="20">
        <v>2025</v>
      </c>
      <c r="AP59" s="20">
        <v>2025</v>
      </c>
      <c r="AQ59" s="20">
        <v>2025</v>
      </c>
      <c r="AR59" s="6" t="s">
        <v>58</v>
      </c>
    </row>
    <row r="60" spans="1:44" ht="42" customHeight="1" x14ac:dyDescent="0.2">
      <c r="A60" s="15">
        <v>59</v>
      </c>
      <c r="B60" s="15" t="s">
        <v>439</v>
      </c>
      <c r="C60" s="15" t="s">
        <v>440</v>
      </c>
      <c r="D60" s="16">
        <v>879803.95220100007</v>
      </c>
      <c r="E60" s="19">
        <v>2024</v>
      </c>
      <c r="F60" s="17">
        <f t="shared" si="0"/>
        <v>322.00824650556598</v>
      </c>
      <c r="G60" s="17">
        <v>8.5437102631731694</v>
      </c>
      <c r="H60" s="17">
        <v>22.332166343248293</v>
      </c>
      <c r="I60" s="17">
        <v>3.0256509218224608</v>
      </c>
      <c r="J60" s="17">
        <v>24.067265323175633</v>
      </c>
      <c r="K60" s="17">
        <v>40.828051226795985</v>
      </c>
      <c r="L60" s="16">
        <v>4339251.1039464474</v>
      </c>
      <c r="M60" s="19">
        <v>2025</v>
      </c>
      <c r="N60" s="16">
        <v>3771219.1780821919</v>
      </c>
      <c r="O60" s="16">
        <v>551000</v>
      </c>
      <c r="P60" s="17">
        <v>552.32491909587191</v>
      </c>
      <c r="Q60" s="19">
        <v>2024</v>
      </c>
      <c r="R60" s="17">
        <v>3.99181200361831</v>
      </c>
      <c r="S60" s="19">
        <v>2024</v>
      </c>
      <c r="T60" s="17">
        <v>1.2508652455980001</v>
      </c>
      <c r="U60" s="19">
        <v>2025</v>
      </c>
      <c r="V60" s="18">
        <v>1.0049999999999999</v>
      </c>
      <c r="W60" s="18">
        <v>1.171</v>
      </c>
      <c r="X60" s="18" t="s">
        <v>46</v>
      </c>
      <c r="Y60" s="18" t="s">
        <v>46</v>
      </c>
      <c r="Z60" s="18" t="s">
        <v>46</v>
      </c>
      <c r="AA60" s="15" t="s">
        <v>47</v>
      </c>
      <c r="AB60" s="15" t="s">
        <v>48</v>
      </c>
      <c r="AC60" s="15" t="s">
        <v>351</v>
      </c>
      <c r="AD60" s="15" t="s">
        <v>441</v>
      </c>
      <c r="AE60" s="15" t="s">
        <v>442</v>
      </c>
      <c r="AF60" s="15" t="s">
        <v>64</v>
      </c>
      <c r="AG60" s="15" t="s">
        <v>53</v>
      </c>
      <c r="AH60" s="15" t="s">
        <v>443</v>
      </c>
      <c r="AI60" s="15" t="s">
        <v>444</v>
      </c>
      <c r="AJ60" s="8">
        <f>'Сводка НПЗ'!D60</f>
        <v>5</v>
      </c>
      <c r="AK60" s="8">
        <f>IF('Сводка НПЗ'!F60&gt;0,'Сводка НПЗ'!E60,"")</f>
        <v>631300</v>
      </c>
      <c r="AL60" s="8">
        <f>'Сводка НПЗ'!G60</f>
        <v>0</v>
      </c>
      <c r="AM60" s="6" t="s">
        <v>56</v>
      </c>
      <c r="AN60" s="12" t="s">
        <v>57</v>
      </c>
      <c r="AO60" s="20">
        <v>2024</v>
      </c>
      <c r="AP60" s="20">
        <v>2025</v>
      </c>
      <c r="AQ60" s="20">
        <v>2025</v>
      </c>
      <c r="AR60" s="6" t="s">
        <v>58</v>
      </c>
    </row>
    <row r="61" spans="1:44" ht="42" customHeight="1" x14ac:dyDescent="0.2">
      <c r="A61" s="15">
        <v>60</v>
      </c>
      <c r="B61" s="15" t="s">
        <v>445</v>
      </c>
      <c r="C61" s="15" t="s">
        <v>446</v>
      </c>
      <c r="D61" s="16">
        <v>625000</v>
      </c>
      <c r="E61" s="19">
        <v>2025</v>
      </c>
      <c r="F61" s="17">
        <f t="shared" si="0"/>
        <v>228.125</v>
      </c>
      <c r="G61" s="17">
        <v>29.787677808219176</v>
      </c>
      <c r="H61" s="17">
        <v>10.508558904109588</v>
      </c>
      <c r="I61" s="17">
        <v>13.556427397260274</v>
      </c>
      <c r="J61" s="17">
        <v>13.633911232876713</v>
      </c>
      <c r="K61" s="17">
        <v>16.636405479452055</v>
      </c>
      <c r="L61" s="16">
        <v>24697.602896665754</v>
      </c>
      <c r="M61" s="19">
        <v>2025</v>
      </c>
      <c r="N61" s="16">
        <v>0</v>
      </c>
      <c r="O61" s="16">
        <v>0</v>
      </c>
      <c r="P61" s="17">
        <v>725.46646285964596</v>
      </c>
      <c r="Q61" s="19">
        <v>2025</v>
      </c>
      <c r="R61" s="17">
        <v>0.98311796712593502</v>
      </c>
      <c r="S61" s="19">
        <v>2025</v>
      </c>
      <c r="T61" s="17">
        <v>2.4670554377461298</v>
      </c>
      <c r="U61" s="19">
        <v>2025</v>
      </c>
      <c r="V61" s="18">
        <v>2.2890000000000001</v>
      </c>
      <c r="W61" s="18">
        <v>2.7589999999999999</v>
      </c>
      <c r="X61" s="18" t="s">
        <v>46</v>
      </c>
      <c r="Y61" s="18">
        <v>1.0900000000000001</v>
      </c>
      <c r="Z61" s="18" t="s">
        <v>46</v>
      </c>
      <c r="AA61" s="15" t="s">
        <v>47</v>
      </c>
      <c r="AB61" s="15" t="s">
        <v>69</v>
      </c>
      <c r="AC61" s="15" t="s">
        <v>390</v>
      </c>
      <c r="AD61" s="15" t="s">
        <v>447</v>
      </c>
      <c r="AE61" s="15" t="s">
        <v>448</v>
      </c>
      <c r="AF61" s="15" t="s">
        <v>52</v>
      </c>
      <c r="AG61" s="15" t="s">
        <v>73</v>
      </c>
      <c r="AH61" s="15" t="s">
        <v>449</v>
      </c>
      <c r="AI61" s="15" t="s">
        <v>450</v>
      </c>
      <c r="AJ61" s="8">
        <f>'Сводка НПЗ'!D61</f>
        <v>4</v>
      </c>
      <c r="AK61" s="8">
        <f>IF('Сводка НПЗ'!F61&gt;0,'Сводка НПЗ'!E61,"")</f>
        <v>767000</v>
      </c>
      <c r="AL61" s="8">
        <f>'Сводка НПЗ'!G61</f>
        <v>0</v>
      </c>
      <c r="AM61" s="6" t="s">
        <v>56</v>
      </c>
      <c r="AN61" s="12" t="s">
        <v>121</v>
      </c>
      <c r="AO61" s="20">
        <v>2025</v>
      </c>
      <c r="AP61" s="20">
        <v>2025</v>
      </c>
      <c r="AQ61" s="20">
        <v>2025</v>
      </c>
      <c r="AR61" s="6" t="s">
        <v>58</v>
      </c>
    </row>
    <row r="62" spans="1:44" ht="42" customHeight="1" x14ac:dyDescent="0.2">
      <c r="A62" s="15">
        <v>61</v>
      </c>
      <c r="B62" s="15" t="s">
        <v>451</v>
      </c>
      <c r="C62" s="15" t="s">
        <v>452</v>
      </c>
      <c r="D62" s="16">
        <v>41821.917808219179</v>
      </c>
      <c r="E62" s="19">
        <v>2025</v>
      </c>
      <c r="F62" s="17">
        <f t="shared" si="0"/>
        <v>15.265000000000001</v>
      </c>
      <c r="G62" s="17">
        <v>31.558467081559122</v>
      </c>
      <c r="H62" s="17">
        <v>40.70422535211268</v>
      </c>
      <c r="I62" s="17">
        <v>7.8270553553881435</v>
      </c>
      <c r="J62" s="17">
        <v>24.540583033082214</v>
      </c>
      <c r="K62" s="17" t="s">
        <v>46</v>
      </c>
      <c r="L62" s="16">
        <v>223.46849315068494</v>
      </c>
      <c r="M62" s="19">
        <v>2025</v>
      </c>
      <c r="N62" s="16">
        <v>223.46849315068494</v>
      </c>
      <c r="O62" s="16">
        <v>0</v>
      </c>
      <c r="P62" s="17">
        <v>38.143612855136702</v>
      </c>
      <c r="Q62" s="19">
        <v>2025</v>
      </c>
      <c r="R62" s="17">
        <v>7.4616150415203899</v>
      </c>
      <c r="S62" s="19">
        <v>2025</v>
      </c>
      <c r="T62" s="17">
        <v>3.8692132193969</v>
      </c>
      <c r="U62" s="19">
        <v>2025</v>
      </c>
      <c r="V62" s="18">
        <v>1.546</v>
      </c>
      <c r="W62" s="18">
        <v>1.7729999999999999</v>
      </c>
      <c r="X62" s="18" t="s">
        <v>46</v>
      </c>
      <c r="Y62" s="18" t="s">
        <v>46</v>
      </c>
      <c r="Z62" s="18" t="s">
        <v>46</v>
      </c>
      <c r="AA62" s="15" t="s">
        <v>47</v>
      </c>
      <c r="AB62" s="15" t="s">
        <v>48</v>
      </c>
      <c r="AC62" s="15" t="s">
        <v>453</v>
      </c>
      <c r="AD62" s="15" t="s">
        <v>454</v>
      </c>
      <c r="AE62" s="15" t="s">
        <v>455</v>
      </c>
      <c r="AF62" s="15" t="s">
        <v>52</v>
      </c>
      <c r="AG62" s="15" t="s">
        <v>53</v>
      </c>
      <c r="AH62" s="15" t="s">
        <v>456</v>
      </c>
      <c r="AI62" s="15" t="s">
        <v>457</v>
      </c>
      <c r="AJ62" s="8">
        <f>'Сводка НПЗ'!D62</f>
        <v>0</v>
      </c>
      <c r="AK62" s="8" t="str">
        <f>IF('Сводка НПЗ'!F62&gt;0,'Сводка НПЗ'!E62,"")</f>
        <v/>
      </c>
      <c r="AL62" s="8">
        <f>'Сводка НПЗ'!G62</f>
        <v>0</v>
      </c>
      <c r="AM62" s="6" t="s">
        <v>56</v>
      </c>
      <c r="AN62" s="12" t="s">
        <v>83</v>
      </c>
      <c r="AO62" s="20">
        <v>2025</v>
      </c>
      <c r="AP62" s="20">
        <v>2025</v>
      </c>
      <c r="AQ62" s="20">
        <v>2025</v>
      </c>
      <c r="AR62" s="6" t="s">
        <v>58</v>
      </c>
    </row>
    <row r="63" spans="1:44" ht="42" customHeight="1" x14ac:dyDescent="0.2">
      <c r="A63" s="15">
        <v>62</v>
      </c>
      <c r="B63" s="15" t="s">
        <v>458</v>
      </c>
      <c r="C63" s="15" t="s">
        <v>459</v>
      </c>
      <c r="D63" s="16">
        <v>23521.695070000002</v>
      </c>
      <c r="E63" s="19">
        <v>2024</v>
      </c>
      <c r="F63" s="17">
        <f t="shared" si="0"/>
        <v>8.6089403956200012</v>
      </c>
      <c r="G63" s="17">
        <v>65.516198999003521</v>
      </c>
      <c r="H63" s="17">
        <v>11.326413220099615</v>
      </c>
      <c r="I63" s="17">
        <v>8.2418810984101398</v>
      </c>
      <c r="J63" s="17">
        <v>0.55419543367118385</v>
      </c>
      <c r="K63" s="17">
        <v>5.4301370126553543</v>
      </c>
      <c r="L63" s="16">
        <v>0</v>
      </c>
      <c r="M63" s="19">
        <v>2025</v>
      </c>
      <c r="N63" s="16">
        <v>0</v>
      </c>
      <c r="O63" s="16">
        <v>0</v>
      </c>
      <c r="P63" s="17">
        <v>19.101199817017399</v>
      </c>
      <c r="Q63" s="19">
        <v>2025</v>
      </c>
      <c r="R63" s="17">
        <v>3.4870661982950302</v>
      </c>
      <c r="S63" s="19">
        <v>2025</v>
      </c>
      <c r="T63" s="17">
        <v>4.0724917684834798</v>
      </c>
      <c r="U63" s="19">
        <v>2025</v>
      </c>
      <c r="V63" s="18">
        <v>1.887</v>
      </c>
      <c r="W63" s="18">
        <v>1.859</v>
      </c>
      <c r="X63" s="18" t="s">
        <v>46</v>
      </c>
      <c r="Y63" s="18">
        <v>0.88200000000000001</v>
      </c>
      <c r="Z63" s="18" t="s">
        <v>46</v>
      </c>
      <c r="AA63" s="15" t="s">
        <v>47</v>
      </c>
      <c r="AB63" s="15" t="s">
        <v>69</v>
      </c>
      <c r="AC63" s="15" t="s">
        <v>421</v>
      </c>
      <c r="AD63" s="15" t="s">
        <v>460</v>
      </c>
      <c r="AE63" s="15" t="s">
        <v>461</v>
      </c>
      <c r="AF63" s="15" t="s">
        <v>64</v>
      </c>
      <c r="AG63" s="15" t="s">
        <v>73</v>
      </c>
      <c r="AH63" s="15" t="s">
        <v>462</v>
      </c>
      <c r="AI63" s="15" t="s">
        <v>463</v>
      </c>
      <c r="AJ63" s="8">
        <f>'Сводка НПЗ'!D63</f>
        <v>1</v>
      </c>
      <c r="AK63" s="8">
        <f>IF('Сводка НПЗ'!F63&gt;0,'Сводка НПЗ'!E63,"")</f>
        <v>50000</v>
      </c>
      <c r="AL63" s="8">
        <f>'Сводка НПЗ'!G63</f>
        <v>0</v>
      </c>
      <c r="AM63" s="6" t="s">
        <v>56</v>
      </c>
      <c r="AN63" s="12" t="s">
        <v>83</v>
      </c>
      <c r="AO63" s="20">
        <v>2024</v>
      </c>
      <c r="AP63" s="20">
        <v>2025</v>
      </c>
      <c r="AQ63" s="20">
        <v>2025</v>
      </c>
      <c r="AR63" s="6" t="s">
        <v>58</v>
      </c>
    </row>
    <row r="64" spans="1:44" ht="42" customHeight="1" x14ac:dyDescent="0.2">
      <c r="A64" s="15">
        <v>63</v>
      </c>
      <c r="B64" s="15" t="s">
        <v>464</v>
      </c>
      <c r="C64" s="15" t="s">
        <v>465</v>
      </c>
      <c r="D64" s="16">
        <v>24655.328109999999</v>
      </c>
      <c r="E64" s="19">
        <v>2024</v>
      </c>
      <c r="F64" s="17">
        <f t="shared" si="0"/>
        <v>9.0238500882599979</v>
      </c>
      <c r="G64" s="17">
        <v>53.965992383623572</v>
      </c>
      <c r="H64" s="17">
        <v>8.4359770055398382</v>
      </c>
      <c r="I64" s="17">
        <v>21.655270845227459</v>
      </c>
      <c r="J64" s="17">
        <v>5.903972697121004</v>
      </c>
      <c r="K64" s="17">
        <v>1.0360926809016617</v>
      </c>
      <c r="L64" s="16">
        <v>12156.394520547945</v>
      </c>
      <c r="M64" s="19">
        <v>2025</v>
      </c>
      <c r="N64" s="16">
        <v>12156.394520547945</v>
      </c>
      <c r="O64" s="16">
        <v>0</v>
      </c>
      <c r="P64" s="17">
        <v>30.5401882713421</v>
      </c>
      <c r="Q64" s="19">
        <v>2025</v>
      </c>
      <c r="R64" s="17">
        <v>3.78893836241024</v>
      </c>
      <c r="S64" s="19">
        <v>2025</v>
      </c>
      <c r="T64" s="17">
        <v>2.1461855116738802</v>
      </c>
      <c r="U64" s="19">
        <v>2025</v>
      </c>
      <c r="V64" s="18">
        <v>2.5779999999999998</v>
      </c>
      <c r="W64" s="18">
        <v>2.754</v>
      </c>
      <c r="X64" s="18" t="s">
        <v>46</v>
      </c>
      <c r="Y64" s="18">
        <v>0.86799999999999999</v>
      </c>
      <c r="Z64" s="18" t="s">
        <v>46</v>
      </c>
      <c r="AA64" s="15" t="s">
        <v>47</v>
      </c>
      <c r="AB64" s="15" t="s">
        <v>69</v>
      </c>
      <c r="AC64" s="15" t="s">
        <v>466</v>
      </c>
      <c r="AD64" s="15" t="s">
        <v>467</v>
      </c>
      <c r="AE64" s="15" t="s">
        <v>468</v>
      </c>
      <c r="AF64" s="15" t="s">
        <v>64</v>
      </c>
      <c r="AG64" s="15" t="s">
        <v>73</v>
      </c>
      <c r="AH64" s="15" t="s">
        <v>469</v>
      </c>
      <c r="AI64" s="15" t="s">
        <v>470</v>
      </c>
      <c r="AJ64" s="8">
        <f>'Сводка НПЗ'!D64</f>
        <v>2</v>
      </c>
      <c r="AK64" s="8">
        <f>IF('Сводка НПЗ'!F64&gt;0,'Сводка НПЗ'!E64,"")</f>
        <v>26300</v>
      </c>
      <c r="AL64" s="8">
        <f>'Сводка НПЗ'!G64</f>
        <v>0</v>
      </c>
      <c r="AM64" s="6" t="s">
        <v>56</v>
      </c>
      <c r="AN64" s="12" t="s">
        <v>83</v>
      </c>
      <c r="AO64" s="20">
        <v>2024</v>
      </c>
      <c r="AP64" s="20">
        <v>2025</v>
      </c>
      <c r="AQ64" s="20">
        <v>2025</v>
      </c>
      <c r="AR64" s="6" t="s">
        <v>58</v>
      </c>
    </row>
    <row r="65" spans="1:44" ht="42" customHeight="1" x14ac:dyDescent="0.2">
      <c r="A65" s="15">
        <v>64</v>
      </c>
      <c r="B65" s="15" t="s">
        <v>471</v>
      </c>
      <c r="C65" s="15" t="s">
        <v>472</v>
      </c>
      <c r="D65" s="16">
        <v>119098.63013698631</v>
      </c>
      <c r="E65" s="19">
        <v>2025</v>
      </c>
      <c r="F65" s="17">
        <f t="shared" si="0"/>
        <v>43.470999999999997</v>
      </c>
      <c r="G65" s="17">
        <v>31.798670377953119</v>
      </c>
      <c r="H65" s="17">
        <v>31.774056267396656</v>
      </c>
      <c r="I65" s="17">
        <v>5.8972648432288191</v>
      </c>
      <c r="J65" s="17">
        <v>25.183041567941842</v>
      </c>
      <c r="K65" s="17">
        <v>3.2895493547422419</v>
      </c>
      <c r="L65" s="16">
        <v>566627.94055360893</v>
      </c>
      <c r="M65" s="19">
        <v>2025</v>
      </c>
      <c r="N65" s="16">
        <v>560620.97435724887</v>
      </c>
      <c r="O65" s="16">
        <v>984.03360655737708</v>
      </c>
      <c r="P65" s="17">
        <v>75.937647058823501</v>
      </c>
      <c r="Q65" s="19">
        <v>2025</v>
      </c>
      <c r="R65" s="17">
        <v>1.44985591122698</v>
      </c>
      <c r="S65" s="19">
        <v>2025</v>
      </c>
      <c r="T65" s="17">
        <v>5.6220878806833801</v>
      </c>
      <c r="U65" s="19">
        <v>2025</v>
      </c>
      <c r="V65" s="18">
        <v>0.67600000000000005</v>
      </c>
      <c r="W65" s="18">
        <v>0.64700000000000002</v>
      </c>
      <c r="X65" s="18" t="s">
        <v>46</v>
      </c>
      <c r="Y65" s="18">
        <v>0.41199999999999998</v>
      </c>
      <c r="Z65" s="18" t="s">
        <v>46</v>
      </c>
      <c r="AA65" s="15" t="s">
        <v>47</v>
      </c>
      <c r="AB65" s="15" t="s">
        <v>69</v>
      </c>
      <c r="AC65" s="15" t="s">
        <v>473</v>
      </c>
      <c r="AD65" s="15" t="s">
        <v>474</v>
      </c>
      <c r="AE65" s="15" t="s">
        <v>475</v>
      </c>
      <c r="AF65" s="15" t="s">
        <v>52</v>
      </c>
      <c r="AG65" s="15" t="s">
        <v>73</v>
      </c>
      <c r="AH65" s="15" t="s">
        <v>476</v>
      </c>
      <c r="AI65" s="15" t="s">
        <v>477</v>
      </c>
      <c r="AJ65" s="8">
        <f>'Сводка НПЗ'!D65</f>
        <v>2</v>
      </c>
      <c r="AK65" s="8">
        <f>IF('Сводка НПЗ'!F65&gt;0,'Сводка НПЗ'!E65,"")</f>
        <v>439000</v>
      </c>
      <c r="AL65" s="8">
        <f>'Сводка НПЗ'!G65</f>
        <v>0</v>
      </c>
      <c r="AM65" s="6" t="s">
        <v>56</v>
      </c>
      <c r="AN65" s="12" t="s">
        <v>57</v>
      </c>
      <c r="AO65" s="20">
        <v>2025</v>
      </c>
      <c r="AP65" s="20">
        <v>2025</v>
      </c>
      <c r="AQ65" s="20">
        <v>2025</v>
      </c>
      <c r="AR65" s="6" t="s">
        <v>58</v>
      </c>
    </row>
    <row r="66" spans="1:44" ht="42" customHeight="1" x14ac:dyDescent="0.2">
      <c r="A66" s="15">
        <v>65</v>
      </c>
      <c r="B66" s="15" t="s">
        <v>478</v>
      </c>
      <c r="C66" s="15" t="s">
        <v>479</v>
      </c>
      <c r="D66" s="16">
        <v>18263.753430000001</v>
      </c>
      <c r="E66" s="19">
        <v>2024</v>
      </c>
      <c r="F66" s="17">
        <f t="shared" ref="F66:F129" si="1">IF(AND(ISNUMBER(D66),ISNUMBER(E66)),D66*(DATE(E66+1,1,1)-DATE(E66,1,1))/1000000,"н/д")</f>
        <v>6.6845337553800004</v>
      </c>
      <c r="G66" s="17">
        <v>74.641741152765874</v>
      </c>
      <c r="H66" s="17">
        <v>8.8290753386501439</v>
      </c>
      <c r="I66" s="17">
        <v>4.1762485073146314</v>
      </c>
      <c r="J66" s="17">
        <v>0.71374244346661653</v>
      </c>
      <c r="K66" s="17">
        <v>1.4985891648669722</v>
      </c>
      <c r="L66" s="16" t="s">
        <v>46</v>
      </c>
      <c r="M66" s="19" t="s">
        <v>46</v>
      </c>
      <c r="N66" s="16" t="s">
        <v>46</v>
      </c>
      <c r="O66" s="16" t="s">
        <v>46</v>
      </c>
      <c r="P66" s="17">
        <v>12.4564033068191</v>
      </c>
      <c r="Q66" s="19">
        <v>2025</v>
      </c>
      <c r="R66" s="17">
        <v>3.59217142544483</v>
      </c>
      <c r="S66" s="19">
        <v>2025</v>
      </c>
      <c r="T66" s="17">
        <v>3.8595386986950602</v>
      </c>
      <c r="U66" s="19">
        <v>2025</v>
      </c>
      <c r="V66" s="18" t="s">
        <v>46</v>
      </c>
      <c r="W66" s="18" t="s">
        <v>46</v>
      </c>
      <c r="X66" s="18" t="s">
        <v>46</v>
      </c>
      <c r="Y66" s="18" t="s">
        <v>46</v>
      </c>
      <c r="Z66" s="18" t="s">
        <v>46</v>
      </c>
      <c r="AA66" s="15" t="s">
        <v>100</v>
      </c>
      <c r="AB66" s="15" t="s">
        <v>101</v>
      </c>
      <c r="AC66" s="15" t="s">
        <v>480</v>
      </c>
      <c r="AD66" s="15" t="s">
        <v>481</v>
      </c>
      <c r="AE66" s="15" t="s">
        <v>104</v>
      </c>
      <c r="AF66" s="15" t="s">
        <v>64</v>
      </c>
      <c r="AG66" s="15" t="s">
        <v>106</v>
      </c>
      <c r="AH66" s="15" t="s">
        <v>46</v>
      </c>
      <c r="AI66" s="15" t="s">
        <v>46</v>
      </c>
      <c r="AJ66" s="8">
        <f>'Сводка НПЗ'!D66</f>
        <v>0</v>
      </c>
      <c r="AK66" s="8" t="str">
        <f>IF('Сводка НПЗ'!F66&gt;0,'Сводка НПЗ'!E66,"")</f>
        <v/>
      </c>
      <c r="AL66" s="8">
        <f>'Сводка НПЗ'!G66</f>
        <v>0</v>
      </c>
      <c r="AM66" s="6" t="s">
        <v>56</v>
      </c>
      <c r="AN66" s="12" t="s">
        <v>83</v>
      </c>
      <c r="AO66" s="20">
        <v>2024</v>
      </c>
      <c r="AP66" s="20"/>
      <c r="AQ66" s="20"/>
      <c r="AR66" s="6" t="s">
        <v>58</v>
      </c>
    </row>
    <row r="67" spans="1:44" ht="42" customHeight="1" x14ac:dyDescent="0.2">
      <c r="A67" s="15">
        <v>66</v>
      </c>
      <c r="B67" s="15" t="s">
        <v>482</v>
      </c>
      <c r="C67" s="15" t="s">
        <v>483</v>
      </c>
      <c r="D67" s="16">
        <v>1194361.6438356165</v>
      </c>
      <c r="E67" s="19">
        <v>2025</v>
      </c>
      <c r="F67" s="17">
        <f t="shared" si="1"/>
        <v>435.94200000000006</v>
      </c>
      <c r="G67" s="17">
        <v>46.934092149873145</v>
      </c>
      <c r="H67" s="17">
        <v>11.038796445398699</v>
      </c>
      <c r="I67" s="17">
        <v>10.462676227571558</v>
      </c>
      <c r="J67" s="17">
        <v>24.577664001174469</v>
      </c>
      <c r="K67" s="17">
        <v>0.38172509187001941</v>
      </c>
      <c r="L67" s="16">
        <v>142570.42751922467</v>
      </c>
      <c r="M67" s="19">
        <v>2025</v>
      </c>
      <c r="N67" s="16">
        <v>124615.68767123288</v>
      </c>
      <c r="O67" s="16">
        <v>0</v>
      </c>
      <c r="P67" s="17">
        <v>1597.293229287</v>
      </c>
      <c r="Q67" s="19">
        <v>2025</v>
      </c>
      <c r="R67" s="17">
        <v>3.60462514082589</v>
      </c>
      <c r="S67" s="19">
        <v>2025</v>
      </c>
      <c r="T67" s="17">
        <v>34.881162982030602</v>
      </c>
      <c r="U67" s="19">
        <v>2025</v>
      </c>
      <c r="V67" s="18">
        <v>1.651</v>
      </c>
      <c r="W67" s="18">
        <v>1.966</v>
      </c>
      <c r="X67" s="18" t="s">
        <v>46</v>
      </c>
      <c r="Y67" s="18">
        <v>0.68799999999999994</v>
      </c>
      <c r="Z67" s="18" t="s">
        <v>46</v>
      </c>
      <c r="AA67" s="15" t="s">
        <v>47</v>
      </c>
      <c r="AB67" s="15" t="s">
        <v>69</v>
      </c>
      <c r="AC67" s="15" t="s">
        <v>390</v>
      </c>
      <c r="AD67" s="15" t="s">
        <v>484</v>
      </c>
      <c r="AE67" s="15" t="s">
        <v>485</v>
      </c>
      <c r="AF67" s="15" t="s">
        <v>52</v>
      </c>
      <c r="AG67" s="15" t="s">
        <v>73</v>
      </c>
      <c r="AH67" s="15" t="s">
        <v>486</v>
      </c>
      <c r="AI67" s="15" t="s">
        <v>487</v>
      </c>
      <c r="AJ67" s="8">
        <f>'Сводка НПЗ'!D67</f>
        <v>6</v>
      </c>
      <c r="AK67" s="8">
        <f>IF('Сводка НПЗ'!F67&gt;0,'Сводка НПЗ'!E67,"")</f>
        <v>651000</v>
      </c>
      <c r="AL67" s="8">
        <f>'Сводка НПЗ'!G67</f>
        <v>0</v>
      </c>
      <c r="AM67" s="6" t="s">
        <v>56</v>
      </c>
      <c r="AN67" s="12" t="s">
        <v>57</v>
      </c>
      <c r="AO67" s="20">
        <v>2025</v>
      </c>
      <c r="AP67" s="20">
        <v>2025</v>
      </c>
      <c r="AQ67" s="20">
        <v>2025</v>
      </c>
      <c r="AR67" s="6" t="s">
        <v>58</v>
      </c>
    </row>
    <row r="68" spans="1:44" ht="42" customHeight="1" x14ac:dyDescent="0.2">
      <c r="A68" s="15">
        <v>67</v>
      </c>
      <c r="B68" s="15" t="s">
        <v>488</v>
      </c>
      <c r="C68" s="15" t="s">
        <v>489</v>
      </c>
      <c r="D68" s="16">
        <v>1310465.7534246575</v>
      </c>
      <c r="E68" s="19">
        <v>2025</v>
      </c>
      <c r="F68" s="17">
        <f t="shared" si="1"/>
        <v>478.32</v>
      </c>
      <c r="G68" s="17">
        <v>47.510867201873225</v>
      </c>
      <c r="H68" s="17">
        <v>12.419196353905336</v>
      </c>
      <c r="I68" s="17">
        <v>4.8090817862518813</v>
      </c>
      <c r="J68" s="17">
        <v>25.518732229469808</v>
      </c>
      <c r="K68" s="17">
        <v>10.411534119417963</v>
      </c>
      <c r="L68" s="16">
        <v>77267.370706112328</v>
      </c>
      <c r="M68" s="19">
        <v>2025</v>
      </c>
      <c r="N68" s="16">
        <v>26.504109589041096</v>
      </c>
      <c r="O68" s="16">
        <v>2000</v>
      </c>
      <c r="P68" s="17">
        <v>1906.45330998588</v>
      </c>
      <c r="Q68" s="19">
        <v>2025</v>
      </c>
      <c r="R68" s="17">
        <v>2.8249540057850901</v>
      </c>
      <c r="S68" s="19">
        <v>2025</v>
      </c>
      <c r="T68" s="17">
        <v>2.6999328576270001</v>
      </c>
      <c r="U68" s="19">
        <v>2025</v>
      </c>
      <c r="V68" s="18">
        <v>2.1960000000000002</v>
      </c>
      <c r="W68" s="18">
        <v>2.1760000000000002</v>
      </c>
      <c r="X68" s="18" t="s">
        <v>46</v>
      </c>
      <c r="Y68" s="18">
        <v>1.2649999999999999</v>
      </c>
      <c r="Z68" s="18" t="s">
        <v>46</v>
      </c>
      <c r="AA68" s="15" t="s">
        <v>47</v>
      </c>
      <c r="AB68" s="15" t="s">
        <v>69</v>
      </c>
      <c r="AC68" s="15" t="s">
        <v>390</v>
      </c>
      <c r="AD68" s="15" t="s">
        <v>490</v>
      </c>
      <c r="AE68" s="15" t="s">
        <v>491</v>
      </c>
      <c r="AF68" s="15" t="s">
        <v>52</v>
      </c>
      <c r="AG68" s="15" t="s">
        <v>73</v>
      </c>
      <c r="AH68" s="15" t="s">
        <v>492</v>
      </c>
      <c r="AI68" s="15" t="s">
        <v>493</v>
      </c>
      <c r="AJ68" s="8">
        <f>'Сводка НПЗ'!D68</f>
        <v>9</v>
      </c>
      <c r="AK68" s="8">
        <f>IF('Сводка НПЗ'!F68&gt;0,'Сводка НПЗ'!E68,"")</f>
        <v>1270000</v>
      </c>
      <c r="AL68" s="8">
        <f>'Сводка НПЗ'!G68</f>
        <v>0</v>
      </c>
      <c r="AM68" s="6" t="s">
        <v>56</v>
      </c>
      <c r="AN68" s="12" t="s">
        <v>121</v>
      </c>
      <c r="AO68" s="20">
        <v>2025</v>
      </c>
      <c r="AP68" s="20">
        <v>2025</v>
      </c>
      <c r="AQ68" s="20">
        <v>2025</v>
      </c>
      <c r="AR68" s="6" t="s">
        <v>58</v>
      </c>
    </row>
    <row r="69" spans="1:44" ht="42" customHeight="1" x14ac:dyDescent="0.2">
      <c r="A69" s="15">
        <v>68</v>
      </c>
      <c r="B69" s="15" t="s">
        <v>494</v>
      </c>
      <c r="C69" s="15" t="s">
        <v>495</v>
      </c>
      <c r="D69" s="16">
        <v>23517.036893</v>
      </c>
      <c r="E69" s="19">
        <v>2024</v>
      </c>
      <c r="F69" s="17">
        <f t="shared" si="1"/>
        <v>8.6072355028379999</v>
      </c>
      <c r="G69" s="17">
        <v>70.437643506570495</v>
      </c>
      <c r="H69" s="17">
        <v>19.370531235403796</v>
      </c>
      <c r="I69" s="17">
        <v>3.7433518687128258</v>
      </c>
      <c r="J69" s="17">
        <v>5.1275434719368409</v>
      </c>
      <c r="K69" s="17">
        <v>0.55720009113479774</v>
      </c>
      <c r="L69" s="16">
        <v>0</v>
      </c>
      <c r="M69" s="19">
        <v>2025</v>
      </c>
      <c r="N69" s="16">
        <v>0</v>
      </c>
      <c r="O69" s="16">
        <v>0</v>
      </c>
      <c r="P69" s="17">
        <v>18.302970218590197</v>
      </c>
      <c r="Q69" s="19">
        <v>2025</v>
      </c>
      <c r="R69" s="17">
        <v>4.5376056476672497</v>
      </c>
      <c r="S69" s="19">
        <v>2025</v>
      </c>
      <c r="T69" s="17">
        <v>7.7422693655369503</v>
      </c>
      <c r="U69" s="19">
        <v>2025</v>
      </c>
      <c r="V69" s="18">
        <v>1.6719999999999999</v>
      </c>
      <c r="W69" s="18">
        <v>1.3979999999999999</v>
      </c>
      <c r="X69" s="18" t="s">
        <v>46</v>
      </c>
      <c r="Y69" s="18" t="s">
        <v>46</v>
      </c>
      <c r="Z69" s="18" t="s">
        <v>46</v>
      </c>
      <c r="AA69" s="15" t="s">
        <v>47</v>
      </c>
      <c r="AB69" s="15" t="s">
        <v>48</v>
      </c>
      <c r="AC69" s="15" t="s">
        <v>421</v>
      </c>
      <c r="AD69" s="15" t="s">
        <v>496</v>
      </c>
      <c r="AE69" s="15" t="s">
        <v>497</v>
      </c>
      <c r="AF69" s="15" t="s">
        <v>64</v>
      </c>
      <c r="AG69" s="15" t="s">
        <v>53</v>
      </c>
      <c r="AH69" s="15" t="s">
        <v>498</v>
      </c>
      <c r="AI69" s="15" t="s">
        <v>499</v>
      </c>
      <c r="AJ69" s="8">
        <f>'Сводка НПЗ'!D69</f>
        <v>0</v>
      </c>
      <c r="AK69" s="8" t="str">
        <f>IF('Сводка НПЗ'!F69&gt;0,'Сводка НПЗ'!E69,"")</f>
        <v/>
      </c>
      <c r="AL69" s="8">
        <f>'Сводка НПЗ'!G69</f>
        <v>0</v>
      </c>
      <c r="AM69" s="6" t="s">
        <v>56</v>
      </c>
      <c r="AN69" s="12" t="s">
        <v>83</v>
      </c>
      <c r="AO69" s="20">
        <v>2024</v>
      </c>
      <c r="AP69" s="20">
        <v>2025</v>
      </c>
      <c r="AQ69" s="20">
        <v>2025</v>
      </c>
      <c r="AR69" s="6" t="s">
        <v>58</v>
      </c>
    </row>
    <row r="70" spans="1:44" ht="42" customHeight="1" x14ac:dyDescent="0.2">
      <c r="A70" s="15">
        <v>69</v>
      </c>
      <c r="B70" s="15" t="s">
        <v>500</v>
      </c>
      <c r="C70" s="15" t="s">
        <v>501</v>
      </c>
      <c r="D70" s="16">
        <v>30018.958900000001</v>
      </c>
      <c r="E70" s="19">
        <v>2024</v>
      </c>
      <c r="F70" s="17">
        <f t="shared" si="1"/>
        <v>10.9869389574</v>
      </c>
      <c r="G70" s="17">
        <v>33.906243730524579</v>
      </c>
      <c r="H70" s="17">
        <v>47.488710342982614</v>
      </c>
      <c r="I70" s="17">
        <v>9.422355916547124</v>
      </c>
      <c r="J70" s="17">
        <v>1.0132409355475682</v>
      </c>
      <c r="K70" s="17">
        <v>4.1940618400326999</v>
      </c>
      <c r="L70" s="16">
        <v>5543.4027397260279</v>
      </c>
      <c r="M70" s="19">
        <v>2025</v>
      </c>
      <c r="N70" s="16">
        <v>5543.4027397260279</v>
      </c>
      <c r="O70" s="16">
        <v>0</v>
      </c>
      <c r="P70" s="17">
        <v>22.623752095461299</v>
      </c>
      <c r="Q70" s="19">
        <v>2025</v>
      </c>
      <c r="R70" s="17">
        <v>11.096020335713201</v>
      </c>
      <c r="S70" s="19">
        <v>2025</v>
      </c>
      <c r="T70" s="17">
        <v>8.2149601340632508</v>
      </c>
      <c r="U70" s="19">
        <v>2025</v>
      </c>
      <c r="V70" s="18">
        <v>1.25</v>
      </c>
      <c r="W70" s="18">
        <v>1.1619999999999999</v>
      </c>
      <c r="X70" s="18" t="s">
        <v>46</v>
      </c>
      <c r="Y70" s="18" t="s">
        <v>46</v>
      </c>
      <c r="Z70" s="18" t="s">
        <v>46</v>
      </c>
      <c r="AA70" s="15" t="s">
        <v>47</v>
      </c>
      <c r="AB70" s="15" t="s">
        <v>48</v>
      </c>
      <c r="AC70" s="15" t="s">
        <v>351</v>
      </c>
      <c r="AD70" s="15" t="s">
        <v>502</v>
      </c>
      <c r="AE70" s="15" t="s">
        <v>503</v>
      </c>
      <c r="AF70" s="15" t="s">
        <v>64</v>
      </c>
      <c r="AG70" s="15" t="s">
        <v>53</v>
      </c>
      <c r="AH70" s="15" t="s">
        <v>504</v>
      </c>
      <c r="AI70" s="15" t="s">
        <v>505</v>
      </c>
      <c r="AJ70" s="8">
        <f>'Сводка НПЗ'!D70</f>
        <v>1</v>
      </c>
      <c r="AK70" s="8" t="str">
        <f>IF('Сводка НПЗ'!F70&gt;0,'Сводка НПЗ'!E70,"")</f>
        <v/>
      </c>
      <c r="AL70" s="8">
        <f>'Сводка НПЗ'!G70</f>
        <v>1</v>
      </c>
      <c r="AM70" s="6" t="s">
        <v>56</v>
      </c>
      <c r="AN70" s="12" t="s">
        <v>83</v>
      </c>
      <c r="AO70" s="20">
        <v>2024</v>
      </c>
      <c r="AP70" s="20">
        <v>2025</v>
      </c>
      <c r="AQ70" s="20">
        <v>2025</v>
      </c>
      <c r="AR70" s="6" t="s">
        <v>58</v>
      </c>
    </row>
    <row r="71" spans="1:44" ht="42" customHeight="1" x14ac:dyDescent="0.2">
      <c r="A71" s="15">
        <v>70</v>
      </c>
      <c r="B71" s="15" t="s">
        <v>506</v>
      </c>
      <c r="C71" s="15" t="s">
        <v>507</v>
      </c>
      <c r="D71" s="16">
        <v>18819.424649999997</v>
      </c>
      <c r="E71" s="19">
        <v>2024</v>
      </c>
      <c r="F71" s="17">
        <f t="shared" si="1"/>
        <v>6.887909421899999</v>
      </c>
      <c r="G71" s="17">
        <v>17.484994367242788</v>
      </c>
      <c r="H71" s="17">
        <v>26.326049027221455</v>
      </c>
      <c r="I71" s="17">
        <v>37.320809592337888</v>
      </c>
      <c r="J71" s="17">
        <v>11.659914215283941</v>
      </c>
      <c r="K71" s="17">
        <v>0</v>
      </c>
      <c r="L71" s="16">
        <v>0</v>
      </c>
      <c r="M71" s="19">
        <v>2025</v>
      </c>
      <c r="N71" s="16">
        <v>0</v>
      </c>
      <c r="O71" s="16">
        <v>0</v>
      </c>
      <c r="P71" s="17">
        <v>29.2434528823545</v>
      </c>
      <c r="Q71" s="19">
        <v>2025</v>
      </c>
      <c r="R71" s="17">
        <v>7.2</v>
      </c>
      <c r="S71" s="19">
        <v>2025</v>
      </c>
      <c r="T71" s="17">
        <v>3.30693341072904</v>
      </c>
      <c r="U71" s="19">
        <v>2025</v>
      </c>
      <c r="V71" s="18">
        <v>1.6479999999999999</v>
      </c>
      <c r="W71" s="18">
        <v>1.867</v>
      </c>
      <c r="X71" s="18" t="s">
        <v>46</v>
      </c>
      <c r="Y71" s="18">
        <v>0.68600000000000005</v>
      </c>
      <c r="Z71" s="18" t="s">
        <v>46</v>
      </c>
      <c r="AA71" s="15" t="s">
        <v>47</v>
      </c>
      <c r="AB71" s="15" t="s">
        <v>69</v>
      </c>
      <c r="AC71" s="15" t="s">
        <v>421</v>
      </c>
      <c r="AD71" s="15" t="s">
        <v>508</v>
      </c>
      <c r="AE71" s="15" t="s">
        <v>509</v>
      </c>
      <c r="AF71" s="15" t="s">
        <v>64</v>
      </c>
      <c r="AG71" s="15" t="s">
        <v>73</v>
      </c>
      <c r="AH71" s="15" t="s">
        <v>510</v>
      </c>
      <c r="AI71" s="15" t="s">
        <v>511</v>
      </c>
      <c r="AJ71" s="8">
        <f>'Сводка НПЗ'!D71</f>
        <v>0</v>
      </c>
      <c r="AK71" s="8" t="str">
        <f>IF('Сводка НПЗ'!F71&gt;0,'Сводка НПЗ'!E71,"")</f>
        <v/>
      </c>
      <c r="AL71" s="8">
        <f>'Сводка НПЗ'!G71</f>
        <v>0</v>
      </c>
      <c r="AM71" s="6" t="s">
        <v>56</v>
      </c>
      <c r="AN71" s="12" t="s">
        <v>83</v>
      </c>
      <c r="AO71" s="20">
        <v>2024</v>
      </c>
      <c r="AP71" s="20">
        <v>2025</v>
      </c>
      <c r="AQ71" s="20">
        <v>2025</v>
      </c>
      <c r="AR71" s="6" t="s">
        <v>58</v>
      </c>
    </row>
    <row r="72" spans="1:44" ht="42" customHeight="1" x14ac:dyDescent="0.2">
      <c r="A72" s="15">
        <v>71</v>
      </c>
      <c r="B72" s="15" t="s">
        <v>512</v>
      </c>
      <c r="C72" s="15" t="s">
        <v>513</v>
      </c>
      <c r="D72" s="16">
        <v>141057.53424657535</v>
      </c>
      <c r="E72" s="19">
        <v>2025</v>
      </c>
      <c r="F72" s="17">
        <f t="shared" si="1"/>
        <v>51.485999999999997</v>
      </c>
      <c r="G72" s="17">
        <v>50.263644485879652</v>
      </c>
      <c r="H72" s="17">
        <v>18.988948452006372</v>
      </c>
      <c r="I72" s="17">
        <v>1.3743541933729557</v>
      </c>
      <c r="J72" s="17">
        <v>32.293827448238353</v>
      </c>
      <c r="K72" s="17">
        <v>4.3095210348444244</v>
      </c>
      <c r="L72" s="16">
        <v>79279.098359592157</v>
      </c>
      <c r="M72" s="19">
        <v>2025</v>
      </c>
      <c r="N72" s="16">
        <v>71810.642177011337</v>
      </c>
      <c r="O72" s="16">
        <v>0</v>
      </c>
      <c r="P72" s="17">
        <v>462.526660468393</v>
      </c>
      <c r="Q72" s="19">
        <v>2025</v>
      </c>
      <c r="R72" s="17">
        <v>2.9284328001423598</v>
      </c>
      <c r="S72" s="19">
        <v>2025</v>
      </c>
      <c r="T72" s="17">
        <v>1.89367372703044</v>
      </c>
      <c r="U72" s="19">
        <v>2025</v>
      </c>
      <c r="V72" s="18">
        <v>3.004</v>
      </c>
      <c r="W72" s="18">
        <v>3.1429999999999998</v>
      </c>
      <c r="X72" s="18" t="s">
        <v>46</v>
      </c>
      <c r="Y72" s="18" t="s">
        <v>46</v>
      </c>
      <c r="Z72" s="18" t="s">
        <v>46</v>
      </c>
      <c r="AA72" s="15" t="s">
        <v>47</v>
      </c>
      <c r="AB72" s="15" t="s">
        <v>48</v>
      </c>
      <c r="AC72" s="15" t="s">
        <v>390</v>
      </c>
      <c r="AD72" s="15" t="s">
        <v>514</v>
      </c>
      <c r="AE72" s="15" t="s">
        <v>515</v>
      </c>
      <c r="AF72" s="15" t="s">
        <v>52</v>
      </c>
      <c r="AG72" s="15" t="s">
        <v>53</v>
      </c>
      <c r="AH72" s="15" t="s">
        <v>516</v>
      </c>
      <c r="AI72" s="15" t="s">
        <v>517</v>
      </c>
      <c r="AJ72" s="8">
        <f>'Сводка НПЗ'!D72</f>
        <v>2</v>
      </c>
      <c r="AK72" s="8">
        <f>IF('Сводка НПЗ'!F72&gt;0,'Сводка НПЗ'!E72,"")</f>
        <v>178000</v>
      </c>
      <c r="AL72" s="8">
        <f>'Сводка НПЗ'!G72</f>
        <v>0</v>
      </c>
      <c r="AM72" s="6" t="s">
        <v>56</v>
      </c>
      <c r="AN72" s="12" t="s">
        <v>121</v>
      </c>
      <c r="AO72" s="20">
        <v>2025</v>
      </c>
      <c r="AP72" s="20">
        <v>2025</v>
      </c>
      <c r="AQ72" s="20">
        <v>2025</v>
      </c>
      <c r="AR72" s="6" t="s">
        <v>58</v>
      </c>
    </row>
    <row r="73" spans="1:44" ht="42" customHeight="1" x14ac:dyDescent="0.2">
      <c r="A73" s="15">
        <v>72</v>
      </c>
      <c r="B73" s="15" t="s">
        <v>518</v>
      </c>
      <c r="C73" s="15" t="s">
        <v>519</v>
      </c>
      <c r="D73" s="16">
        <v>222799.408096</v>
      </c>
      <c r="E73" s="19">
        <v>2024</v>
      </c>
      <c r="F73" s="17">
        <f t="shared" si="1"/>
        <v>81.544583363135999</v>
      </c>
      <c r="G73" s="17">
        <v>23.099559733939877</v>
      </c>
      <c r="H73" s="17">
        <v>51.043209796589096</v>
      </c>
      <c r="I73" s="17">
        <v>3.8839121122222391</v>
      </c>
      <c r="J73" s="17">
        <v>1.8066812153583398</v>
      </c>
      <c r="K73" s="17">
        <v>11.836919489766579</v>
      </c>
      <c r="L73" s="16">
        <v>1382021.5295640412</v>
      </c>
      <c r="M73" s="19">
        <v>2025</v>
      </c>
      <c r="N73" s="16">
        <v>1363041.0958904109</v>
      </c>
      <c r="O73" s="16">
        <v>20000</v>
      </c>
      <c r="P73" s="17">
        <v>48.098909613631598</v>
      </c>
      <c r="Q73" s="19">
        <v>2025</v>
      </c>
      <c r="R73" s="17">
        <v>13.3717080516958</v>
      </c>
      <c r="S73" s="19">
        <v>2025</v>
      </c>
      <c r="T73" s="17">
        <v>1.8416666666670201</v>
      </c>
      <c r="U73" s="19">
        <v>2025</v>
      </c>
      <c r="V73" s="18">
        <v>2.4E-2</v>
      </c>
      <c r="W73" s="18">
        <v>2.4E-2</v>
      </c>
      <c r="X73" s="18" t="s">
        <v>46</v>
      </c>
      <c r="Y73" s="18" t="s">
        <v>46</v>
      </c>
      <c r="Z73" s="18" t="s">
        <v>46</v>
      </c>
      <c r="AA73" s="15" t="s">
        <v>47</v>
      </c>
      <c r="AB73" s="15" t="s">
        <v>48</v>
      </c>
      <c r="AC73" s="15" t="s">
        <v>421</v>
      </c>
      <c r="AD73" s="15" t="s">
        <v>520</v>
      </c>
      <c r="AE73" s="15" t="s">
        <v>521</v>
      </c>
      <c r="AF73" s="15" t="s">
        <v>64</v>
      </c>
      <c r="AG73" s="15" t="s">
        <v>53</v>
      </c>
      <c r="AH73" s="15" t="s">
        <v>522</v>
      </c>
      <c r="AI73" s="15" t="s">
        <v>523</v>
      </c>
      <c r="AJ73" s="8">
        <f>'Сводка НПЗ'!D73</f>
        <v>5</v>
      </c>
      <c r="AK73" s="8">
        <f>IF('Сводка НПЗ'!F73&gt;0,'Сводка НПЗ'!E73,"")</f>
        <v>380000</v>
      </c>
      <c r="AL73" s="8">
        <f>'Сводка НПЗ'!G73</f>
        <v>0</v>
      </c>
      <c r="AM73" s="6" t="s">
        <v>56</v>
      </c>
      <c r="AN73" s="12" t="s">
        <v>83</v>
      </c>
      <c r="AO73" s="20">
        <v>2024</v>
      </c>
      <c r="AP73" s="20">
        <v>2025</v>
      </c>
      <c r="AQ73" s="20">
        <v>2025</v>
      </c>
      <c r="AR73" s="6" t="s">
        <v>58</v>
      </c>
    </row>
    <row r="74" spans="1:44" ht="42" customHeight="1" x14ac:dyDescent="0.2">
      <c r="A74" s="15">
        <v>73</v>
      </c>
      <c r="B74" s="15" t="s">
        <v>524</v>
      </c>
      <c r="C74" s="15" t="s">
        <v>525</v>
      </c>
      <c r="D74" s="16">
        <v>102583.56164383562</v>
      </c>
      <c r="E74" s="19">
        <v>2025</v>
      </c>
      <c r="F74" s="17">
        <f t="shared" si="1"/>
        <v>37.442999999999998</v>
      </c>
      <c r="G74" s="17">
        <v>39.981304916806884</v>
      </c>
      <c r="H74" s="17">
        <v>20.47645754880752</v>
      </c>
      <c r="I74" s="17">
        <v>20.942766338167349</v>
      </c>
      <c r="J74" s="17">
        <v>12.190796677616644</v>
      </c>
      <c r="K74" s="17">
        <v>2.5345191357530115</v>
      </c>
      <c r="L74" s="16">
        <v>28112.779225380822</v>
      </c>
      <c r="M74" s="19">
        <v>2025</v>
      </c>
      <c r="N74" s="16">
        <v>25326.027397260274</v>
      </c>
      <c r="O74" s="16">
        <v>3022.504109589041</v>
      </c>
      <c r="P74" s="17">
        <v>57.502836548087799</v>
      </c>
      <c r="Q74" s="19">
        <v>2025</v>
      </c>
      <c r="R74" s="17">
        <v>2.4931101066624799</v>
      </c>
      <c r="S74" s="19">
        <v>2025</v>
      </c>
      <c r="T74" s="17">
        <v>5.1510019757267598</v>
      </c>
      <c r="U74" s="19">
        <v>2025</v>
      </c>
      <c r="V74" s="18">
        <v>0.86199999999999999</v>
      </c>
      <c r="W74" s="18">
        <v>0.753</v>
      </c>
      <c r="X74" s="18" t="s">
        <v>46</v>
      </c>
      <c r="Y74" s="18" t="s">
        <v>46</v>
      </c>
      <c r="Z74" s="18" t="s">
        <v>46</v>
      </c>
      <c r="AA74" s="15" t="s">
        <v>47</v>
      </c>
      <c r="AB74" s="15" t="s">
        <v>48</v>
      </c>
      <c r="AC74" s="15" t="s">
        <v>390</v>
      </c>
      <c r="AD74" s="15" t="s">
        <v>526</v>
      </c>
      <c r="AE74" s="15" t="s">
        <v>527</v>
      </c>
      <c r="AF74" s="15" t="s">
        <v>52</v>
      </c>
      <c r="AG74" s="15" t="s">
        <v>53</v>
      </c>
      <c r="AH74" s="15" t="s">
        <v>528</v>
      </c>
      <c r="AI74" s="15" t="s">
        <v>529</v>
      </c>
      <c r="AJ74" s="8">
        <f>'Сводка НПЗ'!D74</f>
        <v>1</v>
      </c>
      <c r="AK74" s="8">
        <f>IF('Сводка НПЗ'!F74&gt;0,'Сводка НПЗ'!E74,"")</f>
        <v>34000</v>
      </c>
      <c r="AL74" s="8">
        <f>'Сводка НПЗ'!G74</f>
        <v>0</v>
      </c>
      <c r="AM74" s="6" t="s">
        <v>56</v>
      </c>
      <c r="AN74" s="12" t="s">
        <v>83</v>
      </c>
      <c r="AO74" s="20">
        <v>2025</v>
      </c>
      <c r="AP74" s="20">
        <v>2025</v>
      </c>
      <c r="AQ74" s="20">
        <v>2025</v>
      </c>
      <c r="AR74" s="6" t="s">
        <v>58</v>
      </c>
    </row>
    <row r="75" spans="1:44" ht="42" customHeight="1" x14ac:dyDescent="0.2">
      <c r="A75" s="15">
        <v>74</v>
      </c>
      <c r="B75" s="15" t="s">
        <v>530</v>
      </c>
      <c r="C75" s="15" t="s">
        <v>531</v>
      </c>
      <c r="D75" s="16">
        <v>229707.22465753424</v>
      </c>
      <c r="E75" s="19">
        <v>2025</v>
      </c>
      <c r="F75" s="17">
        <f t="shared" si="1"/>
        <v>83.843136999999999</v>
      </c>
      <c r="G75" s="17">
        <v>61.820301404037401</v>
      </c>
      <c r="H75" s="17">
        <v>16.135429188437929</v>
      </c>
      <c r="I75" s="17">
        <v>9.3803742099964609</v>
      </c>
      <c r="J75" s="17" t="s">
        <v>46</v>
      </c>
      <c r="K75" s="17">
        <v>0.16155168430780448</v>
      </c>
      <c r="L75" s="16">
        <v>69525.368214019181</v>
      </c>
      <c r="M75" s="19">
        <v>2025</v>
      </c>
      <c r="N75" s="16">
        <v>51548.05205479452</v>
      </c>
      <c r="O75" s="16">
        <v>2026.1068493150685</v>
      </c>
      <c r="P75" s="17">
        <v>428.677977854826</v>
      </c>
      <c r="Q75" s="19">
        <v>2025</v>
      </c>
      <c r="R75" s="17">
        <v>0.67782983505276195</v>
      </c>
      <c r="S75" s="19">
        <v>2025</v>
      </c>
      <c r="T75" s="17">
        <v>7.18903362292063</v>
      </c>
      <c r="U75" s="19">
        <v>2025</v>
      </c>
      <c r="V75" s="18">
        <v>2.19</v>
      </c>
      <c r="W75" s="18">
        <v>2.33</v>
      </c>
      <c r="X75" s="18" t="s">
        <v>46</v>
      </c>
      <c r="Y75" s="18">
        <v>1.028</v>
      </c>
      <c r="Z75" s="18" t="s">
        <v>46</v>
      </c>
      <c r="AA75" s="15" t="s">
        <v>47</v>
      </c>
      <c r="AB75" s="15" t="s">
        <v>69</v>
      </c>
      <c r="AC75" s="15" t="s">
        <v>532</v>
      </c>
      <c r="AD75" s="15" t="s">
        <v>533</v>
      </c>
      <c r="AE75" s="15" t="s">
        <v>534</v>
      </c>
      <c r="AF75" s="15" t="s">
        <v>52</v>
      </c>
      <c r="AG75" s="15" t="s">
        <v>73</v>
      </c>
      <c r="AH75" s="15" t="s">
        <v>535</v>
      </c>
      <c r="AI75" s="15" t="s">
        <v>536</v>
      </c>
      <c r="AJ75" s="8">
        <f>'Сводка НПЗ'!D75</f>
        <v>10</v>
      </c>
      <c r="AK75" s="8">
        <f>IF('Сводка НПЗ'!F75&gt;0,'Сводка НПЗ'!E75,"")</f>
        <v>493000</v>
      </c>
      <c r="AL75" s="8">
        <f>'Сводка НПЗ'!G75</f>
        <v>0</v>
      </c>
      <c r="AM75" s="6" t="s">
        <v>56</v>
      </c>
      <c r="AN75" s="12" t="s">
        <v>121</v>
      </c>
      <c r="AO75" s="20">
        <v>2025</v>
      </c>
      <c r="AP75" s="20">
        <v>2025</v>
      </c>
      <c r="AQ75" s="20">
        <v>2025</v>
      </c>
      <c r="AR75" s="6" t="s">
        <v>58</v>
      </c>
    </row>
    <row r="76" spans="1:44" ht="42" customHeight="1" x14ac:dyDescent="0.2">
      <c r="A76" s="15">
        <v>75</v>
      </c>
      <c r="B76" s="15" t="s">
        <v>537</v>
      </c>
      <c r="C76" s="15" t="s">
        <v>538</v>
      </c>
      <c r="D76" s="16">
        <v>177671.23287671234</v>
      </c>
      <c r="E76" s="19">
        <v>2025</v>
      </c>
      <c r="F76" s="17">
        <f t="shared" si="1"/>
        <v>64.850000000000009</v>
      </c>
      <c r="G76" s="17">
        <v>43.59814957594449</v>
      </c>
      <c r="H76" s="17">
        <v>20.079336931380105</v>
      </c>
      <c r="I76" s="17">
        <v>6.0459521973785657</v>
      </c>
      <c r="J76" s="17">
        <v>10.522868157286045</v>
      </c>
      <c r="K76" s="17">
        <v>0.2884348496530455</v>
      </c>
      <c r="L76" s="16">
        <v>46421.283706227397</v>
      </c>
      <c r="M76" s="19">
        <v>2025</v>
      </c>
      <c r="N76" s="16">
        <v>23419.824657534245</v>
      </c>
      <c r="O76" s="16">
        <v>5983.4904109589042</v>
      </c>
      <c r="P76" s="17">
        <v>246.49021351305399</v>
      </c>
      <c r="Q76" s="19">
        <v>2025</v>
      </c>
      <c r="R76" s="17">
        <v>0.50954230972686798</v>
      </c>
      <c r="S76" s="19">
        <v>2025</v>
      </c>
      <c r="T76" s="17">
        <v>4.4119844590556196</v>
      </c>
      <c r="U76" s="19">
        <v>2025</v>
      </c>
      <c r="V76" s="18">
        <v>1.887</v>
      </c>
      <c r="W76" s="18">
        <v>2.1389999999999998</v>
      </c>
      <c r="X76" s="18" t="s">
        <v>46</v>
      </c>
      <c r="Y76" s="18">
        <v>1.119</v>
      </c>
      <c r="Z76" s="18" t="s">
        <v>46</v>
      </c>
      <c r="AA76" s="15" t="s">
        <v>47</v>
      </c>
      <c r="AB76" s="15" t="s">
        <v>69</v>
      </c>
      <c r="AC76" s="15" t="s">
        <v>390</v>
      </c>
      <c r="AD76" s="15" t="s">
        <v>539</v>
      </c>
      <c r="AE76" s="15" t="s">
        <v>540</v>
      </c>
      <c r="AF76" s="15" t="s">
        <v>52</v>
      </c>
      <c r="AG76" s="15" t="s">
        <v>73</v>
      </c>
      <c r="AH76" s="15" t="s">
        <v>541</v>
      </c>
      <c r="AI76" s="15" t="s">
        <v>542</v>
      </c>
      <c r="AJ76" s="8">
        <f>'Сводка НПЗ'!D76</f>
        <v>2</v>
      </c>
      <c r="AK76" s="8">
        <f>IF('Сводка НПЗ'!F76&gt;0,'Сводка НПЗ'!E76,"")</f>
        <v>161000</v>
      </c>
      <c r="AL76" s="8">
        <f>'Сводка НПЗ'!G76</f>
        <v>1</v>
      </c>
      <c r="AM76" s="6" t="s">
        <v>56</v>
      </c>
      <c r="AN76" s="12" t="s">
        <v>121</v>
      </c>
      <c r="AO76" s="20">
        <v>2025</v>
      </c>
      <c r="AP76" s="20">
        <v>2025</v>
      </c>
      <c r="AQ76" s="20">
        <v>2025</v>
      </c>
      <c r="AR76" s="6" t="s">
        <v>58</v>
      </c>
    </row>
    <row r="77" spans="1:44" ht="42" customHeight="1" x14ac:dyDescent="0.2">
      <c r="A77" s="15">
        <v>76</v>
      </c>
      <c r="B77" s="15" t="s">
        <v>543</v>
      </c>
      <c r="C77" s="15" t="s">
        <v>544</v>
      </c>
      <c r="D77" s="16">
        <v>96410.95890410959</v>
      </c>
      <c r="E77" s="19">
        <v>2025</v>
      </c>
      <c r="F77" s="17">
        <f t="shared" si="1"/>
        <v>35.19</v>
      </c>
      <c r="G77" s="17">
        <v>44.369934640522871</v>
      </c>
      <c r="H77" s="17">
        <v>17.024865018471154</v>
      </c>
      <c r="I77" s="17">
        <v>4.2193805058255185</v>
      </c>
      <c r="J77" s="17">
        <v>2.6871270247229329</v>
      </c>
      <c r="K77" s="17">
        <v>4.5822676896845698</v>
      </c>
      <c r="L77" s="16">
        <v>8949.8330865095886</v>
      </c>
      <c r="M77" s="19">
        <v>2025</v>
      </c>
      <c r="N77" s="16">
        <v>18.556164383561644</v>
      </c>
      <c r="O77" s="16">
        <v>0</v>
      </c>
      <c r="P77" s="17">
        <v>154.530066506895</v>
      </c>
      <c r="Q77" s="19">
        <v>2025</v>
      </c>
      <c r="R77" s="17">
        <v>0.80741869014475798</v>
      </c>
      <c r="S77" s="19">
        <v>2025</v>
      </c>
      <c r="T77" s="17">
        <v>4.0004282349582896</v>
      </c>
      <c r="U77" s="19">
        <v>2025</v>
      </c>
      <c r="V77" s="18">
        <v>2.048</v>
      </c>
      <c r="W77" s="18">
        <v>2.202</v>
      </c>
      <c r="X77" s="18" t="s">
        <v>46</v>
      </c>
      <c r="Y77" s="18">
        <v>0.92500000000000004</v>
      </c>
      <c r="Z77" s="18" t="s">
        <v>46</v>
      </c>
      <c r="AA77" s="15" t="s">
        <v>47</v>
      </c>
      <c r="AB77" s="15" t="s">
        <v>69</v>
      </c>
      <c r="AC77" s="15" t="s">
        <v>390</v>
      </c>
      <c r="AD77" s="15" t="s">
        <v>545</v>
      </c>
      <c r="AE77" s="15" t="s">
        <v>546</v>
      </c>
      <c r="AF77" s="15" t="s">
        <v>52</v>
      </c>
      <c r="AG77" s="15" t="s">
        <v>73</v>
      </c>
      <c r="AH77" s="15" t="s">
        <v>547</v>
      </c>
      <c r="AI77" s="15" t="s">
        <v>548</v>
      </c>
      <c r="AJ77" s="8">
        <f>'Сводка НПЗ'!D77</f>
        <v>1</v>
      </c>
      <c r="AK77" s="8">
        <f>IF('Сводка НПЗ'!F77&gt;0,'Сводка НПЗ'!E77,"")</f>
        <v>110000</v>
      </c>
      <c r="AL77" s="8">
        <f>'Сводка НПЗ'!G77</f>
        <v>0</v>
      </c>
      <c r="AM77" s="6" t="s">
        <v>56</v>
      </c>
      <c r="AN77" s="12" t="s">
        <v>121</v>
      </c>
      <c r="AO77" s="20">
        <v>2025</v>
      </c>
      <c r="AP77" s="20">
        <v>2025</v>
      </c>
      <c r="AQ77" s="20">
        <v>2025</v>
      </c>
      <c r="AR77" s="6" t="s">
        <v>58</v>
      </c>
    </row>
    <row r="78" spans="1:44" ht="42" customHeight="1" x14ac:dyDescent="0.2">
      <c r="A78" s="15">
        <v>77</v>
      </c>
      <c r="B78" s="15" t="s">
        <v>549</v>
      </c>
      <c r="C78" s="15" t="s">
        <v>550</v>
      </c>
      <c r="D78" s="16">
        <v>751827.39726027392</v>
      </c>
      <c r="E78" s="19">
        <v>2025</v>
      </c>
      <c r="F78" s="17">
        <f t="shared" si="1"/>
        <v>274.41699999999997</v>
      </c>
      <c r="G78" s="17">
        <v>51.439276721194382</v>
      </c>
      <c r="H78" s="17">
        <v>18.851200909564643</v>
      </c>
      <c r="I78" s="17">
        <v>10.758079856568653</v>
      </c>
      <c r="J78" s="17">
        <v>8.4193617742341029</v>
      </c>
      <c r="K78" s="17">
        <v>2.9262946537568739</v>
      </c>
      <c r="L78" s="16">
        <v>44534.861053457535</v>
      </c>
      <c r="M78" s="19">
        <v>2025</v>
      </c>
      <c r="N78" s="16">
        <v>16541.194520547946</v>
      </c>
      <c r="O78" s="16">
        <v>1000</v>
      </c>
      <c r="P78" s="17">
        <v>1035.49178419744</v>
      </c>
      <c r="Q78" s="19">
        <v>2025</v>
      </c>
      <c r="R78" s="17">
        <v>3.5727250346774002</v>
      </c>
      <c r="S78" s="19">
        <v>2025</v>
      </c>
      <c r="T78" s="17">
        <v>3.8141953152014598</v>
      </c>
      <c r="U78" s="19">
        <v>2025</v>
      </c>
      <c r="V78" s="18">
        <v>2.0760000000000001</v>
      </c>
      <c r="W78" s="18">
        <v>2.2709999999999999</v>
      </c>
      <c r="X78" s="18" t="s">
        <v>46</v>
      </c>
      <c r="Y78" s="18">
        <v>0.78700000000000003</v>
      </c>
      <c r="Z78" s="18" t="s">
        <v>46</v>
      </c>
      <c r="AA78" s="15" t="s">
        <v>47</v>
      </c>
      <c r="AB78" s="15" t="s">
        <v>69</v>
      </c>
      <c r="AC78" s="15" t="s">
        <v>390</v>
      </c>
      <c r="AD78" s="15" t="s">
        <v>551</v>
      </c>
      <c r="AE78" s="15" t="s">
        <v>552</v>
      </c>
      <c r="AF78" s="15" t="s">
        <v>52</v>
      </c>
      <c r="AG78" s="15" t="s">
        <v>73</v>
      </c>
      <c r="AH78" s="15" t="s">
        <v>553</v>
      </c>
      <c r="AI78" s="15" t="s">
        <v>554</v>
      </c>
      <c r="AJ78" s="8">
        <f>'Сводка НПЗ'!D78</f>
        <v>4</v>
      </c>
      <c r="AK78" s="8">
        <f>IF('Сводка НПЗ'!F78&gt;0,'Сводка НПЗ'!E78,"")</f>
        <v>496500</v>
      </c>
      <c r="AL78" s="8">
        <f>'Сводка НПЗ'!G78</f>
        <v>2</v>
      </c>
      <c r="AM78" s="6" t="s">
        <v>56</v>
      </c>
      <c r="AN78" s="12" t="s">
        <v>121</v>
      </c>
      <c r="AO78" s="20">
        <v>2025</v>
      </c>
      <c r="AP78" s="20">
        <v>2025</v>
      </c>
      <c r="AQ78" s="20">
        <v>2025</v>
      </c>
      <c r="AR78" s="6" t="s">
        <v>58</v>
      </c>
    </row>
    <row r="79" spans="1:44" ht="42" customHeight="1" x14ac:dyDescent="0.2">
      <c r="A79" s="15">
        <v>78</v>
      </c>
      <c r="B79" s="15" t="s">
        <v>555</v>
      </c>
      <c r="C79" s="15" t="s">
        <v>556</v>
      </c>
      <c r="D79" s="16">
        <v>156808.21917808219</v>
      </c>
      <c r="E79" s="19">
        <v>2025</v>
      </c>
      <c r="F79" s="17">
        <f t="shared" si="1"/>
        <v>57.234999999999999</v>
      </c>
      <c r="G79" s="17">
        <v>51.536367607233338</v>
      </c>
      <c r="H79" s="17">
        <v>12.386738883550274</v>
      </c>
      <c r="I79" s="17">
        <v>3.5265134969861096</v>
      </c>
      <c r="J79" s="17">
        <v>42.046859439154368</v>
      </c>
      <c r="K79" s="17">
        <v>1.0367781951603041</v>
      </c>
      <c r="L79" s="16">
        <v>649.74842168219186</v>
      </c>
      <c r="M79" s="19">
        <v>2025</v>
      </c>
      <c r="N79" s="16">
        <v>0</v>
      </c>
      <c r="O79" s="16">
        <v>0</v>
      </c>
      <c r="P79" s="17">
        <v>721.70135904631297</v>
      </c>
      <c r="Q79" s="19">
        <v>2025</v>
      </c>
      <c r="R79" s="17">
        <v>12.3375990291434</v>
      </c>
      <c r="S79" s="19">
        <v>2025</v>
      </c>
      <c r="T79" s="17">
        <v>2.2104478847585698</v>
      </c>
      <c r="U79" s="19">
        <v>2025</v>
      </c>
      <c r="V79" s="18">
        <v>2.141</v>
      </c>
      <c r="W79" s="18">
        <v>2.2549999999999999</v>
      </c>
      <c r="X79" s="18" t="s">
        <v>46</v>
      </c>
      <c r="Y79" s="18" t="s">
        <v>46</v>
      </c>
      <c r="Z79" s="18" t="s">
        <v>46</v>
      </c>
      <c r="AA79" s="15" t="s">
        <v>47</v>
      </c>
      <c r="AB79" s="15" t="s">
        <v>48</v>
      </c>
      <c r="AC79" s="15" t="s">
        <v>376</v>
      </c>
      <c r="AD79" s="15" t="s">
        <v>557</v>
      </c>
      <c r="AE79" s="15" t="s">
        <v>558</v>
      </c>
      <c r="AF79" s="15" t="s">
        <v>52</v>
      </c>
      <c r="AG79" s="15" t="s">
        <v>53</v>
      </c>
      <c r="AH79" s="15" t="s">
        <v>559</v>
      </c>
      <c r="AI79" s="15" t="s">
        <v>560</v>
      </c>
      <c r="AJ79" s="8">
        <f>'Сводка НПЗ'!D79</f>
        <v>1</v>
      </c>
      <c r="AK79" s="8">
        <f>IF('Сводка НПЗ'!F79&gt;0,'Сводка НПЗ'!E79,"")</f>
        <v>71000</v>
      </c>
      <c r="AL79" s="8">
        <f>'Сводка НПЗ'!G79</f>
        <v>0</v>
      </c>
      <c r="AM79" s="6" t="s">
        <v>56</v>
      </c>
      <c r="AN79" s="12" t="s">
        <v>121</v>
      </c>
      <c r="AO79" s="20">
        <v>2025</v>
      </c>
      <c r="AP79" s="20">
        <v>2025</v>
      </c>
      <c r="AQ79" s="20">
        <v>2025</v>
      </c>
      <c r="AR79" s="6" t="s">
        <v>58</v>
      </c>
    </row>
    <row r="80" spans="1:44" ht="42" customHeight="1" x14ac:dyDescent="0.2">
      <c r="A80" s="15">
        <v>79</v>
      </c>
      <c r="B80" s="15" t="s">
        <v>561</v>
      </c>
      <c r="C80" s="15" t="s">
        <v>562</v>
      </c>
      <c r="D80" s="16">
        <v>1416186.3013698631</v>
      </c>
      <c r="E80" s="19">
        <v>2025</v>
      </c>
      <c r="F80" s="17">
        <f t="shared" si="1"/>
        <v>516.90800000000002</v>
      </c>
      <c r="G80" s="17">
        <v>39.477206775673814</v>
      </c>
      <c r="H80" s="17">
        <v>22.374416724059213</v>
      </c>
      <c r="I80" s="17">
        <v>5.2422481369992342</v>
      </c>
      <c r="J80" s="17">
        <v>40.47107802549003</v>
      </c>
      <c r="K80" s="17">
        <v>1.3588588298111075</v>
      </c>
      <c r="L80" s="16">
        <v>768514.71574284614</v>
      </c>
      <c r="M80" s="19">
        <v>2025</v>
      </c>
      <c r="N80" s="16">
        <v>615778.71232876717</v>
      </c>
      <c r="O80" s="16">
        <v>58969.354084243452</v>
      </c>
      <c r="P80" s="17">
        <v>4002.5875418460096</v>
      </c>
      <c r="Q80" s="19">
        <v>2025</v>
      </c>
      <c r="R80" s="17">
        <v>1.38844207858726</v>
      </c>
      <c r="S80" s="19">
        <v>2025</v>
      </c>
      <c r="T80" s="17">
        <v>3.8830688162599998</v>
      </c>
      <c r="U80" s="19">
        <v>2025</v>
      </c>
      <c r="V80" s="18">
        <v>2.266</v>
      </c>
      <c r="W80" s="18">
        <v>2.57</v>
      </c>
      <c r="X80" s="18" t="s">
        <v>46</v>
      </c>
      <c r="Y80" s="18">
        <v>1.3640000000000001</v>
      </c>
      <c r="Z80" s="18" t="s">
        <v>46</v>
      </c>
      <c r="AA80" s="15" t="s">
        <v>47</v>
      </c>
      <c r="AB80" s="15" t="s">
        <v>69</v>
      </c>
      <c r="AC80" s="15" t="s">
        <v>376</v>
      </c>
      <c r="AD80" s="15" t="s">
        <v>563</v>
      </c>
      <c r="AE80" s="15" t="s">
        <v>564</v>
      </c>
      <c r="AF80" s="15" t="s">
        <v>52</v>
      </c>
      <c r="AG80" s="15" t="s">
        <v>73</v>
      </c>
      <c r="AH80" s="15" t="s">
        <v>565</v>
      </c>
      <c r="AI80" s="15" t="s">
        <v>566</v>
      </c>
      <c r="AJ80" s="8">
        <f>'Сводка НПЗ'!D80</f>
        <v>11</v>
      </c>
      <c r="AK80" s="8">
        <f>IF('Сводка НПЗ'!F80&gt;0,'Сводка НПЗ'!E80,"")</f>
        <v>1891682</v>
      </c>
      <c r="AL80" s="8">
        <f>'Сводка НПЗ'!G80</f>
        <v>0</v>
      </c>
      <c r="AM80" s="6" t="s">
        <v>56</v>
      </c>
      <c r="AN80" s="12" t="s">
        <v>121</v>
      </c>
      <c r="AO80" s="20">
        <v>2025</v>
      </c>
      <c r="AP80" s="20">
        <v>2025</v>
      </c>
      <c r="AQ80" s="20">
        <v>2025</v>
      </c>
      <c r="AR80" s="6" t="s">
        <v>58</v>
      </c>
    </row>
    <row r="81" spans="1:44" ht="42" customHeight="1" x14ac:dyDescent="0.2">
      <c r="A81" s="15">
        <v>80</v>
      </c>
      <c r="B81" s="15" t="s">
        <v>567</v>
      </c>
      <c r="C81" s="15" t="s">
        <v>568</v>
      </c>
      <c r="D81" s="16">
        <v>307767.12328767125</v>
      </c>
      <c r="E81" s="19">
        <v>2025</v>
      </c>
      <c r="F81" s="17">
        <f t="shared" si="1"/>
        <v>112.33499999999999</v>
      </c>
      <c r="G81" s="17">
        <v>36.777032981706505</v>
      </c>
      <c r="H81" s="17">
        <v>16.789424489250901</v>
      </c>
      <c r="I81" s="17">
        <v>7.4865358080740645</v>
      </c>
      <c r="J81" s="17">
        <v>26.073761516891441</v>
      </c>
      <c r="K81" s="17">
        <v>13.940980104152759</v>
      </c>
      <c r="L81" s="16">
        <v>14384.604168506849</v>
      </c>
      <c r="M81" s="19">
        <v>2025</v>
      </c>
      <c r="N81" s="16">
        <v>1497</v>
      </c>
      <c r="O81" s="16">
        <v>0</v>
      </c>
      <c r="P81" s="17">
        <v>280.63552132444096</v>
      </c>
      <c r="Q81" s="19">
        <v>2025</v>
      </c>
      <c r="R81" s="17">
        <v>2.0730688248171298</v>
      </c>
      <c r="S81" s="19">
        <v>2025</v>
      </c>
      <c r="T81" s="17">
        <v>2.4820974537885698</v>
      </c>
      <c r="U81" s="19">
        <v>2025</v>
      </c>
      <c r="V81" s="18">
        <v>2.4159999999999999</v>
      </c>
      <c r="W81" s="18">
        <v>2.371</v>
      </c>
      <c r="X81" s="18" t="s">
        <v>46</v>
      </c>
      <c r="Y81" s="18">
        <v>1.117</v>
      </c>
      <c r="Z81" s="18" t="s">
        <v>46</v>
      </c>
      <c r="AA81" s="15" t="s">
        <v>47</v>
      </c>
      <c r="AB81" s="15" t="s">
        <v>69</v>
      </c>
      <c r="AC81" s="15" t="s">
        <v>390</v>
      </c>
      <c r="AD81" s="15" t="s">
        <v>569</v>
      </c>
      <c r="AE81" s="15" t="s">
        <v>570</v>
      </c>
      <c r="AF81" s="15" t="s">
        <v>52</v>
      </c>
      <c r="AG81" s="15" t="s">
        <v>73</v>
      </c>
      <c r="AH81" s="15" t="s">
        <v>571</v>
      </c>
      <c r="AI81" s="15" t="s">
        <v>572</v>
      </c>
      <c r="AJ81" s="8">
        <f>'Сводка НПЗ'!D81</f>
        <v>4</v>
      </c>
      <c r="AK81" s="8">
        <f>IF('Сводка НПЗ'!F81&gt;0,'Сводка НПЗ'!E81,"")</f>
        <v>401500</v>
      </c>
      <c r="AL81" s="8">
        <f>'Сводка НПЗ'!G81</f>
        <v>0</v>
      </c>
      <c r="AM81" s="6" t="s">
        <v>56</v>
      </c>
      <c r="AN81" s="12" t="s">
        <v>121</v>
      </c>
      <c r="AO81" s="20">
        <v>2025</v>
      </c>
      <c r="AP81" s="20">
        <v>2025</v>
      </c>
      <c r="AQ81" s="20">
        <v>2025</v>
      </c>
      <c r="AR81" s="6" t="s">
        <v>58</v>
      </c>
    </row>
    <row r="82" spans="1:44" ht="42" customHeight="1" x14ac:dyDescent="0.2">
      <c r="A82" s="15">
        <v>81</v>
      </c>
      <c r="B82" s="15" t="s">
        <v>573</v>
      </c>
      <c r="C82" s="15" t="s">
        <v>574</v>
      </c>
      <c r="D82" s="16">
        <v>37129.273203999997</v>
      </c>
      <c r="E82" s="19">
        <v>2024</v>
      </c>
      <c r="F82" s="17">
        <f t="shared" si="1"/>
        <v>13.589313992663998</v>
      </c>
      <c r="G82" s="17">
        <v>65.921626651617672</v>
      </c>
      <c r="H82" s="17">
        <v>28.735293958974097</v>
      </c>
      <c r="I82" s="17">
        <v>0.79032751971128534</v>
      </c>
      <c r="J82" s="17">
        <v>3.1604430971559725</v>
      </c>
      <c r="K82" s="17">
        <v>0.85709655896446735</v>
      </c>
      <c r="L82" s="16">
        <v>101.15509353150685</v>
      </c>
      <c r="M82" s="19">
        <v>2025</v>
      </c>
      <c r="N82" s="16">
        <v>0</v>
      </c>
      <c r="O82" s="16">
        <v>0</v>
      </c>
      <c r="P82" s="17">
        <v>28.879806220126401</v>
      </c>
      <c r="Q82" s="19">
        <v>2025</v>
      </c>
      <c r="R82" s="17">
        <v>3.7577283676390199</v>
      </c>
      <c r="S82" s="19">
        <v>2025</v>
      </c>
      <c r="T82" s="17">
        <v>13.9099095827735</v>
      </c>
      <c r="U82" s="19">
        <v>2025</v>
      </c>
      <c r="V82" s="18">
        <v>1.2969999999999999</v>
      </c>
      <c r="W82" s="18">
        <v>1.3779999999999999</v>
      </c>
      <c r="X82" s="18" t="s">
        <v>46</v>
      </c>
      <c r="Y82" s="18" t="s">
        <v>46</v>
      </c>
      <c r="Z82" s="18" t="s">
        <v>46</v>
      </c>
      <c r="AA82" s="15" t="s">
        <v>47</v>
      </c>
      <c r="AB82" s="15" t="s">
        <v>48</v>
      </c>
      <c r="AC82" s="15" t="s">
        <v>421</v>
      </c>
      <c r="AD82" s="15" t="s">
        <v>575</v>
      </c>
      <c r="AE82" s="15" t="s">
        <v>576</v>
      </c>
      <c r="AF82" s="15" t="s">
        <v>64</v>
      </c>
      <c r="AG82" s="15" t="s">
        <v>53</v>
      </c>
      <c r="AH82" s="15" t="s">
        <v>577</v>
      </c>
      <c r="AI82" s="15" t="s">
        <v>578</v>
      </c>
      <c r="AJ82" s="8">
        <f>'Сводка НПЗ'!D82</f>
        <v>1</v>
      </c>
      <c r="AK82" s="8">
        <f>IF('Сводка НПЗ'!F82&gt;0,'Сводка НПЗ'!E82,"")</f>
        <v>23750</v>
      </c>
      <c r="AL82" s="8">
        <f>'Сводка НПЗ'!G82</f>
        <v>0</v>
      </c>
      <c r="AM82" s="6" t="s">
        <v>56</v>
      </c>
      <c r="AN82" s="12" t="s">
        <v>83</v>
      </c>
      <c r="AO82" s="20">
        <v>2024</v>
      </c>
      <c r="AP82" s="20">
        <v>2025</v>
      </c>
      <c r="AQ82" s="20">
        <v>2025</v>
      </c>
      <c r="AR82" s="6" t="s">
        <v>58</v>
      </c>
    </row>
    <row r="83" spans="1:44" ht="42" customHeight="1" x14ac:dyDescent="0.2">
      <c r="A83" s="15">
        <v>82</v>
      </c>
      <c r="B83" s="15" t="s">
        <v>579</v>
      </c>
      <c r="C83" s="15" t="s">
        <v>580</v>
      </c>
      <c r="D83" s="16">
        <v>11142.278788</v>
      </c>
      <c r="E83" s="19">
        <v>2024</v>
      </c>
      <c r="F83" s="17">
        <f t="shared" si="1"/>
        <v>4.0780740364079993</v>
      </c>
      <c r="G83" s="17">
        <v>45.797578593130424</v>
      </c>
      <c r="H83" s="17">
        <v>36.902713271079932</v>
      </c>
      <c r="I83" s="17">
        <v>1.1488825350328329</v>
      </c>
      <c r="J83" s="17">
        <v>0.79251454464684334</v>
      </c>
      <c r="K83" s="17">
        <v>14.540796383096207</v>
      </c>
      <c r="L83" s="16">
        <v>0</v>
      </c>
      <c r="M83" s="19">
        <v>2025</v>
      </c>
      <c r="N83" s="16">
        <v>0</v>
      </c>
      <c r="O83" s="16">
        <v>0</v>
      </c>
      <c r="P83" s="17">
        <v>7.4641579044350896</v>
      </c>
      <c r="Q83" s="19">
        <v>2025</v>
      </c>
      <c r="R83" s="17">
        <v>4.6086507758127597</v>
      </c>
      <c r="S83" s="19">
        <v>2025</v>
      </c>
      <c r="T83" s="17">
        <v>7.4875016661298597</v>
      </c>
      <c r="U83" s="19">
        <v>2025</v>
      </c>
      <c r="V83" s="18">
        <v>2.0329999999999999</v>
      </c>
      <c r="W83" s="18">
        <v>2.2869999999999999</v>
      </c>
      <c r="X83" s="18" t="s">
        <v>46</v>
      </c>
      <c r="Y83" s="18" t="s">
        <v>46</v>
      </c>
      <c r="Z83" s="18" t="s">
        <v>46</v>
      </c>
      <c r="AA83" s="15" t="s">
        <v>47</v>
      </c>
      <c r="AB83" s="15" t="s">
        <v>48</v>
      </c>
      <c r="AC83" s="15" t="s">
        <v>421</v>
      </c>
      <c r="AD83" s="15" t="s">
        <v>581</v>
      </c>
      <c r="AE83" s="15" t="s">
        <v>582</v>
      </c>
      <c r="AF83" s="15" t="s">
        <v>64</v>
      </c>
      <c r="AG83" s="15" t="s">
        <v>53</v>
      </c>
      <c r="AH83" s="15" t="s">
        <v>583</v>
      </c>
      <c r="AI83" s="15" t="s">
        <v>584</v>
      </c>
      <c r="AJ83" s="8">
        <f>'Сводка НПЗ'!D83</f>
        <v>1</v>
      </c>
      <c r="AK83" s="8">
        <f>IF('Сводка НПЗ'!F83&gt;0,'Сводка НПЗ'!E83,"")</f>
        <v>10000</v>
      </c>
      <c r="AL83" s="8">
        <f>'Сводка НПЗ'!G83</f>
        <v>0</v>
      </c>
      <c r="AM83" s="6" t="s">
        <v>56</v>
      </c>
      <c r="AN83" s="12" t="s">
        <v>83</v>
      </c>
      <c r="AO83" s="20">
        <v>2024</v>
      </c>
      <c r="AP83" s="20">
        <v>2025</v>
      </c>
      <c r="AQ83" s="20">
        <v>2025</v>
      </c>
      <c r="AR83" s="6" t="s">
        <v>58</v>
      </c>
    </row>
    <row r="84" spans="1:44" ht="42" customHeight="1" x14ac:dyDescent="0.2">
      <c r="A84" s="15">
        <v>83</v>
      </c>
      <c r="B84" s="15" t="s">
        <v>585</v>
      </c>
      <c r="C84" s="15" t="s">
        <v>586</v>
      </c>
      <c r="D84" s="16">
        <v>31268.106188000002</v>
      </c>
      <c r="E84" s="19">
        <v>2024</v>
      </c>
      <c r="F84" s="17">
        <f t="shared" si="1"/>
        <v>11.444126864808</v>
      </c>
      <c r="G84" s="17">
        <v>46.497312285512436</v>
      </c>
      <c r="H84" s="17">
        <v>38.916315132222358</v>
      </c>
      <c r="I84" s="17">
        <v>0</v>
      </c>
      <c r="J84" s="17">
        <v>2.4446577397557867</v>
      </c>
      <c r="K84" s="17">
        <v>7.0509552729039751</v>
      </c>
      <c r="L84" s="16">
        <v>0</v>
      </c>
      <c r="M84" s="19">
        <v>2025</v>
      </c>
      <c r="N84" s="16">
        <v>0</v>
      </c>
      <c r="O84" s="16">
        <v>0</v>
      </c>
      <c r="P84" s="17">
        <v>28.346024753292401</v>
      </c>
      <c r="Q84" s="19">
        <v>2025</v>
      </c>
      <c r="R84" s="17">
        <v>7.4470966835761097</v>
      </c>
      <c r="S84" s="19">
        <v>2025</v>
      </c>
      <c r="T84" s="17">
        <v>3.5463016314288498</v>
      </c>
      <c r="U84" s="19">
        <v>2025</v>
      </c>
      <c r="V84" s="18">
        <v>1.3680000000000001</v>
      </c>
      <c r="W84" s="18">
        <v>1.3680000000000001</v>
      </c>
      <c r="X84" s="18" t="s">
        <v>46</v>
      </c>
      <c r="Y84" s="18" t="s">
        <v>46</v>
      </c>
      <c r="Z84" s="18" t="s">
        <v>46</v>
      </c>
      <c r="AA84" s="15" t="s">
        <v>47</v>
      </c>
      <c r="AB84" s="15" t="s">
        <v>48</v>
      </c>
      <c r="AC84" s="15" t="s">
        <v>421</v>
      </c>
      <c r="AD84" s="15" t="s">
        <v>587</v>
      </c>
      <c r="AE84" s="15" t="s">
        <v>588</v>
      </c>
      <c r="AF84" s="15" t="s">
        <v>64</v>
      </c>
      <c r="AG84" s="15" t="s">
        <v>53</v>
      </c>
      <c r="AH84" s="15" t="s">
        <v>589</v>
      </c>
      <c r="AI84" s="15" t="s">
        <v>590</v>
      </c>
      <c r="AJ84" s="8">
        <f>'Сводка НПЗ'!D84</f>
        <v>0</v>
      </c>
      <c r="AK84" s="8" t="str">
        <f>IF('Сводка НПЗ'!F84&gt;0,'Сводка НПЗ'!E84,"")</f>
        <v/>
      </c>
      <c r="AL84" s="8">
        <f>'Сводка НПЗ'!G84</f>
        <v>0</v>
      </c>
      <c r="AM84" s="6" t="s">
        <v>56</v>
      </c>
      <c r="AN84" s="12" t="s">
        <v>83</v>
      </c>
      <c r="AO84" s="20">
        <v>2024</v>
      </c>
      <c r="AP84" s="20">
        <v>2025</v>
      </c>
      <c r="AQ84" s="20">
        <v>2025</v>
      </c>
      <c r="AR84" s="6" t="s">
        <v>58</v>
      </c>
    </row>
    <row r="85" spans="1:44" ht="42" customHeight="1" x14ac:dyDescent="0.2">
      <c r="A85" s="15">
        <v>84</v>
      </c>
      <c r="B85" s="15" t="s">
        <v>591</v>
      </c>
      <c r="C85" s="15" t="s">
        <v>592</v>
      </c>
      <c r="D85" s="16">
        <v>4852.7339240000001</v>
      </c>
      <c r="E85" s="19">
        <v>2024</v>
      </c>
      <c r="F85" s="17">
        <f t="shared" si="1"/>
        <v>1.7761006161839998</v>
      </c>
      <c r="G85" s="17">
        <v>50.899741747307878</v>
      </c>
      <c r="H85" s="17">
        <v>39.672920093114918</v>
      </c>
      <c r="I85" s="17">
        <v>1.3693260755831211</v>
      </c>
      <c r="J85" s="17">
        <v>4.9613283310111278</v>
      </c>
      <c r="K85" s="17">
        <v>0</v>
      </c>
      <c r="L85" s="16">
        <v>0</v>
      </c>
      <c r="M85" s="19">
        <v>2025</v>
      </c>
      <c r="N85" s="16">
        <v>0</v>
      </c>
      <c r="O85" s="16">
        <v>0</v>
      </c>
      <c r="P85" s="17">
        <v>5.2459388999999996</v>
      </c>
      <c r="Q85" s="19">
        <v>2025</v>
      </c>
      <c r="R85" s="17">
        <v>5.0165610799221403</v>
      </c>
      <c r="S85" s="19">
        <v>2025</v>
      </c>
      <c r="T85" s="17">
        <v>8.3156432940295204</v>
      </c>
      <c r="U85" s="19">
        <v>2025</v>
      </c>
      <c r="V85" s="18">
        <v>1.1459999999999999</v>
      </c>
      <c r="W85" s="18">
        <v>1.3919999999999999</v>
      </c>
      <c r="X85" s="18" t="s">
        <v>46</v>
      </c>
      <c r="Y85" s="18" t="s">
        <v>46</v>
      </c>
      <c r="Z85" s="18" t="s">
        <v>46</v>
      </c>
      <c r="AA85" s="15" t="s">
        <v>47</v>
      </c>
      <c r="AB85" s="15" t="s">
        <v>48</v>
      </c>
      <c r="AC85" s="15" t="s">
        <v>421</v>
      </c>
      <c r="AD85" s="15" t="s">
        <v>593</v>
      </c>
      <c r="AE85" s="15" t="s">
        <v>594</v>
      </c>
      <c r="AF85" s="15" t="s">
        <v>64</v>
      </c>
      <c r="AG85" s="15" t="s">
        <v>53</v>
      </c>
      <c r="AH85" s="15" t="s">
        <v>595</v>
      </c>
      <c r="AI85" s="15" t="s">
        <v>596</v>
      </c>
      <c r="AJ85" s="8">
        <f>'Сводка НПЗ'!D85</f>
        <v>1</v>
      </c>
      <c r="AK85" s="8">
        <f>IF('Сводка НПЗ'!F85&gt;0,'Сводка НПЗ'!E85,"")</f>
        <v>15000</v>
      </c>
      <c r="AL85" s="8">
        <f>'Сводка НПЗ'!G85</f>
        <v>0</v>
      </c>
      <c r="AM85" s="6" t="s">
        <v>56</v>
      </c>
      <c r="AN85" s="12" t="s">
        <v>83</v>
      </c>
      <c r="AO85" s="20">
        <v>2024</v>
      </c>
      <c r="AP85" s="20">
        <v>2025</v>
      </c>
      <c r="AQ85" s="20">
        <v>2025</v>
      </c>
      <c r="AR85" s="6" t="s">
        <v>58</v>
      </c>
    </row>
    <row r="86" spans="1:44" ht="42" customHeight="1" x14ac:dyDescent="0.2">
      <c r="A86" s="15">
        <v>85</v>
      </c>
      <c r="B86" s="15" t="s">
        <v>597</v>
      </c>
      <c r="C86" s="15" t="s">
        <v>598</v>
      </c>
      <c r="D86" s="16">
        <v>2920.453923</v>
      </c>
      <c r="E86" s="19">
        <v>2024</v>
      </c>
      <c r="F86" s="17">
        <f t="shared" si="1"/>
        <v>1.068886135818</v>
      </c>
      <c r="G86" s="17">
        <v>52.524202005703067</v>
      </c>
      <c r="H86" s="17">
        <v>30.636377069798403</v>
      </c>
      <c r="I86" s="17">
        <v>0.15019805535894429</v>
      </c>
      <c r="J86" s="17">
        <v>13.142838377868152</v>
      </c>
      <c r="K86" s="17">
        <v>2.0563571480117475</v>
      </c>
      <c r="L86" s="16">
        <v>0</v>
      </c>
      <c r="M86" s="19">
        <v>2025</v>
      </c>
      <c r="N86" s="16">
        <v>0</v>
      </c>
      <c r="O86" s="16">
        <v>0</v>
      </c>
      <c r="P86" s="17">
        <v>3.0661092264016498</v>
      </c>
      <c r="Q86" s="19">
        <v>2025</v>
      </c>
      <c r="R86" s="17">
        <v>4.4995000039378104</v>
      </c>
      <c r="S86" s="19">
        <v>2025</v>
      </c>
      <c r="T86" s="17">
        <v>1.00198012768088</v>
      </c>
      <c r="U86" s="19">
        <v>2025</v>
      </c>
      <c r="V86" s="18">
        <v>1.849</v>
      </c>
      <c r="W86" s="18">
        <v>2.2010000000000001</v>
      </c>
      <c r="X86" s="18" t="s">
        <v>46</v>
      </c>
      <c r="Y86" s="18" t="s">
        <v>46</v>
      </c>
      <c r="Z86" s="18" t="s">
        <v>46</v>
      </c>
      <c r="AA86" s="15" t="s">
        <v>47</v>
      </c>
      <c r="AB86" s="15" t="s">
        <v>48</v>
      </c>
      <c r="AC86" s="15" t="s">
        <v>421</v>
      </c>
      <c r="AD86" s="15" t="s">
        <v>599</v>
      </c>
      <c r="AE86" s="15" t="s">
        <v>600</v>
      </c>
      <c r="AF86" s="15" t="s">
        <v>64</v>
      </c>
      <c r="AG86" s="15" t="s">
        <v>53</v>
      </c>
      <c r="AH86" s="15" t="s">
        <v>601</v>
      </c>
      <c r="AI86" s="15" t="s">
        <v>602</v>
      </c>
      <c r="AJ86" s="8">
        <f>'Сводка НПЗ'!D86</f>
        <v>0</v>
      </c>
      <c r="AK86" s="8" t="str">
        <f>IF('Сводка НПЗ'!F86&gt;0,'Сводка НПЗ'!E86,"")</f>
        <v/>
      </c>
      <c r="AL86" s="8">
        <f>'Сводка НПЗ'!G86</f>
        <v>0</v>
      </c>
      <c r="AM86" s="6" t="s">
        <v>56</v>
      </c>
      <c r="AN86" s="12" t="s">
        <v>83</v>
      </c>
      <c r="AO86" s="20">
        <v>2024</v>
      </c>
      <c r="AP86" s="20">
        <v>2025</v>
      </c>
      <c r="AQ86" s="20">
        <v>2025</v>
      </c>
      <c r="AR86" s="6" t="s">
        <v>58</v>
      </c>
    </row>
    <row r="87" spans="1:44" ht="42" customHeight="1" x14ac:dyDescent="0.2">
      <c r="A87" s="15">
        <v>86</v>
      </c>
      <c r="B87" s="15" t="s">
        <v>603</v>
      </c>
      <c r="C87" s="15" t="s">
        <v>604</v>
      </c>
      <c r="D87" s="16">
        <v>86185.538849999997</v>
      </c>
      <c r="E87" s="19">
        <v>2024</v>
      </c>
      <c r="F87" s="17">
        <f t="shared" si="1"/>
        <v>31.543907219099999</v>
      </c>
      <c r="G87" s="17">
        <v>54.845154315583891</v>
      </c>
      <c r="H87" s="17">
        <v>23.023908969851504</v>
      </c>
      <c r="I87" s="17">
        <v>6.6095445767465888</v>
      </c>
      <c r="J87" s="17">
        <v>3.175804767855205</v>
      </c>
      <c r="K87" s="17">
        <v>11.362686220531764</v>
      </c>
      <c r="L87" s="16">
        <v>31803.65676919726</v>
      </c>
      <c r="M87" s="19">
        <v>2025</v>
      </c>
      <c r="N87" s="16">
        <v>30000</v>
      </c>
      <c r="O87" s="16">
        <v>0</v>
      </c>
      <c r="P87" s="17">
        <v>60.162634574468903</v>
      </c>
      <c r="Q87" s="19">
        <v>2025</v>
      </c>
      <c r="R87" s="17">
        <v>3.0642794293586899</v>
      </c>
      <c r="S87" s="19">
        <v>2025</v>
      </c>
      <c r="T87" s="17" t="s">
        <v>46</v>
      </c>
      <c r="U87" s="19" t="s">
        <v>46</v>
      </c>
      <c r="V87" s="18">
        <v>0.7</v>
      </c>
      <c r="W87" s="18">
        <v>0.65600000000000003</v>
      </c>
      <c r="X87" s="18" t="s">
        <v>46</v>
      </c>
      <c r="Y87" s="18" t="s">
        <v>46</v>
      </c>
      <c r="Z87" s="18" t="s">
        <v>46</v>
      </c>
      <c r="AA87" s="15" t="s">
        <v>47</v>
      </c>
      <c r="AB87" s="15" t="s">
        <v>48</v>
      </c>
      <c r="AC87" s="15" t="s">
        <v>605</v>
      </c>
      <c r="AD87" s="15" t="s">
        <v>606</v>
      </c>
      <c r="AE87" s="15" t="s">
        <v>607</v>
      </c>
      <c r="AF87" s="15" t="s">
        <v>64</v>
      </c>
      <c r="AG87" s="15" t="s">
        <v>53</v>
      </c>
      <c r="AH87" s="15" t="s">
        <v>608</v>
      </c>
      <c r="AI87" s="15" t="s">
        <v>609</v>
      </c>
      <c r="AJ87" s="8">
        <f>'Сводка НПЗ'!D87</f>
        <v>3</v>
      </c>
      <c r="AK87" s="8">
        <f>IF('Сводка НПЗ'!F87&gt;0,'Сводка НПЗ'!E87,"")</f>
        <v>141700</v>
      </c>
      <c r="AL87" s="8">
        <f>'Сводка НПЗ'!G87</f>
        <v>0</v>
      </c>
      <c r="AM87" s="6" t="s">
        <v>56</v>
      </c>
      <c r="AN87" s="12" t="s">
        <v>83</v>
      </c>
      <c r="AO87" s="20">
        <v>2024</v>
      </c>
      <c r="AP87" s="20">
        <v>2025</v>
      </c>
      <c r="AQ87" s="20">
        <v>2025</v>
      </c>
      <c r="AR87" s="6" t="s">
        <v>58</v>
      </c>
    </row>
    <row r="88" spans="1:44" ht="42" customHeight="1" x14ac:dyDescent="0.2">
      <c r="A88" s="15">
        <v>87</v>
      </c>
      <c r="B88" s="15" t="s">
        <v>610</v>
      </c>
      <c r="C88" s="15" t="s">
        <v>611</v>
      </c>
      <c r="D88" s="16">
        <v>4775.4279339999994</v>
      </c>
      <c r="E88" s="19">
        <v>2024</v>
      </c>
      <c r="F88" s="17">
        <f t="shared" si="1"/>
        <v>1.7478066238439998</v>
      </c>
      <c r="G88" s="17">
        <v>26.171920637762053</v>
      </c>
      <c r="H88" s="17">
        <v>8.2256916747348416</v>
      </c>
      <c r="I88" s="17">
        <v>9.6860032732723056</v>
      </c>
      <c r="J88" s="17">
        <v>42.9370669254874</v>
      </c>
      <c r="K88" s="17">
        <v>6.3594778561681888</v>
      </c>
      <c r="L88" s="16">
        <v>0</v>
      </c>
      <c r="M88" s="19">
        <v>2025</v>
      </c>
      <c r="N88" s="16">
        <v>0</v>
      </c>
      <c r="O88" s="16">
        <v>0</v>
      </c>
      <c r="P88" s="17">
        <v>4.6245330923188597</v>
      </c>
      <c r="Q88" s="19">
        <v>2025</v>
      </c>
      <c r="R88" s="17">
        <v>6.4954610524268004</v>
      </c>
      <c r="S88" s="19">
        <v>2025</v>
      </c>
      <c r="T88" s="17">
        <v>-0.31373179953348102</v>
      </c>
      <c r="U88" s="19">
        <v>2025</v>
      </c>
      <c r="V88" s="18" t="s">
        <v>46</v>
      </c>
      <c r="W88" s="18" t="s">
        <v>46</v>
      </c>
      <c r="X88" s="18" t="s">
        <v>46</v>
      </c>
      <c r="Y88" s="18" t="s">
        <v>46</v>
      </c>
      <c r="Z88" s="18" t="s">
        <v>46</v>
      </c>
      <c r="AA88" s="15" t="s">
        <v>100</v>
      </c>
      <c r="AB88" s="15" t="s">
        <v>101</v>
      </c>
      <c r="AC88" s="15" t="s">
        <v>421</v>
      </c>
      <c r="AD88" s="15" t="s">
        <v>612</v>
      </c>
      <c r="AE88" s="15" t="s">
        <v>104</v>
      </c>
      <c r="AF88" s="15" t="s">
        <v>64</v>
      </c>
      <c r="AG88" s="15" t="s">
        <v>106</v>
      </c>
      <c r="AH88" s="15" t="s">
        <v>613</v>
      </c>
      <c r="AI88" s="15" t="s">
        <v>614</v>
      </c>
      <c r="AJ88" s="8">
        <f>'Сводка НПЗ'!D88</f>
        <v>0</v>
      </c>
      <c r="AK88" s="8" t="str">
        <f>IF('Сводка НПЗ'!F88&gt;0,'Сводка НПЗ'!E88,"")</f>
        <v/>
      </c>
      <c r="AL88" s="8">
        <f>'Сводка НПЗ'!G88</f>
        <v>0</v>
      </c>
      <c r="AM88" s="6" t="s">
        <v>56</v>
      </c>
      <c r="AN88" s="12" t="s">
        <v>83</v>
      </c>
      <c r="AO88" s="20">
        <v>2024</v>
      </c>
      <c r="AP88" s="20">
        <v>2025</v>
      </c>
      <c r="AQ88" s="20">
        <v>2025</v>
      </c>
      <c r="AR88" s="6" t="s">
        <v>58</v>
      </c>
    </row>
    <row r="89" spans="1:44" ht="42" customHeight="1" x14ac:dyDescent="0.2">
      <c r="A89" s="15">
        <v>88</v>
      </c>
      <c r="B89" s="15" t="s">
        <v>615</v>
      </c>
      <c r="C89" s="15" t="s">
        <v>616</v>
      </c>
      <c r="D89" s="16">
        <v>4919.471896</v>
      </c>
      <c r="E89" s="19">
        <v>2024</v>
      </c>
      <c r="F89" s="17">
        <f t="shared" si="1"/>
        <v>1.8005267139359999</v>
      </c>
      <c r="G89" s="17">
        <v>47.373282524389076</v>
      </c>
      <c r="H89" s="17">
        <v>4.9243736141063223</v>
      </c>
      <c r="I89" s="17">
        <v>4.687680321692806</v>
      </c>
      <c r="J89" s="17">
        <v>9.1559866490189616</v>
      </c>
      <c r="K89" s="17">
        <v>32.296501547083949</v>
      </c>
      <c r="L89" s="16">
        <v>0</v>
      </c>
      <c r="M89" s="19">
        <v>2025</v>
      </c>
      <c r="N89" s="16">
        <v>0</v>
      </c>
      <c r="O89" s="16">
        <v>0</v>
      </c>
      <c r="P89" s="17" t="s">
        <v>46</v>
      </c>
      <c r="Q89" s="19" t="s">
        <v>46</v>
      </c>
      <c r="R89" s="17" t="s">
        <v>46</v>
      </c>
      <c r="S89" s="19" t="s">
        <v>46</v>
      </c>
      <c r="T89" s="17" t="s">
        <v>46</v>
      </c>
      <c r="U89" s="19" t="s">
        <v>46</v>
      </c>
      <c r="V89" s="18" t="s">
        <v>46</v>
      </c>
      <c r="W89" s="18" t="s">
        <v>46</v>
      </c>
      <c r="X89" s="18" t="s">
        <v>46</v>
      </c>
      <c r="Y89" s="18" t="s">
        <v>46</v>
      </c>
      <c r="Z89" s="18" t="s">
        <v>46</v>
      </c>
      <c r="AA89" s="15" t="s">
        <v>100</v>
      </c>
      <c r="AB89" s="15" t="s">
        <v>101</v>
      </c>
      <c r="AC89" s="15" t="s">
        <v>421</v>
      </c>
      <c r="AD89" s="15" t="s">
        <v>103</v>
      </c>
      <c r="AE89" s="15" t="s">
        <v>104</v>
      </c>
      <c r="AF89" s="15" t="s">
        <v>64</v>
      </c>
      <c r="AG89" s="15" t="s">
        <v>106</v>
      </c>
      <c r="AH89" s="15" t="s">
        <v>617</v>
      </c>
      <c r="AI89" s="15" t="s">
        <v>618</v>
      </c>
      <c r="AJ89" s="8">
        <f>'Сводка НПЗ'!D89</f>
        <v>1</v>
      </c>
      <c r="AK89" s="8">
        <f>IF('Сводка НПЗ'!F89&gt;0,'Сводка НПЗ'!E89,"")</f>
        <v>14564</v>
      </c>
      <c r="AL89" s="8">
        <f>'Сводка НПЗ'!G89</f>
        <v>0</v>
      </c>
      <c r="AM89" s="6" t="s">
        <v>56</v>
      </c>
      <c r="AN89" s="12" t="s">
        <v>83</v>
      </c>
      <c r="AO89" s="20">
        <v>2024</v>
      </c>
      <c r="AP89" s="20">
        <v>2025</v>
      </c>
      <c r="AQ89" s="20">
        <v>2025</v>
      </c>
      <c r="AR89" s="6" t="s">
        <v>58</v>
      </c>
    </row>
    <row r="90" spans="1:44" ht="42" customHeight="1" x14ac:dyDescent="0.2">
      <c r="A90" s="15">
        <v>89</v>
      </c>
      <c r="B90" s="15" t="s">
        <v>619</v>
      </c>
      <c r="C90" s="15" t="s">
        <v>620</v>
      </c>
      <c r="D90" s="16">
        <v>231906.84931506848</v>
      </c>
      <c r="E90" s="19">
        <v>2025</v>
      </c>
      <c r="F90" s="17">
        <f t="shared" si="1"/>
        <v>84.646000000000001</v>
      </c>
      <c r="G90" s="17">
        <v>51.988918554922861</v>
      </c>
      <c r="H90" s="17">
        <v>16.75105734470619</v>
      </c>
      <c r="I90" s="17">
        <v>1.8637620206507099</v>
      </c>
      <c r="J90" s="17">
        <v>18.711811544550244</v>
      </c>
      <c r="K90" s="17">
        <v>2.3164709496018716</v>
      </c>
      <c r="L90" s="16">
        <v>22705.654136676712</v>
      </c>
      <c r="M90" s="19">
        <v>2025</v>
      </c>
      <c r="N90" s="16">
        <v>8754.9808219178085</v>
      </c>
      <c r="O90" s="16">
        <v>0</v>
      </c>
      <c r="P90" s="17">
        <v>579.47002109541802</v>
      </c>
      <c r="Q90" s="19">
        <v>2025</v>
      </c>
      <c r="R90" s="17">
        <v>0.61574728095905595</v>
      </c>
      <c r="S90" s="19">
        <v>2025</v>
      </c>
      <c r="T90" s="17">
        <v>3.52719439956928</v>
      </c>
      <c r="U90" s="19">
        <v>2025</v>
      </c>
      <c r="V90" s="18">
        <v>2.1859999999999999</v>
      </c>
      <c r="W90" s="18">
        <v>2.536</v>
      </c>
      <c r="X90" s="18" t="s">
        <v>46</v>
      </c>
      <c r="Y90" s="18" t="s">
        <v>46</v>
      </c>
      <c r="Z90" s="18" t="s">
        <v>46</v>
      </c>
      <c r="AA90" s="15" t="s">
        <v>47</v>
      </c>
      <c r="AB90" s="15" t="s">
        <v>48</v>
      </c>
      <c r="AC90" s="15" t="s">
        <v>621</v>
      </c>
      <c r="AD90" s="15" t="s">
        <v>622</v>
      </c>
      <c r="AE90" s="15" t="s">
        <v>623</v>
      </c>
      <c r="AF90" s="15" t="s">
        <v>52</v>
      </c>
      <c r="AG90" s="15" t="s">
        <v>53</v>
      </c>
      <c r="AH90" s="15" t="s">
        <v>624</v>
      </c>
      <c r="AI90" s="15" t="s">
        <v>625</v>
      </c>
      <c r="AJ90" s="8">
        <f>'Сводка НПЗ'!D90</f>
        <v>1</v>
      </c>
      <c r="AK90" s="8">
        <f>IF('Сводка НПЗ'!F90&gt;0,'Сводка НПЗ'!E90,"")</f>
        <v>175000</v>
      </c>
      <c r="AL90" s="8">
        <f>'Сводка НПЗ'!G90</f>
        <v>0</v>
      </c>
      <c r="AM90" s="6" t="s">
        <v>56</v>
      </c>
      <c r="AN90" s="12" t="s">
        <v>121</v>
      </c>
      <c r="AO90" s="20">
        <v>2025</v>
      </c>
      <c r="AP90" s="20">
        <v>2025</v>
      </c>
      <c r="AQ90" s="20">
        <v>2025</v>
      </c>
      <c r="AR90" s="6" t="s">
        <v>58</v>
      </c>
    </row>
    <row r="91" spans="1:44" ht="42" customHeight="1" x14ac:dyDescent="0.2">
      <c r="A91" s="15">
        <v>90</v>
      </c>
      <c r="B91" s="15" t="s">
        <v>626</v>
      </c>
      <c r="C91" s="15" t="s">
        <v>627</v>
      </c>
      <c r="D91" s="16">
        <v>1065348.6351950001</v>
      </c>
      <c r="E91" s="19">
        <v>2024</v>
      </c>
      <c r="F91" s="17">
        <f t="shared" si="1"/>
        <v>389.91760048137002</v>
      </c>
      <c r="G91" s="17">
        <v>16.545004637635568</v>
      </c>
      <c r="H91" s="17">
        <v>18.151252248481555</v>
      </c>
      <c r="I91" s="17">
        <v>6.3503283896934688</v>
      </c>
      <c r="J91" s="17">
        <v>3.9064761727866077</v>
      </c>
      <c r="K91" s="17">
        <v>27.51171715223084</v>
      </c>
      <c r="L91" s="16">
        <v>4500342.8461867319</v>
      </c>
      <c r="M91" s="19">
        <v>2025</v>
      </c>
      <c r="N91" s="16">
        <v>4388068.493150685</v>
      </c>
      <c r="O91" s="16">
        <v>125000</v>
      </c>
      <c r="P91" s="17">
        <v>254.36729353846201</v>
      </c>
      <c r="Q91" s="19">
        <v>2025</v>
      </c>
      <c r="R91" s="17">
        <v>-2.1557421906617802</v>
      </c>
      <c r="S91" s="19">
        <v>2025</v>
      </c>
      <c r="T91" s="17">
        <v>0.303454715219382</v>
      </c>
      <c r="U91" s="19">
        <v>2025</v>
      </c>
      <c r="V91" s="18">
        <v>0.65</v>
      </c>
      <c r="W91" s="18" t="s">
        <v>46</v>
      </c>
      <c r="X91" s="18" t="s">
        <v>46</v>
      </c>
      <c r="Y91" s="18" t="s">
        <v>46</v>
      </c>
      <c r="Z91" s="18" t="s">
        <v>46</v>
      </c>
      <c r="AA91" s="15" t="s">
        <v>47</v>
      </c>
      <c r="AB91" s="15" t="s">
        <v>628</v>
      </c>
      <c r="AC91" s="15" t="s">
        <v>605</v>
      </c>
      <c r="AD91" s="15" t="s">
        <v>629</v>
      </c>
      <c r="AE91" s="15" t="s">
        <v>630</v>
      </c>
      <c r="AF91" s="15" t="s">
        <v>64</v>
      </c>
      <c r="AG91" s="15" t="s">
        <v>631</v>
      </c>
      <c r="AH91" s="15" t="s">
        <v>632</v>
      </c>
      <c r="AI91" s="15" t="s">
        <v>633</v>
      </c>
      <c r="AJ91" s="8">
        <f>'Сводка НПЗ'!D91</f>
        <v>8</v>
      </c>
      <c r="AK91" s="8">
        <f>IF('Сводка НПЗ'!F91&gt;0,'Сводка НПЗ'!E91,"")</f>
        <v>485500</v>
      </c>
      <c r="AL91" s="8">
        <f>'Сводка НПЗ'!G91</f>
        <v>0</v>
      </c>
      <c r="AM91" s="6" t="s">
        <v>56</v>
      </c>
      <c r="AN91" s="12" t="s">
        <v>57</v>
      </c>
      <c r="AO91" s="20">
        <v>2024</v>
      </c>
      <c r="AP91" s="20">
        <v>2025</v>
      </c>
      <c r="AQ91" s="20">
        <v>2025</v>
      </c>
      <c r="AR91" s="6" t="s">
        <v>58</v>
      </c>
    </row>
    <row r="92" spans="1:44" ht="42" customHeight="1" x14ac:dyDescent="0.2">
      <c r="A92" s="15">
        <v>91</v>
      </c>
      <c r="B92" s="15" t="s">
        <v>634</v>
      </c>
      <c r="C92" s="15" t="s">
        <v>635</v>
      </c>
      <c r="D92" s="16">
        <v>1169164.3835616438</v>
      </c>
      <c r="E92" s="19">
        <v>2025</v>
      </c>
      <c r="F92" s="17">
        <f t="shared" si="1"/>
        <v>426.745</v>
      </c>
      <c r="G92" s="17">
        <v>46.82155385534687</v>
      </c>
      <c r="H92" s="17">
        <v>18.593187969396244</v>
      </c>
      <c r="I92" s="17">
        <v>9.0708034071869612</v>
      </c>
      <c r="J92" s="17">
        <v>18.770038313278423</v>
      </c>
      <c r="K92" s="17">
        <v>3.4294602162884158</v>
      </c>
      <c r="L92" s="16">
        <v>137150.99191255614</v>
      </c>
      <c r="M92" s="19">
        <v>2025</v>
      </c>
      <c r="N92" s="16">
        <v>83703.684931506839</v>
      </c>
      <c r="O92" s="16">
        <v>0</v>
      </c>
      <c r="P92" s="17">
        <v>2551.5569541003501</v>
      </c>
      <c r="Q92" s="19">
        <v>2025</v>
      </c>
      <c r="R92" s="17">
        <v>0.53958363677844501</v>
      </c>
      <c r="S92" s="19">
        <v>2025</v>
      </c>
      <c r="T92" s="17">
        <v>1.5316682765281999</v>
      </c>
      <c r="U92" s="19">
        <v>2025</v>
      </c>
      <c r="V92" s="18">
        <v>2.4449999999999998</v>
      </c>
      <c r="W92" s="18">
        <v>2.573</v>
      </c>
      <c r="X92" s="18" t="s">
        <v>46</v>
      </c>
      <c r="Y92" s="18">
        <v>0.85699999999999998</v>
      </c>
      <c r="Z92" s="18" t="s">
        <v>46</v>
      </c>
      <c r="AA92" s="15" t="s">
        <v>47</v>
      </c>
      <c r="AB92" s="15" t="s">
        <v>69</v>
      </c>
      <c r="AC92" s="15" t="s">
        <v>636</v>
      </c>
      <c r="AD92" s="15" t="s">
        <v>637</v>
      </c>
      <c r="AE92" s="15" t="s">
        <v>638</v>
      </c>
      <c r="AF92" s="15" t="s">
        <v>52</v>
      </c>
      <c r="AG92" s="15" t="s">
        <v>73</v>
      </c>
      <c r="AH92" s="15" t="s">
        <v>639</v>
      </c>
      <c r="AI92" s="15" t="s">
        <v>640</v>
      </c>
      <c r="AJ92" s="8">
        <f>'Сводка НПЗ'!D92</f>
        <v>17</v>
      </c>
      <c r="AK92" s="8">
        <f>IF('Сводка НПЗ'!F92&gt;0,'Сводка НПЗ'!E92,"")</f>
        <v>2030500</v>
      </c>
      <c r="AL92" s="8">
        <f>'Сводка НПЗ'!G92</f>
        <v>0</v>
      </c>
      <c r="AM92" s="6" t="s">
        <v>56</v>
      </c>
      <c r="AN92" s="12" t="s">
        <v>121</v>
      </c>
      <c r="AO92" s="20">
        <v>2025</v>
      </c>
      <c r="AP92" s="20">
        <v>2025</v>
      </c>
      <c r="AQ92" s="20">
        <v>2025</v>
      </c>
      <c r="AR92" s="6" t="s">
        <v>58</v>
      </c>
    </row>
    <row r="93" spans="1:44" ht="42" customHeight="1" x14ac:dyDescent="0.2">
      <c r="A93" s="15">
        <v>92</v>
      </c>
      <c r="B93" s="15" t="s">
        <v>641</v>
      </c>
      <c r="C93" s="15" t="s">
        <v>642</v>
      </c>
      <c r="D93" s="16">
        <v>194676.71232876711</v>
      </c>
      <c r="E93" s="19">
        <v>2025</v>
      </c>
      <c r="F93" s="17">
        <f t="shared" si="1"/>
        <v>71.057000000000002</v>
      </c>
      <c r="G93" s="17">
        <v>47.411739870807942</v>
      </c>
      <c r="H93" s="17">
        <v>25.710204483724336</v>
      </c>
      <c r="I93" s="17">
        <v>2.5956626370378713</v>
      </c>
      <c r="J93" s="17">
        <v>41.142744557186482</v>
      </c>
      <c r="K93" s="17">
        <v>0</v>
      </c>
      <c r="L93" s="16">
        <v>1186.5467619945205</v>
      </c>
      <c r="M93" s="19">
        <v>2025</v>
      </c>
      <c r="N93" s="16">
        <v>0</v>
      </c>
      <c r="O93" s="16">
        <v>0</v>
      </c>
      <c r="P93" s="17">
        <v>1043.5298992509202</v>
      </c>
      <c r="Q93" s="19">
        <v>2025</v>
      </c>
      <c r="R93" s="17">
        <v>1.3000779095830699</v>
      </c>
      <c r="S93" s="19">
        <v>2025</v>
      </c>
      <c r="T93" s="17">
        <v>0.15437697829018501</v>
      </c>
      <c r="U93" s="19">
        <v>2025</v>
      </c>
      <c r="V93" s="18">
        <v>2.4790000000000001</v>
      </c>
      <c r="W93" s="18">
        <v>2.8420000000000001</v>
      </c>
      <c r="X93" s="18" t="s">
        <v>46</v>
      </c>
      <c r="Y93" s="18">
        <v>1.448</v>
      </c>
      <c r="Z93" s="18" t="s">
        <v>46</v>
      </c>
      <c r="AA93" s="15" t="s">
        <v>47</v>
      </c>
      <c r="AB93" s="15" t="s">
        <v>69</v>
      </c>
      <c r="AC93" s="15" t="s">
        <v>390</v>
      </c>
      <c r="AD93" s="15" t="s">
        <v>643</v>
      </c>
      <c r="AE93" s="15" t="s">
        <v>644</v>
      </c>
      <c r="AF93" s="15" t="s">
        <v>52</v>
      </c>
      <c r="AG93" s="15" t="s">
        <v>73</v>
      </c>
      <c r="AH93" s="15" t="s">
        <v>645</v>
      </c>
      <c r="AI93" s="15" t="s">
        <v>646</v>
      </c>
      <c r="AJ93" s="8">
        <f>'Сводка НПЗ'!D93</f>
        <v>2</v>
      </c>
      <c r="AK93" s="8">
        <f>IF('Сводка НПЗ'!F93&gt;0,'Сводка НПЗ'!E93,"")</f>
        <v>113000</v>
      </c>
      <c r="AL93" s="8">
        <f>'Сводка НПЗ'!G93</f>
        <v>0</v>
      </c>
      <c r="AM93" s="6" t="s">
        <v>56</v>
      </c>
      <c r="AN93" s="12" t="s">
        <v>121</v>
      </c>
      <c r="AO93" s="20">
        <v>2025</v>
      </c>
      <c r="AP93" s="20">
        <v>2025</v>
      </c>
      <c r="AQ93" s="20">
        <v>2025</v>
      </c>
      <c r="AR93" s="6" t="s">
        <v>58</v>
      </c>
    </row>
    <row r="94" spans="1:44" ht="42" customHeight="1" x14ac:dyDescent="0.2">
      <c r="A94" s="15">
        <v>93</v>
      </c>
      <c r="B94" s="15" t="s">
        <v>647</v>
      </c>
      <c r="C94" s="15" t="s">
        <v>648</v>
      </c>
      <c r="D94" s="16">
        <v>1998960.9674850001</v>
      </c>
      <c r="E94" s="19">
        <v>2024</v>
      </c>
      <c r="F94" s="17">
        <f t="shared" si="1"/>
        <v>731.61971409951002</v>
      </c>
      <c r="G94" s="17">
        <v>34.475083411310848</v>
      </c>
      <c r="H94" s="17">
        <v>28.494402130154356</v>
      </c>
      <c r="I94" s="17">
        <v>2.9486629228262955</v>
      </c>
      <c r="J94" s="17">
        <v>2.7192487399285792</v>
      </c>
      <c r="K94" s="17">
        <v>9.4087108682581757</v>
      </c>
      <c r="L94" s="16">
        <v>4768756.4697955176</v>
      </c>
      <c r="M94" s="19">
        <v>2025</v>
      </c>
      <c r="N94" s="16">
        <v>4051424.6575342468</v>
      </c>
      <c r="O94" s="16">
        <v>710000</v>
      </c>
      <c r="P94" s="17">
        <v>362.682115433364</v>
      </c>
      <c r="Q94" s="19">
        <v>2025</v>
      </c>
      <c r="R94" s="17">
        <v>-2.8259716329034701</v>
      </c>
      <c r="S94" s="19">
        <v>2025</v>
      </c>
      <c r="T94" s="17">
        <v>42.171224496544397</v>
      </c>
      <c r="U94" s="19">
        <v>2025</v>
      </c>
      <c r="V94" s="18">
        <v>2.9000000000000001E-2</v>
      </c>
      <c r="W94" s="18">
        <v>6.0000000000000001E-3</v>
      </c>
      <c r="X94" s="18" t="s">
        <v>46</v>
      </c>
      <c r="Y94" s="18" t="s">
        <v>46</v>
      </c>
      <c r="Z94" s="18" t="s">
        <v>46</v>
      </c>
      <c r="AA94" s="15" t="s">
        <v>47</v>
      </c>
      <c r="AB94" s="15" t="s">
        <v>48</v>
      </c>
      <c r="AC94" s="15" t="s">
        <v>351</v>
      </c>
      <c r="AD94" s="15" t="s">
        <v>649</v>
      </c>
      <c r="AE94" s="15" t="s">
        <v>650</v>
      </c>
      <c r="AF94" s="15" t="s">
        <v>64</v>
      </c>
      <c r="AG94" s="15" t="s">
        <v>53</v>
      </c>
      <c r="AH94" s="15" t="s">
        <v>651</v>
      </c>
      <c r="AI94" s="15" t="s">
        <v>652</v>
      </c>
      <c r="AJ94" s="8">
        <f>'Сводка НПЗ'!D94</f>
        <v>9</v>
      </c>
      <c r="AK94" s="8">
        <f>IF('Сводка НПЗ'!F94&gt;0,'Сводка НПЗ'!E94,"")</f>
        <v>1626000</v>
      </c>
      <c r="AL94" s="8">
        <f>'Сводка НПЗ'!G94</f>
        <v>0</v>
      </c>
      <c r="AM94" s="6" t="s">
        <v>56</v>
      </c>
      <c r="AN94" s="12" t="s">
        <v>57</v>
      </c>
      <c r="AO94" s="20">
        <v>2024</v>
      </c>
      <c r="AP94" s="20">
        <v>2025</v>
      </c>
      <c r="AQ94" s="20">
        <v>2025</v>
      </c>
      <c r="AR94" s="6" t="s">
        <v>58</v>
      </c>
    </row>
    <row r="95" spans="1:44" ht="42" customHeight="1" x14ac:dyDescent="0.2">
      <c r="A95" s="15">
        <v>94</v>
      </c>
      <c r="B95" s="15" t="s">
        <v>653</v>
      </c>
      <c r="C95" s="15" t="s">
        <v>654</v>
      </c>
      <c r="D95" s="16">
        <v>874471.23287671234</v>
      </c>
      <c r="E95" s="19">
        <v>2025</v>
      </c>
      <c r="F95" s="17">
        <f t="shared" si="1"/>
        <v>319.18200000000002</v>
      </c>
      <c r="G95" s="17">
        <v>16.292792200061406</v>
      </c>
      <c r="H95" s="17">
        <v>11.35731338233359</v>
      </c>
      <c r="I95" s="17">
        <v>10.437681322881616</v>
      </c>
      <c r="J95" s="17">
        <v>17.689030083150055</v>
      </c>
      <c r="K95" s="17">
        <v>17.019098821362107</v>
      </c>
      <c r="L95" s="16">
        <v>79233.034055703916</v>
      </c>
      <c r="M95" s="19">
        <v>2025</v>
      </c>
      <c r="N95" s="16">
        <v>21469.768621528572</v>
      </c>
      <c r="O95" s="16">
        <v>1567.5232876712328</v>
      </c>
      <c r="P95" s="17">
        <v>1332.7676511003899</v>
      </c>
      <c r="Q95" s="19">
        <v>2025</v>
      </c>
      <c r="R95" s="17">
        <v>1.78463214703797</v>
      </c>
      <c r="S95" s="19">
        <v>2025</v>
      </c>
      <c r="T95" s="17">
        <v>3.2595766451366002</v>
      </c>
      <c r="U95" s="19">
        <v>2025</v>
      </c>
      <c r="V95" s="18">
        <v>2.8439999999999999</v>
      </c>
      <c r="W95" s="18">
        <v>2.8260000000000001</v>
      </c>
      <c r="X95" s="18" t="s">
        <v>46</v>
      </c>
      <c r="Y95" s="18">
        <v>1.075</v>
      </c>
      <c r="Z95" s="18" t="s">
        <v>46</v>
      </c>
      <c r="AA95" s="15" t="s">
        <v>47</v>
      </c>
      <c r="AB95" s="15" t="s">
        <v>69</v>
      </c>
      <c r="AC95" s="15" t="s">
        <v>655</v>
      </c>
      <c r="AD95" s="15" t="s">
        <v>656</v>
      </c>
      <c r="AE95" s="15" t="s">
        <v>657</v>
      </c>
      <c r="AF95" s="15" t="s">
        <v>52</v>
      </c>
      <c r="AG95" s="15" t="s">
        <v>73</v>
      </c>
      <c r="AH95" s="15" t="s">
        <v>658</v>
      </c>
      <c r="AI95" s="15" t="s">
        <v>659</v>
      </c>
      <c r="AJ95" s="8">
        <f>'Сводка НПЗ'!D95</f>
        <v>6</v>
      </c>
      <c r="AK95" s="8">
        <f>IF('Сводка НПЗ'!F95&gt;0,'Сводка НПЗ'!E95,"")</f>
        <v>1250000</v>
      </c>
      <c r="AL95" s="8">
        <f>'Сводка НПЗ'!G95</f>
        <v>0</v>
      </c>
      <c r="AM95" s="6" t="s">
        <v>56</v>
      </c>
      <c r="AN95" s="12" t="s">
        <v>121</v>
      </c>
      <c r="AO95" s="20">
        <v>2025</v>
      </c>
      <c r="AP95" s="20">
        <v>2025</v>
      </c>
      <c r="AQ95" s="20">
        <v>2025</v>
      </c>
      <c r="AR95" s="6" t="s">
        <v>58</v>
      </c>
    </row>
    <row r="96" spans="1:44" ht="42" customHeight="1" x14ac:dyDescent="0.2">
      <c r="A96" s="15">
        <v>95</v>
      </c>
      <c r="B96" s="15" t="s">
        <v>660</v>
      </c>
      <c r="C96" s="15" t="s">
        <v>661</v>
      </c>
      <c r="D96" s="16" t="s">
        <v>46</v>
      </c>
      <c r="E96" s="19" t="s">
        <v>46</v>
      </c>
      <c r="F96" s="17" t="str">
        <f t="shared" si="1"/>
        <v>н/д</v>
      </c>
      <c r="G96" s="17" t="s">
        <v>46</v>
      </c>
      <c r="H96" s="17" t="s">
        <v>46</v>
      </c>
      <c r="I96" s="17" t="s">
        <v>46</v>
      </c>
      <c r="J96" s="17" t="s">
        <v>46</v>
      </c>
      <c r="K96" s="17" t="s">
        <v>46</v>
      </c>
      <c r="L96" s="16" t="s">
        <v>46</v>
      </c>
      <c r="M96" s="19" t="s">
        <v>46</v>
      </c>
      <c r="N96" s="16" t="s">
        <v>46</v>
      </c>
      <c r="O96" s="16" t="s">
        <v>46</v>
      </c>
      <c r="P96" s="17">
        <v>8.905764270405399</v>
      </c>
      <c r="Q96" s="19">
        <v>2024</v>
      </c>
      <c r="R96" s="17" t="s">
        <v>46</v>
      </c>
      <c r="S96" s="19" t="s">
        <v>46</v>
      </c>
      <c r="T96" s="17" t="s">
        <v>46</v>
      </c>
      <c r="U96" s="19" t="s">
        <v>46</v>
      </c>
      <c r="V96" s="18">
        <v>2.552</v>
      </c>
      <c r="W96" s="18">
        <v>2.9180000000000001</v>
      </c>
      <c r="X96" s="18" t="s">
        <v>46</v>
      </c>
      <c r="Y96" s="18" t="s">
        <v>46</v>
      </c>
      <c r="Z96" s="18" t="s">
        <v>46</v>
      </c>
      <c r="AA96" s="15" t="s">
        <v>47</v>
      </c>
      <c r="AB96" s="15" t="s">
        <v>48</v>
      </c>
      <c r="AC96" s="15" t="s">
        <v>198</v>
      </c>
      <c r="AD96" s="15" t="s">
        <v>662</v>
      </c>
      <c r="AE96" s="15" t="s">
        <v>663</v>
      </c>
      <c r="AF96" s="15" t="s">
        <v>105</v>
      </c>
      <c r="AG96" s="15" t="s">
        <v>53</v>
      </c>
      <c r="AH96" s="15" t="s">
        <v>664</v>
      </c>
      <c r="AI96" s="15" t="s">
        <v>665</v>
      </c>
      <c r="AJ96" s="8">
        <f>'Сводка НПЗ'!D96</f>
        <v>0</v>
      </c>
      <c r="AK96" s="8" t="str">
        <f>IF('Сводка НПЗ'!F96&gt;0,'Сводка НПЗ'!E96,"")</f>
        <v/>
      </c>
      <c r="AL96" s="8">
        <f>'Сводка НПЗ'!G96</f>
        <v>0</v>
      </c>
      <c r="AM96" s="6" t="s">
        <v>56</v>
      </c>
      <c r="AN96" s="12" t="s">
        <v>83</v>
      </c>
      <c r="AO96" s="20"/>
      <c r="AP96" s="20"/>
      <c r="AQ96" s="20"/>
      <c r="AR96" s="6" t="s">
        <v>58</v>
      </c>
    </row>
    <row r="97" spans="1:44" ht="42" customHeight="1" x14ac:dyDescent="0.2">
      <c r="A97" s="15">
        <v>96</v>
      </c>
      <c r="B97" s="15" t="s">
        <v>666</v>
      </c>
      <c r="C97" s="15" t="s">
        <v>667</v>
      </c>
      <c r="D97" s="16">
        <v>93430.871004000001</v>
      </c>
      <c r="E97" s="19">
        <v>2024</v>
      </c>
      <c r="F97" s="17">
        <f t="shared" si="1"/>
        <v>34.195698787464003</v>
      </c>
      <c r="G97" s="17">
        <v>43.500619006602193</v>
      </c>
      <c r="H97" s="17">
        <v>26.970238454612279</v>
      </c>
      <c r="I97" s="17">
        <v>22.91876790818235</v>
      </c>
      <c r="J97" s="17">
        <v>4.6193652254566109</v>
      </c>
      <c r="K97" s="17">
        <v>0.45994875289303683</v>
      </c>
      <c r="L97" s="16">
        <v>56187.879137007563</v>
      </c>
      <c r="M97" s="19">
        <v>2025</v>
      </c>
      <c r="N97" s="16">
        <v>55092.308252917152</v>
      </c>
      <c r="O97" s="16">
        <v>0</v>
      </c>
      <c r="P97" s="17">
        <v>99.773555666198803</v>
      </c>
      <c r="Q97" s="19">
        <v>2025</v>
      </c>
      <c r="R97" s="17">
        <v>6.4999999999998996</v>
      </c>
      <c r="S97" s="19">
        <v>2025</v>
      </c>
      <c r="T97" s="17">
        <v>0.125038772593104</v>
      </c>
      <c r="U97" s="19">
        <v>2025</v>
      </c>
      <c r="V97" s="18">
        <v>1.5940000000000001</v>
      </c>
      <c r="W97" s="18">
        <v>1.2769999999999999</v>
      </c>
      <c r="X97" s="18" t="s">
        <v>46</v>
      </c>
      <c r="Y97" s="18" t="s">
        <v>46</v>
      </c>
      <c r="Z97" s="18" t="s">
        <v>46</v>
      </c>
      <c r="AA97" s="15" t="s">
        <v>47</v>
      </c>
      <c r="AB97" s="15" t="s">
        <v>48</v>
      </c>
      <c r="AC97" s="15" t="s">
        <v>605</v>
      </c>
      <c r="AD97" s="15" t="s">
        <v>668</v>
      </c>
      <c r="AE97" s="15" t="s">
        <v>669</v>
      </c>
      <c r="AF97" s="15" t="s">
        <v>64</v>
      </c>
      <c r="AG97" s="15" t="s">
        <v>53</v>
      </c>
      <c r="AH97" s="15" t="s">
        <v>670</v>
      </c>
      <c r="AI97" s="15" t="s">
        <v>671</v>
      </c>
      <c r="AJ97" s="8">
        <f>'Сводка НПЗ'!D97</f>
        <v>1</v>
      </c>
      <c r="AK97" s="8">
        <f>IF('Сводка НПЗ'!F97&gt;0,'Сводка НПЗ'!E97,"")</f>
        <v>70000</v>
      </c>
      <c r="AL97" s="8">
        <f>'Сводка НПЗ'!G97</f>
        <v>0</v>
      </c>
      <c r="AM97" s="6" t="s">
        <v>56</v>
      </c>
      <c r="AN97" s="12" t="s">
        <v>83</v>
      </c>
      <c r="AO97" s="20">
        <v>2024</v>
      </c>
      <c r="AP97" s="20">
        <v>2025</v>
      </c>
      <c r="AQ97" s="20">
        <v>2025</v>
      </c>
      <c r="AR97" s="6" t="s">
        <v>58</v>
      </c>
    </row>
    <row r="98" spans="1:44" ht="42" customHeight="1" x14ac:dyDescent="0.2">
      <c r="A98" s="15">
        <v>97</v>
      </c>
      <c r="B98" s="15" t="s">
        <v>672</v>
      </c>
      <c r="C98" s="15" t="s">
        <v>673</v>
      </c>
      <c r="D98" s="16">
        <v>78982.610958904115</v>
      </c>
      <c r="E98" s="19">
        <v>2025</v>
      </c>
      <c r="F98" s="17">
        <f t="shared" si="1"/>
        <v>28.828653000000003</v>
      </c>
      <c r="G98" s="17">
        <v>55.583866509475833</v>
      </c>
      <c r="H98" s="17">
        <v>15.74006943716725</v>
      </c>
      <c r="I98" s="17">
        <v>3.9432990504273646</v>
      </c>
      <c r="J98" s="17" t="s">
        <v>46</v>
      </c>
      <c r="K98" s="17">
        <v>2.7743231707704137</v>
      </c>
      <c r="L98" s="16">
        <v>13225.429227969864</v>
      </c>
      <c r="M98" s="19">
        <v>2025</v>
      </c>
      <c r="N98" s="16">
        <v>11480.917808219179</v>
      </c>
      <c r="O98" s="16">
        <v>0</v>
      </c>
      <c r="P98" s="17">
        <v>99.9533244729042</v>
      </c>
      <c r="Q98" s="19">
        <v>2025</v>
      </c>
      <c r="R98" s="17">
        <v>2.0303919623511302</v>
      </c>
      <c r="S98" s="19">
        <v>2025</v>
      </c>
      <c r="T98" s="17">
        <v>3.8903678606001</v>
      </c>
      <c r="U98" s="19">
        <v>2025</v>
      </c>
      <c r="V98" s="18">
        <v>2.016</v>
      </c>
      <c r="W98" s="18">
        <v>2.3010000000000002</v>
      </c>
      <c r="X98" s="18" t="s">
        <v>46</v>
      </c>
      <c r="Y98" s="18">
        <v>1.0329999999999999</v>
      </c>
      <c r="Z98" s="18" t="s">
        <v>46</v>
      </c>
      <c r="AA98" s="15" t="s">
        <v>47</v>
      </c>
      <c r="AB98" s="15" t="s">
        <v>69</v>
      </c>
      <c r="AC98" s="15" t="s">
        <v>434</v>
      </c>
      <c r="AD98" s="15" t="s">
        <v>674</v>
      </c>
      <c r="AE98" s="15" t="s">
        <v>675</v>
      </c>
      <c r="AF98" s="15" t="s">
        <v>52</v>
      </c>
      <c r="AG98" s="15" t="s">
        <v>73</v>
      </c>
      <c r="AH98" s="15" t="s">
        <v>676</v>
      </c>
      <c r="AI98" s="15" t="s">
        <v>677</v>
      </c>
      <c r="AJ98" s="8">
        <f>'Сводка НПЗ'!D98</f>
        <v>2</v>
      </c>
      <c r="AK98" s="8">
        <f>IF('Сводка НПЗ'!F98&gt;0,'Сводка НПЗ'!E98,"")</f>
        <v>214826</v>
      </c>
      <c r="AL98" s="8">
        <f>'Сводка НПЗ'!G98</f>
        <v>0</v>
      </c>
      <c r="AM98" s="6" t="s">
        <v>56</v>
      </c>
      <c r="AN98" s="12" t="s">
        <v>83</v>
      </c>
      <c r="AO98" s="20">
        <v>2025</v>
      </c>
      <c r="AP98" s="20">
        <v>2025</v>
      </c>
      <c r="AQ98" s="20">
        <v>2025</v>
      </c>
      <c r="AR98" s="6" t="s">
        <v>58</v>
      </c>
    </row>
    <row r="99" spans="1:44" ht="42" customHeight="1" x14ac:dyDescent="0.2">
      <c r="A99" s="15">
        <v>98</v>
      </c>
      <c r="B99" s="15" t="s">
        <v>678</v>
      </c>
      <c r="C99" s="15" t="s">
        <v>679</v>
      </c>
      <c r="D99" s="16">
        <v>46484.613400000002</v>
      </c>
      <c r="E99" s="19">
        <v>2024</v>
      </c>
      <c r="F99" s="17">
        <f t="shared" si="1"/>
        <v>17.013368504399999</v>
      </c>
      <c r="G99" s="17">
        <v>51.330052795491241</v>
      </c>
      <c r="H99" s="17">
        <v>31.227039655233536</v>
      </c>
      <c r="I99" s="17">
        <v>1.0721574894285344</v>
      </c>
      <c r="J99" s="17">
        <v>2.8685613205508558</v>
      </c>
      <c r="K99" s="17">
        <v>13.19645351078686</v>
      </c>
      <c r="L99" s="16">
        <v>0</v>
      </c>
      <c r="M99" s="19">
        <v>2025</v>
      </c>
      <c r="N99" s="16">
        <v>0</v>
      </c>
      <c r="O99" s="16">
        <v>0</v>
      </c>
      <c r="P99" s="17">
        <v>30.0691485807688</v>
      </c>
      <c r="Q99" s="19">
        <v>2025</v>
      </c>
      <c r="R99" s="17">
        <v>5.5994684289664303</v>
      </c>
      <c r="S99" s="19">
        <v>2025</v>
      </c>
      <c r="T99" s="17">
        <v>3.2782354035758399</v>
      </c>
      <c r="U99" s="19">
        <v>2025</v>
      </c>
      <c r="V99" s="18">
        <v>1.5409999999999999</v>
      </c>
      <c r="W99" s="18">
        <v>1.655</v>
      </c>
      <c r="X99" s="18" t="s">
        <v>46</v>
      </c>
      <c r="Y99" s="18" t="s">
        <v>46</v>
      </c>
      <c r="Z99" s="18" t="s">
        <v>46</v>
      </c>
      <c r="AA99" s="15" t="s">
        <v>47</v>
      </c>
      <c r="AB99" s="15" t="s">
        <v>48</v>
      </c>
      <c r="AC99" s="15" t="s">
        <v>421</v>
      </c>
      <c r="AD99" s="15" t="s">
        <v>680</v>
      </c>
      <c r="AE99" s="15" t="s">
        <v>681</v>
      </c>
      <c r="AF99" s="15" t="s">
        <v>64</v>
      </c>
      <c r="AG99" s="15" t="s">
        <v>53</v>
      </c>
      <c r="AH99" s="15" t="s">
        <v>682</v>
      </c>
      <c r="AI99" s="15" t="s">
        <v>683</v>
      </c>
      <c r="AJ99" s="8">
        <f>'Сводка НПЗ'!D99</f>
        <v>0</v>
      </c>
      <c r="AK99" s="8" t="str">
        <f>IF('Сводка НПЗ'!F99&gt;0,'Сводка НПЗ'!E99,"")</f>
        <v/>
      </c>
      <c r="AL99" s="8">
        <f>'Сводка НПЗ'!G99</f>
        <v>0</v>
      </c>
      <c r="AM99" s="6" t="s">
        <v>56</v>
      </c>
      <c r="AN99" s="12" t="s">
        <v>83</v>
      </c>
      <c r="AO99" s="20">
        <v>2024</v>
      </c>
      <c r="AP99" s="20">
        <v>2025</v>
      </c>
      <c r="AQ99" s="20">
        <v>2025</v>
      </c>
      <c r="AR99" s="6" t="s">
        <v>58</v>
      </c>
    </row>
    <row r="100" spans="1:44" ht="42" customHeight="1" x14ac:dyDescent="0.2">
      <c r="A100" s="15">
        <v>99</v>
      </c>
      <c r="B100" s="15" t="s">
        <v>684</v>
      </c>
      <c r="C100" s="15" t="s">
        <v>685</v>
      </c>
      <c r="D100" s="16">
        <v>76454.420768000011</v>
      </c>
      <c r="E100" s="19">
        <v>2024</v>
      </c>
      <c r="F100" s="17">
        <f t="shared" si="1"/>
        <v>27.982318001088004</v>
      </c>
      <c r="G100" s="17">
        <v>42.025870770115461</v>
      </c>
      <c r="H100" s="17">
        <v>10.800345277687473</v>
      </c>
      <c r="I100" s="17">
        <v>9.1530526916619799</v>
      </c>
      <c r="J100" s="17">
        <v>6.4900428440323923</v>
      </c>
      <c r="K100" s="17">
        <v>31.16405250430266</v>
      </c>
      <c r="L100" s="16">
        <v>100000</v>
      </c>
      <c r="M100" s="19">
        <v>2025</v>
      </c>
      <c r="N100" s="16">
        <v>100000</v>
      </c>
      <c r="O100" s="16">
        <v>0</v>
      </c>
      <c r="P100" s="17">
        <v>37.006536238373101</v>
      </c>
      <c r="Q100" s="19">
        <v>2025</v>
      </c>
      <c r="R100" s="17">
        <v>6.6822774484919396</v>
      </c>
      <c r="S100" s="19">
        <v>2025</v>
      </c>
      <c r="T100" s="17">
        <v>1.45900719841385</v>
      </c>
      <c r="U100" s="19">
        <v>2025</v>
      </c>
      <c r="V100" s="18">
        <v>1.7430000000000001</v>
      </c>
      <c r="W100" s="18">
        <v>1.329</v>
      </c>
      <c r="X100" s="18" t="s">
        <v>46</v>
      </c>
      <c r="Y100" s="18" t="s">
        <v>46</v>
      </c>
      <c r="Z100" s="18" t="s">
        <v>46</v>
      </c>
      <c r="AA100" s="15" t="s">
        <v>47</v>
      </c>
      <c r="AB100" s="15" t="s">
        <v>48</v>
      </c>
      <c r="AC100" s="15" t="s">
        <v>605</v>
      </c>
      <c r="AD100" s="15" t="s">
        <v>686</v>
      </c>
      <c r="AE100" s="15" t="s">
        <v>687</v>
      </c>
      <c r="AF100" s="15" t="s">
        <v>64</v>
      </c>
      <c r="AG100" s="15" t="s">
        <v>53</v>
      </c>
      <c r="AH100" s="15" t="s">
        <v>688</v>
      </c>
      <c r="AI100" s="15" t="s">
        <v>689</v>
      </c>
      <c r="AJ100" s="8">
        <f>'Сводка НПЗ'!D100</f>
        <v>1</v>
      </c>
      <c r="AK100" s="8">
        <f>IF('Сводка НПЗ'!F100&gt;0,'Сводка НПЗ'!E100,"")</f>
        <v>27000</v>
      </c>
      <c r="AL100" s="8">
        <f>'Сводка НПЗ'!G100</f>
        <v>0</v>
      </c>
      <c r="AM100" s="6" t="s">
        <v>56</v>
      </c>
      <c r="AN100" s="12" t="s">
        <v>83</v>
      </c>
      <c r="AO100" s="20">
        <v>2024</v>
      </c>
      <c r="AP100" s="20">
        <v>2025</v>
      </c>
      <c r="AQ100" s="20">
        <v>2025</v>
      </c>
      <c r="AR100" s="6" t="s">
        <v>58</v>
      </c>
    </row>
    <row r="101" spans="1:44" ht="42" customHeight="1" x14ac:dyDescent="0.2">
      <c r="A101" s="15">
        <v>100</v>
      </c>
      <c r="B101" s="15" t="s">
        <v>690</v>
      </c>
      <c r="C101" s="15" t="s">
        <v>691</v>
      </c>
      <c r="D101" s="16">
        <v>602756.1643835617</v>
      </c>
      <c r="E101" s="19">
        <v>2025</v>
      </c>
      <c r="F101" s="17">
        <f t="shared" si="1"/>
        <v>220.00600000000003</v>
      </c>
      <c r="G101" s="17">
        <v>20.490350263174641</v>
      </c>
      <c r="H101" s="17">
        <v>58.5984018617674</v>
      </c>
      <c r="I101" s="17">
        <v>9.6797360071998035</v>
      </c>
      <c r="J101" s="17">
        <v>6.1252874921593055</v>
      </c>
      <c r="K101" s="17">
        <v>1.599047298710035</v>
      </c>
      <c r="L101" s="16">
        <v>1675089.5032732666</v>
      </c>
      <c r="M101" s="19">
        <v>2025</v>
      </c>
      <c r="N101" s="16">
        <v>1605414.2781736976</v>
      </c>
      <c r="O101" s="16">
        <v>56178.187253744502</v>
      </c>
      <c r="P101" s="17">
        <v>290.79436154211197</v>
      </c>
      <c r="Q101" s="19">
        <v>2025</v>
      </c>
      <c r="R101" s="17">
        <v>4.0133618070097299</v>
      </c>
      <c r="S101" s="19">
        <v>2025</v>
      </c>
      <c r="T101" s="17">
        <v>23.0101235833333</v>
      </c>
      <c r="U101" s="19">
        <v>2025</v>
      </c>
      <c r="V101" s="18">
        <v>1.0189999999999999</v>
      </c>
      <c r="W101" s="18">
        <v>1.4359999999999999</v>
      </c>
      <c r="X101" s="18" t="s">
        <v>46</v>
      </c>
      <c r="Y101" s="18">
        <v>0.78700000000000003</v>
      </c>
      <c r="Z101" s="18" t="s">
        <v>46</v>
      </c>
      <c r="AA101" s="15" t="s">
        <v>47</v>
      </c>
      <c r="AB101" s="15" t="s">
        <v>69</v>
      </c>
      <c r="AC101" s="15" t="s">
        <v>434</v>
      </c>
      <c r="AD101" s="15" t="s">
        <v>692</v>
      </c>
      <c r="AE101" s="15" t="s">
        <v>693</v>
      </c>
      <c r="AF101" s="15" t="s">
        <v>52</v>
      </c>
      <c r="AG101" s="15" t="s">
        <v>73</v>
      </c>
      <c r="AH101" s="15" t="s">
        <v>694</v>
      </c>
      <c r="AI101" s="15" t="s">
        <v>695</v>
      </c>
      <c r="AJ101" s="8">
        <f>'Сводка НПЗ'!D101</f>
        <v>4</v>
      </c>
      <c r="AK101" s="8">
        <f>IF('Сводка НПЗ'!F101&gt;0,'Сводка НПЗ'!E101,"")</f>
        <v>445000</v>
      </c>
      <c r="AL101" s="8">
        <f>'Сводка НПЗ'!G101</f>
        <v>0</v>
      </c>
      <c r="AM101" s="6" t="s">
        <v>56</v>
      </c>
      <c r="AN101" s="12" t="s">
        <v>57</v>
      </c>
      <c r="AO101" s="20">
        <v>2025</v>
      </c>
      <c r="AP101" s="20">
        <v>2025</v>
      </c>
      <c r="AQ101" s="20">
        <v>2025</v>
      </c>
      <c r="AR101" s="6" t="s">
        <v>58</v>
      </c>
    </row>
    <row r="102" spans="1:44" ht="42" customHeight="1" x14ac:dyDescent="0.2">
      <c r="A102" s="15">
        <v>101</v>
      </c>
      <c r="B102" s="15" t="s">
        <v>696</v>
      </c>
      <c r="C102" s="15" t="s">
        <v>697</v>
      </c>
      <c r="D102" s="16">
        <v>47216.901126000004</v>
      </c>
      <c r="E102" s="19">
        <v>2024</v>
      </c>
      <c r="F102" s="17">
        <f t="shared" si="1"/>
        <v>17.281385812116</v>
      </c>
      <c r="G102" s="17">
        <v>23.080543322651593</v>
      </c>
      <c r="H102" s="17">
        <v>68.565908854558145</v>
      </c>
      <c r="I102" s="17">
        <v>2.9677704139469232</v>
      </c>
      <c r="J102" s="17">
        <v>2.8309245399926501</v>
      </c>
      <c r="K102" s="17">
        <v>1.5057805426550896</v>
      </c>
      <c r="L102" s="16">
        <v>0</v>
      </c>
      <c r="M102" s="19">
        <v>2025</v>
      </c>
      <c r="N102" s="16">
        <v>0</v>
      </c>
      <c r="O102" s="16">
        <v>0</v>
      </c>
      <c r="P102" s="17">
        <v>24.5664209035337</v>
      </c>
      <c r="Q102" s="19">
        <v>2025</v>
      </c>
      <c r="R102" s="17">
        <v>8.07408453688336</v>
      </c>
      <c r="S102" s="19">
        <v>2025</v>
      </c>
      <c r="T102" s="17">
        <v>1.1015524790297799</v>
      </c>
      <c r="U102" s="19">
        <v>2025</v>
      </c>
      <c r="V102" s="18">
        <v>1.2769999999999999</v>
      </c>
      <c r="W102" s="18">
        <v>1.321</v>
      </c>
      <c r="X102" s="18" t="s">
        <v>46</v>
      </c>
      <c r="Y102" s="18" t="s">
        <v>46</v>
      </c>
      <c r="Z102" s="18" t="s">
        <v>46</v>
      </c>
      <c r="AA102" s="15" t="s">
        <v>47</v>
      </c>
      <c r="AB102" s="15" t="s">
        <v>48</v>
      </c>
      <c r="AC102" s="15" t="s">
        <v>605</v>
      </c>
      <c r="AD102" s="15" t="s">
        <v>698</v>
      </c>
      <c r="AE102" s="15" t="s">
        <v>699</v>
      </c>
      <c r="AF102" s="15" t="s">
        <v>64</v>
      </c>
      <c r="AG102" s="15" t="s">
        <v>53</v>
      </c>
      <c r="AH102" s="15" t="s">
        <v>700</v>
      </c>
      <c r="AI102" s="15" t="s">
        <v>701</v>
      </c>
      <c r="AJ102" s="8">
        <f>'Сводка НПЗ'!D102</f>
        <v>0</v>
      </c>
      <c r="AK102" s="8" t="str">
        <f>IF('Сводка НПЗ'!F102&gt;0,'Сводка НПЗ'!E102,"")</f>
        <v/>
      </c>
      <c r="AL102" s="8">
        <f>'Сводка НПЗ'!G102</f>
        <v>0</v>
      </c>
      <c r="AM102" s="6" t="s">
        <v>56</v>
      </c>
      <c r="AN102" s="12" t="s">
        <v>83</v>
      </c>
      <c r="AO102" s="20">
        <v>2024</v>
      </c>
      <c r="AP102" s="20">
        <v>2025</v>
      </c>
      <c r="AQ102" s="20">
        <v>2025</v>
      </c>
      <c r="AR102" s="6" t="s">
        <v>58</v>
      </c>
    </row>
    <row r="103" spans="1:44" ht="42" customHeight="1" x14ac:dyDescent="0.2">
      <c r="A103" s="15">
        <v>102</v>
      </c>
      <c r="B103" s="15" t="s">
        <v>702</v>
      </c>
      <c r="C103" s="15" t="s">
        <v>703</v>
      </c>
      <c r="D103" s="16">
        <v>128671.74073399999</v>
      </c>
      <c r="E103" s="19">
        <v>2024</v>
      </c>
      <c r="F103" s="17">
        <f t="shared" si="1"/>
        <v>47.093857108643995</v>
      </c>
      <c r="G103" s="17">
        <v>42.792409581081067</v>
      </c>
      <c r="H103" s="17">
        <v>24.353554441126633</v>
      </c>
      <c r="I103" s="17">
        <v>12.270976284249388</v>
      </c>
      <c r="J103" s="17">
        <v>4.0960340887090743</v>
      </c>
      <c r="K103" s="17">
        <v>12.178063077885646</v>
      </c>
      <c r="L103" s="16">
        <v>1059432.0669021218</v>
      </c>
      <c r="M103" s="19">
        <v>2025</v>
      </c>
      <c r="N103" s="16">
        <v>1030814.7238615236</v>
      </c>
      <c r="O103" s="16">
        <v>29510.603660663961</v>
      </c>
      <c r="P103" s="17">
        <v>122.17488942363499</v>
      </c>
      <c r="Q103" s="19">
        <v>2025</v>
      </c>
      <c r="R103" s="17">
        <v>3.1335354245000802</v>
      </c>
      <c r="S103" s="19">
        <v>2025</v>
      </c>
      <c r="T103" s="17">
        <v>20.1620197572331</v>
      </c>
      <c r="U103" s="19">
        <v>2025</v>
      </c>
      <c r="V103" s="18">
        <v>0.32700000000000001</v>
      </c>
      <c r="W103" s="18">
        <v>0.45800000000000002</v>
      </c>
      <c r="X103" s="18" t="s">
        <v>46</v>
      </c>
      <c r="Y103" s="18">
        <v>0.109</v>
      </c>
      <c r="Z103" s="18" t="s">
        <v>46</v>
      </c>
      <c r="AA103" s="15" t="s">
        <v>47</v>
      </c>
      <c r="AB103" s="15" t="s">
        <v>69</v>
      </c>
      <c r="AC103" s="15" t="s">
        <v>605</v>
      </c>
      <c r="AD103" s="15" t="s">
        <v>704</v>
      </c>
      <c r="AE103" s="15" t="s">
        <v>705</v>
      </c>
      <c r="AF103" s="15" t="s">
        <v>64</v>
      </c>
      <c r="AG103" s="15" t="s">
        <v>73</v>
      </c>
      <c r="AH103" s="15" t="s">
        <v>706</v>
      </c>
      <c r="AI103" s="15" t="s">
        <v>707</v>
      </c>
      <c r="AJ103" s="8">
        <f>'Сводка НПЗ'!D103</f>
        <v>1</v>
      </c>
      <c r="AK103" s="8">
        <f>IF('Сводка НПЗ'!F103&gt;0,'Сводка НПЗ'!E103,"")</f>
        <v>39000</v>
      </c>
      <c r="AL103" s="8">
        <f>'Сводка НПЗ'!G103</f>
        <v>0</v>
      </c>
      <c r="AM103" s="6" t="s">
        <v>56</v>
      </c>
      <c r="AN103" s="12" t="s">
        <v>83</v>
      </c>
      <c r="AO103" s="20">
        <v>2024</v>
      </c>
      <c r="AP103" s="20">
        <v>2025</v>
      </c>
      <c r="AQ103" s="20">
        <v>2025</v>
      </c>
      <c r="AR103" s="6" t="s">
        <v>58</v>
      </c>
    </row>
    <row r="104" spans="1:44" ht="42" customHeight="1" x14ac:dyDescent="0.2">
      <c r="A104" s="15">
        <v>103</v>
      </c>
      <c r="B104" s="15" t="s">
        <v>708</v>
      </c>
      <c r="C104" s="15" t="s">
        <v>709</v>
      </c>
      <c r="D104" s="16">
        <v>75940.698630136991</v>
      </c>
      <c r="E104" s="19">
        <v>2025</v>
      </c>
      <c r="F104" s="17">
        <f t="shared" si="1"/>
        <v>27.718354999999999</v>
      </c>
      <c r="G104" s="17">
        <v>61.255294551209836</v>
      </c>
      <c r="H104" s="17">
        <v>17.620454027665062</v>
      </c>
      <c r="I104" s="17">
        <v>4.5197487368929359</v>
      </c>
      <c r="J104" s="17" t="s">
        <v>46</v>
      </c>
      <c r="K104" s="17">
        <v>0.18615823341608836</v>
      </c>
      <c r="L104" s="16">
        <v>12930.377406843834</v>
      </c>
      <c r="M104" s="19">
        <v>2025</v>
      </c>
      <c r="N104" s="16">
        <v>8996.8767123287671</v>
      </c>
      <c r="O104" s="16">
        <v>675.23013698630143</v>
      </c>
      <c r="P104" s="17">
        <v>105.06018218627401</v>
      </c>
      <c r="Q104" s="19">
        <v>2025</v>
      </c>
      <c r="R104" s="17">
        <v>3.40307537181749</v>
      </c>
      <c r="S104" s="19">
        <v>2025</v>
      </c>
      <c r="T104" s="17">
        <v>3.6915345960572901</v>
      </c>
      <c r="U104" s="19">
        <v>2025</v>
      </c>
      <c r="V104" s="18">
        <v>1.998</v>
      </c>
      <c r="W104" s="18">
        <v>2.202</v>
      </c>
      <c r="X104" s="18" t="s">
        <v>46</v>
      </c>
      <c r="Y104" s="18">
        <v>0.84699999999999998</v>
      </c>
      <c r="Z104" s="18" t="s">
        <v>46</v>
      </c>
      <c r="AA104" s="15" t="s">
        <v>47</v>
      </c>
      <c r="AB104" s="15" t="s">
        <v>69</v>
      </c>
      <c r="AC104" s="15" t="s">
        <v>434</v>
      </c>
      <c r="AD104" s="15" t="s">
        <v>710</v>
      </c>
      <c r="AE104" s="15" t="s">
        <v>711</v>
      </c>
      <c r="AF104" s="15" t="s">
        <v>52</v>
      </c>
      <c r="AG104" s="15" t="s">
        <v>73</v>
      </c>
      <c r="AH104" s="15" t="s">
        <v>712</v>
      </c>
      <c r="AI104" s="15" t="s">
        <v>713</v>
      </c>
      <c r="AJ104" s="8">
        <f>'Сводка НПЗ'!D104</f>
        <v>3</v>
      </c>
      <c r="AK104" s="8">
        <f>IF('Сводка НПЗ'!F104&gt;0,'Сводка НПЗ'!E104,"")</f>
        <v>243337</v>
      </c>
      <c r="AL104" s="8">
        <f>'Сводка НПЗ'!G104</f>
        <v>0</v>
      </c>
      <c r="AM104" s="6" t="s">
        <v>56</v>
      </c>
      <c r="AN104" s="12" t="s">
        <v>121</v>
      </c>
      <c r="AO104" s="20">
        <v>2025</v>
      </c>
      <c r="AP104" s="20">
        <v>2025</v>
      </c>
      <c r="AQ104" s="20">
        <v>2025</v>
      </c>
      <c r="AR104" s="6" t="s">
        <v>58</v>
      </c>
    </row>
    <row r="105" spans="1:44" ht="42" customHeight="1" x14ac:dyDescent="0.2">
      <c r="A105" s="15">
        <v>104</v>
      </c>
      <c r="B105" s="15" t="s">
        <v>714</v>
      </c>
      <c r="C105" s="15" t="s">
        <v>715</v>
      </c>
      <c r="D105" s="16">
        <v>47271.232876712325</v>
      </c>
      <c r="E105" s="19">
        <v>2025</v>
      </c>
      <c r="F105" s="17">
        <f t="shared" si="1"/>
        <v>17.254000000000001</v>
      </c>
      <c r="G105" s="17">
        <v>68.702561724817429</v>
      </c>
      <c r="H105" s="17">
        <v>21.254781499942045</v>
      </c>
      <c r="I105" s="17">
        <v>3.8993856497044161</v>
      </c>
      <c r="J105" s="17">
        <v>2.9229164251767705</v>
      </c>
      <c r="K105" s="17">
        <v>0</v>
      </c>
      <c r="L105" s="16">
        <v>0</v>
      </c>
      <c r="M105" s="19">
        <v>2025</v>
      </c>
      <c r="N105" s="16">
        <v>0</v>
      </c>
      <c r="O105" s="16">
        <v>0</v>
      </c>
      <c r="P105" s="17">
        <v>79.648204979361807</v>
      </c>
      <c r="Q105" s="19">
        <v>2025</v>
      </c>
      <c r="R105" s="17">
        <v>1.0599299625524601</v>
      </c>
      <c r="S105" s="19">
        <v>2025</v>
      </c>
      <c r="T105" s="17">
        <v>2.3728480722654899</v>
      </c>
      <c r="U105" s="19">
        <v>2025</v>
      </c>
      <c r="V105" s="18">
        <v>1.9319999999999999</v>
      </c>
      <c r="W105" s="18">
        <v>2.238</v>
      </c>
      <c r="X105" s="18" t="s">
        <v>46</v>
      </c>
      <c r="Y105" s="18">
        <v>1.127</v>
      </c>
      <c r="Z105" s="18" t="s">
        <v>46</v>
      </c>
      <c r="AA105" s="15" t="s">
        <v>47</v>
      </c>
      <c r="AB105" s="15" t="s">
        <v>69</v>
      </c>
      <c r="AC105" s="15" t="s">
        <v>434</v>
      </c>
      <c r="AD105" s="15" t="s">
        <v>716</v>
      </c>
      <c r="AE105" s="15" t="s">
        <v>717</v>
      </c>
      <c r="AF105" s="15" t="s">
        <v>52</v>
      </c>
      <c r="AG105" s="15" t="s">
        <v>73</v>
      </c>
      <c r="AH105" s="15" t="s">
        <v>718</v>
      </c>
      <c r="AI105" s="15" t="s">
        <v>719</v>
      </c>
      <c r="AJ105" s="8">
        <f>'Сводка НПЗ'!D105</f>
        <v>1</v>
      </c>
      <c r="AK105" s="8">
        <f>IF('Сводка НПЗ'!F105&gt;0,'Сводка НПЗ'!E105,"")</f>
        <v>13500</v>
      </c>
      <c r="AL105" s="8">
        <f>'Сводка НПЗ'!G105</f>
        <v>0</v>
      </c>
      <c r="AM105" s="6" t="s">
        <v>56</v>
      </c>
      <c r="AN105" s="12" t="s">
        <v>83</v>
      </c>
      <c r="AO105" s="20">
        <v>2025</v>
      </c>
      <c r="AP105" s="20">
        <v>2025</v>
      </c>
      <c r="AQ105" s="20">
        <v>2025</v>
      </c>
      <c r="AR105" s="6" t="s">
        <v>58</v>
      </c>
    </row>
    <row r="106" spans="1:44" ht="42" customHeight="1" x14ac:dyDescent="0.2">
      <c r="A106" s="15">
        <v>105</v>
      </c>
      <c r="B106" s="15" t="s">
        <v>720</v>
      </c>
      <c r="C106" s="15" t="s">
        <v>721</v>
      </c>
      <c r="D106" s="16">
        <v>276280.90998300002</v>
      </c>
      <c r="E106" s="19">
        <v>2024</v>
      </c>
      <c r="F106" s="17">
        <f t="shared" si="1"/>
        <v>101.11881305377801</v>
      </c>
      <c r="G106" s="17">
        <v>12.437355792014131</v>
      </c>
      <c r="H106" s="17">
        <v>17.366353760363783</v>
      </c>
      <c r="I106" s="17">
        <v>11.250433459884206</v>
      </c>
      <c r="J106" s="17">
        <v>19.71223465397992</v>
      </c>
      <c r="K106" s="17">
        <v>5.5584683795000309</v>
      </c>
      <c r="L106" s="16">
        <v>1878329.588249156</v>
      </c>
      <c r="M106" s="19">
        <v>2025</v>
      </c>
      <c r="N106" s="16">
        <v>1297384.4365808221</v>
      </c>
      <c r="O106" s="16">
        <v>418528.76712328766</v>
      </c>
      <c r="P106" s="17">
        <v>215.559615384615</v>
      </c>
      <c r="Q106" s="19">
        <v>2025</v>
      </c>
      <c r="R106" s="17">
        <v>2.9016603666049301</v>
      </c>
      <c r="S106" s="19">
        <v>2025</v>
      </c>
      <c r="T106" s="17">
        <v>1.2673431029237501</v>
      </c>
      <c r="U106" s="19">
        <v>2024</v>
      </c>
      <c r="V106" s="18">
        <v>0.57599999999999996</v>
      </c>
      <c r="W106" s="18">
        <v>0.56299999999999994</v>
      </c>
      <c r="X106" s="18" t="s">
        <v>46</v>
      </c>
      <c r="Y106" s="18" t="s">
        <v>46</v>
      </c>
      <c r="Z106" s="18" t="s">
        <v>46</v>
      </c>
      <c r="AA106" s="15" t="s">
        <v>47</v>
      </c>
      <c r="AB106" s="15" t="s">
        <v>48</v>
      </c>
      <c r="AC106" s="15" t="s">
        <v>605</v>
      </c>
      <c r="AD106" s="15" t="s">
        <v>722</v>
      </c>
      <c r="AE106" s="15" t="s">
        <v>723</v>
      </c>
      <c r="AF106" s="15" t="s">
        <v>64</v>
      </c>
      <c r="AG106" s="15" t="s">
        <v>53</v>
      </c>
      <c r="AH106" s="15" t="s">
        <v>724</v>
      </c>
      <c r="AI106" s="15" t="s">
        <v>725</v>
      </c>
      <c r="AJ106" s="8">
        <f>'Сводка НПЗ'!D106</f>
        <v>1</v>
      </c>
      <c r="AK106" s="8">
        <f>IF('Сводка НПЗ'!F106&gt;0,'Сводка НПЗ'!E106,"")</f>
        <v>200000</v>
      </c>
      <c r="AL106" s="8">
        <f>'Сводка НПЗ'!G106</f>
        <v>0</v>
      </c>
      <c r="AM106" s="6" t="s">
        <v>56</v>
      </c>
      <c r="AN106" s="12" t="s">
        <v>57</v>
      </c>
      <c r="AO106" s="20">
        <v>2024</v>
      </c>
      <c r="AP106" s="20">
        <v>2025</v>
      </c>
      <c r="AQ106" s="20">
        <v>2025</v>
      </c>
      <c r="AR106" s="6" t="s">
        <v>58</v>
      </c>
    </row>
    <row r="107" spans="1:44" ht="42" customHeight="1" x14ac:dyDescent="0.2">
      <c r="A107" s="15">
        <v>106</v>
      </c>
      <c r="B107" s="15" t="s">
        <v>726</v>
      </c>
      <c r="C107" s="15" t="s">
        <v>727</v>
      </c>
      <c r="D107" s="16">
        <v>2382000</v>
      </c>
      <c r="E107" s="19">
        <v>2025</v>
      </c>
      <c r="F107" s="17">
        <f t="shared" si="1"/>
        <v>869.43</v>
      </c>
      <c r="G107" s="17">
        <v>24.902177288568371</v>
      </c>
      <c r="H107" s="17">
        <v>22.260101445774819</v>
      </c>
      <c r="I107" s="17">
        <v>3.3327582439069277</v>
      </c>
      <c r="J107" s="17">
        <v>4.5585038473482626</v>
      </c>
      <c r="K107" s="17">
        <v>23.831245758715479</v>
      </c>
      <c r="L107" s="16">
        <v>11213957.925652532</v>
      </c>
      <c r="M107" s="19">
        <v>2025</v>
      </c>
      <c r="N107" s="16">
        <v>9556054.0356164388</v>
      </c>
      <c r="O107" s="16">
        <v>1557863.01369863</v>
      </c>
      <c r="P107" s="17">
        <v>1276.9429333333301</v>
      </c>
      <c r="Q107" s="19">
        <v>2025</v>
      </c>
      <c r="R107" s="17">
        <v>4.5024656019166303</v>
      </c>
      <c r="S107" s="19">
        <v>2025</v>
      </c>
      <c r="T107" s="17">
        <v>2.0842085358503599</v>
      </c>
      <c r="U107" s="19">
        <v>2025</v>
      </c>
      <c r="V107" s="18">
        <v>0.621</v>
      </c>
      <c r="W107" s="18">
        <v>0.47699999999999998</v>
      </c>
      <c r="X107" s="18" t="s">
        <v>46</v>
      </c>
      <c r="Y107" s="18">
        <v>0.28999999999999998</v>
      </c>
      <c r="Z107" s="18" t="s">
        <v>46</v>
      </c>
      <c r="AA107" s="15" t="s">
        <v>47</v>
      </c>
      <c r="AB107" s="15" t="s">
        <v>69</v>
      </c>
      <c r="AC107" s="15" t="s">
        <v>434</v>
      </c>
      <c r="AD107" s="15" t="s">
        <v>728</v>
      </c>
      <c r="AE107" s="15" t="s">
        <v>729</v>
      </c>
      <c r="AF107" s="15" t="s">
        <v>52</v>
      </c>
      <c r="AG107" s="15" t="s">
        <v>73</v>
      </c>
      <c r="AH107" s="15" t="s">
        <v>730</v>
      </c>
      <c r="AI107" s="15" t="s">
        <v>731</v>
      </c>
      <c r="AJ107" s="8">
        <f>'Сводка НПЗ'!D107</f>
        <v>7</v>
      </c>
      <c r="AK107" s="8">
        <f>IF('Сводка НПЗ'!F107&gt;0,'Сводка НПЗ'!E107,"")</f>
        <v>2100000</v>
      </c>
      <c r="AL107" s="8">
        <f>'Сводка НПЗ'!G107</f>
        <v>0</v>
      </c>
      <c r="AM107" s="6" t="s">
        <v>56</v>
      </c>
      <c r="AN107" s="12" t="s">
        <v>57</v>
      </c>
      <c r="AO107" s="20">
        <v>2025</v>
      </c>
      <c r="AP107" s="20">
        <v>2025</v>
      </c>
      <c r="AQ107" s="20">
        <v>2025</v>
      </c>
      <c r="AR107" s="6" t="s">
        <v>58</v>
      </c>
    </row>
    <row r="108" spans="1:44" ht="42" customHeight="1" x14ac:dyDescent="0.2">
      <c r="A108" s="15">
        <v>107</v>
      </c>
      <c r="B108" s="15" t="s">
        <v>732</v>
      </c>
      <c r="C108" s="15" t="s">
        <v>733</v>
      </c>
      <c r="D108" s="16">
        <v>22610.976568000002</v>
      </c>
      <c r="E108" s="19">
        <v>2024</v>
      </c>
      <c r="F108" s="17">
        <f t="shared" si="1"/>
        <v>8.2756174238880007</v>
      </c>
      <c r="G108" s="17">
        <v>41.518687933567541</v>
      </c>
      <c r="H108" s="17">
        <v>50.652829105174092</v>
      </c>
      <c r="I108" s="17">
        <v>3.0262448459143436</v>
      </c>
      <c r="J108" s="17">
        <v>1.2806879531679323</v>
      </c>
      <c r="K108" s="17">
        <v>1.0755840698370669</v>
      </c>
      <c r="L108" s="16">
        <v>0</v>
      </c>
      <c r="M108" s="19">
        <v>2025</v>
      </c>
      <c r="N108" s="16">
        <v>0</v>
      </c>
      <c r="O108" s="16">
        <v>0</v>
      </c>
      <c r="P108" s="17">
        <v>19.928479839447601</v>
      </c>
      <c r="Q108" s="19">
        <v>2025</v>
      </c>
      <c r="R108" s="17">
        <v>-0.73389832385228704</v>
      </c>
      <c r="S108" s="19">
        <v>2025</v>
      </c>
      <c r="T108" s="17">
        <v>2.6597506179431001</v>
      </c>
      <c r="U108" s="19">
        <v>2025</v>
      </c>
      <c r="V108" s="18">
        <v>1.347</v>
      </c>
      <c r="W108" s="18">
        <v>1.5489999999999999</v>
      </c>
      <c r="X108" s="18" t="s">
        <v>46</v>
      </c>
      <c r="Y108" s="18" t="s">
        <v>46</v>
      </c>
      <c r="Z108" s="18" t="s">
        <v>46</v>
      </c>
      <c r="AA108" s="15" t="s">
        <v>47</v>
      </c>
      <c r="AB108" s="15" t="s">
        <v>48</v>
      </c>
      <c r="AC108" s="15" t="s">
        <v>605</v>
      </c>
      <c r="AD108" s="15" t="s">
        <v>734</v>
      </c>
      <c r="AE108" s="15" t="s">
        <v>735</v>
      </c>
      <c r="AF108" s="15" t="s">
        <v>64</v>
      </c>
      <c r="AG108" s="15" t="s">
        <v>53</v>
      </c>
      <c r="AH108" s="15" t="s">
        <v>736</v>
      </c>
      <c r="AI108" s="15" t="s">
        <v>737</v>
      </c>
      <c r="AJ108" s="8">
        <f>'Сводка НПЗ'!D108</f>
        <v>0</v>
      </c>
      <c r="AK108" s="8" t="str">
        <f>IF('Сводка НПЗ'!F108&gt;0,'Сводка НПЗ'!E108,"")</f>
        <v/>
      </c>
      <c r="AL108" s="8">
        <f>'Сводка НПЗ'!G108</f>
        <v>0</v>
      </c>
      <c r="AM108" s="6" t="s">
        <v>56</v>
      </c>
      <c r="AN108" s="12" t="s">
        <v>83</v>
      </c>
      <c r="AO108" s="20">
        <v>2024</v>
      </c>
      <c r="AP108" s="20">
        <v>2025</v>
      </c>
      <c r="AQ108" s="20">
        <v>2025</v>
      </c>
      <c r="AR108" s="6" t="s">
        <v>58</v>
      </c>
    </row>
    <row r="109" spans="1:44" ht="42" customHeight="1" x14ac:dyDescent="0.2">
      <c r="A109" s="15">
        <v>108</v>
      </c>
      <c r="B109" s="15" t="s">
        <v>738</v>
      </c>
      <c r="C109" s="15" t="s">
        <v>739</v>
      </c>
      <c r="D109" s="16">
        <v>37730.330926999995</v>
      </c>
      <c r="E109" s="19">
        <v>2024</v>
      </c>
      <c r="F109" s="17">
        <f t="shared" si="1"/>
        <v>13.809301119281997</v>
      </c>
      <c r="G109" s="17">
        <v>58.59693333402182</v>
      </c>
      <c r="H109" s="17">
        <v>30.011127657237157</v>
      </c>
      <c r="I109" s="17">
        <v>5.694742188074529</v>
      </c>
      <c r="J109" s="17">
        <v>3.7750725769031899</v>
      </c>
      <c r="K109" s="17">
        <v>0</v>
      </c>
      <c r="L109" s="16">
        <v>800</v>
      </c>
      <c r="M109" s="19">
        <v>2025</v>
      </c>
      <c r="N109" s="16">
        <v>0</v>
      </c>
      <c r="O109" s="16">
        <v>0</v>
      </c>
      <c r="P109" s="17">
        <v>51.2156439055886</v>
      </c>
      <c r="Q109" s="19">
        <v>2025</v>
      </c>
      <c r="R109" s="17">
        <v>8.1067134304890907</v>
      </c>
      <c r="S109" s="19">
        <v>2025</v>
      </c>
      <c r="T109" s="17" t="s">
        <v>46</v>
      </c>
      <c r="U109" s="19" t="s">
        <v>46</v>
      </c>
      <c r="V109" s="18">
        <v>1.99</v>
      </c>
      <c r="W109" s="18">
        <v>1.95</v>
      </c>
      <c r="X109" s="18" t="s">
        <v>46</v>
      </c>
      <c r="Y109" s="18" t="s">
        <v>46</v>
      </c>
      <c r="Z109" s="18" t="s">
        <v>46</v>
      </c>
      <c r="AA109" s="15" t="s">
        <v>47</v>
      </c>
      <c r="AB109" s="15" t="s">
        <v>48</v>
      </c>
      <c r="AC109" s="15" t="s">
        <v>605</v>
      </c>
      <c r="AD109" s="15" t="s">
        <v>740</v>
      </c>
      <c r="AE109" s="15" t="s">
        <v>741</v>
      </c>
      <c r="AF109" s="15" t="s">
        <v>64</v>
      </c>
      <c r="AG109" s="15" t="s">
        <v>53</v>
      </c>
      <c r="AH109" s="15" t="s">
        <v>742</v>
      </c>
      <c r="AI109" s="15" t="s">
        <v>743</v>
      </c>
      <c r="AJ109" s="8">
        <f>'Сводка НПЗ'!D109</f>
        <v>0</v>
      </c>
      <c r="AK109" s="8" t="str">
        <f>IF('Сводка НПЗ'!F109&gt;0,'Сводка НПЗ'!E109,"")</f>
        <v/>
      </c>
      <c r="AL109" s="8">
        <f>'Сводка НПЗ'!G109</f>
        <v>0</v>
      </c>
      <c r="AM109" s="6" t="s">
        <v>56</v>
      </c>
      <c r="AN109" s="12" t="s">
        <v>83</v>
      </c>
      <c r="AO109" s="20">
        <v>2024</v>
      </c>
      <c r="AP109" s="20">
        <v>2025</v>
      </c>
      <c r="AQ109" s="20">
        <v>2025</v>
      </c>
      <c r="AR109" s="6" t="s">
        <v>58</v>
      </c>
    </row>
    <row r="110" spans="1:44" ht="42" customHeight="1" x14ac:dyDescent="0.2">
      <c r="A110" s="15">
        <v>109</v>
      </c>
      <c r="B110" s="15" t="s">
        <v>744</v>
      </c>
      <c r="C110" s="15" t="s">
        <v>745</v>
      </c>
      <c r="D110" s="16">
        <v>479217.87994300004</v>
      </c>
      <c r="E110" s="19">
        <v>2024</v>
      </c>
      <c r="F110" s="17">
        <f t="shared" si="1"/>
        <v>175.39374405913799</v>
      </c>
      <c r="G110" s="17">
        <v>27.412740362614446</v>
      </c>
      <c r="H110" s="17">
        <v>37.738491898822915</v>
      </c>
      <c r="I110" s="17">
        <v>8.0356599537939459</v>
      </c>
      <c r="J110" s="17">
        <v>3.7784164005219703</v>
      </c>
      <c r="K110" s="17">
        <v>19.730653674951874</v>
      </c>
      <c r="L110" s="16">
        <v>79448.425697714818</v>
      </c>
      <c r="M110" s="19">
        <v>2025</v>
      </c>
      <c r="N110" s="16">
        <v>57515.26766573127</v>
      </c>
      <c r="O110" s="16">
        <v>22853.879452054796</v>
      </c>
      <c r="P110" s="17">
        <v>407.30721447622199</v>
      </c>
      <c r="Q110" s="19">
        <v>2025</v>
      </c>
      <c r="R110" s="17">
        <v>3.69842668749033</v>
      </c>
      <c r="S110" s="19">
        <v>2025</v>
      </c>
      <c r="T110" s="17">
        <v>3.5455521489089299</v>
      </c>
      <c r="U110" s="19">
        <v>2025</v>
      </c>
      <c r="V110" s="18">
        <v>1.3859999999999999</v>
      </c>
      <c r="W110" s="18">
        <v>1.5</v>
      </c>
      <c r="X110" s="18" t="s">
        <v>46</v>
      </c>
      <c r="Y110" s="18" t="s">
        <v>46</v>
      </c>
      <c r="Z110" s="18" t="s">
        <v>46</v>
      </c>
      <c r="AA110" s="15" t="s">
        <v>47</v>
      </c>
      <c r="AB110" s="15" t="s">
        <v>48</v>
      </c>
      <c r="AC110" s="15" t="s">
        <v>605</v>
      </c>
      <c r="AD110" s="15" t="s">
        <v>746</v>
      </c>
      <c r="AE110" s="15" t="s">
        <v>747</v>
      </c>
      <c r="AF110" s="15" t="s">
        <v>64</v>
      </c>
      <c r="AG110" s="15" t="s">
        <v>53</v>
      </c>
      <c r="AH110" s="15" t="s">
        <v>748</v>
      </c>
      <c r="AI110" s="15" t="s">
        <v>749</v>
      </c>
      <c r="AJ110" s="8">
        <f>'Сводка НПЗ'!D110</f>
        <v>5</v>
      </c>
      <c r="AK110" s="8">
        <f>IF('Сводка НПЗ'!F110&gt;0,'Сводка НПЗ'!E110,"")</f>
        <v>268000</v>
      </c>
      <c r="AL110" s="8">
        <f>'Сводка НПЗ'!G110</f>
        <v>0</v>
      </c>
      <c r="AM110" s="6" t="s">
        <v>56</v>
      </c>
      <c r="AN110" s="12" t="s">
        <v>57</v>
      </c>
      <c r="AO110" s="20">
        <v>2024</v>
      </c>
      <c r="AP110" s="20">
        <v>2025</v>
      </c>
      <c r="AQ110" s="20">
        <v>2025</v>
      </c>
      <c r="AR110" s="6" t="s">
        <v>58</v>
      </c>
    </row>
    <row r="111" spans="1:44" ht="42" customHeight="1" x14ac:dyDescent="0.2">
      <c r="A111" s="15">
        <v>110</v>
      </c>
      <c r="B111" s="15" t="s">
        <v>750</v>
      </c>
      <c r="C111" s="15" t="s">
        <v>751</v>
      </c>
      <c r="D111" s="16">
        <v>105995.6493150685</v>
      </c>
      <c r="E111" s="19">
        <v>2025</v>
      </c>
      <c r="F111" s="17">
        <f t="shared" si="1"/>
        <v>38.688412</v>
      </c>
      <c r="G111" s="17">
        <v>55.282237999326512</v>
      </c>
      <c r="H111" s="17">
        <v>14.393327903972899</v>
      </c>
      <c r="I111" s="17">
        <v>13.55237842276907</v>
      </c>
      <c r="J111" s="17" t="s">
        <v>46</v>
      </c>
      <c r="K111" s="17">
        <v>0.55016473666585231</v>
      </c>
      <c r="L111" s="16">
        <v>6098.3562492575347</v>
      </c>
      <c r="M111" s="19">
        <v>2025</v>
      </c>
      <c r="N111" s="16">
        <v>1000</v>
      </c>
      <c r="O111" s="16">
        <v>0</v>
      </c>
      <c r="P111" s="17">
        <v>130.777235529606</v>
      </c>
      <c r="Q111" s="19">
        <v>2025</v>
      </c>
      <c r="R111" s="17">
        <v>3.0963663917961002</v>
      </c>
      <c r="S111" s="19">
        <v>2025</v>
      </c>
      <c r="T111" s="17">
        <v>4.5808435523569697</v>
      </c>
      <c r="U111" s="19">
        <v>2025</v>
      </c>
      <c r="V111" s="18">
        <v>1.871</v>
      </c>
      <c r="W111" s="18">
        <v>2.15</v>
      </c>
      <c r="X111" s="18" t="s">
        <v>46</v>
      </c>
      <c r="Y111" s="18">
        <v>0.753</v>
      </c>
      <c r="Z111" s="18" t="s">
        <v>46</v>
      </c>
      <c r="AA111" s="15" t="s">
        <v>47</v>
      </c>
      <c r="AB111" s="15" t="s">
        <v>69</v>
      </c>
      <c r="AC111" s="15" t="s">
        <v>434</v>
      </c>
      <c r="AD111" s="15" t="s">
        <v>752</v>
      </c>
      <c r="AE111" s="15" t="s">
        <v>753</v>
      </c>
      <c r="AF111" s="15" t="s">
        <v>52</v>
      </c>
      <c r="AG111" s="15" t="s">
        <v>73</v>
      </c>
      <c r="AH111" s="15" t="s">
        <v>754</v>
      </c>
      <c r="AI111" s="15" t="s">
        <v>755</v>
      </c>
      <c r="AJ111" s="8">
        <f>'Сводка НПЗ'!D111</f>
        <v>1</v>
      </c>
      <c r="AK111" s="8">
        <f>IF('Сводка НПЗ'!F111&gt;0,'Сводка НПЗ'!E111,"")</f>
        <v>40000</v>
      </c>
      <c r="AL111" s="8">
        <f>'Сводка НПЗ'!G111</f>
        <v>0</v>
      </c>
      <c r="AM111" s="6" t="s">
        <v>56</v>
      </c>
      <c r="AN111" s="12" t="s">
        <v>121</v>
      </c>
      <c r="AO111" s="20">
        <v>2025</v>
      </c>
      <c r="AP111" s="20">
        <v>2025</v>
      </c>
      <c r="AQ111" s="20">
        <v>2025</v>
      </c>
      <c r="AR111" s="6" t="s">
        <v>58</v>
      </c>
    </row>
    <row r="112" spans="1:44" ht="42" customHeight="1" x14ac:dyDescent="0.2">
      <c r="A112" s="15">
        <v>111</v>
      </c>
      <c r="B112" s="15" t="s">
        <v>756</v>
      </c>
      <c r="C112" s="15" t="s">
        <v>757</v>
      </c>
      <c r="D112" s="16">
        <v>1149944.0356164384</v>
      </c>
      <c r="E112" s="19">
        <v>2025</v>
      </c>
      <c r="F112" s="17">
        <f t="shared" si="1"/>
        <v>419.72957300000002</v>
      </c>
      <c r="G112" s="17">
        <v>36.656488105020898</v>
      </c>
      <c r="H112" s="17">
        <v>17.348300354333148</v>
      </c>
      <c r="I112" s="17">
        <v>18.455989757004804</v>
      </c>
      <c r="J112" s="17">
        <v>19.083998162788497</v>
      </c>
      <c r="K112" s="17">
        <v>2.9476243266756903</v>
      </c>
      <c r="L112" s="16">
        <v>395823.79870900273</v>
      </c>
      <c r="M112" s="19">
        <v>2025</v>
      </c>
      <c r="N112" s="16">
        <v>161578.90410958906</v>
      </c>
      <c r="O112" s="16">
        <v>152736.98630136985</v>
      </c>
      <c r="P112" s="17">
        <v>577.009981112015</v>
      </c>
      <c r="Q112" s="19">
        <v>2025</v>
      </c>
      <c r="R112" s="17">
        <v>2.4424744499019799</v>
      </c>
      <c r="S112" s="19">
        <v>2025</v>
      </c>
      <c r="T112" s="17">
        <v>-0.13363435648020699</v>
      </c>
      <c r="U112" s="19">
        <v>2025</v>
      </c>
      <c r="V112" s="18">
        <v>1.4770000000000001</v>
      </c>
      <c r="W112" s="18">
        <v>1.2230000000000001</v>
      </c>
      <c r="X112" s="18" t="s">
        <v>46</v>
      </c>
      <c r="Y112" s="18" t="s">
        <v>46</v>
      </c>
      <c r="Z112" s="18" t="s">
        <v>46</v>
      </c>
      <c r="AA112" s="15" t="s">
        <v>47</v>
      </c>
      <c r="AB112" s="15" t="s">
        <v>48</v>
      </c>
      <c r="AC112" s="15" t="s">
        <v>434</v>
      </c>
      <c r="AD112" s="15" t="s">
        <v>758</v>
      </c>
      <c r="AE112" s="15" t="s">
        <v>759</v>
      </c>
      <c r="AF112" s="15" t="s">
        <v>52</v>
      </c>
      <c r="AG112" s="15" t="s">
        <v>53</v>
      </c>
      <c r="AH112" s="15" t="s">
        <v>760</v>
      </c>
      <c r="AI112" s="15" t="s">
        <v>761</v>
      </c>
      <c r="AJ112" s="8">
        <f>'Сводка НПЗ'!D112</f>
        <v>4</v>
      </c>
      <c r="AK112" s="8">
        <f>IF('Сводка НПЗ'!F112&gt;0,'Сводка НПЗ'!E112,"")</f>
        <v>791500</v>
      </c>
      <c r="AL112" s="8">
        <f>'Сводка НПЗ'!G112</f>
        <v>0</v>
      </c>
      <c r="AM112" s="6" t="s">
        <v>56</v>
      </c>
      <c r="AN112" s="12" t="s">
        <v>57</v>
      </c>
      <c r="AO112" s="20">
        <v>2025</v>
      </c>
      <c r="AP112" s="20">
        <v>2025</v>
      </c>
      <c r="AQ112" s="20">
        <v>2025</v>
      </c>
      <c r="AR112" s="6" t="s">
        <v>58</v>
      </c>
    </row>
    <row r="113" spans="1:44" ht="42" customHeight="1" x14ac:dyDescent="0.2">
      <c r="A113" s="15">
        <v>112</v>
      </c>
      <c r="B113" s="15" t="s">
        <v>762</v>
      </c>
      <c r="C113" s="15" t="s">
        <v>763</v>
      </c>
      <c r="D113" s="16" t="s">
        <v>46</v>
      </c>
      <c r="E113" s="19" t="s">
        <v>46</v>
      </c>
      <c r="F113" s="17" t="str">
        <f t="shared" si="1"/>
        <v>н/д</v>
      </c>
      <c r="G113" s="17" t="s">
        <v>46</v>
      </c>
      <c r="H113" s="17" t="s">
        <v>46</v>
      </c>
      <c r="I113" s="17" t="s">
        <v>46</v>
      </c>
      <c r="J113" s="17" t="s">
        <v>46</v>
      </c>
      <c r="K113" s="17" t="s">
        <v>46</v>
      </c>
      <c r="L113" s="16" t="s">
        <v>46</v>
      </c>
      <c r="M113" s="19" t="s">
        <v>46</v>
      </c>
      <c r="N113" s="16" t="s">
        <v>46</v>
      </c>
      <c r="O113" s="16" t="s">
        <v>46</v>
      </c>
      <c r="P113" s="17" t="s">
        <v>46</v>
      </c>
      <c r="Q113" s="19" t="s">
        <v>46</v>
      </c>
      <c r="R113" s="17" t="s">
        <v>46</v>
      </c>
      <c r="S113" s="19" t="s">
        <v>46</v>
      </c>
      <c r="T113" s="17">
        <v>2.2951952502503699</v>
      </c>
      <c r="U113" s="19">
        <v>2025</v>
      </c>
      <c r="V113" s="18">
        <v>2.133</v>
      </c>
      <c r="W113" s="18">
        <v>2.488</v>
      </c>
      <c r="X113" s="18" t="s">
        <v>46</v>
      </c>
      <c r="Y113" s="18">
        <v>0.79400000000000004</v>
      </c>
      <c r="Z113" s="18" t="s">
        <v>46</v>
      </c>
      <c r="AA113" s="15" t="s">
        <v>47</v>
      </c>
      <c r="AB113" s="15" t="s">
        <v>69</v>
      </c>
      <c r="AC113" s="15" t="s">
        <v>198</v>
      </c>
      <c r="AD113" s="15" t="s">
        <v>764</v>
      </c>
      <c r="AE113" s="15" t="s">
        <v>765</v>
      </c>
      <c r="AF113" s="15" t="s">
        <v>105</v>
      </c>
      <c r="AG113" s="15" t="s">
        <v>73</v>
      </c>
      <c r="AH113" s="15" t="s">
        <v>766</v>
      </c>
      <c r="AI113" s="15" t="s">
        <v>767</v>
      </c>
      <c r="AJ113" s="8">
        <f>'Сводка НПЗ'!D113</f>
        <v>0</v>
      </c>
      <c r="AK113" s="8" t="str">
        <f>IF('Сводка НПЗ'!F113&gt;0,'Сводка НПЗ'!E113,"")</f>
        <v/>
      </c>
      <c r="AL113" s="8">
        <f>'Сводка НПЗ'!G113</f>
        <v>0</v>
      </c>
      <c r="AM113" s="6" t="s">
        <v>56</v>
      </c>
      <c r="AN113" s="12" t="s">
        <v>83</v>
      </c>
      <c r="AO113" s="20"/>
      <c r="AP113" s="20"/>
      <c r="AQ113" s="20"/>
      <c r="AR113" s="6" t="s">
        <v>58</v>
      </c>
    </row>
    <row r="114" spans="1:44" ht="42" customHeight="1" x14ac:dyDescent="0.2">
      <c r="A114" s="15">
        <v>113</v>
      </c>
      <c r="B114" s="15" t="s">
        <v>768</v>
      </c>
      <c r="C114" s="15" t="s">
        <v>769</v>
      </c>
      <c r="D114" s="16">
        <v>11655.784050999999</v>
      </c>
      <c r="E114" s="19">
        <v>2024</v>
      </c>
      <c r="F114" s="17">
        <f t="shared" si="1"/>
        <v>4.2660169626659989</v>
      </c>
      <c r="G114" s="17">
        <v>45.432720045509711</v>
      </c>
      <c r="H114" s="17">
        <v>37.708306431972005</v>
      </c>
      <c r="I114" s="17">
        <v>6.2735876437009326</v>
      </c>
      <c r="J114" s="17">
        <v>2.4240784812391856</v>
      </c>
      <c r="K114" s="17">
        <v>7.3604138447159713</v>
      </c>
      <c r="L114" s="16">
        <v>0</v>
      </c>
      <c r="M114" s="19">
        <v>2025</v>
      </c>
      <c r="N114" s="16">
        <v>0</v>
      </c>
      <c r="O114" s="16">
        <v>0</v>
      </c>
      <c r="P114" s="17">
        <v>32.077278409233898</v>
      </c>
      <c r="Q114" s="19">
        <v>2025</v>
      </c>
      <c r="R114" s="17">
        <v>-2.71291075761471</v>
      </c>
      <c r="S114" s="19">
        <v>2025</v>
      </c>
      <c r="T114" s="17">
        <v>28.6427976686095</v>
      </c>
      <c r="U114" s="19">
        <v>2025</v>
      </c>
      <c r="V114" s="18">
        <v>1.3149999999999999</v>
      </c>
      <c r="W114" s="18">
        <v>1.4159999999999999</v>
      </c>
      <c r="X114" s="18" t="s">
        <v>46</v>
      </c>
      <c r="Y114" s="18" t="s">
        <v>46</v>
      </c>
      <c r="Z114" s="18" t="s">
        <v>46</v>
      </c>
      <c r="AA114" s="15" t="s">
        <v>47</v>
      </c>
      <c r="AB114" s="15" t="s">
        <v>48</v>
      </c>
      <c r="AC114" s="15" t="s">
        <v>605</v>
      </c>
      <c r="AD114" s="15" t="s">
        <v>770</v>
      </c>
      <c r="AE114" s="15" t="s">
        <v>771</v>
      </c>
      <c r="AF114" s="15" t="s">
        <v>64</v>
      </c>
      <c r="AG114" s="15" t="s">
        <v>53</v>
      </c>
      <c r="AH114" s="15" t="s">
        <v>772</v>
      </c>
      <c r="AI114" s="15" t="s">
        <v>773</v>
      </c>
      <c r="AJ114" s="8">
        <f>'Сводка НПЗ'!D114</f>
        <v>0</v>
      </c>
      <c r="AK114" s="8" t="str">
        <f>IF('Сводка НПЗ'!F114&gt;0,'Сводка НПЗ'!E114,"")</f>
        <v/>
      </c>
      <c r="AL114" s="8">
        <f>'Сводка НПЗ'!G114</f>
        <v>0</v>
      </c>
      <c r="AM114" s="6" t="s">
        <v>56</v>
      </c>
      <c r="AN114" s="12" t="s">
        <v>83</v>
      </c>
      <c r="AO114" s="20">
        <v>2024</v>
      </c>
      <c r="AP114" s="20">
        <v>2025</v>
      </c>
      <c r="AQ114" s="20">
        <v>2025</v>
      </c>
      <c r="AR114" s="6" t="s">
        <v>58</v>
      </c>
    </row>
    <row r="115" spans="1:44" ht="42" customHeight="1" x14ac:dyDescent="0.2">
      <c r="A115" s="15">
        <v>114</v>
      </c>
      <c r="B115" s="15" t="s">
        <v>774</v>
      </c>
      <c r="C115" s="15" t="s">
        <v>775</v>
      </c>
      <c r="D115" s="16">
        <v>148387.83325299999</v>
      </c>
      <c r="E115" s="19">
        <v>2024</v>
      </c>
      <c r="F115" s="17">
        <f t="shared" si="1"/>
        <v>54.309946970597998</v>
      </c>
      <c r="G115" s="17">
        <v>20.981639786407865</v>
      </c>
      <c r="H115" s="17">
        <v>20.480566259218953</v>
      </c>
      <c r="I115" s="17">
        <v>22.071522248161042</v>
      </c>
      <c r="J115" s="17">
        <v>8.4735887669185264</v>
      </c>
      <c r="K115" s="17">
        <v>16.949392149367153</v>
      </c>
      <c r="L115" s="16">
        <v>0</v>
      </c>
      <c r="M115" s="19">
        <v>2025</v>
      </c>
      <c r="N115" s="16">
        <v>0</v>
      </c>
      <c r="O115" s="16">
        <v>0</v>
      </c>
      <c r="P115" s="17">
        <v>127.407463759043</v>
      </c>
      <c r="Q115" s="19">
        <v>2025</v>
      </c>
      <c r="R115" s="17">
        <v>2.11739113534632</v>
      </c>
      <c r="S115" s="19">
        <v>2025</v>
      </c>
      <c r="T115" s="17">
        <v>3.8731176804812999</v>
      </c>
      <c r="U115" s="19">
        <v>2025</v>
      </c>
      <c r="V115" s="18">
        <v>1.5249999999999999</v>
      </c>
      <c r="W115" s="18">
        <v>1.175</v>
      </c>
      <c r="X115" s="18" t="s">
        <v>46</v>
      </c>
      <c r="Y115" s="18">
        <v>0.60399999999999998</v>
      </c>
      <c r="Z115" s="18" t="s">
        <v>46</v>
      </c>
      <c r="AA115" s="15" t="s">
        <v>47</v>
      </c>
      <c r="AB115" s="15" t="s">
        <v>69</v>
      </c>
      <c r="AC115" s="15" t="s">
        <v>605</v>
      </c>
      <c r="AD115" s="15" t="s">
        <v>776</v>
      </c>
      <c r="AE115" s="15" t="s">
        <v>777</v>
      </c>
      <c r="AF115" s="15" t="s">
        <v>64</v>
      </c>
      <c r="AG115" s="15" t="s">
        <v>73</v>
      </c>
      <c r="AH115" s="15" t="s">
        <v>778</v>
      </c>
      <c r="AI115" s="15" t="s">
        <v>779</v>
      </c>
      <c r="AJ115" s="8">
        <f>'Сводка НПЗ'!D115</f>
        <v>2</v>
      </c>
      <c r="AK115" s="8">
        <f>IF('Сводка НПЗ'!F115&gt;0,'Сводка НПЗ'!E115,"")</f>
        <v>49000</v>
      </c>
      <c r="AL115" s="8">
        <f>'Сводка НПЗ'!G115</f>
        <v>0</v>
      </c>
      <c r="AM115" s="6" t="s">
        <v>56</v>
      </c>
      <c r="AN115" s="12" t="s">
        <v>83</v>
      </c>
      <c r="AO115" s="20">
        <v>2024</v>
      </c>
      <c r="AP115" s="20">
        <v>2025</v>
      </c>
      <c r="AQ115" s="20">
        <v>2025</v>
      </c>
      <c r="AR115" s="6" t="s">
        <v>58</v>
      </c>
    </row>
    <row r="116" spans="1:44" ht="42" customHeight="1" x14ac:dyDescent="0.2">
      <c r="A116" s="15">
        <v>115</v>
      </c>
      <c r="B116" s="15" t="s">
        <v>780</v>
      </c>
      <c r="C116" s="15" t="s">
        <v>781</v>
      </c>
      <c r="D116" s="16">
        <v>13284.117802999999</v>
      </c>
      <c r="E116" s="19">
        <v>2024</v>
      </c>
      <c r="F116" s="17">
        <f t="shared" si="1"/>
        <v>4.8619871158979997</v>
      </c>
      <c r="G116" s="17">
        <v>45.235434359389203</v>
      </c>
      <c r="H116" s="17">
        <v>36.659368459531564</v>
      </c>
      <c r="I116" s="17">
        <v>10.279790342506647</v>
      </c>
      <c r="J116" s="17">
        <v>6.5075446395452294</v>
      </c>
      <c r="K116" s="17">
        <v>1.0564470978141025</v>
      </c>
      <c r="L116" s="16">
        <v>126490.4109589041</v>
      </c>
      <c r="M116" s="19">
        <v>2025</v>
      </c>
      <c r="N116" s="16">
        <v>126490.4109589041</v>
      </c>
      <c r="O116" s="16">
        <v>0</v>
      </c>
      <c r="P116" s="17">
        <v>21.472835225433801</v>
      </c>
      <c r="Q116" s="19">
        <v>2025</v>
      </c>
      <c r="R116" s="17">
        <v>5.5898802176565097</v>
      </c>
      <c r="S116" s="19">
        <v>2025</v>
      </c>
      <c r="T116" s="17">
        <v>-3.9119812440658999</v>
      </c>
      <c r="U116" s="19">
        <v>2025</v>
      </c>
      <c r="V116" s="18" t="s">
        <v>46</v>
      </c>
      <c r="W116" s="18" t="s">
        <v>46</v>
      </c>
      <c r="X116" s="18" t="s">
        <v>46</v>
      </c>
      <c r="Y116" s="18" t="s">
        <v>46</v>
      </c>
      <c r="Z116" s="18" t="s">
        <v>46</v>
      </c>
      <c r="AA116" s="15" t="s">
        <v>100</v>
      </c>
      <c r="AB116" s="15" t="s">
        <v>101</v>
      </c>
      <c r="AC116" s="15" t="s">
        <v>605</v>
      </c>
      <c r="AD116" s="15" t="s">
        <v>782</v>
      </c>
      <c r="AE116" s="15" t="s">
        <v>104</v>
      </c>
      <c r="AF116" s="15" t="s">
        <v>64</v>
      </c>
      <c r="AG116" s="15" t="s">
        <v>106</v>
      </c>
      <c r="AH116" s="15" t="s">
        <v>783</v>
      </c>
      <c r="AI116" s="15" t="s">
        <v>784</v>
      </c>
      <c r="AJ116" s="8">
        <f>'Сводка НПЗ'!D116</f>
        <v>0</v>
      </c>
      <c r="AK116" s="8" t="str">
        <f>IF('Сводка НПЗ'!F116&gt;0,'Сводка НПЗ'!E116,"")</f>
        <v/>
      </c>
      <c r="AL116" s="8">
        <f>'Сводка НПЗ'!G116</f>
        <v>0</v>
      </c>
      <c r="AM116" s="6" t="s">
        <v>56</v>
      </c>
      <c r="AN116" s="12" t="s">
        <v>83</v>
      </c>
      <c r="AO116" s="20">
        <v>2024</v>
      </c>
      <c r="AP116" s="20">
        <v>2025</v>
      </c>
      <c r="AQ116" s="20">
        <v>2025</v>
      </c>
      <c r="AR116" s="6" t="s">
        <v>58</v>
      </c>
    </row>
    <row r="117" spans="1:44" ht="42" customHeight="1" x14ac:dyDescent="0.2">
      <c r="A117" s="15">
        <v>116</v>
      </c>
      <c r="B117" s="15" t="s">
        <v>785</v>
      </c>
      <c r="C117" s="15" t="s">
        <v>786</v>
      </c>
      <c r="D117" s="16">
        <v>362854.79452054796</v>
      </c>
      <c r="E117" s="19">
        <v>2025</v>
      </c>
      <c r="F117" s="17">
        <f t="shared" si="1"/>
        <v>132.44200000000001</v>
      </c>
      <c r="G117" s="17">
        <v>16.726567101070657</v>
      </c>
      <c r="H117" s="17">
        <v>24.699868621736307</v>
      </c>
      <c r="I117" s="17">
        <v>1.9495326256021503</v>
      </c>
      <c r="J117" s="17">
        <v>5.3283701544827169</v>
      </c>
      <c r="K117" s="17">
        <v>28.465290466770359</v>
      </c>
      <c r="L117" s="16">
        <v>2804974.3500827067</v>
      </c>
      <c r="M117" s="19">
        <v>2025</v>
      </c>
      <c r="N117" s="16">
        <v>2583547.9452054799</v>
      </c>
      <c r="O117" s="16">
        <v>225000</v>
      </c>
      <c r="P117" s="17">
        <v>157.20902692641801</v>
      </c>
      <c r="Q117" s="19">
        <v>2025</v>
      </c>
      <c r="R117" s="17">
        <v>2.7318258044919999</v>
      </c>
      <c r="S117" s="19">
        <v>2025</v>
      </c>
      <c r="T117" s="17">
        <v>2.3619593668204502</v>
      </c>
      <c r="U117" s="19">
        <v>2025</v>
      </c>
      <c r="V117" s="18">
        <v>0.34</v>
      </c>
      <c r="W117" s="18">
        <v>0.373</v>
      </c>
      <c r="X117" s="18" t="s">
        <v>46</v>
      </c>
      <c r="Y117" s="18" t="s">
        <v>46</v>
      </c>
      <c r="Z117" s="18" t="s">
        <v>46</v>
      </c>
      <c r="AA117" s="15" t="s">
        <v>47</v>
      </c>
      <c r="AB117" s="15" t="s">
        <v>48</v>
      </c>
      <c r="AC117" s="15" t="s">
        <v>434</v>
      </c>
      <c r="AD117" s="15" t="s">
        <v>787</v>
      </c>
      <c r="AE117" s="15" t="s">
        <v>788</v>
      </c>
      <c r="AF117" s="15" t="s">
        <v>52</v>
      </c>
      <c r="AG117" s="15" t="s">
        <v>53</v>
      </c>
      <c r="AH117" s="15" t="s">
        <v>789</v>
      </c>
      <c r="AI117" s="15" t="s">
        <v>790</v>
      </c>
      <c r="AJ117" s="8">
        <f>'Сводка НПЗ'!D117</f>
        <v>3</v>
      </c>
      <c r="AK117" s="8">
        <f>IF('Сводка НПЗ'!F117&gt;0,'Сводка НПЗ'!E117,"")</f>
        <v>831000</v>
      </c>
      <c r="AL117" s="8">
        <f>'Сводка НПЗ'!G117</f>
        <v>0</v>
      </c>
      <c r="AM117" s="6" t="s">
        <v>56</v>
      </c>
      <c r="AN117" s="12" t="s">
        <v>57</v>
      </c>
      <c r="AO117" s="20">
        <v>2025</v>
      </c>
      <c r="AP117" s="20">
        <v>2025</v>
      </c>
      <c r="AQ117" s="20">
        <v>2025</v>
      </c>
      <c r="AR117" s="6" t="s">
        <v>58</v>
      </c>
    </row>
    <row r="118" spans="1:44" ht="42" customHeight="1" x14ac:dyDescent="0.2">
      <c r="A118" s="15">
        <v>117</v>
      </c>
      <c r="B118" s="15" t="s">
        <v>791</v>
      </c>
      <c r="C118" s="15" t="s">
        <v>792</v>
      </c>
      <c r="D118" s="16">
        <v>60330.724729000001</v>
      </c>
      <c r="E118" s="19">
        <v>2024</v>
      </c>
      <c r="F118" s="17">
        <f t="shared" si="1"/>
        <v>22.081045250814</v>
      </c>
      <c r="G118" s="17">
        <v>27.092547028766521</v>
      </c>
      <c r="H118" s="17">
        <v>34.468578594753915</v>
      </c>
      <c r="I118" s="17">
        <v>17.715652278353058</v>
      </c>
      <c r="J118" s="17">
        <v>6.3989286492762965</v>
      </c>
      <c r="K118" s="17">
        <v>11.076043432291057</v>
      </c>
      <c r="L118" s="16">
        <v>3</v>
      </c>
      <c r="M118" s="19">
        <v>2025</v>
      </c>
      <c r="N118" s="16">
        <v>0</v>
      </c>
      <c r="O118" s="16">
        <v>0</v>
      </c>
      <c r="P118" s="17">
        <v>36.708109999999998</v>
      </c>
      <c r="Q118" s="19">
        <v>2025</v>
      </c>
      <c r="R118" s="17">
        <v>3.90594189242583</v>
      </c>
      <c r="S118" s="19">
        <v>2025</v>
      </c>
      <c r="T118" s="17">
        <v>0.25757052830720301</v>
      </c>
      <c r="U118" s="19">
        <v>2025</v>
      </c>
      <c r="V118" s="18">
        <v>1.357</v>
      </c>
      <c r="W118" s="18">
        <v>1.284</v>
      </c>
      <c r="X118" s="18" t="s">
        <v>46</v>
      </c>
      <c r="Y118" s="18" t="s">
        <v>46</v>
      </c>
      <c r="Z118" s="18" t="s">
        <v>46</v>
      </c>
      <c r="AA118" s="15" t="s">
        <v>47</v>
      </c>
      <c r="AB118" s="15" t="s">
        <v>48</v>
      </c>
      <c r="AC118" s="15" t="s">
        <v>605</v>
      </c>
      <c r="AD118" s="15" t="s">
        <v>793</v>
      </c>
      <c r="AE118" s="15" t="s">
        <v>794</v>
      </c>
      <c r="AF118" s="15" t="s">
        <v>64</v>
      </c>
      <c r="AG118" s="15" t="s">
        <v>53</v>
      </c>
      <c r="AH118" s="15" t="s">
        <v>795</v>
      </c>
      <c r="AI118" s="15" t="s">
        <v>796</v>
      </c>
      <c r="AJ118" s="8">
        <f>'Сводка НПЗ'!D118</f>
        <v>1</v>
      </c>
      <c r="AK118" s="8">
        <f>IF('Сводка НПЗ'!F118&gt;0,'Сводка НПЗ'!E118,"")</f>
        <v>22000</v>
      </c>
      <c r="AL118" s="8">
        <f>'Сводка НПЗ'!G118</f>
        <v>0</v>
      </c>
      <c r="AM118" s="6" t="s">
        <v>56</v>
      </c>
      <c r="AN118" s="12" t="s">
        <v>83</v>
      </c>
      <c r="AO118" s="20">
        <v>2024</v>
      </c>
      <c r="AP118" s="20">
        <v>2025</v>
      </c>
      <c r="AQ118" s="20">
        <v>2025</v>
      </c>
      <c r="AR118" s="6" t="s">
        <v>58</v>
      </c>
    </row>
    <row r="119" spans="1:44" ht="42" customHeight="1" x14ac:dyDescent="0.2">
      <c r="A119" s="15">
        <v>118</v>
      </c>
      <c r="B119" s="15" t="s">
        <v>797</v>
      </c>
      <c r="C119" s="15" t="s">
        <v>798</v>
      </c>
      <c r="D119" s="16">
        <v>124148.582155</v>
      </c>
      <c r="E119" s="19">
        <v>2024</v>
      </c>
      <c r="F119" s="17">
        <f t="shared" si="1"/>
        <v>45.438381068729996</v>
      </c>
      <c r="G119" s="17">
        <v>32.928172888000717</v>
      </c>
      <c r="H119" s="17">
        <v>37.782827621371155</v>
      </c>
      <c r="I119" s="17">
        <v>14.150273619772053</v>
      </c>
      <c r="J119" s="17">
        <v>2.1167821584293147</v>
      </c>
      <c r="K119" s="17">
        <v>4.5101846431151458</v>
      </c>
      <c r="L119" s="16">
        <v>5776.5519342595235</v>
      </c>
      <c r="M119" s="19">
        <v>2025</v>
      </c>
      <c r="N119" s="16">
        <v>5384.6250742595239</v>
      </c>
      <c r="O119" s="16">
        <v>0</v>
      </c>
      <c r="P119" s="17">
        <v>123.306008821471</v>
      </c>
      <c r="Q119" s="19">
        <v>2025</v>
      </c>
      <c r="R119" s="17">
        <v>4.2800320792140498</v>
      </c>
      <c r="S119" s="19">
        <v>2025</v>
      </c>
      <c r="T119" s="17">
        <v>1.4884159108616899</v>
      </c>
      <c r="U119" s="19">
        <v>2025</v>
      </c>
      <c r="V119" s="18">
        <v>1.4430000000000001</v>
      </c>
      <c r="W119" s="18">
        <v>1.589</v>
      </c>
      <c r="X119" s="18" t="s">
        <v>46</v>
      </c>
      <c r="Y119" s="18" t="s">
        <v>46</v>
      </c>
      <c r="Z119" s="18" t="s">
        <v>46</v>
      </c>
      <c r="AA119" s="15" t="s">
        <v>47</v>
      </c>
      <c r="AB119" s="15" t="s">
        <v>48</v>
      </c>
      <c r="AC119" s="15" t="s">
        <v>605</v>
      </c>
      <c r="AD119" s="15" t="s">
        <v>799</v>
      </c>
      <c r="AE119" s="15" t="s">
        <v>800</v>
      </c>
      <c r="AF119" s="15" t="s">
        <v>64</v>
      </c>
      <c r="AG119" s="15" t="s">
        <v>53</v>
      </c>
      <c r="AH119" s="15" t="s">
        <v>801</v>
      </c>
      <c r="AI119" s="15" t="s">
        <v>802</v>
      </c>
      <c r="AJ119" s="8">
        <f>'Сводка НПЗ'!D119</f>
        <v>0</v>
      </c>
      <c r="AK119" s="8" t="str">
        <f>IF('Сводка НПЗ'!F119&gt;0,'Сводка НПЗ'!E119,"")</f>
        <v/>
      </c>
      <c r="AL119" s="8">
        <f>'Сводка НПЗ'!G119</f>
        <v>0</v>
      </c>
      <c r="AM119" s="6" t="s">
        <v>56</v>
      </c>
      <c r="AN119" s="12" t="s">
        <v>83</v>
      </c>
      <c r="AO119" s="20">
        <v>2024</v>
      </c>
      <c r="AP119" s="20">
        <v>2025</v>
      </c>
      <c r="AQ119" s="20">
        <v>2025</v>
      </c>
      <c r="AR119" s="6" t="s">
        <v>58</v>
      </c>
    </row>
    <row r="120" spans="1:44" ht="42" customHeight="1" x14ac:dyDescent="0.2">
      <c r="A120" s="15">
        <v>119</v>
      </c>
      <c r="B120" s="15" t="s">
        <v>803</v>
      </c>
      <c r="C120" s="15" t="s">
        <v>804</v>
      </c>
      <c r="D120" s="16">
        <v>4555.5270630000005</v>
      </c>
      <c r="E120" s="19">
        <v>2024</v>
      </c>
      <c r="F120" s="17">
        <f t="shared" si="1"/>
        <v>1.6673229050580003</v>
      </c>
      <c r="G120" s="17">
        <v>72.833096831939486</v>
      </c>
      <c r="H120" s="17">
        <v>22.002806330381354</v>
      </c>
      <c r="I120" s="17">
        <v>0.78627567139095711</v>
      </c>
      <c r="J120" s="17">
        <v>1.8936282850922441</v>
      </c>
      <c r="K120" s="17">
        <v>0</v>
      </c>
      <c r="L120" s="16">
        <v>2000</v>
      </c>
      <c r="M120" s="19">
        <v>2025</v>
      </c>
      <c r="N120" s="16">
        <v>2000</v>
      </c>
      <c r="O120" s="16">
        <v>0</v>
      </c>
      <c r="P120" s="17">
        <v>1.9021802578273699</v>
      </c>
      <c r="Q120" s="19">
        <v>2025</v>
      </c>
      <c r="R120" s="17">
        <v>6.9753893911962903</v>
      </c>
      <c r="S120" s="19">
        <v>2025</v>
      </c>
      <c r="T120" s="17">
        <v>0.42832284834693701</v>
      </c>
      <c r="U120" s="19">
        <v>2025</v>
      </c>
      <c r="V120" s="18" t="s">
        <v>46</v>
      </c>
      <c r="W120" s="18" t="s">
        <v>46</v>
      </c>
      <c r="X120" s="18" t="s">
        <v>46</v>
      </c>
      <c r="Y120" s="18" t="s">
        <v>46</v>
      </c>
      <c r="Z120" s="18" t="s">
        <v>46</v>
      </c>
      <c r="AA120" s="15" t="s">
        <v>100</v>
      </c>
      <c r="AB120" s="15" t="s">
        <v>101</v>
      </c>
      <c r="AC120" s="15" t="s">
        <v>421</v>
      </c>
      <c r="AD120" s="15" t="s">
        <v>805</v>
      </c>
      <c r="AE120" s="15" t="s">
        <v>104</v>
      </c>
      <c r="AF120" s="15" t="s">
        <v>64</v>
      </c>
      <c r="AG120" s="15" t="s">
        <v>106</v>
      </c>
      <c r="AH120" s="15" t="s">
        <v>806</v>
      </c>
      <c r="AI120" s="15" t="s">
        <v>807</v>
      </c>
      <c r="AJ120" s="8">
        <f>'Сводка НПЗ'!D120</f>
        <v>0</v>
      </c>
      <c r="AK120" s="8" t="str">
        <f>IF('Сводка НПЗ'!F120&gt;0,'Сводка НПЗ'!E120,"")</f>
        <v/>
      </c>
      <c r="AL120" s="8">
        <f>'Сводка НПЗ'!G120</f>
        <v>0</v>
      </c>
      <c r="AM120" s="6" t="s">
        <v>56</v>
      </c>
      <c r="AN120" s="12" t="s">
        <v>83</v>
      </c>
      <c r="AO120" s="20">
        <v>2024</v>
      </c>
      <c r="AP120" s="20">
        <v>2025</v>
      </c>
      <c r="AQ120" s="20">
        <v>2025</v>
      </c>
      <c r="AR120" s="6" t="s">
        <v>58</v>
      </c>
    </row>
    <row r="121" spans="1:44" ht="42" customHeight="1" x14ac:dyDescent="0.2">
      <c r="A121" s="15">
        <v>120</v>
      </c>
      <c r="B121" s="15" t="s">
        <v>808</v>
      </c>
      <c r="C121" s="15" t="s">
        <v>809</v>
      </c>
      <c r="D121" s="16">
        <v>13527.106849315069</v>
      </c>
      <c r="E121" s="19">
        <v>2025</v>
      </c>
      <c r="F121" s="17">
        <f t="shared" si="1"/>
        <v>4.9373940000000003</v>
      </c>
      <c r="G121" s="17">
        <v>36.81525112235321</v>
      </c>
      <c r="H121" s="17">
        <v>47.771516715093021</v>
      </c>
      <c r="I121" s="17">
        <v>4.5861237729863165</v>
      </c>
      <c r="J121" s="17">
        <v>20.764982498864786</v>
      </c>
      <c r="K121" s="17">
        <v>0</v>
      </c>
      <c r="L121" s="16">
        <v>109724.83283563577</v>
      </c>
      <c r="M121" s="19">
        <v>2025</v>
      </c>
      <c r="N121" s="16">
        <v>100875.73253662481</v>
      </c>
      <c r="O121" s="16">
        <v>8747.945205479451</v>
      </c>
      <c r="P121" s="17">
        <v>15.0319809941121</v>
      </c>
      <c r="Q121" s="19">
        <v>2025</v>
      </c>
      <c r="R121" s="17">
        <v>0.66956214816435999</v>
      </c>
      <c r="S121" s="19">
        <v>2025</v>
      </c>
      <c r="T121" s="17">
        <v>-0.30299441444676201</v>
      </c>
      <c r="U121" s="19">
        <v>2025</v>
      </c>
      <c r="V121" s="18" t="s">
        <v>46</v>
      </c>
      <c r="W121" s="18" t="s">
        <v>46</v>
      </c>
      <c r="X121" s="18" t="s">
        <v>46</v>
      </c>
      <c r="Y121" s="18" t="s">
        <v>46</v>
      </c>
      <c r="Z121" s="18" t="s">
        <v>46</v>
      </c>
      <c r="AA121" s="15" t="s">
        <v>100</v>
      </c>
      <c r="AB121" s="15" t="s">
        <v>101</v>
      </c>
      <c r="AC121" s="15" t="s">
        <v>434</v>
      </c>
      <c r="AD121" s="15" t="s">
        <v>810</v>
      </c>
      <c r="AE121" s="15" t="s">
        <v>104</v>
      </c>
      <c r="AF121" s="15" t="s">
        <v>52</v>
      </c>
      <c r="AG121" s="15" t="s">
        <v>106</v>
      </c>
      <c r="AH121" s="15" t="s">
        <v>811</v>
      </c>
      <c r="AI121" s="15" t="s">
        <v>812</v>
      </c>
      <c r="AJ121" s="8">
        <f>'Сводка НПЗ'!D121</f>
        <v>1</v>
      </c>
      <c r="AK121" s="8">
        <f>IF('Сводка НПЗ'!F121&gt;0,'Сводка НПЗ'!E121,"")</f>
        <v>8600</v>
      </c>
      <c r="AL121" s="8">
        <f>'Сводка НПЗ'!G121</f>
        <v>0</v>
      </c>
      <c r="AM121" s="6" t="s">
        <v>56</v>
      </c>
      <c r="AN121" s="12" t="s">
        <v>83</v>
      </c>
      <c r="AO121" s="20">
        <v>2025</v>
      </c>
      <c r="AP121" s="20">
        <v>2025</v>
      </c>
      <c r="AQ121" s="20">
        <v>2025</v>
      </c>
      <c r="AR121" s="6" t="s">
        <v>58</v>
      </c>
    </row>
    <row r="122" spans="1:44" ht="42" customHeight="1" x14ac:dyDescent="0.2">
      <c r="A122" s="15">
        <v>121</v>
      </c>
      <c r="B122" s="15" t="s">
        <v>813</v>
      </c>
      <c r="C122" s="15" t="s">
        <v>814</v>
      </c>
      <c r="D122" s="16" t="s">
        <v>46</v>
      </c>
      <c r="E122" s="19" t="s">
        <v>46</v>
      </c>
      <c r="F122" s="17" t="str">
        <f t="shared" si="1"/>
        <v>н/д</v>
      </c>
      <c r="G122" s="17" t="s">
        <v>46</v>
      </c>
      <c r="H122" s="17" t="s">
        <v>46</v>
      </c>
      <c r="I122" s="17" t="s">
        <v>46</v>
      </c>
      <c r="J122" s="17" t="s">
        <v>46</v>
      </c>
      <c r="K122" s="17" t="s">
        <v>46</v>
      </c>
      <c r="L122" s="16" t="s">
        <v>46</v>
      </c>
      <c r="M122" s="19" t="s">
        <v>46</v>
      </c>
      <c r="N122" s="16" t="s">
        <v>46</v>
      </c>
      <c r="O122" s="16" t="s">
        <v>46</v>
      </c>
      <c r="P122" s="17">
        <v>11.125788838281201</v>
      </c>
      <c r="Q122" s="19">
        <v>2024</v>
      </c>
      <c r="R122" s="17">
        <v>8.5105375886021193</v>
      </c>
      <c r="S122" s="19">
        <v>2024</v>
      </c>
      <c r="T122" s="17" t="s">
        <v>46</v>
      </c>
      <c r="U122" s="19" t="s">
        <v>46</v>
      </c>
      <c r="V122" s="18">
        <v>2.4660000000000002</v>
      </c>
      <c r="W122" s="18">
        <v>2.7080000000000002</v>
      </c>
      <c r="X122" s="18" t="s">
        <v>46</v>
      </c>
      <c r="Y122" s="18" t="s">
        <v>46</v>
      </c>
      <c r="Z122" s="18" t="s">
        <v>46</v>
      </c>
      <c r="AA122" s="15" t="s">
        <v>47</v>
      </c>
      <c r="AB122" s="15" t="s">
        <v>48</v>
      </c>
      <c r="AC122" s="15" t="s">
        <v>198</v>
      </c>
      <c r="AD122" s="15" t="s">
        <v>815</v>
      </c>
      <c r="AE122" s="15" t="s">
        <v>816</v>
      </c>
      <c r="AF122" s="15" t="s">
        <v>105</v>
      </c>
      <c r="AG122" s="15" t="s">
        <v>53</v>
      </c>
      <c r="AH122" s="15" t="s">
        <v>817</v>
      </c>
      <c r="AI122" s="15" t="s">
        <v>818</v>
      </c>
      <c r="AJ122" s="8">
        <f>'Сводка НПЗ'!D122</f>
        <v>0</v>
      </c>
      <c r="AK122" s="8" t="str">
        <f>IF('Сводка НПЗ'!F122&gt;0,'Сводка НПЗ'!E122,"")</f>
        <v/>
      </c>
      <c r="AL122" s="8">
        <f>'Сводка НПЗ'!G122</f>
        <v>0</v>
      </c>
      <c r="AM122" s="6" t="s">
        <v>56</v>
      </c>
      <c r="AN122" s="12" t="s">
        <v>83</v>
      </c>
      <c r="AO122" s="20"/>
      <c r="AP122" s="20"/>
      <c r="AQ122" s="20"/>
      <c r="AR122" s="6" t="s">
        <v>58</v>
      </c>
    </row>
    <row r="123" spans="1:44" ht="42" customHeight="1" x14ac:dyDescent="0.2">
      <c r="A123" s="15">
        <v>122</v>
      </c>
      <c r="B123" s="15" t="s">
        <v>819</v>
      </c>
      <c r="C123" s="15" t="s">
        <v>820</v>
      </c>
      <c r="D123" s="16">
        <v>471838.35616438359</v>
      </c>
      <c r="E123" s="19">
        <v>2025</v>
      </c>
      <c r="F123" s="17">
        <f t="shared" si="1"/>
        <v>172.221</v>
      </c>
      <c r="G123" s="17">
        <v>48.322213899582508</v>
      </c>
      <c r="H123" s="17">
        <v>18.299162123086035</v>
      </c>
      <c r="I123" s="17">
        <v>20.252466307825408</v>
      </c>
      <c r="J123" s="17">
        <v>6.1101723947718334</v>
      </c>
      <c r="K123" s="17">
        <v>0.52839084664471814</v>
      </c>
      <c r="L123" s="16">
        <v>1404096.4847374272</v>
      </c>
      <c r="M123" s="19">
        <v>2025</v>
      </c>
      <c r="N123" s="16">
        <v>1142958.9041095891</v>
      </c>
      <c r="O123" s="16">
        <v>260000</v>
      </c>
      <c r="P123" s="17">
        <v>287.03122598773604</v>
      </c>
      <c r="Q123" s="19">
        <v>2025</v>
      </c>
      <c r="R123" s="17">
        <v>3.815543719231</v>
      </c>
      <c r="S123" s="19">
        <v>2025</v>
      </c>
      <c r="T123" s="17">
        <v>1.4183515142901599</v>
      </c>
      <c r="U123" s="19">
        <v>2025</v>
      </c>
      <c r="V123" s="18">
        <v>0.35099999999999998</v>
      </c>
      <c r="W123" s="18">
        <v>0.23200000000000001</v>
      </c>
      <c r="X123" s="18" t="s">
        <v>46</v>
      </c>
      <c r="Y123" s="18">
        <v>0.09</v>
      </c>
      <c r="Z123" s="18" t="s">
        <v>46</v>
      </c>
      <c r="AA123" s="15" t="s">
        <v>47</v>
      </c>
      <c r="AB123" s="15" t="s">
        <v>69</v>
      </c>
      <c r="AC123" s="15" t="s">
        <v>434</v>
      </c>
      <c r="AD123" s="15" t="s">
        <v>821</v>
      </c>
      <c r="AE123" s="15" t="s">
        <v>822</v>
      </c>
      <c r="AF123" s="15" t="s">
        <v>52</v>
      </c>
      <c r="AG123" s="15" t="s">
        <v>73</v>
      </c>
      <c r="AH123" s="15" t="s">
        <v>823</v>
      </c>
      <c r="AI123" s="15" t="s">
        <v>824</v>
      </c>
      <c r="AJ123" s="8">
        <f>'Сводка НПЗ'!D123</f>
        <v>4</v>
      </c>
      <c r="AK123" s="8">
        <f>IF('Сводка НПЗ'!F123&gt;0,'Сводка НПЗ'!E123,"")</f>
        <v>404000</v>
      </c>
      <c r="AL123" s="8">
        <f>'Сводка НПЗ'!G123</f>
        <v>1</v>
      </c>
      <c r="AM123" s="6" t="s">
        <v>56</v>
      </c>
      <c r="AN123" s="12" t="s">
        <v>57</v>
      </c>
      <c r="AO123" s="20">
        <v>2025</v>
      </c>
      <c r="AP123" s="20">
        <v>2025</v>
      </c>
      <c r="AQ123" s="20">
        <v>2025</v>
      </c>
      <c r="AR123" s="6" t="s">
        <v>58</v>
      </c>
    </row>
    <row r="124" spans="1:44" ht="42" customHeight="1" x14ac:dyDescent="0.2">
      <c r="A124" s="15">
        <v>123</v>
      </c>
      <c r="B124" s="15" t="s">
        <v>825</v>
      </c>
      <c r="C124" s="15" t="s">
        <v>826</v>
      </c>
      <c r="D124" s="16">
        <v>42455.148111000002</v>
      </c>
      <c r="E124" s="19">
        <v>2024</v>
      </c>
      <c r="F124" s="17">
        <f t="shared" si="1"/>
        <v>15.538584208626</v>
      </c>
      <c r="G124" s="17">
        <v>58.151090335269316</v>
      </c>
      <c r="H124" s="17">
        <v>24.101865062976412</v>
      </c>
      <c r="I124" s="17">
        <v>3.761211994420687</v>
      </c>
      <c r="J124" s="17">
        <v>3.8831006894376108</v>
      </c>
      <c r="K124" s="17">
        <v>1.4543264938935028</v>
      </c>
      <c r="L124" s="16">
        <v>0</v>
      </c>
      <c r="M124" s="19">
        <v>2025</v>
      </c>
      <c r="N124" s="16">
        <v>0</v>
      </c>
      <c r="O124" s="16">
        <v>0</v>
      </c>
      <c r="P124" s="17">
        <v>22.337997046191301</v>
      </c>
      <c r="Q124" s="19">
        <v>2025</v>
      </c>
      <c r="R124" s="17">
        <v>-0.52348538207233697</v>
      </c>
      <c r="S124" s="19">
        <v>2025</v>
      </c>
      <c r="T124" s="17">
        <v>4.3684695014615</v>
      </c>
      <c r="U124" s="19">
        <v>2025</v>
      </c>
      <c r="V124" s="18">
        <v>1.466</v>
      </c>
      <c r="W124" s="18">
        <v>1.819</v>
      </c>
      <c r="X124" s="18" t="s">
        <v>46</v>
      </c>
      <c r="Y124" s="18" t="s">
        <v>46</v>
      </c>
      <c r="Z124" s="18" t="s">
        <v>46</v>
      </c>
      <c r="AA124" s="15" t="s">
        <v>47</v>
      </c>
      <c r="AB124" s="15" t="s">
        <v>48</v>
      </c>
      <c r="AC124" s="15" t="s">
        <v>605</v>
      </c>
      <c r="AD124" s="15" t="s">
        <v>827</v>
      </c>
      <c r="AE124" s="15" t="s">
        <v>828</v>
      </c>
      <c r="AF124" s="15" t="s">
        <v>64</v>
      </c>
      <c r="AG124" s="15" t="s">
        <v>53</v>
      </c>
      <c r="AH124" s="15" t="s">
        <v>829</v>
      </c>
      <c r="AI124" s="15" t="s">
        <v>830</v>
      </c>
      <c r="AJ124" s="8">
        <f>'Сводка НПЗ'!D124</f>
        <v>0</v>
      </c>
      <c r="AK124" s="8" t="str">
        <f>IF('Сводка НПЗ'!F124&gt;0,'Сводка НПЗ'!E124,"")</f>
        <v/>
      </c>
      <c r="AL124" s="8">
        <f>'Сводка НПЗ'!G124</f>
        <v>0</v>
      </c>
      <c r="AM124" s="6" t="s">
        <v>56</v>
      </c>
      <c r="AN124" s="12" t="s">
        <v>83</v>
      </c>
      <c r="AO124" s="20">
        <v>2024</v>
      </c>
      <c r="AP124" s="20">
        <v>2025</v>
      </c>
      <c r="AQ124" s="20">
        <v>2025</v>
      </c>
      <c r="AR124" s="6" t="s">
        <v>58</v>
      </c>
    </row>
    <row r="125" spans="1:44" ht="42" customHeight="1" x14ac:dyDescent="0.2">
      <c r="A125" s="15">
        <v>124</v>
      </c>
      <c r="B125" s="15" t="s">
        <v>831</v>
      </c>
      <c r="C125" s="15" t="s">
        <v>832</v>
      </c>
      <c r="D125" s="16">
        <v>6254.9072900000001</v>
      </c>
      <c r="E125" s="19">
        <v>2024</v>
      </c>
      <c r="F125" s="17">
        <f t="shared" si="1"/>
        <v>2.2892960681400001</v>
      </c>
      <c r="G125" s="17">
        <v>52.808597519596489</v>
      </c>
      <c r="H125" s="17">
        <v>42.616537342794089</v>
      </c>
      <c r="I125" s="17">
        <v>1.7220405676068782</v>
      </c>
      <c r="J125" s="17">
        <v>2.1867800058152422</v>
      </c>
      <c r="K125" s="17">
        <v>6.8908583295724593E-2</v>
      </c>
      <c r="L125" s="16">
        <v>0</v>
      </c>
      <c r="M125" s="19">
        <v>2025</v>
      </c>
      <c r="N125" s="16">
        <v>0</v>
      </c>
      <c r="O125" s="16">
        <v>0</v>
      </c>
      <c r="P125" s="17">
        <v>5.16067961281734</v>
      </c>
      <c r="Q125" s="19">
        <v>2025</v>
      </c>
      <c r="R125" s="17">
        <v>4.1939175580555998</v>
      </c>
      <c r="S125" s="19">
        <v>2025</v>
      </c>
      <c r="T125" s="17" t="s">
        <v>46</v>
      </c>
      <c r="U125" s="19" t="s">
        <v>46</v>
      </c>
      <c r="V125" s="18">
        <v>1.597</v>
      </c>
      <c r="W125" s="18">
        <v>1.7749999999999999</v>
      </c>
      <c r="X125" s="18" t="s">
        <v>46</v>
      </c>
      <c r="Y125" s="18" t="s">
        <v>46</v>
      </c>
      <c r="Z125" s="18" t="s">
        <v>46</v>
      </c>
      <c r="AA125" s="15" t="s">
        <v>47</v>
      </c>
      <c r="AB125" s="15" t="s">
        <v>48</v>
      </c>
      <c r="AC125" s="15" t="s">
        <v>421</v>
      </c>
      <c r="AD125" s="15" t="s">
        <v>833</v>
      </c>
      <c r="AE125" s="15" t="s">
        <v>834</v>
      </c>
      <c r="AF125" s="15" t="s">
        <v>64</v>
      </c>
      <c r="AG125" s="15" t="s">
        <v>53</v>
      </c>
      <c r="AH125" s="15" t="s">
        <v>835</v>
      </c>
      <c r="AI125" s="15" t="s">
        <v>836</v>
      </c>
      <c r="AJ125" s="8">
        <f>'Сводка НПЗ'!D125</f>
        <v>0</v>
      </c>
      <c r="AK125" s="8" t="str">
        <f>IF('Сводка НПЗ'!F125&gt;0,'Сводка НПЗ'!E125,"")</f>
        <v/>
      </c>
      <c r="AL125" s="8">
        <f>'Сводка НПЗ'!G125</f>
        <v>0</v>
      </c>
      <c r="AM125" s="6" t="s">
        <v>56</v>
      </c>
      <c r="AN125" s="12" t="s">
        <v>83</v>
      </c>
      <c r="AO125" s="20">
        <v>2024</v>
      </c>
      <c r="AP125" s="20">
        <v>2025</v>
      </c>
      <c r="AQ125" s="20">
        <v>2025</v>
      </c>
      <c r="AR125" s="6" t="s">
        <v>58</v>
      </c>
    </row>
    <row r="126" spans="1:44" ht="42" customHeight="1" x14ac:dyDescent="0.2">
      <c r="A126" s="15">
        <v>125</v>
      </c>
      <c r="B126" s="15" t="s">
        <v>837</v>
      </c>
      <c r="C126" s="15" t="s">
        <v>838</v>
      </c>
      <c r="D126" s="16">
        <v>5727.4750970000005</v>
      </c>
      <c r="E126" s="19">
        <v>2024</v>
      </c>
      <c r="F126" s="17">
        <f t="shared" si="1"/>
        <v>2.0962558855019999</v>
      </c>
      <c r="G126" s="17">
        <v>37.441628198841912</v>
      </c>
      <c r="H126" s="17">
        <v>49.025943377227051</v>
      </c>
      <c r="I126" s="17">
        <v>1.7287722482086942E-3</v>
      </c>
      <c r="J126" s="17">
        <v>1.968970935536134</v>
      </c>
      <c r="K126" s="17">
        <v>8.00680843187261</v>
      </c>
      <c r="L126" s="16">
        <v>0</v>
      </c>
      <c r="M126" s="19">
        <v>2025</v>
      </c>
      <c r="N126" s="16">
        <v>0</v>
      </c>
      <c r="O126" s="16">
        <v>0</v>
      </c>
      <c r="P126" s="17">
        <v>3.3647138640848797</v>
      </c>
      <c r="Q126" s="19">
        <v>2025</v>
      </c>
      <c r="R126" s="17">
        <v>4.2401052988417796</v>
      </c>
      <c r="S126" s="19">
        <v>2025</v>
      </c>
      <c r="T126" s="17">
        <v>34.133998574483201</v>
      </c>
      <c r="U126" s="19">
        <v>2025</v>
      </c>
      <c r="V126" s="18">
        <v>1.3360000000000001</v>
      </c>
      <c r="W126" s="18">
        <v>1.3109999999999999</v>
      </c>
      <c r="X126" s="18" t="s">
        <v>46</v>
      </c>
      <c r="Y126" s="18" t="s">
        <v>46</v>
      </c>
      <c r="Z126" s="18" t="s">
        <v>46</v>
      </c>
      <c r="AA126" s="15" t="s">
        <v>47</v>
      </c>
      <c r="AB126" s="15" t="s">
        <v>48</v>
      </c>
      <c r="AC126" s="15" t="s">
        <v>421</v>
      </c>
      <c r="AD126" s="15" t="s">
        <v>839</v>
      </c>
      <c r="AE126" s="15" t="s">
        <v>840</v>
      </c>
      <c r="AF126" s="15" t="s">
        <v>64</v>
      </c>
      <c r="AG126" s="15" t="s">
        <v>53</v>
      </c>
      <c r="AH126" s="15" t="s">
        <v>841</v>
      </c>
      <c r="AI126" s="15" t="s">
        <v>842</v>
      </c>
      <c r="AJ126" s="8">
        <f>'Сводка НПЗ'!D126</f>
        <v>0</v>
      </c>
      <c r="AK126" s="8" t="str">
        <f>IF('Сводка НПЗ'!F126&gt;0,'Сводка НПЗ'!E126,"")</f>
        <v/>
      </c>
      <c r="AL126" s="8">
        <f>'Сводка НПЗ'!G126</f>
        <v>0</v>
      </c>
      <c r="AM126" s="6" t="s">
        <v>56</v>
      </c>
      <c r="AN126" s="12" t="s">
        <v>83</v>
      </c>
      <c r="AO126" s="20">
        <v>2024</v>
      </c>
      <c r="AP126" s="20">
        <v>2025</v>
      </c>
      <c r="AQ126" s="20">
        <v>2025</v>
      </c>
      <c r="AR126" s="6" t="s">
        <v>58</v>
      </c>
    </row>
    <row r="127" spans="1:44" ht="42" customHeight="1" x14ac:dyDescent="0.2">
      <c r="A127" s="15">
        <v>126</v>
      </c>
      <c r="B127" s="15" t="s">
        <v>843</v>
      </c>
      <c r="C127" s="15" t="s">
        <v>844</v>
      </c>
      <c r="D127" s="16">
        <v>9824.4694039999995</v>
      </c>
      <c r="E127" s="19">
        <v>2024</v>
      </c>
      <c r="F127" s="17">
        <f t="shared" si="1"/>
        <v>3.5957558018640001</v>
      </c>
      <c r="G127" s="17">
        <v>34.804485335440305</v>
      </c>
      <c r="H127" s="17">
        <v>39.626219909799417</v>
      </c>
      <c r="I127" s="17">
        <v>10.634488184925491</v>
      </c>
      <c r="J127" s="17">
        <v>6.8678367273991041</v>
      </c>
      <c r="K127" s="17">
        <v>6.2964650564043838</v>
      </c>
      <c r="L127" s="16">
        <v>0</v>
      </c>
      <c r="M127" s="19">
        <v>2025</v>
      </c>
      <c r="N127" s="16">
        <v>0</v>
      </c>
      <c r="O127" s="16">
        <v>0</v>
      </c>
      <c r="P127" s="17">
        <v>16.372132990227101</v>
      </c>
      <c r="Q127" s="19">
        <v>2025</v>
      </c>
      <c r="R127" s="17">
        <v>9.3757983418244599</v>
      </c>
      <c r="S127" s="19">
        <v>2025</v>
      </c>
      <c r="T127" s="17">
        <v>5.9130001688259997</v>
      </c>
      <c r="U127" s="19">
        <v>2025</v>
      </c>
      <c r="V127" s="18">
        <v>2.0030000000000001</v>
      </c>
      <c r="W127" s="18">
        <v>1.9950000000000001</v>
      </c>
      <c r="X127" s="18" t="s">
        <v>46</v>
      </c>
      <c r="Y127" s="18" t="s">
        <v>46</v>
      </c>
      <c r="Z127" s="18" t="s">
        <v>46</v>
      </c>
      <c r="AA127" s="15" t="s">
        <v>47</v>
      </c>
      <c r="AB127" s="15" t="s">
        <v>48</v>
      </c>
      <c r="AC127" s="15" t="s">
        <v>421</v>
      </c>
      <c r="AD127" s="15" t="s">
        <v>845</v>
      </c>
      <c r="AE127" s="15" t="s">
        <v>846</v>
      </c>
      <c r="AF127" s="15" t="s">
        <v>64</v>
      </c>
      <c r="AG127" s="15" t="s">
        <v>53</v>
      </c>
      <c r="AH127" s="15" t="s">
        <v>847</v>
      </c>
      <c r="AI127" s="15" t="s">
        <v>848</v>
      </c>
      <c r="AJ127" s="8">
        <f>'Сводка НПЗ'!D127</f>
        <v>0</v>
      </c>
      <c r="AK127" s="8" t="str">
        <f>IF('Сводка НПЗ'!F127&gt;0,'Сводка НПЗ'!E127,"")</f>
        <v/>
      </c>
      <c r="AL127" s="8">
        <f>'Сводка НПЗ'!G127</f>
        <v>0</v>
      </c>
      <c r="AM127" s="6" t="s">
        <v>56</v>
      </c>
      <c r="AN127" s="12" t="s">
        <v>83</v>
      </c>
      <c r="AO127" s="20">
        <v>2024</v>
      </c>
      <c r="AP127" s="20">
        <v>2025</v>
      </c>
      <c r="AQ127" s="20">
        <v>2025</v>
      </c>
      <c r="AR127" s="6" t="s">
        <v>58</v>
      </c>
    </row>
    <row r="128" spans="1:44" ht="42" customHeight="1" x14ac:dyDescent="0.2">
      <c r="A128" s="15">
        <v>127</v>
      </c>
      <c r="B128" s="15" t="s">
        <v>849</v>
      </c>
      <c r="C128" s="15" t="s">
        <v>850</v>
      </c>
      <c r="D128" s="16">
        <v>125314.578288</v>
      </c>
      <c r="E128" s="19">
        <v>2024</v>
      </c>
      <c r="F128" s="17">
        <f t="shared" si="1"/>
        <v>45.865135653407997</v>
      </c>
      <c r="G128" s="17">
        <v>57.877939758382723</v>
      </c>
      <c r="H128" s="17">
        <v>36.79823066875835</v>
      </c>
      <c r="I128" s="17">
        <v>0.57191019815180533</v>
      </c>
      <c r="J128" s="17">
        <v>1.5105645407428767</v>
      </c>
      <c r="K128" s="17">
        <v>0.4029815492331732</v>
      </c>
      <c r="L128" s="16">
        <v>6058.7749465150682</v>
      </c>
      <c r="M128" s="19">
        <v>2025</v>
      </c>
      <c r="N128" s="16">
        <v>5555.3095890410959</v>
      </c>
      <c r="O128" s="16">
        <v>200</v>
      </c>
      <c r="P128" s="17">
        <v>81.665773809523799</v>
      </c>
      <c r="Q128" s="19">
        <v>2025</v>
      </c>
      <c r="R128" s="17">
        <v>-2.0118447579566499</v>
      </c>
      <c r="S128" s="19">
        <v>2025</v>
      </c>
      <c r="T128" s="17" t="s">
        <v>46</v>
      </c>
      <c r="U128" s="19" t="s">
        <v>46</v>
      </c>
      <c r="V128" s="18">
        <v>1.26</v>
      </c>
      <c r="W128" s="18">
        <v>1.333</v>
      </c>
      <c r="X128" s="18" t="s">
        <v>46</v>
      </c>
      <c r="Y128" s="18" t="s">
        <v>46</v>
      </c>
      <c r="Z128" s="18" t="s">
        <v>46</v>
      </c>
      <c r="AA128" s="15" t="s">
        <v>47</v>
      </c>
      <c r="AB128" s="15" t="s">
        <v>48</v>
      </c>
      <c r="AC128" s="15" t="s">
        <v>421</v>
      </c>
      <c r="AD128" s="15" t="s">
        <v>851</v>
      </c>
      <c r="AE128" s="15" t="s">
        <v>852</v>
      </c>
      <c r="AF128" s="15" t="s">
        <v>64</v>
      </c>
      <c r="AG128" s="15" t="s">
        <v>53</v>
      </c>
      <c r="AH128" s="15" t="s">
        <v>853</v>
      </c>
      <c r="AI128" s="15" t="s">
        <v>854</v>
      </c>
      <c r="AJ128" s="8">
        <f>'Сводка НПЗ'!D128</f>
        <v>3</v>
      </c>
      <c r="AK128" s="8">
        <f>IF('Сводка НПЗ'!F128&gt;0,'Сводка НПЗ'!E128,"")</f>
        <v>57000</v>
      </c>
      <c r="AL128" s="8">
        <f>'Сводка НПЗ'!G128</f>
        <v>0</v>
      </c>
      <c r="AM128" s="6" t="s">
        <v>56</v>
      </c>
      <c r="AN128" s="12" t="s">
        <v>83</v>
      </c>
      <c r="AO128" s="20">
        <v>2024</v>
      </c>
      <c r="AP128" s="20">
        <v>2025</v>
      </c>
      <c r="AQ128" s="20">
        <v>2025</v>
      </c>
      <c r="AR128" s="6" t="s">
        <v>58</v>
      </c>
    </row>
    <row r="129" spans="1:44" ht="42" customHeight="1" x14ac:dyDescent="0.2">
      <c r="A129" s="15">
        <v>128</v>
      </c>
      <c r="B129" s="15" t="s">
        <v>855</v>
      </c>
      <c r="C129" s="15" t="s">
        <v>856</v>
      </c>
      <c r="D129" s="16">
        <v>291106.39745399996</v>
      </c>
      <c r="E129" s="19">
        <v>2024</v>
      </c>
      <c r="F129" s="17">
        <f t="shared" si="1"/>
        <v>106.54494146816398</v>
      </c>
      <c r="G129" s="17">
        <v>36.670281118390172</v>
      </c>
      <c r="H129" s="17">
        <v>6.9796348028423632</v>
      </c>
      <c r="I129" s="17">
        <v>14.461332742318799</v>
      </c>
      <c r="J129" s="17">
        <v>4.5374901646011567</v>
      </c>
      <c r="K129" s="17">
        <v>35.928227896993228</v>
      </c>
      <c r="L129" s="16">
        <v>9489.7452054794521</v>
      </c>
      <c r="M129" s="19">
        <v>2025</v>
      </c>
      <c r="N129" s="16">
        <v>3000</v>
      </c>
      <c r="O129" s="16">
        <v>6489.7452054794521</v>
      </c>
      <c r="P129" s="17">
        <v>456.31922925557802</v>
      </c>
      <c r="Q129" s="19">
        <v>2025</v>
      </c>
      <c r="R129" s="17">
        <v>3.4899067183683301</v>
      </c>
      <c r="S129" s="19">
        <v>2025</v>
      </c>
      <c r="T129" s="17">
        <v>8.7687628116113991</v>
      </c>
      <c r="U129" s="19">
        <v>2025</v>
      </c>
      <c r="V129" s="18">
        <v>1.179</v>
      </c>
      <c r="W129" s="18">
        <v>0.93500000000000005</v>
      </c>
      <c r="X129" s="18" t="s">
        <v>46</v>
      </c>
      <c r="Y129" s="18" t="s">
        <v>46</v>
      </c>
      <c r="Z129" s="18" t="s">
        <v>46</v>
      </c>
      <c r="AA129" s="15" t="s">
        <v>47</v>
      </c>
      <c r="AB129" s="15" t="s">
        <v>48</v>
      </c>
      <c r="AC129" s="15" t="s">
        <v>605</v>
      </c>
      <c r="AD129" s="15" t="s">
        <v>857</v>
      </c>
      <c r="AE129" s="15" t="s">
        <v>858</v>
      </c>
      <c r="AF129" s="15" t="s">
        <v>64</v>
      </c>
      <c r="AG129" s="15" t="s">
        <v>53</v>
      </c>
      <c r="AH129" s="15" t="s">
        <v>859</v>
      </c>
      <c r="AI129" s="15" t="s">
        <v>860</v>
      </c>
      <c r="AJ129" s="8">
        <f>'Сводка НПЗ'!D129</f>
        <v>1</v>
      </c>
      <c r="AK129" s="8">
        <f>IF('Сводка НПЗ'!F129&gt;0,'Сводка НПЗ'!E129,"")</f>
        <v>33000</v>
      </c>
      <c r="AL129" s="8">
        <f>'Сводка НПЗ'!G129</f>
        <v>0</v>
      </c>
      <c r="AM129" s="6" t="s">
        <v>56</v>
      </c>
      <c r="AN129" s="12" t="s">
        <v>57</v>
      </c>
      <c r="AO129" s="20">
        <v>2024</v>
      </c>
      <c r="AP129" s="20">
        <v>2025</v>
      </c>
      <c r="AQ129" s="20">
        <v>2025</v>
      </c>
      <c r="AR129" s="6" t="s">
        <v>58</v>
      </c>
    </row>
    <row r="130" spans="1:44" ht="42" customHeight="1" x14ac:dyDescent="0.2">
      <c r="A130" s="15">
        <v>129</v>
      </c>
      <c r="B130" s="15" t="s">
        <v>861</v>
      </c>
      <c r="C130" s="15" t="s">
        <v>862</v>
      </c>
      <c r="D130" s="16" t="s">
        <v>46</v>
      </c>
      <c r="E130" s="19" t="s">
        <v>46</v>
      </c>
      <c r="F130" s="17" t="str">
        <f t="shared" ref="F130:F193" si="2">IF(AND(ISNUMBER(D130),ISNUMBER(E130)),D130*(DATE(E130+1,1,1)-DATE(E130,1,1))/1000000,"н/д")</f>
        <v>н/д</v>
      </c>
      <c r="G130" s="17" t="s">
        <v>46</v>
      </c>
      <c r="H130" s="17" t="s">
        <v>46</v>
      </c>
      <c r="I130" s="17" t="s">
        <v>46</v>
      </c>
      <c r="J130" s="17" t="s">
        <v>46</v>
      </c>
      <c r="K130" s="17" t="s">
        <v>46</v>
      </c>
      <c r="L130" s="16" t="s">
        <v>46</v>
      </c>
      <c r="M130" s="19" t="s">
        <v>46</v>
      </c>
      <c r="N130" s="16" t="s">
        <v>46</v>
      </c>
      <c r="O130" s="16" t="s">
        <v>46</v>
      </c>
      <c r="P130" s="17">
        <v>4.5009827318078406</v>
      </c>
      <c r="Q130" s="19">
        <v>2025</v>
      </c>
      <c r="R130" s="17">
        <v>3.8680345068780801</v>
      </c>
      <c r="S130" s="19">
        <v>2025</v>
      </c>
      <c r="T130" s="17" t="s">
        <v>46</v>
      </c>
      <c r="U130" s="19" t="s">
        <v>46</v>
      </c>
      <c r="V130" s="18">
        <v>1.9650000000000001</v>
      </c>
      <c r="W130" s="18">
        <v>1.929</v>
      </c>
      <c r="X130" s="18" t="s">
        <v>46</v>
      </c>
      <c r="Y130" s="18">
        <v>1.0109999999999999</v>
      </c>
      <c r="Z130" s="18" t="s">
        <v>46</v>
      </c>
      <c r="AA130" s="15" t="s">
        <v>47</v>
      </c>
      <c r="AB130" s="15" t="s">
        <v>69</v>
      </c>
      <c r="AC130" s="15" t="s">
        <v>198</v>
      </c>
      <c r="AD130" s="15" t="s">
        <v>863</v>
      </c>
      <c r="AE130" s="15" t="s">
        <v>864</v>
      </c>
      <c r="AF130" s="15" t="s">
        <v>105</v>
      </c>
      <c r="AG130" s="15" t="s">
        <v>73</v>
      </c>
      <c r="AH130" s="15" t="s">
        <v>865</v>
      </c>
      <c r="AI130" s="15" t="s">
        <v>866</v>
      </c>
      <c r="AJ130" s="8">
        <f>'Сводка НПЗ'!D130</f>
        <v>0</v>
      </c>
      <c r="AK130" s="8" t="str">
        <f>IF('Сводка НПЗ'!F130&gt;0,'Сводка НПЗ'!E130,"")</f>
        <v/>
      </c>
      <c r="AL130" s="8">
        <f>'Сводка НПЗ'!G130</f>
        <v>0</v>
      </c>
      <c r="AM130" s="6" t="s">
        <v>56</v>
      </c>
      <c r="AN130" s="12" t="s">
        <v>83</v>
      </c>
      <c r="AO130" s="20"/>
      <c r="AP130" s="20"/>
      <c r="AQ130" s="20"/>
      <c r="AR130" s="6" t="s">
        <v>58</v>
      </c>
    </row>
    <row r="131" spans="1:44" ht="42" customHeight="1" x14ac:dyDescent="0.2">
      <c r="A131" s="15">
        <v>130</v>
      </c>
      <c r="B131" s="15" t="s">
        <v>867</v>
      </c>
      <c r="C131" s="15" t="s">
        <v>868</v>
      </c>
      <c r="D131" s="16">
        <v>57739.966693000002</v>
      </c>
      <c r="E131" s="19">
        <v>2024</v>
      </c>
      <c r="F131" s="17">
        <f t="shared" si="2"/>
        <v>21.132827809638002</v>
      </c>
      <c r="G131" s="17">
        <v>20.243862526192054</v>
      </c>
      <c r="H131" s="17">
        <v>37.23543207829124</v>
      </c>
      <c r="I131" s="17">
        <v>34.473643110731395</v>
      </c>
      <c r="J131" s="17">
        <v>2.2987381843448689</v>
      </c>
      <c r="K131" s="17">
        <v>0.36340558718306015</v>
      </c>
      <c r="L131" s="16">
        <v>0</v>
      </c>
      <c r="M131" s="19">
        <v>2025</v>
      </c>
      <c r="N131" s="16">
        <v>0</v>
      </c>
      <c r="O131" s="16">
        <v>0</v>
      </c>
      <c r="P131" s="17">
        <v>17.7785088757396</v>
      </c>
      <c r="Q131" s="19">
        <v>2024</v>
      </c>
      <c r="R131" s="17">
        <v>1.87319280045979</v>
      </c>
      <c r="S131" s="19">
        <v>2024</v>
      </c>
      <c r="T131" s="17">
        <v>-6.6011856407372598</v>
      </c>
      <c r="U131" s="19">
        <v>2024</v>
      </c>
      <c r="V131" s="18">
        <v>1.341</v>
      </c>
      <c r="W131" s="18">
        <v>1.218</v>
      </c>
      <c r="X131" s="18" t="s">
        <v>46</v>
      </c>
      <c r="Y131" s="18">
        <v>1.018</v>
      </c>
      <c r="Z131" s="18" t="s">
        <v>46</v>
      </c>
      <c r="AA131" s="15" t="s">
        <v>47</v>
      </c>
      <c r="AB131" s="15" t="s">
        <v>69</v>
      </c>
      <c r="AC131" s="15" t="s">
        <v>605</v>
      </c>
      <c r="AD131" s="15" t="s">
        <v>869</v>
      </c>
      <c r="AE131" s="15" t="s">
        <v>870</v>
      </c>
      <c r="AF131" s="15" t="s">
        <v>64</v>
      </c>
      <c r="AG131" s="15" t="s">
        <v>73</v>
      </c>
      <c r="AH131" s="15" t="s">
        <v>871</v>
      </c>
      <c r="AI131" s="15" t="s">
        <v>872</v>
      </c>
      <c r="AJ131" s="8">
        <f>'Сводка НПЗ'!D131</f>
        <v>0</v>
      </c>
      <c r="AK131" s="8" t="str">
        <f>IF('Сводка НПЗ'!F131&gt;0,'Сводка НПЗ'!E131,"")</f>
        <v/>
      </c>
      <c r="AL131" s="8">
        <f>'Сводка НПЗ'!G131</f>
        <v>0</v>
      </c>
      <c r="AM131" s="6" t="s">
        <v>56</v>
      </c>
      <c r="AN131" s="12" t="s">
        <v>83</v>
      </c>
      <c r="AO131" s="20">
        <v>2024</v>
      </c>
      <c r="AP131" s="20">
        <v>2025</v>
      </c>
      <c r="AQ131" s="20">
        <v>2025</v>
      </c>
      <c r="AR131" s="6" t="s">
        <v>58</v>
      </c>
    </row>
    <row r="132" spans="1:44" ht="42" customHeight="1" x14ac:dyDescent="0.2">
      <c r="A132" s="15">
        <v>131</v>
      </c>
      <c r="B132" s="15" t="s">
        <v>873</v>
      </c>
      <c r="C132" s="15" t="s">
        <v>874</v>
      </c>
      <c r="D132" s="16">
        <v>9287.3149400000002</v>
      </c>
      <c r="E132" s="19">
        <v>2024</v>
      </c>
      <c r="F132" s="17">
        <f t="shared" si="2"/>
        <v>3.3991572680400002</v>
      </c>
      <c r="G132" s="17">
        <v>69.54131082799266</v>
      </c>
      <c r="H132" s="17">
        <v>11.323443285751223</v>
      </c>
      <c r="I132" s="17">
        <v>4.7907442880363869</v>
      </c>
      <c r="J132" s="17">
        <v>7.7197651272930763</v>
      </c>
      <c r="K132" s="17">
        <v>0.98233860474640045</v>
      </c>
      <c r="L132" s="16">
        <v>0</v>
      </c>
      <c r="M132" s="19">
        <v>2025</v>
      </c>
      <c r="N132" s="16">
        <v>0</v>
      </c>
      <c r="O132" s="16">
        <v>0</v>
      </c>
      <c r="P132" s="17">
        <v>9.2328014647925709</v>
      </c>
      <c r="Q132" s="19">
        <v>2025</v>
      </c>
      <c r="R132" s="17">
        <v>2.7445535425852201</v>
      </c>
      <c r="S132" s="19">
        <v>2025</v>
      </c>
      <c r="T132" s="17">
        <v>3.8996091070495602</v>
      </c>
      <c r="U132" s="19">
        <v>2025</v>
      </c>
      <c r="V132" s="18">
        <v>1.9850000000000001</v>
      </c>
      <c r="W132" s="18">
        <v>2.1930000000000001</v>
      </c>
      <c r="X132" s="18" t="s">
        <v>46</v>
      </c>
      <c r="Y132" s="18" t="s">
        <v>46</v>
      </c>
      <c r="Z132" s="18" t="s">
        <v>46</v>
      </c>
      <c r="AA132" s="15" t="s">
        <v>47</v>
      </c>
      <c r="AB132" s="15" t="s">
        <v>48</v>
      </c>
      <c r="AC132" s="15" t="s">
        <v>421</v>
      </c>
      <c r="AD132" s="15" t="s">
        <v>875</v>
      </c>
      <c r="AE132" s="15" t="s">
        <v>876</v>
      </c>
      <c r="AF132" s="15" t="s">
        <v>64</v>
      </c>
      <c r="AG132" s="15" t="s">
        <v>53</v>
      </c>
      <c r="AH132" s="15" t="s">
        <v>877</v>
      </c>
      <c r="AI132" s="15" t="s">
        <v>878</v>
      </c>
      <c r="AJ132" s="8">
        <f>'Сводка НПЗ'!D132</f>
        <v>0</v>
      </c>
      <c r="AK132" s="8" t="str">
        <f>IF('Сводка НПЗ'!F132&gt;0,'Сводка НПЗ'!E132,"")</f>
        <v/>
      </c>
      <c r="AL132" s="8">
        <f>'Сводка НПЗ'!G132</f>
        <v>0</v>
      </c>
      <c r="AM132" s="6" t="s">
        <v>56</v>
      </c>
      <c r="AN132" s="12" t="s">
        <v>83</v>
      </c>
      <c r="AO132" s="20">
        <v>2024</v>
      </c>
      <c r="AP132" s="20">
        <v>2025</v>
      </c>
      <c r="AQ132" s="20">
        <v>2025</v>
      </c>
      <c r="AR132" s="6" t="s">
        <v>58</v>
      </c>
    </row>
    <row r="133" spans="1:44" ht="42" customHeight="1" x14ac:dyDescent="0.2">
      <c r="A133" s="15">
        <v>132</v>
      </c>
      <c r="B133" s="15" t="s">
        <v>879</v>
      </c>
      <c r="C133" s="15" t="s">
        <v>880</v>
      </c>
      <c r="D133" s="16">
        <v>37151.479459999995</v>
      </c>
      <c r="E133" s="19">
        <v>2024</v>
      </c>
      <c r="F133" s="17">
        <f t="shared" si="2"/>
        <v>13.597441482359997</v>
      </c>
      <c r="G133" s="17">
        <v>73.608160287245823</v>
      </c>
      <c r="H133" s="17">
        <v>10.630819841918621</v>
      </c>
      <c r="I133" s="17">
        <v>7.2712309153353969</v>
      </c>
      <c r="J133" s="17">
        <v>1.871346417707372</v>
      </c>
      <c r="K133" s="17">
        <v>1.2278498370196536</v>
      </c>
      <c r="L133" s="16">
        <v>185.1746579917808</v>
      </c>
      <c r="M133" s="19">
        <v>2025</v>
      </c>
      <c r="N133" s="16">
        <v>0</v>
      </c>
      <c r="O133" s="16">
        <v>0</v>
      </c>
      <c r="P133" s="17">
        <v>32.599982936393104</v>
      </c>
      <c r="Q133" s="19">
        <v>2025</v>
      </c>
      <c r="R133" s="17">
        <v>2.12861913138053</v>
      </c>
      <c r="S133" s="19">
        <v>2025</v>
      </c>
      <c r="T133" s="17" t="s">
        <v>46</v>
      </c>
      <c r="U133" s="19" t="s">
        <v>46</v>
      </c>
      <c r="V133" s="18">
        <v>1.89</v>
      </c>
      <c r="W133" s="18">
        <v>2.073</v>
      </c>
      <c r="X133" s="18" t="s">
        <v>46</v>
      </c>
      <c r="Y133" s="18">
        <v>0.80900000000000005</v>
      </c>
      <c r="Z133" s="18" t="s">
        <v>46</v>
      </c>
      <c r="AA133" s="15" t="s">
        <v>47</v>
      </c>
      <c r="AB133" s="15" t="s">
        <v>69</v>
      </c>
      <c r="AC133" s="15" t="s">
        <v>605</v>
      </c>
      <c r="AD133" s="15" t="s">
        <v>881</v>
      </c>
      <c r="AE133" s="15" t="s">
        <v>882</v>
      </c>
      <c r="AF133" s="15" t="s">
        <v>64</v>
      </c>
      <c r="AG133" s="15" t="s">
        <v>73</v>
      </c>
      <c r="AH133" s="15" t="s">
        <v>883</v>
      </c>
      <c r="AI133" s="15" t="s">
        <v>884</v>
      </c>
      <c r="AJ133" s="8">
        <f>'Сводка НПЗ'!D133</f>
        <v>0</v>
      </c>
      <c r="AK133" s="8" t="str">
        <f>IF('Сводка НПЗ'!F133&gt;0,'Сводка НПЗ'!E133,"")</f>
        <v/>
      </c>
      <c r="AL133" s="8">
        <f>'Сводка НПЗ'!G133</f>
        <v>0</v>
      </c>
      <c r="AM133" s="6" t="s">
        <v>56</v>
      </c>
      <c r="AN133" s="12" t="s">
        <v>83</v>
      </c>
      <c r="AO133" s="20">
        <v>2024</v>
      </c>
      <c r="AP133" s="20">
        <v>2025</v>
      </c>
      <c r="AQ133" s="20">
        <v>2025</v>
      </c>
      <c r="AR133" s="6" t="s">
        <v>58</v>
      </c>
    </row>
    <row r="134" spans="1:44" ht="42" customHeight="1" x14ac:dyDescent="0.2">
      <c r="A134" s="15">
        <v>133</v>
      </c>
      <c r="B134" s="15" t="s">
        <v>885</v>
      </c>
      <c r="C134" s="15" t="s">
        <v>886</v>
      </c>
      <c r="D134" s="16">
        <v>44015.420276999997</v>
      </c>
      <c r="E134" s="19">
        <v>2024</v>
      </c>
      <c r="F134" s="17">
        <f t="shared" si="2"/>
        <v>16.109643821382001</v>
      </c>
      <c r="G134" s="17">
        <v>40.378524408381175</v>
      </c>
      <c r="H134" s="17">
        <v>47.041215805042491</v>
      </c>
      <c r="I134" s="17">
        <v>2.5322108160862169</v>
      </c>
      <c r="J134" s="17">
        <v>8.5035101435934894</v>
      </c>
      <c r="K134" s="17">
        <v>0.4676088055157116</v>
      </c>
      <c r="L134" s="16">
        <v>0</v>
      </c>
      <c r="M134" s="19">
        <v>2025</v>
      </c>
      <c r="N134" s="16">
        <v>0</v>
      </c>
      <c r="O134" s="16">
        <v>0</v>
      </c>
      <c r="P134" s="17">
        <v>61.985829288149596</v>
      </c>
      <c r="Q134" s="19">
        <v>2025</v>
      </c>
      <c r="R134" s="17">
        <v>6.3318115767731298</v>
      </c>
      <c r="S134" s="19">
        <v>2025</v>
      </c>
      <c r="T134" s="17">
        <v>3.58082784438067</v>
      </c>
      <c r="U134" s="19">
        <v>2025</v>
      </c>
      <c r="V134" s="18">
        <v>1.6639999999999999</v>
      </c>
      <c r="W134" s="18">
        <v>1.694</v>
      </c>
      <c r="X134" s="18" t="s">
        <v>46</v>
      </c>
      <c r="Y134" s="18" t="s">
        <v>46</v>
      </c>
      <c r="Z134" s="18" t="s">
        <v>46</v>
      </c>
      <c r="AA134" s="15" t="s">
        <v>47</v>
      </c>
      <c r="AB134" s="15" t="s">
        <v>48</v>
      </c>
      <c r="AC134" s="15" t="s">
        <v>605</v>
      </c>
      <c r="AD134" s="15" t="s">
        <v>887</v>
      </c>
      <c r="AE134" s="15" t="s">
        <v>888</v>
      </c>
      <c r="AF134" s="15" t="s">
        <v>64</v>
      </c>
      <c r="AG134" s="15" t="s">
        <v>53</v>
      </c>
      <c r="AH134" s="15" t="s">
        <v>889</v>
      </c>
      <c r="AI134" s="15" t="s">
        <v>890</v>
      </c>
      <c r="AJ134" s="8">
        <f>'Сводка НПЗ'!D134</f>
        <v>0</v>
      </c>
      <c r="AK134" s="8" t="str">
        <f>IF('Сводка НПЗ'!F134&gt;0,'Сводка НПЗ'!E134,"")</f>
        <v/>
      </c>
      <c r="AL134" s="8">
        <f>'Сводка НПЗ'!G134</f>
        <v>0</v>
      </c>
      <c r="AM134" s="6" t="s">
        <v>56</v>
      </c>
      <c r="AN134" s="12" t="s">
        <v>83</v>
      </c>
      <c r="AO134" s="20">
        <v>2024</v>
      </c>
      <c r="AP134" s="20">
        <v>2025</v>
      </c>
      <c r="AQ134" s="20">
        <v>2025</v>
      </c>
      <c r="AR134" s="6" t="s">
        <v>58</v>
      </c>
    </row>
    <row r="135" spans="1:44" ht="42" customHeight="1" x14ac:dyDescent="0.2">
      <c r="A135" s="15">
        <v>134</v>
      </c>
      <c r="B135" s="15" t="s">
        <v>891</v>
      </c>
      <c r="C135" s="15" t="s">
        <v>892</v>
      </c>
      <c r="D135" s="16" t="s">
        <v>46</v>
      </c>
      <c r="E135" s="19" t="s">
        <v>46</v>
      </c>
      <c r="F135" s="17" t="str">
        <f t="shared" si="2"/>
        <v>н/д</v>
      </c>
      <c r="G135" s="17" t="s">
        <v>46</v>
      </c>
      <c r="H135" s="17" t="s">
        <v>46</v>
      </c>
      <c r="I135" s="17" t="s">
        <v>46</v>
      </c>
      <c r="J135" s="17" t="s">
        <v>46</v>
      </c>
      <c r="K135" s="17" t="s">
        <v>46</v>
      </c>
      <c r="L135" s="16" t="s">
        <v>46</v>
      </c>
      <c r="M135" s="19" t="s">
        <v>46</v>
      </c>
      <c r="N135" s="16" t="s">
        <v>46</v>
      </c>
      <c r="O135" s="16" t="s">
        <v>46</v>
      </c>
      <c r="P135" s="17" t="s">
        <v>46</v>
      </c>
      <c r="Q135" s="19" t="s">
        <v>46</v>
      </c>
      <c r="R135" s="17" t="s">
        <v>46</v>
      </c>
      <c r="S135" s="19" t="s">
        <v>46</v>
      </c>
      <c r="T135" s="17" t="s">
        <v>46</v>
      </c>
      <c r="U135" s="19" t="s">
        <v>46</v>
      </c>
      <c r="V135" s="18" t="s">
        <v>46</v>
      </c>
      <c r="W135" s="18" t="s">
        <v>46</v>
      </c>
      <c r="X135" s="18" t="s">
        <v>46</v>
      </c>
      <c r="Y135" s="18" t="s">
        <v>46</v>
      </c>
      <c r="Z135" s="18" t="s">
        <v>46</v>
      </c>
      <c r="AA135" s="15" t="s">
        <v>100</v>
      </c>
      <c r="AB135" s="15" t="s">
        <v>101</v>
      </c>
      <c r="AC135" s="15" t="s">
        <v>198</v>
      </c>
      <c r="AD135" s="15" t="s">
        <v>103</v>
      </c>
      <c r="AE135" s="15" t="s">
        <v>104</v>
      </c>
      <c r="AF135" s="15" t="s">
        <v>105</v>
      </c>
      <c r="AG135" s="15" t="s">
        <v>106</v>
      </c>
      <c r="AH135" s="15" t="s">
        <v>46</v>
      </c>
      <c r="AI135" s="15" t="s">
        <v>46</v>
      </c>
      <c r="AJ135" s="8">
        <f>'Сводка НПЗ'!D135</f>
        <v>0</v>
      </c>
      <c r="AK135" s="8" t="str">
        <f>IF('Сводка НПЗ'!F135&gt;0,'Сводка НПЗ'!E135,"")</f>
        <v/>
      </c>
      <c r="AL135" s="8">
        <f>'Сводка НПЗ'!G135</f>
        <v>0</v>
      </c>
      <c r="AM135" s="6" t="s">
        <v>56</v>
      </c>
      <c r="AN135" s="12" t="s">
        <v>83</v>
      </c>
      <c r="AO135" s="20"/>
      <c r="AP135" s="20"/>
      <c r="AQ135" s="20"/>
      <c r="AR135" s="6" t="s">
        <v>58</v>
      </c>
    </row>
    <row r="136" spans="1:44" ht="42" customHeight="1" x14ac:dyDescent="0.2">
      <c r="A136" s="15">
        <v>135</v>
      </c>
      <c r="B136" s="15" t="s">
        <v>893</v>
      </c>
      <c r="C136" s="15" t="s">
        <v>894</v>
      </c>
      <c r="D136" s="16">
        <v>117294.54753</v>
      </c>
      <c r="E136" s="19">
        <v>2024</v>
      </c>
      <c r="F136" s="17">
        <f t="shared" si="2"/>
        <v>42.92980439598</v>
      </c>
      <c r="G136" s="17">
        <v>20.996900281064583</v>
      </c>
      <c r="H136" s="17">
        <v>7.8700127877973163</v>
      </c>
      <c r="I136" s="17">
        <v>4.904174056793857</v>
      </c>
      <c r="J136" s="17">
        <v>3.9453187956724109</v>
      </c>
      <c r="K136" s="17">
        <v>28.265282963404935</v>
      </c>
      <c r="L136" s="16">
        <v>27702.316237190629</v>
      </c>
      <c r="M136" s="19">
        <v>2025</v>
      </c>
      <c r="N136" s="16">
        <v>25463.089782244322</v>
      </c>
      <c r="O136" s="16">
        <v>3232.1480056143296</v>
      </c>
      <c r="P136" s="17" t="s">
        <v>46</v>
      </c>
      <c r="Q136" s="19" t="s">
        <v>46</v>
      </c>
      <c r="R136" s="17">
        <v>-1.0617327322052399</v>
      </c>
      <c r="S136" s="19">
        <v>2024</v>
      </c>
      <c r="T136" s="17" t="s">
        <v>46</v>
      </c>
      <c r="U136" s="19" t="s">
        <v>46</v>
      </c>
      <c r="V136" s="18">
        <v>2</v>
      </c>
      <c r="W136" s="18">
        <v>2</v>
      </c>
      <c r="X136" s="18" t="s">
        <v>46</v>
      </c>
      <c r="Y136" s="18" t="s">
        <v>46</v>
      </c>
      <c r="Z136" s="18" t="s">
        <v>46</v>
      </c>
      <c r="AA136" s="15" t="s">
        <v>47</v>
      </c>
      <c r="AB136" s="15" t="s">
        <v>48</v>
      </c>
      <c r="AC136" s="15" t="s">
        <v>421</v>
      </c>
      <c r="AD136" s="15" t="s">
        <v>895</v>
      </c>
      <c r="AE136" s="15" t="s">
        <v>896</v>
      </c>
      <c r="AF136" s="15" t="s">
        <v>64</v>
      </c>
      <c r="AG136" s="15" t="s">
        <v>53</v>
      </c>
      <c r="AH136" s="15" t="s">
        <v>897</v>
      </c>
      <c r="AI136" s="15" t="s">
        <v>898</v>
      </c>
      <c r="AJ136" s="8">
        <f>'Сводка НПЗ'!D136</f>
        <v>4</v>
      </c>
      <c r="AK136" s="8">
        <f>IF('Сводка НПЗ'!F136&gt;0,'Сводка НПЗ'!E136,"")</f>
        <v>304500</v>
      </c>
      <c r="AL136" s="8">
        <f>'Сводка НПЗ'!G136</f>
        <v>0</v>
      </c>
      <c r="AM136" s="6" t="s">
        <v>56</v>
      </c>
      <c r="AN136" s="12" t="s">
        <v>83</v>
      </c>
      <c r="AO136" s="20">
        <v>2024</v>
      </c>
      <c r="AP136" s="20">
        <v>2025</v>
      </c>
      <c r="AQ136" s="20">
        <v>2025</v>
      </c>
      <c r="AR136" s="6" t="s">
        <v>58</v>
      </c>
    </row>
    <row r="137" spans="1:44" ht="42" customHeight="1" x14ac:dyDescent="0.2">
      <c r="A137" s="15">
        <v>136</v>
      </c>
      <c r="B137" s="15" t="s">
        <v>899</v>
      </c>
      <c r="C137" s="15" t="s">
        <v>900</v>
      </c>
      <c r="D137" s="16">
        <v>80930.998676000003</v>
      </c>
      <c r="E137" s="19">
        <v>2024</v>
      </c>
      <c r="F137" s="17">
        <f t="shared" si="2"/>
        <v>29.620745515416001</v>
      </c>
      <c r="G137" s="17">
        <v>24.082942047989217</v>
      </c>
      <c r="H137" s="17">
        <v>30.738889346459196</v>
      </c>
      <c r="I137" s="17">
        <v>12.22242447618947</v>
      </c>
      <c r="J137" s="17">
        <v>2.083432261537165</v>
      </c>
      <c r="K137" s="17">
        <v>21.997089682867461</v>
      </c>
      <c r="L137" s="16">
        <v>20</v>
      </c>
      <c r="M137" s="19">
        <v>2025</v>
      </c>
      <c r="N137" s="16">
        <v>0</v>
      </c>
      <c r="O137" s="16">
        <v>0</v>
      </c>
      <c r="P137" s="17">
        <v>39.601409103300497</v>
      </c>
      <c r="Q137" s="19">
        <v>2025</v>
      </c>
      <c r="R137" s="17">
        <v>3.75143102801252</v>
      </c>
      <c r="S137" s="19">
        <v>2025</v>
      </c>
      <c r="T137" s="17">
        <v>4.5965798232525801</v>
      </c>
      <c r="U137" s="19">
        <v>2025</v>
      </c>
      <c r="V137" s="18">
        <v>1.3959999999999999</v>
      </c>
      <c r="W137" s="18">
        <v>1.4379999999999999</v>
      </c>
      <c r="X137" s="18" t="s">
        <v>46</v>
      </c>
      <c r="Y137" s="18">
        <v>0.47499999999999998</v>
      </c>
      <c r="Z137" s="18" t="s">
        <v>46</v>
      </c>
      <c r="AA137" s="15" t="s">
        <v>47</v>
      </c>
      <c r="AB137" s="15" t="s">
        <v>69</v>
      </c>
      <c r="AC137" s="15" t="s">
        <v>605</v>
      </c>
      <c r="AD137" s="15" t="s">
        <v>901</v>
      </c>
      <c r="AE137" s="15" t="s">
        <v>902</v>
      </c>
      <c r="AF137" s="15" t="s">
        <v>64</v>
      </c>
      <c r="AG137" s="15" t="s">
        <v>73</v>
      </c>
      <c r="AH137" s="15" t="s">
        <v>903</v>
      </c>
      <c r="AI137" s="15" t="s">
        <v>904</v>
      </c>
      <c r="AJ137" s="8">
        <f>'Сводка НПЗ'!D137</f>
        <v>0</v>
      </c>
      <c r="AK137" s="8" t="str">
        <f>IF('Сводка НПЗ'!F137&gt;0,'Сводка НПЗ'!E137,"")</f>
        <v/>
      </c>
      <c r="AL137" s="8">
        <f>'Сводка НПЗ'!G137</f>
        <v>0</v>
      </c>
      <c r="AM137" s="6" t="s">
        <v>56</v>
      </c>
      <c r="AN137" s="12" t="s">
        <v>83</v>
      </c>
      <c r="AO137" s="20">
        <v>2024</v>
      </c>
      <c r="AP137" s="20">
        <v>2025</v>
      </c>
      <c r="AQ137" s="20">
        <v>2025</v>
      </c>
      <c r="AR137" s="6" t="s">
        <v>58</v>
      </c>
    </row>
    <row r="138" spans="1:44" ht="42" customHeight="1" x14ac:dyDescent="0.2">
      <c r="A138" s="15">
        <v>137</v>
      </c>
      <c r="B138" s="15" t="s">
        <v>905</v>
      </c>
      <c r="C138" s="15" t="s">
        <v>906</v>
      </c>
      <c r="D138" s="16">
        <v>287951.038665</v>
      </c>
      <c r="E138" s="19">
        <v>2024</v>
      </c>
      <c r="F138" s="17">
        <f t="shared" si="2"/>
        <v>105.39008015138999</v>
      </c>
      <c r="G138" s="17">
        <v>40.748489932174699</v>
      </c>
      <c r="H138" s="17">
        <v>29.72095476257865</v>
      </c>
      <c r="I138" s="17">
        <v>15.01323819508578</v>
      </c>
      <c r="J138" s="17">
        <v>2.858055497613428</v>
      </c>
      <c r="K138" s="17">
        <v>8.5183361496870393</v>
      </c>
      <c r="L138" s="16">
        <v>443482.76002987399</v>
      </c>
      <c r="M138" s="19">
        <v>2025</v>
      </c>
      <c r="N138" s="16">
        <v>440700.20742739731</v>
      </c>
      <c r="O138" s="16">
        <v>5000</v>
      </c>
      <c r="P138" s="17">
        <v>130.32056040000001</v>
      </c>
      <c r="Q138" s="19">
        <v>2025</v>
      </c>
      <c r="R138" s="17">
        <v>3.7259485727208701</v>
      </c>
      <c r="S138" s="19">
        <v>2025</v>
      </c>
      <c r="T138" s="17">
        <v>0.710469324989076</v>
      </c>
      <c r="U138" s="19">
        <v>2025</v>
      </c>
      <c r="V138" s="18">
        <v>0.84799999999999998</v>
      </c>
      <c r="W138" s="18">
        <v>0.83199999999999996</v>
      </c>
      <c r="X138" s="18" t="s">
        <v>46</v>
      </c>
      <c r="Y138" s="18" t="s">
        <v>46</v>
      </c>
      <c r="Z138" s="18" t="s">
        <v>46</v>
      </c>
      <c r="AA138" s="15" t="s">
        <v>47</v>
      </c>
      <c r="AB138" s="15" t="s">
        <v>48</v>
      </c>
      <c r="AC138" s="15" t="s">
        <v>605</v>
      </c>
      <c r="AD138" s="15" t="s">
        <v>907</v>
      </c>
      <c r="AE138" s="15" t="s">
        <v>908</v>
      </c>
      <c r="AF138" s="15" t="s">
        <v>64</v>
      </c>
      <c r="AG138" s="15" t="s">
        <v>53</v>
      </c>
      <c r="AH138" s="15" t="s">
        <v>909</v>
      </c>
      <c r="AI138" s="15" t="s">
        <v>910</v>
      </c>
      <c r="AJ138" s="8">
        <f>'Сводка НПЗ'!D138</f>
        <v>3</v>
      </c>
      <c r="AK138" s="8">
        <f>IF('Сводка НПЗ'!F138&gt;0,'Сводка НПЗ'!E138,"")</f>
        <v>175000</v>
      </c>
      <c r="AL138" s="8">
        <f>'Сводка НПЗ'!G138</f>
        <v>0</v>
      </c>
      <c r="AM138" s="6" t="s">
        <v>56</v>
      </c>
      <c r="AN138" s="12" t="s">
        <v>57</v>
      </c>
      <c r="AO138" s="20">
        <v>2024</v>
      </c>
      <c r="AP138" s="20">
        <v>2025</v>
      </c>
      <c r="AQ138" s="20">
        <v>2025</v>
      </c>
      <c r="AR138" s="6" t="s">
        <v>58</v>
      </c>
    </row>
    <row r="139" spans="1:44" ht="42" customHeight="1" x14ac:dyDescent="0.2">
      <c r="A139" s="15">
        <v>138</v>
      </c>
      <c r="B139" s="15" t="s">
        <v>911</v>
      </c>
      <c r="C139" s="15" t="s">
        <v>912</v>
      </c>
      <c r="D139" s="16">
        <v>371583.76759999996</v>
      </c>
      <c r="E139" s="19">
        <v>2024</v>
      </c>
      <c r="F139" s="17">
        <f t="shared" si="2"/>
        <v>135.99965894159999</v>
      </c>
      <c r="G139" s="17">
        <v>39.184394474609448</v>
      </c>
      <c r="H139" s="17">
        <v>39.867608468696737</v>
      </c>
      <c r="I139" s="17">
        <v>7.6525934525241093</v>
      </c>
      <c r="J139" s="17">
        <v>6.2970811806796476</v>
      </c>
      <c r="K139" s="17">
        <v>0.96245559732033914</v>
      </c>
      <c r="L139" s="16">
        <v>776912.21361583017</v>
      </c>
      <c r="M139" s="19">
        <v>2025</v>
      </c>
      <c r="N139" s="16">
        <v>746478.96986301371</v>
      </c>
      <c r="O139" s="16">
        <v>7000</v>
      </c>
      <c r="P139" s="17">
        <v>457.41003420252304</v>
      </c>
      <c r="Q139" s="19">
        <v>2025</v>
      </c>
      <c r="R139" s="17">
        <v>2.64201548985928</v>
      </c>
      <c r="S139" s="19">
        <v>2025</v>
      </c>
      <c r="T139" s="17">
        <v>5.1422291194620096</v>
      </c>
      <c r="U139" s="19">
        <v>2025</v>
      </c>
      <c r="V139" s="18">
        <v>1.355</v>
      </c>
      <c r="W139" s="18">
        <v>0.96599999999999997</v>
      </c>
      <c r="X139" s="18" t="s">
        <v>46</v>
      </c>
      <c r="Y139" s="18" t="s">
        <v>46</v>
      </c>
      <c r="Z139" s="18" t="s">
        <v>46</v>
      </c>
      <c r="AA139" s="15" t="s">
        <v>47</v>
      </c>
      <c r="AB139" s="15" t="s">
        <v>48</v>
      </c>
      <c r="AC139" s="15" t="s">
        <v>605</v>
      </c>
      <c r="AD139" s="15" t="s">
        <v>913</v>
      </c>
      <c r="AE139" s="15" t="s">
        <v>914</v>
      </c>
      <c r="AF139" s="15" t="s">
        <v>64</v>
      </c>
      <c r="AG139" s="15" t="s">
        <v>53</v>
      </c>
      <c r="AH139" s="15" t="s">
        <v>915</v>
      </c>
      <c r="AI139" s="15" t="s">
        <v>916</v>
      </c>
      <c r="AJ139" s="8">
        <f>'Сводка НПЗ'!D139</f>
        <v>5</v>
      </c>
      <c r="AK139" s="8">
        <f>IF('Сводка НПЗ'!F139&gt;0,'Сводка НПЗ'!E139,"")</f>
        <v>287550</v>
      </c>
      <c r="AL139" s="8">
        <f>'Сводка НПЗ'!G139</f>
        <v>0</v>
      </c>
      <c r="AM139" s="6" t="s">
        <v>56</v>
      </c>
      <c r="AN139" s="12" t="s">
        <v>57</v>
      </c>
      <c r="AO139" s="20">
        <v>2024</v>
      </c>
      <c r="AP139" s="20">
        <v>2025</v>
      </c>
      <c r="AQ139" s="20">
        <v>2025</v>
      </c>
      <c r="AR139" s="6" t="s">
        <v>58</v>
      </c>
    </row>
    <row r="140" spans="1:44" ht="42" customHeight="1" x14ac:dyDescent="0.2">
      <c r="A140" s="15">
        <v>139</v>
      </c>
      <c r="B140" s="15" t="s">
        <v>917</v>
      </c>
      <c r="C140" s="15" t="s">
        <v>918</v>
      </c>
      <c r="D140" s="16">
        <v>52113.068782000002</v>
      </c>
      <c r="E140" s="19">
        <v>2024</v>
      </c>
      <c r="F140" s="17">
        <f t="shared" si="2"/>
        <v>19.073383174212001</v>
      </c>
      <c r="G140" s="17">
        <v>57.70644886755769</v>
      </c>
      <c r="H140" s="17">
        <v>30.163830488964578</v>
      </c>
      <c r="I140" s="17">
        <v>4.6391644696906615</v>
      </c>
      <c r="J140" s="17">
        <v>2.1699249659052633</v>
      </c>
      <c r="K140" s="17">
        <v>7.0092638667666934E-2</v>
      </c>
      <c r="L140" s="16">
        <v>2044.037165955257</v>
      </c>
      <c r="M140" s="19">
        <v>2025</v>
      </c>
      <c r="N140" s="16">
        <v>0</v>
      </c>
      <c r="O140" s="16">
        <v>0</v>
      </c>
      <c r="P140" s="17">
        <v>49.278227554333903</v>
      </c>
      <c r="Q140" s="19">
        <v>2025</v>
      </c>
      <c r="R140" s="17">
        <v>6.6426251115687904</v>
      </c>
      <c r="S140" s="19">
        <v>2025</v>
      </c>
      <c r="T140" s="17">
        <v>4.0380642333937997</v>
      </c>
      <c r="U140" s="19">
        <v>2025</v>
      </c>
      <c r="V140" s="18">
        <v>1.26</v>
      </c>
      <c r="W140" s="18">
        <v>1.395</v>
      </c>
      <c r="X140" s="18" t="s">
        <v>46</v>
      </c>
      <c r="Y140" s="18">
        <v>0.71299999999999997</v>
      </c>
      <c r="Z140" s="18" t="s">
        <v>46</v>
      </c>
      <c r="AA140" s="15" t="s">
        <v>47</v>
      </c>
      <c r="AB140" s="15" t="s">
        <v>69</v>
      </c>
      <c r="AC140" s="15" t="s">
        <v>605</v>
      </c>
      <c r="AD140" s="15" t="s">
        <v>919</v>
      </c>
      <c r="AE140" s="15" t="s">
        <v>920</v>
      </c>
      <c r="AF140" s="15" t="s">
        <v>64</v>
      </c>
      <c r="AG140" s="15" t="s">
        <v>73</v>
      </c>
      <c r="AH140" s="15" t="s">
        <v>921</v>
      </c>
      <c r="AI140" s="15" t="s">
        <v>922</v>
      </c>
      <c r="AJ140" s="8">
        <f>'Сводка НПЗ'!D140</f>
        <v>1</v>
      </c>
      <c r="AK140" s="8">
        <f>IF('Сводка НПЗ'!F140&gt;0,'Сводка НПЗ'!E140,"")</f>
        <v>7500</v>
      </c>
      <c r="AL140" s="8">
        <f>'Сводка НПЗ'!G140</f>
        <v>0</v>
      </c>
      <c r="AM140" s="6" t="s">
        <v>56</v>
      </c>
      <c r="AN140" s="12" t="s">
        <v>83</v>
      </c>
      <c r="AO140" s="20">
        <v>2024</v>
      </c>
      <c r="AP140" s="20">
        <v>2025</v>
      </c>
      <c r="AQ140" s="20">
        <v>2025</v>
      </c>
      <c r="AR140" s="6" t="s">
        <v>58</v>
      </c>
    </row>
    <row r="141" spans="1:44" ht="42" customHeight="1" x14ac:dyDescent="0.2">
      <c r="A141" s="15">
        <v>140</v>
      </c>
      <c r="B141" s="15" t="s">
        <v>923</v>
      </c>
      <c r="C141" s="15" t="s">
        <v>924</v>
      </c>
      <c r="D141" s="16" t="s">
        <v>46</v>
      </c>
      <c r="E141" s="19" t="s">
        <v>46</v>
      </c>
      <c r="F141" s="17" t="str">
        <f t="shared" si="2"/>
        <v>н/д</v>
      </c>
      <c r="G141" s="17" t="s">
        <v>46</v>
      </c>
      <c r="H141" s="17" t="s">
        <v>46</v>
      </c>
      <c r="I141" s="17" t="s">
        <v>46</v>
      </c>
      <c r="J141" s="17" t="s">
        <v>46</v>
      </c>
      <c r="K141" s="17" t="s">
        <v>46</v>
      </c>
      <c r="L141" s="16" t="s">
        <v>46</v>
      </c>
      <c r="M141" s="19" t="s">
        <v>46</v>
      </c>
      <c r="N141" s="16" t="s">
        <v>46</v>
      </c>
      <c r="O141" s="16" t="s">
        <v>46</v>
      </c>
      <c r="P141" s="17">
        <v>2279.9200924921297</v>
      </c>
      <c r="Q141" s="19">
        <v>2025</v>
      </c>
      <c r="R141" s="17">
        <v>2.2857464902475</v>
      </c>
      <c r="S141" s="19">
        <v>2025</v>
      </c>
      <c r="T141" s="17">
        <v>5.01675279604836</v>
      </c>
      <c r="U141" s="19">
        <v>2025</v>
      </c>
      <c r="V141" s="18" t="s">
        <v>46</v>
      </c>
      <c r="W141" s="18" t="s">
        <v>46</v>
      </c>
      <c r="X141" s="18" t="s">
        <v>46</v>
      </c>
      <c r="Y141" s="18" t="s">
        <v>46</v>
      </c>
      <c r="Z141" s="18" t="s">
        <v>46</v>
      </c>
      <c r="AA141" s="15" t="s">
        <v>100</v>
      </c>
      <c r="AB141" s="15" t="s">
        <v>101</v>
      </c>
      <c r="AC141" s="15" t="s">
        <v>198</v>
      </c>
      <c r="AD141" s="15" t="s">
        <v>352</v>
      </c>
      <c r="AE141" s="15" t="s">
        <v>104</v>
      </c>
      <c r="AF141" s="15" t="s">
        <v>105</v>
      </c>
      <c r="AG141" s="15" t="s">
        <v>106</v>
      </c>
      <c r="AH141" s="15" t="s">
        <v>354</v>
      </c>
      <c r="AI141" s="15" t="s">
        <v>355</v>
      </c>
      <c r="AJ141" s="8">
        <f>'Сводка НПЗ'!D141</f>
        <v>0</v>
      </c>
      <c r="AK141" s="8" t="str">
        <f>IF('Сводка НПЗ'!F141&gt;0,'Сводка НПЗ'!E141,"")</f>
        <v/>
      </c>
      <c r="AL141" s="8">
        <f>'Сводка НПЗ'!G141</f>
        <v>0</v>
      </c>
      <c r="AM141" s="6" t="s">
        <v>56</v>
      </c>
      <c r="AN141" s="12" t="s">
        <v>83</v>
      </c>
      <c r="AO141" s="20"/>
      <c r="AP141" s="20"/>
      <c r="AQ141" s="20"/>
      <c r="AR141" s="6" t="s">
        <v>58</v>
      </c>
    </row>
    <row r="142" spans="1:44" ht="42" customHeight="1" x14ac:dyDescent="0.2">
      <c r="A142" s="15">
        <v>141</v>
      </c>
      <c r="B142" s="15" t="s">
        <v>925</v>
      </c>
      <c r="C142" s="15" t="s">
        <v>926</v>
      </c>
      <c r="D142" s="16">
        <v>214079.45205479453</v>
      </c>
      <c r="E142" s="19">
        <v>2025</v>
      </c>
      <c r="F142" s="17">
        <f t="shared" si="2"/>
        <v>78.138999999999996</v>
      </c>
      <c r="G142" s="17">
        <v>46.427494592968941</v>
      </c>
      <c r="H142" s="17">
        <v>14.415144806050757</v>
      </c>
      <c r="I142" s="17">
        <v>6.4874134555087721</v>
      </c>
      <c r="J142" s="17">
        <v>37.464262404177177</v>
      </c>
      <c r="K142" s="17">
        <v>5.8111826360716154</v>
      </c>
      <c r="L142" s="16">
        <v>12374.98223359726</v>
      </c>
      <c r="M142" s="19">
        <v>2025</v>
      </c>
      <c r="N142" s="16">
        <v>0</v>
      </c>
      <c r="O142" s="16">
        <v>0</v>
      </c>
      <c r="P142" s="17">
        <v>346.63982514182101</v>
      </c>
      <c r="Q142" s="19">
        <v>2025</v>
      </c>
      <c r="R142" s="17">
        <v>1.8644800746447501</v>
      </c>
      <c r="S142" s="19">
        <v>2025</v>
      </c>
      <c r="T142" s="17">
        <v>2.3360162031670102</v>
      </c>
      <c r="U142" s="19">
        <v>2025</v>
      </c>
      <c r="V142" s="18">
        <v>2.39</v>
      </c>
      <c r="W142" s="18">
        <v>2.4900000000000002</v>
      </c>
      <c r="X142" s="18" t="s">
        <v>46</v>
      </c>
      <c r="Y142" s="18">
        <v>1.0329999999999999</v>
      </c>
      <c r="Z142" s="18" t="s">
        <v>46</v>
      </c>
      <c r="AA142" s="15" t="s">
        <v>47</v>
      </c>
      <c r="AB142" s="15" t="s">
        <v>69</v>
      </c>
      <c r="AC142" s="15" t="s">
        <v>434</v>
      </c>
      <c r="AD142" s="15" t="s">
        <v>927</v>
      </c>
      <c r="AE142" s="15" t="s">
        <v>928</v>
      </c>
      <c r="AF142" s="15" t="s">
        <v>52</v>
      </c>
      <c r="AG142" s="15" t="s">
        <v>73</v>
      </c>
      <c r="AH142" s="15" t="s">
        <v>929</v>
      </c>
      <c r="AI142" s="15" t="s">
        <v>930</v>
      </c>
      <c r="AJ142" s="8">
        <f>'Сводка НПЗ'!D142</f>
        <v>2</v>
      </c>
      <c r="AK142" s="8">
        <f>IF('Сводка НПЗ'!F142&gt;0,'Сводка НПЗ'!E142,"")</f>
        <v>300000</v>
      </c>
      <c r="AL142" s="8">
        <f>'Сводка НПЗ'!G142</f>
        <v>0</v>
      </c>
      <c r="AM142" s="6" t="s">
        <v>56</v>
      </c>
      <c r="AN142" s="12" t="s">
        <v>121</v>
      </c>
      <c r="AO142" s="20">
        <v>2025</v>
      </c>
      <c r="AP142" s="20">
        <v>2025</v>
      </c>
      <c r="AQ142" s="20">
        <v>2025</v>
      </c>
      <c r="AR142" s="6" t="s">
        <v>58</v>
      </c>
    </row>
    <row r="143" spans="1:44" ht="42" customHeight="1" x14ac:dyDescent="0.2">
      <c r="A143" s="15">
        <v>142</v>
      </c>
      <c r="B143" s="15" t="s">
        <v>931</v>
      </c>
      <c r="C143" s="15" t="s">
        <v>932</v>
      </c>
      <c r="D143" s="16">
        <v>25101.369863013697</v>
      </c>
      <c r="E143" s="19">
        <v>2025</v>
      </c>
      <c r="F143" s="17">
        <f t="shared" si="2"/>
        <v>9.1620000000000008</v>
      </c>
      <c r="G143" s="17">
        <v>60.657061776904605</v>
      </c>
      <c r="H143" s="17">
        <v>17.534381139489195</v>
      </c>
      <c r="I143" s="17">
        <v>6.8369351669941052</v>
      </c>
      <c r="J143" s="17">
        <v>15.289893036454922</v>
      </c>
      <c r="K143" s="17">
        <v>0.28378083387906572</v>
      </c>
      <c r="L143" s="16">
        <v>0</v>
      </c>
      <c r="M143" s="19">
        <v>2025</v>
      </c>
      <c r="N143" s="16">
        <v>0</v>
      </c>
      <c r="O143" s="16">
        <v>0</v>
      </c>
      <c r="P143" s="17">
        <v>20.351796275294301</v>
      </c>
      <c r="Q143" s="19">
        <v>2025</v>
      </c>
      <c r="R143" s="17">
        <v>2.4164973457506802</v>
      </c>
      <c r="S143" s="19">
        <v>2025</v>
      </c>
      <c r="T143" s="17">
        <v>7.75904124001159</v>
      </c>
      <c r="U143" s="19">
        <v>2025</v>
      </c>
      <c r="V143" s="18">
        <v>1.9239999999999999</v>
      </c>
      <c r="W143" s="18">
        <v>2.028</v>
      </c>
      <c r="X143" s="18" t="s">
        <v>46</v>
      </c>
      <c r="Y143" s="18">
        <v>0.89700000000000002</v>
      </c>
      <c r="Z143" s="18" t="s">
        <v>46</v>
      </c>
      <c r="AA143" s="15" t="s">
        <v>47</v>
      </c>
      <c r="AB143" s="15" t="s">
        <v>69</v>
      </c>
      <c r="AC143" s="15" t="s">
        <v>434</v>
      </c>
      <c r="AD143" s="15" t="s">
        <v>933</v>
      </c>
      <c r="AE143" s="15" t="s">
        <v>934</v>
      </c>
      <c r="AF143" s="15" t="s">
        <v>52</v>
      </c>
      <c r="AG143" s="15" t="s">
        <v>73</v>
      </c>
      <c r="AH143" s="15" t="s">
        <v>935</v>
      </c>
      <c r="AI143" s="15" t="s">
        <v>936</v>
      </c>
      <c r="AJ143" s="8">
        <f>'Сводка НПЗ'!D143</f>
        <v>0</v>
      </c>
      <c r="AK143" s="8" t="str">
        <f>IF('Сводка НПЗ'!F143&gt;0,'Сводка НПЗ'!E143,"")</f>
        <v/>
      </c>
      <c r="AL143" s="8">
        <f>'Сводка НПЗ'!G143</f>
        <v>0</v>
      </c>
      <c r="AM143" s="6" t="s">
        <v>56</v>
      </c>
      <c r="AN143" s="12" t="s">
        <v>83</v>
      </c>
      <c r="AO143" s="20">
        <v>2025</v>
      </c>
      <c r="AP143" s="20">
        <v>2025</v>
      </c>
      <c r="AQ143" s="20">
        <v>2025</v>
      </c>
      <c r="AR143" s="6" t="s">
        <v>58</v>
      </c>
    </row>
    <row r="144" spans="1:44" ht="42" customHeight="1" x14ac:dyDescent="0.2">
      <c r="A144" s="15">
        <v>143</v>
      </c>
      <c r="B144" s="15" t="s">
        <v>937</v>
      </c>
      <c r="C144" s="15" t="s">
        <v>938</v>
      </c>
      <c r="D144" s="16">
        <v>146281.31507000001</v>
      </c>
      <c r="E144" s="19">
        <v>2024</v>
      </c>
      <c r="F144" s="17">
        <f t="shared" si="2"/>
        <v>53.538961315620007</v>
      </c>
      <c r="G144" s="17">
        <v>25.764280798244808</v>
      </c>
      <c r="H144" s="17">
        <v>21.327923600543549</v>
      </c>
      <c r="I144" s="17">
        <v>26.353425228336647</v>
      </c>
      <c r="J144" s="17">
        <v>4.1437702669676986</v>
      </c>
      <c r="K144" s="17">
        <v>10.303210100885238</v>
      </c>
      <c r="L144" s="16">
        <v>274641.82948766247</v>
      </c>
      <c r="M144" s="19">
        <v>2025</v>
      </c>
      <c r="N144" s="16">
        <v>190657.93</v>
      </c>
      <c r="O144" s="16">
        <v>44321.9</v>
      </c>
      <c r="P144" s="17">
        <v>49.828621355651606</v>
      </c>
      <c r="Q144" s="19">
        <v>2025</v>
      </c>
      <c r="R144" s="17">
        <v>6.3000000369789397</v>
      </c>
      <c r="S144" s="19">
        <v>2025</v>
      </c>
      <c r="T144" s="17" t="s">
        <v>46</v>
      </c>
      <c r="U144" s="19" t="s">
        <v>46</v>
      </c>
      <c r="V144" s="18">
        <v>0.42899999999999999</v>
      </c>
      <c r="W144" s="18">
        <v>0.28599999999999998</v>
      </c>
      <c r="X144" s="18" t="s">
        <v>46</v>
      </c>
      <c r="Y144" s="18" t="s">
        <v>46</v>
      </c>
      <c r="Z144" s="18" t="s">
        <v>46</v>
      </c>
      <c r="AA144" s="15" t="s">
        <v>47</v>
      </c>
      <c r="AB144" s="15" t="s">
        <v>48</v>
      </c>
      <c r="AC144" s="15" t="s">
        <v>605</v>
      </c>
      <c r="AD144" s="15" t="s">
        <v>939</v>
      </c>
      <c r="AE144" s="15" t="s">
        <v>940</v>
      </c>
      <c r="AF144" s="15" t="s">
        <v>64</v>
      </c>
      <c r="AG144" s="15" t="s">
        <v>53</v>
      </c>
      <c r="AH144" s="15" t="s">
        <v>941</v>
      </c>
      <c r="AI144" s="15" t="s">
        <v>942</v>
      </c>
      <c r="AJ144" s="8">
        <f>'Сводка НПЗ'!D144</f>
        <v>2</v>
      </c>
      <c r="AK144" s="8">
        <f>IF('Сводка НПЗ'!F144&gt;0,'Сводка НПЗ'!E144,"")</f>
        <v>236000</v>
      </c>
      <c r="AL144" s="8">
        <f>'Сводка НПЗ'!G144</f>
        <v>0</v>
      </c>
      <c r="AM144" s="6" t="s">
        <v>56</v>
      </c>
      <c r="AN144" s="12" t="s">
        <v>57</v>
      </c>
      <c r="AO144" s="20">
        <v>2024</v>
      </c>
      <c r="AP144" s="20">
        <v>2025</v>
      </c>
      <c r="AQ144" s="20">
        <v>2025</v>
      </c>
      <c r="AR144" s="6" t="s">
        <v>58</v>
      </c>
    </row>
    <row r="145" spans="1:44" ht="42" customHeight="1" x14ac:dyDescent="0.2">
      <c r="A145" s="15">
        <v>144</v>
      </c>
      <c r="B145" s="15" t="s">
        <v>943</v>
      </c>
      <c r="C145" s="15" t="s">
        <v>944</v>
      </c>
      <c r="D145" s="16">
        <v>100694.897497</v>
      </c>
      <c r="E145" s="19">
        <v>2024</v>
      </c>
      <c r="F145" s="17">
        <f t="shared" si="2"/>
        <v>36.854332483901999</v>
      </c>
      <c r="G145" s="17">
        <v>32.827535527294046</v>
      </c>
      <c r="H145" s="17">
        <v>31.835256161768339</v>
      </c>
      <c r="I145" s="17">
        <v>15.696490510326896</v>
      </c>
      <c r="J145" s="17">
        <v>10.054340353543365</v>
      </c>
      <c r="K145" s="17">
        <v>8.517392319958935</v>
      </c>
      <c r="L145" s="16">
        <v>323.46535747397257</v>
      </c>
      <c r="M145" s="19">
        <v>2025</v>
      </c>
      <c r="N145" s="16">
        <v>20</v>
      </c>
      <c r="O145" s="16">
        <v>0</v>
      </c>
      <c r="P145" s="17">
        <v>61.610052535211302</v>
      </c>
      <c r="Q145" s="19">
        <v>2025</v>
      </c>
      <c r="R145" s="17">
        <v>2.8266083984574499</v>
      </c>
      <c r="S145" s="19">
        <v>2025</v>
      </c>
      <c r="T145" s="17">
        <v>1.7664649089420601</v>
      </c>
      <c r="U145" s="19">
        <v>2025</v>
      </c>
      <c r="V145" s="18">
        <v>1.8480000000000001</v>
      </c>
      <c r="W145" s="18">
        <v>1.1990000000000001</v>
      </c>
      <c r="X145" s="18" t="s">
        <v>46</v>
      </c>
      <c r="Y145" s="18" t="s">
        <v>46</v>
      </c>
      <c r="Z145" s="18" t="s">
        <v>46</v>
      </c>
      <c r="AA145" s="15" t="s">
        <v>47</v>
      </c>
      <c r="AB145" s="15" t="s">
        <v>48</v>
      </c>
      <c r="AC145" s="15" t="s">
        <v>605</v>
      </c>
      <c r="AD145" s="15" t="s">
        <v>945</v>
      </c>
      <c r="AE145" s="15" t="s">
        <v>946</v>
      </c>
      <c r="AF145" s="15" t="s">
        <v>64</v>
      </c>
      <c r="AG145" s="15" t="s">
        <v>53</v>
      </c>
      <c r="AH145" s="15" t="s">
        <v>947</v>
      </c>
      <c r="AI145" s="15" t="s">
        <v>948</v>
      </c>
      <c r="AJ145" s="8">
        <f>'Сводка НПЗ'!D145</f>
        <v>1</v>
      </c>
      <c r="AK145" s="8">
        <f>IF('Сводка НПЗ'!F145&gt;0,'Сводка НПЗ'!E145,"")</f>
        <v>90400</v>
      </c>
      <c r="AL145" s="8">
        <f>'Сводка НПЗ'!G145</f>
        <v>0</v>
      </c>
      <c r="AM145" s="6" t="s">
        <v>56</v>
      </c>
      <c r="AN145" s="12" t="s">
        <v>83</v>
      </c>
      <c r="AO145" s="20">
        <v>2024</v>
      </c>
      <c r="AP145" s="20">
        <v>2025</v>
      </c>
      <c r="AQ145" s="20">
        <v>2025</v>
      </c>
      <c r="AR145" s="6" t="s">
        <v>58</v>
      </c>
    </row>
    <row r="146" spans="1:44" ht="42" customHeight="1" x14ac:dyDescent="0.2">
      <c r="A146" s="15">
        <v>145</v>
      </c>
      <c r="B146" s="15" t="s">
        <v>949</v>
      </c>
      <c r="C146" s="15" t="s">
        <v>950</v>
      </c>
      <c r="D146" s="16">
        <v>60691.424394000001</v>
      </c>
      <c r="E146" s="19">
        <v>2024</v>
      </c>
      <c r="F146" s="17">
        <f t="shared" si="2"/>
        <v>22.213061328204002</v>
      </c>
      <c r="G146" s="17">
        <v>38.4444893376183</v>
      </c>
      <c r="H146" s="17">
        <v>23.50934942204217</v>
      </c>
      <c r="I146" s="17">
        <v>27.645294697777302</v>
      </c>
      <c r="J146" s="17">
        <v>5.525037659738139</v>
      </c>
      <c r="K146" s="17">
        <v>1.4004614465499803</v>
      </c>
      <c r="L146" s="16">
        <v>0</v>
      </c>
      <c r="M146" s="19">
        <v>2025</v>
      </c>
      <c r="N146" s="16">
        <v>0</v>
      </c>
      <c r="O146" s="16">
        <v>0</v>
      </c>
      <c r="P146" s="17">
        <v>45.489810283113201</v>
      </c>
      <c r="Q146" s="19">
        <v>2025</v>
      </c>
      <c r="R146" s="17">
        <v>4.4307319498335902</v>
      </c>
      <c r="S146" s="19">
        <v>2025</v>
      </c>
      <c r="T146" s="17">
        <v>2.65334269811436</v>
      </c>
      <c r="U146" s="19">
        <v>2025</v>
      </c>
      <c r="V146" s="18">
        <v>1.304</v>
      </c>
      <c r="W146" s="18">
        <v>1.304</v>
      </c>
      <c r="X146" s="18" t="s">
        <v>46</v>
      </c>
      <c r="Y146" s="18" t="s">
        <v>46</v>
      </c>
      <c r="Z146" s="18" t="s">
        <v>46</v>
      </c>
      <c r="AA146" s="15" t="s">
        <v>47</v>
      </c>
      <c r="AB146" s="15" t="s">
        <v>48</v>
      </c>
      <c r="AC146" s="15" t="s">
        <v>605</v>
      </c>
      <c r="AD146" s="15" t="s">
        <v>951</v>
      </c>
      <c r="AE146" s="15" t="s">
        <v>952</v>
      </c>
      <c r="AF146" s="15" t="s">
        <v>64</v>
      </c>
      <c r="AG146" s="15" t="s">
        <v>53</v>
      </c>
      <c r="AH146" s="15" t="s">
        <v>953</v>
      </c>
      <c r="AI146" s="15" t="s">
        <v>954</v>
      </c>
      <c r="AJ146" s="8">
        <f>'Сводка НПЗ'!D146</f>
        <v>0</v>
      </c>
      <c r="AK146" s="8" t="str">
        <f>IF('Сводка НПЗ'!F146&gt;0,'Сводка НПЗ'!E146,"")</f>
        <v/>
      </c>
      <c r="AL146" s="8">
        <f>'Сводка НПЗ'!G146</f>
        <v>0</v>
      </c>
      <c r="AM146" s="6" t="s">
        <v>56</v>
      </c>
      <c r="AN146" s="12" t="s">
        <v>83</v>
      </c>
      <c r="AO146" s="20">
        <v>2024</v>
      </c>
      <c r="AP146" s="20">
        <v>2025</v>
      </c>
      <c r="AQ146" s="20">
        <v>2025</v>
      </c>
      <c r="AR146" s="6" t="s">
        <v>58</v>
      </c>
    </row>
    <row r="147" spans="1:44" ht="42" customHeight="1" x14ac:dyDescent="0.2">
      <c r="A147" s="15">
        <v>146</v>
      </c>
      <c r="B147" s="15" t="s">
        <v>955</v>
      </c>
      <c r="C147" s="15" t="s">
        <v>956</v>
      </c>
      <c r="D147" s="16">
        <v>5714.9880370000001</v>
      </c>
      <c r="E147" s="19">
        <v>2024</v>
      </c>
      <c r="F147" s="17">
        <f t="shared" si="2"/>
        <v>2.0916856215420001</v>
      </c>
      <c r="G147" s="17">
        <v>40.827940494252331</v>
      </c>
      <c r="H147" s="17">
        <v>39.763156200636494</v>
      </c>
      <c r="I147" s="17">
        <v>5.9664108969682523</v>
      </c>
      <c r="J147" s="17">
        <v>13.425599564382781</v>
      </c>
      <c r="K147" s="17">
        <v>0</v>
      </c>
      <c r="L147" s="16">
        <v>0</v>
      </c>
      <c r="M147" s="19">
        <v>2025</v>
      </c>
      <c r="N147" s="16">
        <v>0</v>
      </c>
      <c r="O147" s="16">
        <v>0</v>
      </c>
      <c r="P147" s="17">
        <v>2.57357292005159</v>
      </c>
      <c r="Q147" s="19">
        <v>2025</v>
      </c>
      <c r="R147" s="17">
        <v>1.9825608077099599</v>
      </c>
      <c r="S147" s="19">
        <v>2025</v>
      </c>
      <c r="T147" s="17">
        <v>4.2701114070666604</v>
      </c>
      <c r="U147" s="19">
        <v>2025</v>
      </c>
      <c r="V147" s="18">
        <v>1.5269999999999999</v>
      </c>
      <c r="W147" s="18">
        <v>1.9059999999999999</v>
      </c>
      <c r="X147" s="18" t="s">
        <v>46</v>
      </c>
      <c r="Y147" s="18" t="s">
        <v>46</v>
      </c>
      <c r="Z147" s="18" t="s">
        <v>46</v>
      </c>
      <c r="AA147" s="15" t="s">
        <v>47</v>
      </c>
      <c r="AB147" s="15" t="s">
        <v>48</v>
      </c>
      <c r="AC147" s="15" t="s">
        <v>605</v>
      </c>
      <c r="AD147" s="15" t="s">
        <v>957</v>
      </c>
      <c r="AE147" s="15" t="s">
        <v>958</v>
      </c>
      <c r="AF147" s="15" t="s">
        <v>64</v>
      </c>
      <c r="AG147" s="15" t="s">
        <v>53</v>
      </c>
      <c r="AH147" s="15" t="s">
        <v>959</v>
      </c>
      <c r="AI147" s="15" t="s">
        <v>960</v>
      </c>
      <c r="AJ147" s="8">
        <f>'Сводка НПЗ'!D147</f>
        <v>0</v>
      </c>
      <c r="AK147" s="8" t="str">
        <f>IF('Сводка НПЗ'!F147&gt;0,'Сводка НПЗ'!E147,"")</f>
        <v/>
      </c>
      <c r="AL147" s="8">
        <f>'Сводка НПЗ'!G147</f>
        <v>0</v>
      </c>
      <c r="AM147" s="6" t="s">
        <v>56</v>
      </c>
      <c r="AN147" s="12" t="s">
        <v>83</v>
      </c>
      <c r="AO147" s="20">
        <v>2024</v>
      </c>
      <c r="AP147" s="20">
        <v>2025</v>
      </c>
      <c r="AQ147" s="20">
        <v>2025</v>
      </c>
      <c r="AR147" s="6" t="s">
        <v>58</v>
      </c>
    </row>
    <row r="148" spans="1:44" ht="42" customHeight="1" x14ac:dyDescent="0.2">
      <c r="A148" s="15">
        <v>147</v>
      </c>
      <c r="B148" s="15" t="s">
        <v>961</v>
      </c>
      <c r="C148" s="15" t="s">
        <v>962</v>
      </c>
      <c r="D148" s="16">
        <v>39088.865718000001</v>
      </c>
      <c r="E148" s="19">
        <v>2024</v>
      </c>
      <c r="F148" s="17">
        <f t="shared" si="2"/>
        <v>14.306524852788</v>
      </c>
      <c r="G148" s="17">
        <v>39.6245509699392</v>
      </c>
      <c r="H148" s="17">
        <v>34.394815180858352</v>
      </c>
      <c r="I148" s="17">
        <v>10.922206228240597</v>
      </c>
      <c r="J148" s="17">
        <v>7.4666461571331917</v>
      </c>
      <c r="K148" s="17">
        <v>3.3508374109634218</v>
      </c>
      <c r="L148" s="16">
        <v>59555.316057531505</v>
      </c>
      <c r="M148" s="19">
        <v>2025</v>
      </c>
      <c r="N148" s="16">
        <v>59243.835616438351</v>
      </c>
      <c r="O148" s="16">
        <v>0</v>
      </c>
      <c r="P148" s="17">
        <v>58.933453923761</v>
      </c>
      <c r="Q148" s="19">
        <v>2025</v>
      </c>
      <c r="R148" s="17">
        <v>3.20000015616144</v>
      </c>
      <c r="S148" s="19">
        <v>2025</v>
      </c>
      <c r="T148" s="17">
        <v>3.4037345827905501</v>
      </c>
      <c r="U148" s="19">
        <v>2025</v>
      </c>
      <c r="V148" s="18">
        <v>1.4790000000000001</v>
      </c>
      <c r="W148" s="18">
        <v>1.458</v>
      </c>
      <c r="X148" s="18" t="s">
        <v>46</v>
      </c>
      <c r="Y148" s="18" t="s">
        <v>46</v>
      </c>
      <c r="Z148" s="18" t="s">
        <v>46</v>
      </c>
      <c r="AA148" s="15" t="s">
        <v>47</v>
      </c>
      <c r="AB148" s="15" t="s">
        <v>48</v>
      </c>
      <c r="AC148" s="15" t="s">
        <v>605</v>
      </c>
      <c r="AD148" s="15" t="s">
        <v>963</v>
      </c>
      <c r="AE148" s="15" t="s">
        <v>964</v>
      </c>
      <c r="AF148" s="15" t="s">
        <v>64</v>
      </c>
      <c r="AG148" s="15" t="s">
        <v>53</v>
      </c>
      <c r="AH148" s="15" t="s">
        <v>965</v>
      </c>
      <c r="AI148" s="15" t="s">
        <v>966</v>
      </c>
      <c r="AJ148" s="8">
        <f>'Сводка НПЗ'!D148</f>
        <v>1</v>
      </c>
      <c r="AK148" s="8">
        <f>IF('Сводка НПЗ'!F148&gt;0,'Сводка НПЗ'!E148,"")</f>
        <v>42000</v>
      </c>
      <c r="AL148" s="8">
        <f>'Сводка НПЗ'!G148</f>
        <v>0</v>
      </c>
      <c r="AM148" s="6" t="s">
        <v>56</v>
      </c>
      <c r="AN148" s="12" t="s">
        <v>83</v>
      </c>
      <c r="AO148" s="20">
        <v>2024</v>
      </c>
      <c r="AP148" s="20">
        <v>2025</v>
      </c>
      <c r="AQ148" s="20">
        <v>2025</v>
      </c>
      <c r="AR148" s="6" t="s">
        <v>58</v>
      </c>
    </row>
    <row r="149" spans="1:44" ht="42" customHeight="1" x14ac:dyDescent="0.2">
      <c r="A149" s="15">
        <v>148</v>
      </c>
      <c r="B149" s="15" t="s">
        <v>967</v>
      </c>
      <c r="C149" s="15" t="s">
        <v>968</v>
      </c>
      <c r="D149" s="16">
        <v>16084.192737999998</v>
      </c>
      <c r="E149" s="19">
        <v>2024</v>
      </c>
      <c r="F149" s="17">
        <f t="shared" si="2"/>
        <v>5.8868145421079996</v>
      </c>
      <c r="G149" s="17">
        <v>50.455265217178116</v>
      </c>
      <c r="H149" s="17">
        <v>11.329723845541253</v>
      </c>
      <c r="I149" s="17">
        <v>9.933693795058776</v>
      </c>
      <c r="J149" s="17">
        <v>4.7120382125826277</v>
      </c>
      <c r="K149" s="17">
        <v>18.623054397521859</v>
      </c>
      <c r="L149" s="16">
        <v>239011.60313567673</v>
      </c>
      <c r="M149" s="19">
        <v>2025</v>
      </c>
      <c r="N149" s="16">
        <v>239315.06849315067</v>
      </c>
      <c r="O149" s="16">
        <v>0</v>
      </c>
      <c r="P149" s="17">
        <v>21.427119323276401</v>
      </c>
      <c r="Q149" s="19">
        <v>2025</v>
      </c>
      <c r="R149" s="17">
        <v>2.47287961498321</v>
      </c>
      <c r="S149" s="19">
        <v>2025</v>
      </c>
      <c r="T149" s="17">
        <v>1.76766609003481</v>
      </c>
      <c r="U149" s="19">
        <v>2025</v>
      </c>
      <c r="V149" s="18">
        <v>1.048</v>
      </c>
      <c r="W149" s="18">
        <v>1.0129999999999999</v>
      </c>
      <c r="X149" s="18" t="s">
        <v>46</v>
      </c>
      <c r="Y149" s="18" t="s">
        <v>46</v>
      </c>
      <c r="Z149" s="18" t="s">
        <v>46</v>
      </c>
      <c r="AA149" s="15" t="s">
        <v>47</v>
      </c>
      <c r="AB149" s="15" t="s">
        <v>48</v>
      </c>
      <c r="AC149" s="15" t="s">
        <v>969</v>
      </c>
      <c r="AD149" s="15" t="s">
        <v>970</v>
      </c>
      <c r="AE149" s="15" t="s">
        <v>971</v>
      </c>
      <c r="AF149" s="15" t="s">
        <v>64</v>
      </c>
      <c r="AG149" s="15" t="s">
        <v>53</v>
      </c>
      <c r="AH149" s="15" t="s">
        <v>972</v>
      </c>
      <c r="AI149" s="15" t="s">
        <v>973</v>
      </c>
      <c r="AJ149" s="8">
        <f>'Сводка НПЗ'!D149</f>
        <v>1</v>
      </c>
      <c r="AK149" s="8">
        <f>IF('Сводка НПЗ'!F149&gt;0,'Сводка НПЗ'!E149,"")</f>
        <v>21000</v>
      </c>
      <c r="AL149" s="8">
        <f>'Сводка НПЗ'!G149</f>
        <v>0</v>
      </c>
      <c r="AM149" s="6" t="s">
        <v>56</v>
      </c>
      <c r="AN149" s="12" t="s">
        <v>83</v>
      </c>
      <c r="AO149" s="20">
        <v>2024</v>
      </c>
      <c r="AP149" s="20">
        <v>2025</v>
      </c>
      <c r="AQ149" s="20">
        <v>2025</v>
      </c>
      <c r="AR149" s="6" t="s">
        <v>58</v>
      </c>
    </row>
    <row r="150" spans="1:44" ht="42" customHeight="1" x14ac:dyDescent="0.2">
      <c r="A150" s="15">
        <v>149</v>
      </c>
      <c r="B150" s="15" t="s">
        <v>974</v>
      </c>
      <c r="C150" s="15" t="s">
        <v>975</v>
      </c>
      <c r="D150" s="16">
        <v>20172.830682</v>
      </c>
      <c r="E150" s="19">
        <v>2024</v>
      </c>
      <c r="F150" s="17">
        <f t="shared" si="2"/>
        <v>7.3832560296120002</v>
      </c>
      <c r="G150" s="17">
        <v>47.636435066966385</v>
      </c>
      <c r="H150" s="17">
        <v>31.719315736434933</v>
      </c>
      <c r="I150" s="17">
        <v>14.15517882945368</v>
      </c>
      <c r="J150" s="17">
        <v>4.001325776854106</v>
      </c>
      <c r="K150" s="17">
        <v>0.53386440751765984</v>
      </c>
      <c r="L150" s="16">
        <v>101798.44382604383</v>
      </c>
      <c r="M150" s="19">
        <v>2025</v>
      </c>
      <c r="N150" s="16">
        <v>101410.95890410959</v>
      </c>
      <c r="O150" s="16">
        <v>0</v>
      </c>
      <c r="P150" s="17">
        <v>21.646191388250703</v>
      </c>
      <c r="Q150" s="19">
        <v>2025</v>
      </c>
      <c r="R150" s="17">
        <v>7.0078296014900001</v>
      </c>
      <c r="S150" s="19">
        <v>2025</v>
      </c>
      <c r="T150" s="17">
        <v>-4.4547080410256799</v>
      </c>
      <c r="U150" s="19">
        <v>2025</v>
      </c>
      <c r="V150" s="18">
        <v>0.879</v>
      </c>
      <c r="W150" s="18">
        <v>1.0880000000000001</v>
      </c>
      <c r="X150" s="18" t="s">
        <v>46</v>
      </c>
      <c r="Y150" s="18" t="s">
        <v>46</v>
      </c>
      <c r="Z150" s="18" t="s">
        <v>46</v>
      </c>
      <c r="AA150" s="15" t="s">
        <v>47</v>
      </c>
      <c r="AB150" s="15" t="s">
        <v>48</v>
      </c>
      <c r="AC150" s="15" t="s">
        <v>605</v>
      </c>
      <c r="AD150" s="15" t="s">
        <v>976</v>
      </c>
      <c r="AE150" s="15" t="s">
        <v>977</v>
      </c>
      <c r="AF150" s="15" t="s">
        <v>64</v>
      </c>
      <c r="AG150" s="15" t="s">
        <v>53</v>
      </c>
      <c r="AH150" s="15" t="s">
        <v>978</v>
      </c>
      <c r="AI150" s="15" t="s">
        <v>979</v>
      </c>
      <c r="AJ150" s="8">
        <f>'Сводка НПЗ'!D150</f>
        <v>0</v>
      </c>
      <c r="AK150" s="8" t="str">
        <f>IF('Сводка НПЗ'!F150&gt;0,'Сводка НПЗ'!E150,"")</f>
        <v/>
      </c>
      <c r="AL150" s="8">
        <f>'Сводка НПЗ'!G150</f>
        <v>0</v>
      </c>
      <c r="AM150" s="6" t="s">
        <v>56</v>
      </c>
      <c r="AN150" s="12" t="s">
        <v>83</v>
      </c>
      <c r="AO150" s="20">
        <v>2024</v>
      </c>
      <c r="AP150" s="20">
        <v>2025</v>
      </c>
      <c r="AQ150" s="20">
        <v>2025</v>
      </c>
      <c r="AR150" s="6" t="s">
        <v>58</v>
      </c>
    </row>
    <row r="151" spans="1:44" ht="42" customHeight="1" x14ac:dyDescent="0.2">
      <c r="A151" s="15">
        <v>150</v>
      </c>
      <c r="B151" s="15" t="s">
        <v>980</v>
      </c>
      <c r="C151" s="15" t="s">
        <v>981</v>
      </c>
      <c r="D151" s="16">
        <v>39399.383610000004</v>
      </c>
      <c r="E151" s="19">
        <v>2024</v>
      </c>
      <c r="F151" s="17">
        <f t="shared" si="2"/>
        <v>14.420174401260002</v>
      </c>
      <c r="G151" s="17">
        <v>34.27302394795003</v>
      </c>
      <c r="H151" s="17">
        <v>36.316791226064566</v>
      </c>
      <c r="I151" s="17">
        <v>12.055784623479289</v>
      </c>
      <c r="J151" s="17">
        <v>2.0152365906518299</v>
      </c>
      <c r="K151" s="17">
        <v>15.289334560734261</v>
      </c>
      <c r="L151" s="16">
        <v>0</v>
      </c>
      <c r="M151" s="19">
        <v>2025</v>
      </c>
      <c r="N151" s="16">
        <v>0</v>
      </c>
      <c r="O151" s="16">
        <v>0</v>
      </c>
      <c r="P151" s="17">
        <v>27.627297461318101</v>
      </c>
      <c r="Q151" s="19">
        <v>2025</v>
      </c>
      <c r="R151" s="17">
        <v>5.2946183931928301</v>
      </c>
      <c r="S151" s="19">
        <v>2025</v>
      </c>
      <c r="T151" s="17">
        <v>-0.58623531633057901</v>
      </c>
      <c r="U151" s="19">
        <v>2025</v>
      </c>
      <c r="V151" s="18">
        <v>1.4970000000000001</v>
      </c>
      <c r="W151" s="18">
        <v>1.321</v>
      </c>
      <c r="X151" s="18" t="s">
        <v>46</v>
      </c>
      <c r="Y151" s="18" t="s">
        <v>46</v>
      </c>
      <c r="Z151" s="18" t="s">
        <v>46</v>
      </c>
      <c r="AA151" s="15" t="s">
        <v>47</v>
      </c>
      <c r="AB151" s="15" t="s">
        <v>48</v>
      </c>
      <c r="AC151" s="15" t="s">
        <v>605</v>
      </c>
      <c r="AD151" s="15" t="s">
        <v>982</v>
      </c>
      <c r="AE151" s="15" t="s">
        <v>983</v>
      </c>
      <c r="AF151" s="15" t="s">
        <v>64</v>
      </c>
      <c r="AG151" s="15" t="s">
        <v>53</v>
      </c>
      <c r="AH151" s="15" t="s">
        <v>984</v>
      </c>
      <c r="AI151" s="15" t="s">
        <v>985</v>
      </c>
      <c r="AJ151" s="8">
        <f>'Сводка НПЗ'!D151</f>
        <v>0</v>
      </c>
      <c r="AK151" s="8" t="str">
        <f>IF('Сводка НПЗ'!F151&gt;0,'Сводка НПЗ'!E151,"")</f>
        <v/>
      </c>
      <c r="AL151" s="8">
        <f>'Сводка НПЗ'!G151</f>
        <v>0</v>
      </c>
      <c r="AM151" s="6" t="s">
        <v>56</v>
      </c>
      <c r="AN151" s="12" t="s">
        <v>83</v>
      </c>
      <c r="AO151" s="20">
        <v>2024</v>
      </c>
      <c r="AP151" s="20">
        <v>2025</v>
      </c>
      <c r="AQ151" s="20">
        <v>2025</v>
      </c>
      <c r="AR151" s="6" t="s">
        <v>58</v>
      </c>
    </row>
    <row r="152" spans="1:44" ht="42" customHeight="1" x14ac:dyDescent="0.2">
      <c r="A152" s="15">
        <v>151</v>
      </c>
      <c r="B152" s="15" t="s">
        <v>986</v>
      </c>
      <c r="C152" s="15" t="s">
        <v>987</v>
      </c>
      <c r="D152" s="16">
        <v>15690.352541</v>
      </c>
      <c r="E152" s="19">
        <v>2024</v>
      </c>
      <c r="F152" s="17">
        <f t="shared" si="2"/>
        <v>5.7426690300059997</v>
      </c>
      <c r="G152" s="17">
        <v>27.983150592231169</v>
      </c>
      <c r="H152" s="17">
        <v>35.82419044003047</v>
      </c>
      <c r="I152" s="17">
        <v>16.23917970830761</v>
      </c>
      <c r="J152" s="17">
        <v>16.367506550852333</v>
      </c>
      <c r="K152" s="17">
        <v>3.5859727085784159</v>
      </c>
      <c r="L152" s="16">
        <v>0</v>
      </c>
      <c r="M152" s="19">
        <v>2025</v>
      </c>
      <c r="N152" s="16">
        <v>0</v>
      </c>
      <c r="O152" s="16">
        <v>0</v>
      </c>
      <c r="P152" s="17">
        <v>11.889949067469701</v>
      </c>
      <c r="Q152" s="19">
        <v>2025</v>
      </c>
      <c r="R152" s="17">
        <v>6.3103267162563297</v>
      </c>
      <c r="S152" s="19">
        <v>2025</v>
      </c>
      <c r="T152" s="17">
        <v>0.43318345127910901</v>
      </c>
      <c r="U152" s="19">
        <v>2025</v>
      </c>
      <c r="V152" s="18">
        <v>1.2769999999999999</v>
      </c>
      <c r="W152" s="18">
        <v>1.321</v>
      </c>
      <c r="X152" s="18" t="s">
        <v>46</v>
      </c>
      <c r="Y152" s="18" t="s">
        <v>46</v>
      </c>
      <c r="Z152" s="18" t="s">
        <v>46</v>
      </c>
      <c r="AA152" s="15" t="s">
        <v>47</v>
      </c>
      <c r="AB152" s="15" t="s">
        <v>48</v>
      </c>
      <c r="AC152" s="15" t="s">
        <v>605</v>
      </c>
      <c r="AD152" s="15" t="s">
        <v>988</v>
      </c>
      <c r="AE152" s="15" t="s">
        <v>989</v>
      </c>
      <c r="AF152" s="15" t="s">
        <v>64</v>
      </c>
      <c r="AG152" s="15" t="s">
        <v>53</v>
      </c>
      <c r="AH152" s="15" t="s">
        <v>990</v>
      </c>
      <c r="AI152" s="15" t="s">
        <v>991</v>
      </c>
      <c r="AJ152" s="8">
        <f>'Сводка НПЗ'!D152</f>
        <v>0</v>
      </c>
      <c r="AK152" s="8" t="str">
        <f>IF('Сводка НПЗ'!F152&gt;0,'Сводка НПЗ'!E152,"")</f>
        <v/>
      </c>
      <c r="AL152" s="8">
        <f>'Сводка НПЗ'!G152</f>
        <v>0</v>
      </c>
      <c r="AM152" s="6" t="s">
        <v>56</v>
      </c>
      <c r="AN152" s="12" t="s">
        <v>83</v>
      </c>
      <c r="AO152" s="20">
        <v>2024</v>
      </c>
      <c r="AP152" s="20">
        <v>2025</v>
      </c>
      <c r="AQ152" s="20">
        <v>2025</v>
      </c>
      <c r="AR152" s="6" t="s">
        <v>58</v>
      </c>
    </row>
    <row r="153" spans="1:44" ht="42" customHeight="1" x14ac:dyDescent="0.2">
      <c r="A153" s="15">
        <v>152</v>
      </c>
      <c r="B153" s="15" t="s">
        <v>992</v>
      </c>
      <c r="C153" s="15" t="s">
        <v>993</v>
      </c>
      <c r="D153" s="16">
        <v>102778.77643099999</v>
      </c>
      <c r="E153" s="19">
        <v>2024</v>
      </c>
      <c r="F153" s="17">
        <f t="shared" si="2"/>
        <v>37.617032173745997</v>
      </c>
      <c r="G153" s="17">
        <v>43.239073837228418</v>
      </c>
      <c r="H153" s="17">
        <v>40.184572237758985</v>
      </c>
      <c r="I153" s="17">
        <v>9.9753166908763209</v>
      </c>
      <c r="J153" s="17">
        <v>4.4575710920977194</v>
      </c>
      <c r="K153" s="17">
        <v>1.241473539876802</v>
      </c>
      <c r="L153" s="16">
        <v>186120.7965451671</v>
      </c>
      <c r="M153" s="19">
        <v>2025</v>
      </c>
      <c r="N153" s="16">
        <v>182980.82191780821</v>
      </c>
      <c r="O153" s="16">
        <v>2533.0438356164386</v>
      </c>
      <c r="P153" s="17">
        <v>114.20990527871699</v>
      </c>
      <c r="Q153" s="19">
        <v>2025</v>
      </c>
      <c r="R153" s="17">
        <v>5.9544171475689902</v>
      </c>
      <c r="S153" s="19">
        <v>2025</v>
      </c>
      <c r="T153" s="17">
        <v>14.2046755548989</v>
      </c>
      <c r="U153" s="19">
        <v>2025</v>
      </c>
      <c r="V153" s="18">
        <v>1.5629999999999999</v>
      </c>
      <c r="W153" s="18">
        <v>1.5009999999999999</v>
      </c>
      <c r="X153" s="18" t="s">
        <v>46</v>
      </c>
      <c r="Y153" s="18" t="s">
        <v>46</v>
      </c>
      <c r="Z153" s="18" t="s">
        <v>46</v>
      </c>
      <c r="AA153" s="15" t="s">
        <v>47</v>
      </c>
      <c r="AB153" s="15" t="s">
        <v>48</v>
      </c>
      <c r="AC153" s="15" t="s">
        <v>605</v>
      </c>
      <c r="AD153" s="15" t="s">
        <v>994</v>
      </c>
      <c r="AE153" s="15" t="s">
        <v>995</v>
      </c>
      <c r="AF153" s="15" t="s">
        <v>64</v>
      </c>
      <c r="AG153" s="15" t="s">
        <v>53</v>
      </c>
      <c r="AH153" s="15" t="s">
        <v>996</v>
      </c>
      <c r="AI153" s="15" t="s">
        <v>997</v>
      </c>
      <c r="AJ153" s="8">
        <f>'Сводка НПЗ'!D153</f>
        <v>1</v>
      </c>
      <c r="AK153" s="8">
        <f>IF('Сводка НПЗ'!F153&gt;0,'Сводка НПЗ'!E153,"")</f>
        <v>45000</v>
      </c>
      <c r="AL153" s="8">
        <f>'Сводка НПЗ'!G153</f>
        <v>0</v>
      </c>
      <c r="AM153" s="6" t="s">
        <v>56</v>
      </c>
      <c r="AN153" s="12" t="s">
        <v>83</v>
      </c>
      <c r="AO153" s="20">
        <v>2024</v>
      </c>
      <c r="AP153" s="20">
        <v>2025</v>
      </c>
      <c r="AQ153" s="20">
        <v>2025</v>
      </c>
      <c r="AR153" s="6" t="s">
        <v>58</v>
      </c>
    </row>
    <row r="154" spans="1:44" ht="42" customHeight="1" x14ac:dyDescent="0.2">
      <c r="A154" s="15">
        <v>153</v>
      </c>
      <c r="B154" s="15" t="s">
        <v>998</v>
      </c>
      <c r="C154" s="15" t="s">
        <v>999</v>
      </c>
      <c r="D154" s="16">
        <v>2442.7920049999998</v>
      </c>
      <c r="E154" s="19">
        <v>2024</v>
      </c>
      <c r="F154" s="17">
        <f t="shared" si="2"/>
        <v>0.89406187382999991</v>
      </c>
      <c r="G154" s="17">
        <v>55.582286343695472</v>
      </c>
      <c r="H154" s="17">
        <v>16.671700912988701</v>
      </c>
      <c r="I154" s="17">
        <v>1.3740574691294685</v>
      </c>
      <c r="J154" s="17">
        <v>1.1272013312488305</v>
      </c>
      <c r="K154" s="17">
        <v>25.244753942937521</v>
      </c>
      <c r="L154" s="16">
        <v>0</v>
      </c>
      <c r="M154" s="19">
        <v>2025</v>
      </c>
      <c r="N154" s="16">
        <v>0</v>
      </c>
      <c r="O154" s="16">
        <v>0</v>
      </c>
      <c r="P154" s="17">
        <v>2.52793027292988</v>
      </c>
      <c r="Q154" s="19">
        <v>2025</v>
      </c>
      <c r="R154" s="17">
        <v>5.81813762310792</v>
      </c>
      <c r="S154" s="19">
        <v>2025</v>
      </c>
      <c r="T154" s="17">
        <v>0.87492969103871698</v>
      </c>
      <c r="U154" s="19">
        <v>2025</v>
      </c>
      <c r="V154" s="18" t="s">
        <v>46</v>
      </c>
      <c r="W154" s="18" t="s">
        <v>46</v>
      </c>
      <c r="X154" s="18" t="s">
        <v>46</v>
      </c>
      <c r="Y154" s="18" t="s">
        <v>46</v>
      </c>
      <c r="Z154" s="18" t="s">
        <v>46</v>
      </c>
      <c r="AA154" s="15" t="s">
        <v>100</v>
      </c>
      <c r="AB154" s="15" t="s">
        <v>101</v>
      </c>
      <c r="AC154" s="15" t="s">
        <v>605</v>
      </c>
      <c r="AD154" s="15" t="s">
        <v>1000</v>
      </c>
      <c r="AE154" s="15" t="s">
        <v>104</v>
      </c>
      <c r="AF154" s="15" t="s">
        <v>64</v>
      </c>
      <c r="AG154" s="15" t="s">
        <v>106</v>
      </c>
      <c r="AH154" s="15" t="s">
        <v>1001</v>
      </c>
      <c r="AI154" s="15" t="s">
        <v>1002</v>
      </c>
      <c r="AJ154" s="8">
        <f>'Сводка НПЗ'!D154</f>
        <v>0</v>
      </c>
      <c r="AK154" s="8" t="str">
        <f>IF('Сводка НПЗ'!F154&gt;0,'Сводка НПЗ'!E154,"")</f>
        <v/>
      </c>
      <c r="AL154" s="8">
        <f>'Сводка НПЗ'!G154</f>
        <v>0</v>
      </c>
      <c r="AM154" s="6" t="s">
        <v>56</v>
      </c>
      <c r="AN154" s="12" t="s">
        <v>83</v>
      </c>
      <c r="AO154" s="20">
        <v>2024</v>
      </c>
      <c r="AP154" s="20">
        <v>2025</v>
      </c>
      <c r="AQ154" s="20">
        <v>2025</v>
      </c>
      <c r="AR154" s="6" t="s">
        <v>58</v>
      </c>
    </row>
    <row r="155" spans="1:44" ht="42" customHeight="1" x14ac:dyDescent="0.2">
      <c r="A155" s="15">
        <v>154</v>
      </c>
      <c r="B155" s="15" t="s">
        <v>1003</v>
      </c>
      <c r="C155" s="15" t="s">
        <v>1004</v>
      </c>
      <c r="D155" s="16">
        <v>88206.911779999995</v>
      </c>
      <c r="E155" s="19">
        <v>2024</v>
      </c>
      <c r="F155" s="17">
        <f t="shared" si="2"/>
        <v>32.283729711479999</v>
      </c>
      <c r="G155" s="17">
        <v>15.023403192089399</v>
      </c>
      <c r="H155" s="17">
        <v>1.1416792399576288</v>
      </c>
      <c r="I155" s="17">
        <v>0</v>
      </c>
      <c r="J155" s="17">
        <v>0.22167678932881013</v>
      </c>
      <c r="K155" s="17">
        <v>83.61324077862416</v>
      </c>
      <c r="L155" s="16">
        <v>0</v>
      </c>
      <c r="M155" s="19">
        <v>2025</v>
      </c>
      <c r="N155" s="16">
        <v>0</v>
      </c>
      <c r="O155" s="16">
        <v>0</v>
      </c>
      <c r="P155" s="17" t="s">
        <v>46</v>
      </c>
      <c r="Q155" s="19" t="s">
        <v>46</v>
      </c>
      <c r="R155" s="17" t="s">
        <v>46</v>
      </c>
      <c r="S155" s="19" t="s">
        <v>46</v>
      </c>
      <c r="T155" s="17" t="s">
        <v>46</v>
      </c>
      <c r="U155" s="19" t="s">
        <v>46</v>
      </c>
      <c r="V155" s="18" t="s">
        <v>46</v>
      </c>
      <c r="W155" s="18" t="s">
        <v>46</v>
      </c>
      <c r="X155" s="18" t="s">
        <v>46</v>
      </c>
      <c r="Y155" s="18" t="s">
        <v>46</v>
      </c>
      <c r="Z155" s="18" t="s">
        <v>46</v>
      </c>
      <c r="AA155" s="15" t="s">
        <v>100</v>
      </c>
      <c r="AB155" s="15" t="s">
        <v>101</v>
      </c>
      <c r="AC155" s="15" t="s">
        <v>605</v>
      </c>
      <c r="AD155" s="15" t="s">
        <v>103</v>
      </c>
      <c r="AE155" s="15" t="s">
        <v>104</v>
      </c>
      <c r="AF155" s="15" t="s">
        <v>64</v>
      </c>
      <c r="AG155" s="15" t="s">
        <v>106</v>
      </c>
      <c r="AH155" s="15" t="s">
        <v>1005</v>
      </c>
      <c r="AI155" s="15" t="s">
        <v>1006</v>
      </c>
      <c r="AJ155" s="8">
        <f>'Сводка НПЗ'!D155</f>
        <v>0</v>
      </c>
      <c r="AK155" s="8" t="str">
        <f>IF('Сводка НПЗ'!F155&gt;0,'Сводка НПЗ'!E155,"")</f>
        <v/>
      </c>
      <c r="AL155" s="8">
        <f>'Сводка НПЗ'!G155</f>
        <v>0</v>
      </c>
      <c r="AM155" s="6" t="s">
        <v>56</v>
      </c>
      <c r="AN155" s="12" t="s">
        <v>83</v>
      </c>
      <c r="AO155" s="20">
        <v>2024</v>
      </c>
      <c r="AP155" s="20">
        <v>2025</v>
      </c>
      <c r="AQ155" s="20">
        <v>2025</v>
      </c>
      <c r="AR155" s="6" t="s">
        <v>58</v>
      </c>
    </row>
    <row r="156" spans="1:44" ht="42" customHeight="1" x14ac:dyDescent="0.2">
      <c r="A156" s="15">
        <v>155</v>
      </c>
      <c r="B156" s="15" t="s">
        <v>1007</v>
      </c>
      <c r="C156" s="15" t="s">
        <v>1008</v>
      </c>
      <c r="D156" s="16">
        <v>20727435.616438355</v>
      </c>
      <c r="E156" s="19">
        <v>2025</v>
      </c>
      <c r="F156" s="17">
        <f t="shared" si="2"/>
        <v>7565.5140000000001</v>
      </c>
      <c r="G156" s="17">
        <v>19.956885943241925</v>
      </c>
      <c r="H156" s="17">
        <v>43.182525338000829</v>
      </c>
      <c r="I156" s="17">
        <v>5.453747095042055</v>
      </c>
      <c r="J156" s="17">
        <v>16.818804379979998</v>
      </c>
      <c r="K156" s="17">
        <v>1.6702500319211622</v>
      </c>
      <c r="L156" s="16">
        <v>23612127.342465751</v>
      </c>
      <c r="M156" s="19">
        <v>2025</v>
      </c>
      <c r="N156" s="16">
        <v>13586086.904109588</v>
      </c>
      <c r="O156" s="16">
        <v>7479156.2328767125</v>
      </c>
      <c r="P156" s="17">
        <v>30769.7</v>
      </c>
      <c r="Q156" s="19">
        <v>2025</v>
      </c>
      <c r="R156" s="17">
        <v>2.1613819562385599</v>
      </c>
      <c r="S156" s="19">
        <v>2025</v>
      </c>
      <c r="T156" s="17">
        <v>2.9495252048520699</v>
      </c>
      <c r="U156" s="19">
        <v>2024</v>
      </c>
      <c r="V156" s="18">
        <v>1.2330000000000001</v>
      </c>
      <c r="W156" s="18">
        <v>1.66</v>
      </c>
      <c r="X156" s="18" t="s">
        <v>46</v>
      </c>
      <c r="Y156" s="18" t="s">
        <v>46</v>
      </c>
      <c r="Z156" s="18" t="s">
        <v>46</v>
      </c>
      <c r="AA156" s="15" t="s">
        <v>47</v>
      </c>
      <c r="AB156" s="15" t="s">
        <v>48</v>
      </c>
      <c r="AC156" s="15" t="s">
        <v>434</v>
      </c>
      <c r="AD156" s="15" t="s">
        <v>1009</v>
      </c>
      <c r="AE156" s="15" t="s">
        <v>1010</v>
      </c>
      <c r="AF156" s="15" t="s">
        <v>52</v>
      </c>
      <c r="AG156" s="15" t="s">
        <v>53</v>
      </c>
      <c r="AH156" s="15" t="s">
        <v>1011</v>
      </c>
      <c r="AI156" s="15" t="s">
        <v>1012</v>
      </c>
      <c r="AJ156" s="8">
        <f>'Сводка НПЗ'!D156</f>
        <v>131</v>
      </c>
      <c r="AK156" s="8">
        <f>IF('Сводка НПЗ'!F156&gt;0,'Сводка НПЗ'!E156,"")</f>
        <v>16852250</v>
      </c>
      <c r="AL156" s="8">
        <f>'Сводка НПЗ'!G156</f>
        <v>1</v>
      </c>
      <c r="AM156" s="6" t="s">
        <v>56</v>
      </c>
      <c r="AN156" s="12" t="s">
        <v>121</v>
      </c>
      <c r="AO156" s="20">
        <v>2025</v>
      </c>
      <c r="AP156" s="20">
        <v>2025</v>
      </c>
      <c r="AQ156" s="20">
        <v>2025</v>
      </c>
      <c r="AR156" s="6" t="s">
        <v>58</v>
      </c>
    </row>
    <row r="157" spans="1:44" ht="42" customHeight="1" x14ac:dyDescent="0.2">
      <c r="A157" s="15">
        <v>156</v>
      </c>
      <c r="B157" s="15" t="s">
        <v>1013</v>
      </c>
      <c r="C157" s="15" t="s">
        <v>1014</v>
      </c>
      <c r="D157" s="16">
        <v>2502909.5890410957</v>
      </c>
      <c r="E157" s="19">
        <v>2025</v>
      </c>
      <c r="F157" s="17">
        <f t="shared" si="2"/>
        <v>913.5619999999999</v>
      </c>
      <c r="G157" s="17">
        <v>24.444438363241904</v>
      </c>
      <c r="H157" s="17">
        <v>29.930004750635426</v>
      </c>
      <c r="I157" s="17">
        <v>10.791648514277083</v>
      </c>
      <c r="J157" s="17">
        <v>13.545621424708996</v>
      </c>
      <c r="K157" s="17">
        <v>1.1671523115015729</v>
      </c>
      <c r="L157" s="16">
        <v>6256639.152636393</v>
      </c>
      <c r="M157" s="19">
        <v>2025</v>
      </c>
      <c r="N157" s="16">
        <v>4963934.9068493154</v>
      </c>
      <c r="O157" s="16">
        <v>1181365.8343878291</v>
      </c>
      <c r="P157" s="17">
        <v>2319.8997724259198</v>
      </c>
      <c r="Q157" s="19">
        <v>2025</v>
      </c>
      <c r="R157" s="17">
        <v>1.7426853617570801</v>
      </c>
      <c r="S157" s="19">
        <v>2025</v>
      </c>
      <c r="T157" s="17">
        <v>2.0723241114910298</v>
      </c>
      <c r="U157" s="19">
        <v>2025</v>
      </c>
      <c r="V157" s="18">
        <v>1.4830000000000001</v>
      </c>
      <c r="W157" s="18">
        <v>1.8009999999999999</v>
      </c>
      <c r="X157" s="18" t="s">
        <v>46</v>
      </c>
      <c r="Y157" s="18">
        <v>0.91</v>
      </c>
      <c r="Z157" s="18" t="s">
        <v>46</v>
      </c>
      <c r="AA157" s="15" t="s">
        <v>47</v>
      </c>
      <c r="AB157" s="15" t="s">
        <v>69</v>
      </c>
      <c r="AC157" s="15" t="s">
        <v>434</v>
      </c>
      <c r="AD157" s="15" t="s">
        <v>1015</v>
      </c>
      <c r="AE157" s="15" t="s">
        <v>1016</v>
      </c>
      <c r="AF157" s="15" t="s">
        <v>52</v>
      </c>
      <c r="AG157" s="15" t="s">
        <v>73</v>
      </c>
      <c r="AH157" s="15" t="s">
        <v>1017</v>
      </c>
      <c r="AI157" s="15" t="s">
        <v>1018</v>
      </c>
      <c r="AJ157" s="8">
        <f>'Сводка НПЗ'!D157</f>
        <v>19</v>
      </c>
      <c r="AK157" s="8">
        <f>IF('Сводка НПЗ'!F157&gt;0,'Сводка НПЗ'!E157,"")</f>
        <v>2060200</v>
      </c>
      <c r="AL157" s="8">
        <f>'Сводка НПЗ'!G157</f>
        <v>0</v>
      </c>
      <c r="AM157" s="6" t="s">
        <v>56</v>
      </c>
      <c r="AN157" s="12" t="s">
        <v>57</v>
      </c>
      <c r="AO157" s="20">
        <v>2025</v>
      </c>
      <c r="AP157" s="20">
        <v>2025</v>
      </c>
      <c r="AQ157" s="20">
        <v>2025</v>
      </c>
      <c r="AR157" s="6" t="s">
        <v>58</v>
      </c>
    </row>
    <row r="158" spans="1:44" ht="42" customHeight="1" x14ac:dyDescent="0.2">
      <c r="A158" s="15">
        <v>157</v>
      </c>
      <c r="B158" s="15" t="s">
        <v>1019</v>
      </c>
      <c r="C158" s="15" t="s">
        <v>1020</v>
      </c>
      <c r="D158" s="16">
        <v>1480065.7534246575</v>
      </c>
      <c r="E158" s="19">
        <v>2025</v>
      </c>
      <c r="F158" s="17">
        <f t="shared" si="2"/>
        <v>540.22400000000005</v>
      </c>
      <c r="G158" s="17">
        <v>20.673583550527187</v>
      </c>
      <c r="H158" s="17">
        <v>43.882676445326382</v>
      </c>
      <c r="I158" s="17">
        <v>9.4350491647909021</v>
      </c>
      <c r="J158" s="17">
        <v>12.491914465110769</v>
      </c>
      <c r="K158" s="17">
        <v>4.7145684012557751</v>
      </c>
      <c r="L158" s="16">
        <v>1869380.7121006111</v>
      </c>
      <c r="M158" s="19">
        <v>2025</v>
      </c>
      <c r="N158" s="16">
        <v>1726046.0876712329</v>
      </c>
      <c r="O158" s="16">
        <v>123915.29863013698</v>
      </c>
      <c r="P158" s="17">
        <v>1832.6413647755201</v>
      </c>
      <c r="Q158" s="19">
        <v>2025</v>
      </c>
      <c r="R158" s="17">
        <v>0.56168345614457804</v>
      </c>
      <c r="S158" s="19">
        <v>2025</v>
      </c>
      <c r="T158" s="17">
        <v>3.8066865072648501</v>
      </c>
      <c r="U158" s="19">
        <v>2025</v>
      </c>
      <c r="V158" s="18">
        <v>1.653</v>
      </c>
      <c r="W158" s="18">
        <v>1.5649999999999999</v>
      </c>
      <c r="X158" s="18" t="s">
        <v>46</v>
      </c>
      <c r="Y158" s="18" t="s">
        <v>46</v>
      </c>
      <c r="Z158" s="18" t="s">
        <v>46</v>
      </c>
      <c r="AA158" s="15" t="s">
        <v>47</v>
      </c>
      <c r="AB158" s="15" t="s">
        <v>48</v>
      </c>
      <c r="AC158" s="15" t="s">
        <v>434</v>
      </c>
      <c r="AD158" s="15" t="s">
        <v>1021</v>
      </c>
      <c r="AE158" s="15" t="s">
        <v>1022</v>
      </c>
      <c r="AF158" s="15" t="s">
        <v>52</v>
      </c>
      <c r="AG158" s="15" t="s">
        <v>53</v>
      </c>
      <c r="AH158" s="15" t="s">
        <v>1023</v>
      </c>
      <c r="AI158" s="15" t="s">
        <v>1024</v>
      </c>
      <c r="AJ158" s="8">
        <f>'Сводка НПЗ'!D158</f>
        <v>6</v>
      </c>
      <c r="AK158" s="8">
        <f>IF('Сводка НПЗ'!F158&gt;0,'Сводка НПЗ'!E158,"")</f>
        <v>1528000</v>
      </c>
      <c r="AL158" s="8">
        <f>'Сводка НПЗ'!G158</f>
        <v>0</v>
      </c>
      <c r="AM158" s="6" t="s">
        <v>56</v>
      </c>
      <c r="AN158" s="12" t="s">
        <v>57</v>
      </c>
      <c r="AO158" s="20">
        <v>2025</v>
      </c>
      <c r="AP158" s="20">
        <v>2025</v>
      </c>
      <c r="AQ158" s="20">
        <v>2025</v>
      </c>
      <c r="AR158" s="6" t="s">
        <v>58</v>
      </c>
    </row>
    <row r="159" spans="1:44" ht="42" customHeight="1" x14ac:dyDescent="0.2">
      <c r="A159" s="15">
        <v>158</v>
      </c>
      <c r="B159" s="15" t="s">
        <v>1025</v>
      </c>
      <c r="C159" s="15" t="s">
        <v>1026</v>
      </c>
      <c r="D159" s="16">
        <v>5575.2763020000002</v>
      </c>
      <c r="E159" s="19">
        <v>2024</v>
      </c>
      <c r="F159" s="17">
        <f t="shared" si="2"/>
        <v>2.0405511265320002</v>
      </c>
      <c r="G159" s="17">
        <v>25.91257800948356</v>
      </c>
      <c r="H159" s="17">
        <v>34.721135942725873</v>
      </c>
      <c r="I159" s="17">
        <v>16.45003720570762</v>
      </c>
      <c r="J159" s="17">
        <v>20.59091547782451</v>
      </c>
      <c r="K159" s="17">
        <v>1.2793912289945553</v>
      </c>
      <c r="L159" s="16">
        <v>787.12340000000006</v>
      </c>
      <c r="M159" s="19">
        <v>2025</v>
      </c>
      <c r="N159" s="16">
        <v>787.12340000000006</v>
      </c>
      <c r="O159" s="16">
        <v>0</v>
      </c>
      <c r="P159" s="17">
        <v>3.3264999999999998</v>
      </c>
      <c r="Q159" s="19">
        <v>2025</v>
      </c>
      <c r="R159" s="17">
        <v>2.74831731763744</v>
      </c>
      <c r="S159" s="19">
        <v>2025</v>
      </c>
      <c r="T159" s="17">
        <v>1.0628154795289599</v>
      </c>
      <c r="U159" s="19">
        <v>2025</v>
      </c>
      <c r="V159" s="18">
        <v>1.923</v>
      </c>
      <c r="W159" s="18">
        <v>1.9650000000000001</v>
      </c>
      <c r="X159" s="18" t="s">
        <v>46</v>
      </c>
      <c r="Y159" s="18" t="s">
        <v>46</v>
      </c>
      <c r="Z159" s="18" t="s">
        <v>46</v>
      </c>
      <c r="AA159" s="15" t="s">
        <v>47</v>
      </c>
      <c r="AB159" s="15" t="s">
        <v>48</v>
      </c>
      <c r="AC159" s="15" t="s">
        <v>605</v>
      </c>
      <c r="AD159" s="15" t="s">
        <v>1027</v>
      </c>
      <c r="AE159" s="15" t="s">
        <v>1028</v>
      </c>
      <c r="AF159" s="15" t="s">
        <v>64</v>
      </c>
      <c r="AG159" s="15" t="s">
        <v>53</v>
      </c>
      <c r="AH159" s="15" t="s">
        <v>1029</v>
      </c>
      <c r="AI159" s="15" t="s">
        <v>1030</v>
      </c>
      <c r="AJ159" s="8">
        <f>'Сводка НПЗ'!D159</f>
        <v>0</v>
      </c>
      <c r="AK159" s="8" t="str">
        <f>IF('Сводка НПЗ'!F159&gt;0,'Сводка НПЗ'!E159,"")</f>
        <v/>
      </c>
      <c r="AL159" s="8">
        <f>'Сводка НПЗ'!G159</f>
        <v>0</v>
      </c>
      <c r="AM159" s="6" t="s">
        <v>56</v>
      </c>
      <c r="AN159" s="12" t="s">
        <v>83</v>
      </c>
      <c r="AO159" s="20">
        <v>2024</v>
      </c>
      <c r="AP159" s="20">
        <v>2025</v>
      </c>
      <c r="AQ159" s="20">
        <v>2025</v>
      </c>
      <c r="AR159" s="6" t="s">
        <v>58</v>
      </c>
    </row>
    <row r="160" spans="1:44" ht="42" customHeight="1" x14ac:dyDescent="0.2">
      <c r="A160" s="15">
        <v>159</v>
      </c>
      <c r="B160" s="15" t="s">
        <v>1031</v>
      </c>
      <c r="C160" s="15" t="s">
        <v>1032</v>
      </c>
      <c r="D160" s="16">
        <v>135002.353818</v>
      </c>
      <c r="E160" s="19">
        <v>2024</v>
      </c>
      <c r="F160" s="17">
        <f t="shared" si="2"/>
        <v>49.410861497387998</v>
      </c>
      <c r="G160" s="17">
        <v>23.695067149069875</v>
      </c>
      <c r="H160" s="17">
        <v>17.024387197710926</v>
      </c>
      <c r="I160" s="17">
        <v>4.9408838241386572</v>
      </c>
      <c r="J160" s="17">
        <v>11.998843073386627</v>
      </c>
      <c r="K160" s="17">
        <v>41.267941124276732</v>
      </c>
      <c r="L160" s="16">
        <v>0</v>
      </c>
      <c r="M160" s="19">
        <v>2025</v>
      </c>
      <c r="N160" s="16">
        <v>0</v>
      </c>
      <c r="O160" s="16">
        <v>0</v>
      </c>
      <c r="P160" s="17">
        <v>90.462599999999995</v>
      </c>
      <c r="Q160" s="19">
        <v>2025</v>
      </c>
      <c r="R160" s="17">
        <v>4.3503046062773096</v>
      </c>
      <c r="S160" s="19">
        <v>2025</v>
      </c>
      <c r="T160" s="17">
        <v>-0.18958788023567499</v>
      </c>
      <c r="U160" s="19">
        <v>2025</v>
      </c>
      <c r="V160" s="18">
        <v>1.28</v>
      </c>
      <c r="W160" s="18">
        <v>1.401</v>
      </c>
      <c r="X160" s="18" t="s">
        <v>46</v>
      </c>
      <c r="Y160" s="18" t="s">
        <v>46</v>
      </c>
      <c r="Z160" s="18" t="s">
        <v>46</v>
      </c>
      <c r="AA160" s="15" t="s">
        <v>47</v>
      </c>
      <c r="AB160" s="15" t="s">
        <v>48</v>
      </c>
      <c r="AC160" s="15" t="s">
        <v>605</v>
      </c>
      <c r="AD160" s="15" t="s">
        <v>1033</v>
      </c>
      <c r="AE160" s="15" t="s">
        <v>1034</v>
      </c>
      <c r="AF160" s="15" t="s">
        <v>64</v>
      </c>
      <c r="AG160" s="15" t="s">
        <v>53</v>
      </c>
      <c r="AH160" s="15" t="s">
        <v>1035</v>
      </c>
      <c r="AI160" s="15" t="s">
        <v>1036</v>
      </c>
      <c r="AJ160" s="8">
        <f>'Сводка НПЗ'!D160</f>
        <v>0</v>
      </c>
      <c r="AK160" s="8" t="str">
        <f>IF('Сводка НПЗ'!F160&gt;0,'Сводка НПЗ'!E160,"")</f>
        <v/>
      </c>
      <c r="AL160" s="8">
        <f>'Сводка НПЗ'!G160</f>
        <v>0</v>
      </c>
      <c r="AM160" s="6" t="s">
        <v>56</v>
      </c>
      <c r="AN160" s="12" t="s">
        <v>83</v>
      </c>
      <c r="AO160" s="20">
        <v>2024</v>
      </c>
      <c r="AP160" s="20">
        <v>2025</v>
      </c>
      <c r="AQ160" s="20">
        <v>2025</v>
      </c>
      <c r="AR160" s="6" t="s">
        <v>58</v>
      </c>
    </row>
    <row r="161" spans="1:44" ht="42" customHeight="1" x14ac:dyDescent="0.2">
      <c r="A161" s="15">
        <v>160</v>
      </c>
      <c r="B161" s="15" t="s">
        <v>1037</v>
      </c>
      <c r="C161" s="15" t="s">
        <v>1038</v>
      </c>
      <c r="D161" s="16">
        <v>234477.64639299997</v>
      </c>
      <c r="E161" s="19">
        <v>2024</v>
      </c>
      <c r="F161" s="17">
        <f t="shared" si="2"/>
        <v>85.818818579837995</v>
      </c>
      <c r="G161" s="17">
        <v>39.154216848510984</v>
      </c>
      <c r="H161" s="17">
        <v>38.320761067090977</v>
      </c>
      <c r="I161" s="17">
        <v>4.9103959149701399</v>
      </c>
      <c r="J161" s="17">
        <v>6.4614477768198464</v>
      </c>
      <c r="K161" s="17">
        <v>1.5970287076848586</v>
      </c>
      <c r="L161" s="16">
        <v>1011861.6302832685</v>
      </c>
      <c r="M161" s="19">
        <v>2025</v>
      </c>
      <c r="N161" s="16">
        <v>972616.43835616438</v>
      </c>
      <c r="O161" s="16">
        <v>30000</v>
      </c>
      <c r="P161" s="17">
        <v>99.661244155630598</v>
      </c>
      <c r="Q161" s="19">
        <v>2025</v>
      </c>
      <c r="R161" s="17">
        <v>1.5706806282722401</v>
      </c>
      <c r="S161" s="19">
        <v>2025</v>
      </c>
      <c r="T161" s="17" t="s">
        <v>46</v>
      </c>
      <c r="U161" s="19" t="s">
        <v>46</v>
      </c>
      <c r="V161" s="18">
        <v>3.5000000000000003E-2</v>
      </c>
      <c r="W161" s="18">
        <v>4.0000000000000001E-3</v>
      </c>
      <c r="X161" s="18" t="s">
        <v>46</v>
      </c>
      <c r="Y161" s="18" t="s">
        <v>46</v>
      </c>
      <c r="Z161" s="18" t="s">
        <v>46</v>
      </c>
      <c r="AA161" s="15" t="s">
        <v>47</v>
      </c>
      <c r="AB161" s="15" t="s">
        <v>48</v>
      </c>
      <c r="AC161" s="15" t="s">
        <v>605</v>
      </c>
      <c r="AD161" s="15" t="s">
        <v>1039</v>
      </c>
      <c r="AE161" s="15" t="s">
        <v>1040</v>
      </c>
      <c r="AF161" s="15" t="s">
        <v>64</v>
      </c>
      <c r="AG161" s="15" t="s">
        <v>53</v>
      </c>
      <c r="AH161" s="15" t="s">
        <v>1041</v>
      </c>
      <c r="AI161" s="15" t="s">
        <v>1042</v>
      </c>
      <c r="AJ161" s="8">
        <f>'Сводка НПЗ'!D161</f>
        <v>5</v>
      </c>
      <c r="AK161" s="8">
        <f>IF('Сводка НПЗ'!F161&gt;0,'Сводка НПЗ'!E161,"")</f>
        <v>689000</v>
      </c>
      <c r="AL161" s="8">
        <f>'Сводка НПЗ'!G161</f>
        <v>1</v>
      </c>
      <c r="AM161" s="6" t="s">
        <v>56</v>
      </c>
      <c r="AN161" s="12" t="s">
        <v>57</v>
      </c>
      <c r="AO161" s="20">
        <v>2024</v>
      </c>
      <c r="AP161" s="20">
        <v>2025</v>
      </c>
      <c r="AQ161" s="20">
        <v>2025</v>
      </c>
      <c r="AR161" s="6" t="s">
        <v>58</v>
      </c>
    </row>
    <row r="162" spans="1:44" ht="42" customHeight="1" x14ac:dyDescent="0.2">
      <c r="A162" s="15">
        <v>161</v>
      </c>
      <c r="B162" s="15" t="s">
        <v>1043</v>
      </c>
      <c r="C162" s="15" t="s">
        <v>1044</v>
      </c>
      <c r="D162" s="16">
        <v>6643.8356164383558</v>
      </c>
      <c r="E162" s="19">
        <v>2025</v>
      </c>
      <c r="F162" s="17">
        <f t="shared" si="2"/>
        <v>2.4249999999999998</v>
      </c>
      <c r="G162" s="17">
        <v>74.721649484536073</v>
      </c>
      <c r="H162" s="17">
        <v>18.721649484536083</v>
      </c>
      <c r="I162" s="17" t="s">
        <v>46</v>
      </c>
      <c r="J162" s="17" t="s">
        <v>46</v>
      </c>
      <c r="K162" s="17" t="s">
        <v>46</v>
      </c>
      <c r="L162" s="16">
        <v>31515.898630136988</v>
      </c>
      <c r="M162" s="19">
        <v>2025</v>
      </c>
      <c r="N162" s="16">
        <v>31515.898630136988</v>
      </c>
      <c r="O162" s="16">
        <v>0</v>
      </c>
      <c r="P162" s="17">
        <v>32.498658653841503</v>
      </c>
      <c r="Q162" s="19">
        <v>2025</v>
      </c>
      <c r="R162" s="17">
        <v>5.6379205231945804</v>
      </c>
      <c r="S162" s="19">
        <v>2025</v>
      </c>
      <c r="T162" s="17">
        <v>4.4214136416648504</v>
      </c>
      <c r="U162" s="19">
        <v>2025</v>
      </c>
      <c r="V162" s="18" t="s">
        <v>46</v>
      </c>
      <c r="W162" s="18" t="s">
        <v>46</v>
      </c>
      <c r="X162" s="18" t="s">
        <v>46</v>
      </c>
      <c r="Y162" s="18" t="s">
        <v>46</v>
      </c>
      <c r="Z162" s="18" t="s">
        <v>46</v>
      </c>
      <c r="AA162" s="15" t="s">
        <v>100</v>
      </c>
      <c r="AB162" s="15" t="s">
        <v>101</v>
      </c>
      <c r="AC162" s="15" t="s">
        <v>434</v>
      </c>
      <c r="AD162" s="15" t="s">
        <v>1045</v>
      </c>
      <c r="AE162" s="15" t="s">
        <v>104</v>
      </c>
      <c r="AF162" s="15" t="s">
        <v>52</v>
      </c>
      <c r="AG162" s="15" t="s">
        <v>106</v>
      </c>
      <c r="AH162" s="15" t="s">
        <v>1046</v>
      </c>
      <c r="AI162" s="15" t="s">
        <v>1047</v>
      </c>
      <c r="AJ162" s="8">
        <f>'Сводка НПЗ'!D162</f>
        <v>1</v>
      </c>
      <c r="AK162" s="8">
        <f>IF('Сводка НПЗ'!F162&gt;0,'Сводка НПЗ'!E162,"")</f>
        <v>32500</v>
      </c>
      <c r="AL162" s="8">
        <f>'Сводка НПЗ'!G162</f>
        <v>0</v>
      </c>
      <c r="AM162" s="6" t="s">
        <v>56</v>
      </c>
      <c r="AN162" s="12" t="s">
        <v>83</v>
      </c>
      <c r="AO162" s="20">
        <v>2025</v>
      </c>
      <c r="AP162" s="20">
        <v>2025</v>
      </c>
      <c r="AQ162" s="20">
        <v>2025</v>
      </c>
      <c r="AR162" s="6" t="s">
        <v>58</v>
      </c>
    </row>
    <row r="163" spans="1:44" ht="42" customHeight="1" x14ac:dyDescent="0.2">
      <c r="A163" s="15">
        <v>162</v>
      </c>
      <c r="B163" s="15" t="s">
        <v>1048</v>
      </c>
      <c r="C163" s="15" t="s">
        <v>1049</v>
      </c>
      <c r="D163" s="16">
        <v>959493.85496000003</v>
      </c>
      <c r="E163" s="19">
        <v>2024</v>
      </c>
      <c r="F163" s="17">
        <f t="shared" si="2"/>
        <v>351.17475091536005</v>
      </c>
      <c r="G163" s="17">
        <v>36.284576956932547</v>
      </c>
      <c r="H163" s="17">
        <v>19.459234619880259</v>
      </c>
      <c r="I163" s="17">
        <v>12.670241791706744</v>
      </c>
      <c r="J163" s="17">
        <v>3.2449278054311219</v>
      </c>
      <c r="K163" s="17">
        <v>18.253323936848069</v>
      </c>
      <c r="L163" s="16">
        <v>607812.00939190411</v>
      </c>
      <c r="M163" s="19">
        <v>2025</v>
      </c>
      <c r="N163" s="16">
        <v>504794.52054794517</v>
      </c>
      <c r="O163" s="16">
        <v>103935.90000000001</v>
      </c>
      <c r="P163" s="17">
        <v>365.25463017973698</v>
      </c>
      <c r="Q163" s="19">
        <v>2025</v>
      </c>
      <c r="R163" s="17">
        <v>4.3920106857018801</v>
      </c>
      <c r="S163" s="19">
        <v>2025</v>
      </c>
      <c r="T163" s="17">
        <v>14.073513664593399</v>
      </c>
      <c r="U163" s="19">
        <v>2025</v>
      </c>
      <c r="V163" s="18">
        <v>0.46400000000000002</v>
      </c>
      <c r="W163" s="18">
        <v>0.39600000000000002</v>
      </c>
      <c r="X163" s="18" t="s">
        <v>46</v>
      </c>
      <c r="Y163" s="18" t="s">
        <v>46</v>
      </c>
      <c r="Z163" s="18" t="s">
        <v>46</v>
      </c>
      <c r="AA163" s="15" t="s">
        <v>47</v>
      </c>
      <c r="AB163" s="15" t="s">
        <v>48</v>
      </c>
      <c r="AC163" s="15" t="s">
        <v>1050</v>
      </c>
      <c r="AD163" s="15" t="s">
        <v>1051</v>
      </c>
      <c r="AE163" s="15" t="s">
        <v>1052</v>
      </c>
      <c r="AF163" s="15" t="s">
        <v>64</v>
      </c>
      <c r="AG163" s="15" t="s">
        <v>53</v>
      </c>
      <c r="AH163" s="15" t="s">
        <v>1053</v>
      </c>
      <c r="AI163" s="15" t="s">
        <v>1054</v>
      </c>
      <c r="AJ163" s="8">
        <f>'Сводка НПЗ'!D163</f>
        <v>9</v>
      </c>
      <c r="AK163" s="8">
        <f>IF('Сводка НПЗ'!F163&gt;0,'Сводка НПЗ'!E163,"")</f>
        <v>725550</v>
      </c>
      <c r="AL163" s="8">
        <f>'Сводка НПЗ'!G163</f>
        <v>0</v>
      </c>
      <c r="AM163" s="6" t="s">
        <v>56</v>
      </c>
      <c r="AN163" s="12" t="s">
        <v>57</v>
      </c>
      <c r="AO163" s="20">
        <v>2024</v>
      </c>
      <c r="AP163" s="20">
        <v>2025</v>
      </c>
      <c r="AQ163" s="20">
        <v>2025</v>
      </c>
      <c r="AR163" s="6" t="s">
        <v>58</v>
      </c>
    </row>
    <row r="164" spans="1:44" ht="42" customHeight="1" x14ac:dyDescent="0.2">
      <c r="A164" s="15">
        <v>163</v>
      </c>
      <c r="B164" s="15" t="s">
        <v>1055</v>
      </c>
      <c r="C164" s="15" t="s">
        <v>1056</v>
      </c>
      <c r="D164" s="16">
        <v>100734.488927</v>
      </c>
      <c r="E164" s="19">
        <v>2024</v>
      </c>
      <c r="F164" s="17">
        <f t="shared" si="2"/>
        <v>36.868822947281998</v>
      </c>
      <c r="G164" s="17">
        <v>51.821711378145622</v>
      </c>
      <c r="H164" s="17">
        <v>26.953094703915909</v>
      </c>
      <c r="I164" s="17">
        <v>14.76993410944096</v>
      </c>
      <c r="J164" s="17">
        <v>1.8536668810154751</v>
      </c>
      <c r="K164" s="17">
        <v>1.5567996708023841</v>
      </c>
      <c r="L164" s="16">
        <v>15202.310264024656</v>
      </c>
      <c r="M164" s="19">
        <v>2025</v>
      </c>
      <c r="N164" s="16">
        <v>15000</v>
      </c>
      <c r="O164" s="16">
        <v>0</v>
      </c>
      <c r="P164" s="17" t="s">
        <v>46</v>
      </c>
      <c r="Q164" s="19" t="s">
        <v>46</v>
      </c>
      <c r="R164" s="17" t="s">
        <v>46</v>
      </c>
      <c r="S164" s="19" t="s">
        <v>46</v>
      </c>
      <c r="T164" s="17" t="s">
        <v>46</v>
      </c>
      <c r="U164" s="19" t="s">
        <v>46</v>
      </c>
      <c r="V164" s="18" t="s">
        <v>46</v>
      </c>
      <c r="W164" s="18" t="s">
        <v>46</v>
      </c>
      <c r="X164" s="18" t="s">
        <v>46</v>
      </c>
      <c r="Y164" s="18" t="s">
        <v>46</v>
      </c>
      <c r="Z164" s="18" t="s">
        <v>46</v>
      </c>
      <c r="AA164" s="15" t="s">
        <v>100</v>
      </c>
      <c r="AB164" s="15" t="s">
        <v>101</v>
      </c>
      <c r="AC164" s="15" t="s">
        <v>1057</v>
      </c>
      <c r="AD164" s="15" t="s">
        <v>103</v>
      </c>
      <c r="AE164" s="15" t="s">
        <v>104</v>
      </c>
      <c r="AF164" s="15" t="s">
        <v>64</v>
      </c>
      <c r="AG164" s="15" t="s">
        <v>106</v>
      </c>
      <c r="AH164" s="15" t="s">
        <v>1058</v>
      </c>
      <c r="AI164" s="15" t="s">
        <v>1059</v>
      </c>
      <c r="AJ164" s="8">
        <f>'Сводка НПЗ'!D164</f>
        <v>2</v>
      </c>
      <c r="AK164" s="8">
        <f>IF('Сводка НПЗ'!F164&gt;0,'Сводка НПЗ'!E164,"")</f>
        <v>140000</v>
      </c>
      <c r="AL164" s="8">
        <f>'Сводка НПЗ'!G164</f>
        <v>0</v>
      </c>
      <c r="AM164" s="6" t="s">
        <v>56</v>
      </c>
      <c r="AN164" s="12" t="s">
        <v>83</v>
      </c>
      <c r="AO164" s="20">
        <v>2024</v>
      </c>
      <c r="AP164" s="20">
        <v>2025</v>
      </c>
      <c r="AQ164" s="20">
        <v>2025</v>
      </c>
      <c r="AR164" s="6" t="s">
        <v>58</v>
      </c>
    </row>
    <row r="165" spans="1:44" ht="42" customHeight="1" x14ac:dyDescent="0.2">
      <c r="A165" s="15">
        <v>164</v>
      </c>
      <c r="B165" s="15" t="s">
        <v>1060</v>
      </c>
      <c r="C165" s="15" t="s">
        <v>1061</v>
      </c>
      <c r="D165" s="16">
        <v>30549.992018000001</v>
      </c>
      <c r="E165" s="19">
        <v>2024</v>
      </c>
      <c r="F165" s="17">
        <f t="shared" si="2"/>
        <v>11.181297078587999</v>
      </c>
      <c r="G165" s="17">
        <v>56.384281082138507</v>
      </c>
      <c r="H165" s="17">
        <v>6.6700140274976087</v>
      </c>
      <c r="I165" s="17">
        <v>7.5766134067603339</v>
      </c>
      <c r="J165" s="17">
        <v>1.3568908749820938</v>
      </c>
      <c r="K165" s="17">
        <v>25.671251512534521</v>
      </c>
      <c r="L165" s="16">
        <v>0</v>
      </c>
      <c r="M165" s="19">
        <v>2025</v>
      </c>
      <c r="N165" s="16">
        <v>0</v>
      </c>
      <c r="O165" s="16">
        <v>0</v>
      </c>
      <c r="P165" s="17">
        <v>11.679910946437099</v>
      </c>
      <c r="Q165" s="19">
        <v>2025</v>
      </c>
      <c r="R165" s="17">
        <v>4.02891976567948</v>
      </c>
      <c r="S165" s="19">
        <v>2025</v>
      </c>
      <c r="T165" s="17">
        <v>1.5479692616707199</v>
      </c>
      <c r="U165" s="19">
        <v>2025</v>
      </c>
      <c r="V165" s="18" t="s">
        <v>46</v>
      </c>
      <c r="W165" s="18" t="s">
        <v>46</v>
      </c>
      <c r="X165" s="18" t="s">
        <v>46</v>
      </c>
      <c r="Y165" s="18" t="s">
        <v>46</v>
      </c>
      <c r="Z165" s="18" t="s">
        <v>46</v>
      </c>
      <c r="AA165" s="15" t="s">
        <v>100</v>
      </c>
      <c r="AB165" s="15" t="s">
        <v>101</v>
      </c>
      <c r="AC165" s="15" t="s">
        <v>1062</v>
      </c>
      <c r="AD165" s="15" t="s">
        <v>1063</v>
      </c>
      <c r="AE165" s="15" t="s">
        <v>104</v>
      </c>
      <c r="AF165" s="15" t="s">
        <v>64</v>
      </c>
      <c r="AG165" s="15" t="s">
        <v>106</v>
      </c>
      <c r="AH165" s="15" t="s">
        <v>1064</v>
      </c>
      <c r="AI165" s="15" t="s">
        <v>1065</v>
      </c>
      <c r="AJ165" s="8">
        <f>'Сводка НПЗ'!D165</f>
        <v>0</v>
      </c>
      <c r="AK165" s="8" t="str">
        <f>IF('Сводка НПЗ'!F165&gt;0,'Сводка НПЗ'!E165,"")</f>
        <v/>
      </c>
      <c r="AL165" s="8">
        <f>'Сводка НПЗ'!G165</f>
        <v>0</v>
      </c>
      <c r="AM165" s="6" t="s">
        <v>56</v>
      </c>
      <c r="AN165" s="12" t="s">
        <v>83</v>
      </c>
      <c r="AO165" s="20">
        <v>2024</v>
      </c>
      <c r="AP165" s="20">
        <v>2025</v>
      </c>
      <c r="AQ165" s="20">
        <v>2025</v>
      </c>
      <c r="AR165" s="6" t="s">
        <v>58</v>
      </c>
    </row>
    <row r="166" spans="1:44" ht="42" customHeight="1" x14ac:dyDescent="0.2">
      <c r="A166" s="15">
        <v>165</v>
      </c>
      <c r="B166" s="15" t="s">
        <v>1066</v>
      </c>
      <c r="C166" s="15" t="s">
        <v>1067</v>
      </c>
      <c r="D166" s="16">
        <v>6337.3780619999998</v>
      </c>
      <c r="E166" s="19">
        <v>2024</v>
      </c>
      <c r="F166" s="17">
        <f t="shared" si="2"/>
        <v>2.3194803706919997</v>
      </c>
      <c r="G166" s="17">
        <v>46.724359743586341</v>
      </c>
      <c r="H166" s="17">
        <v>29.917105504064846</v>
      </c>
      <c r="I166" s="17">
        <v>4.6408127165950352</v>
      </c>
      <c r="J166" s="17">
        <v>16.885045637663897</v>
      </c>
      <c r="K166" s="17">
        <v>0</v>
      </c>
      <c r="L166" s="16">
        <v>84390.716780046001</v>
      </c>
      <c r="M166" s="19">
        <v>2025</v>
      </c>
      <c r="N166" s="16">
        <v>76386.504212529733</v>
      </c>
      <c r="O166" s="16">
        <v>8004.2125675162752</v>
      </c>
      <c r="P166" s="17">
        <v>12.823210425921699</v>
      </c>
      <c r="Q166" s="19">
        <v>2025</v>
      </c>
      <c r="R166" s="17">
        <v>-5.8467850570069304</v>
      </c>
      <c r="S166" s="19">
        <v>2025</v>
      </c>
      <c r="T166" s="17">
        <v>2.9214022730910298</v>
      </c>
      <c r="U166" s="19">
        <v>2024</v>
      </c>
      <c r="V166" s="18" t="s">
        <v>46</v>
      </c>
      <c r="W166" s="18" t="s">
        <v>46</v>
      </c>
      <c r="X166" s="18" t="s">
        <v>46</v>
      </c>
      <c r="Y166" s="18" t="s">
        <v>46</v>
      </c>
      <c r="Z166" s="18" t="s">
        <v>46</v>
      </c>
      <c r="AA166" s="15" t="s">
        <v>100</v>
      </c>
      <c r="AB166" s="15" t="s">
        <v>101</v>
      </c>
      <c r="AC166" s="15" t="s">
        <v>1068</v>
      </c>
      <c r="AD166" s="15" t="s">
        <v>1069</v>
      </c>
      <c r="AE166" s="15" t="s">
        <v>104</v>
      </c>
      <c r="AF166" s="15" t="s">
        <v>64</v>
      </c>
      <c r="AG166" s="15" t="s">
        <v>106</v>
      </c>
      <c r="AH166" s="15" t="s">
        <v>1070</v>
      </c>
      <c r="AI166" s="15" t="s">
        <v>1071</v>
      </c>
      <c r="AJ166" s="8">
        <f>'Сводка НПЗ'!D166</f>
        <v>0</v>
      </c>
      <c r="AK166" s="8" t="str">
        <f>IF('Сводка НПЗ'!F166&gt;0,'Сводка НПЗ'!E166,"")</f>
        <v/>
      </c>
      <c r="AL166" s="8">
        <f>'Сводка НПЗ'!G166</f>
        <v>0</v>
      </c>
      <c r="AM166" s="6" t="s">
        <v>56</v>
      </c>
      <c r="AN166" s="12" t="s">
        <v>83</v>
      </c>
      <c r="AO166" s="20">
        <v>2024</v>
      </c>
      <c r="AP166" s="20">
        <v>2025</v>
      </c>
      <c r="AQ166" s="20">
        <v>2025</v>
      </c>
      <c r="AR166" s="6" t="s">
        <v>58</v>
      </c>
    </row>
    <row r="167" spans="1:44" ht="42" customHeight="1" x14ac:dyDescent="0.2">
      <c r="A167" s="15">
        <v>166</v>
      </c>
      <c r="B167" s="15" t="s">
        <v>1072</v>
      </c>
      <c r="C167" s="15" t="s">
        <v>1073</v>
      </c>
      <c r="D167" s="16">
        <v>3639.9044329999997</v>
      </c>
      <c r="E167" s="19">
        <v>2024</v>
      </c>
      <c r="F167" s="17">
        <f t="shared" si="2"/>
        <v>1.3322050224779998</v>
      </c>
      <c r="G167" s="17">
        <v>18.982711049655737</v>
      </c>
      <c r="H167" s="17">
        <v>17.205525736395071</v>
      </c>
      <c r="I167" s="17">
        <v>2.2497980786958758</v>
      </c>
      <c r="J167" s="17">
        <v>12.580910335125825</v>
      </c>
      <c r="K167" s="17">
        <v>48.981054800127502</v>
      </c>
      <c r="L167" s="16">
        <v>0</v>
      </c>
      <c r="M167" s="19">
        <v>2025</v>
      </c>
      <c r="N167" s="16">
        <v>0</v>
      </c>
      <c r="O167" s="16">
        <v>0</v>
      </c>
      <c r="P167" s="17">
        <v>2.5936739875330601</v>
      </c>
      <c r="Q167" s="19">
        <v>2025</v>
      </c>
      <c r="R167" s="17">
        <v>5.8930920823314601</v>
      </c>
      <c r="S167" s="19">
        <v>2025</v>
      </c>
      <c r="T167" s="17">
        <v>11.561053289751101</v>
      </c>
      <c r="U167" s="19">
        <v>2024</v>
      </c>
      <c r="V167" s="18" t="s">
        <v>46</v>
      </c>
      <c r="W167" s="18" t="s">
        <v>46</v>
      </c>
      <c r="X167" s="18" t="s">
        <v>46</v>
      </c>
      <c r="Y167" s="18" t="s">
        <v>46</v>
      </c>
      <c r="Z167" s="18" t="s">
        <v>46</v>
      </c>
      <c r="AA167" s="15" t="s">
        <v>100</v>
      </c>
      <c r="AB167" s="15" t="s">
        <v>101</v>
      </c>
      <c r="AC167" s="15" t="s">
        <v>1074</v>
      </c>
      <c r="AD167" s="15" t="s">
        <v>1075</v>
      </c>
      <c r="AE167" s="15" t="s">
        <v>104</v>
      </c>
      <c r="AF167" s="15" t="s">
        <v>64</v>
      </c>
      <c r="AG167" s="15" t="s">
        <v>106</v>
      </c>
      <c r="AH167" s="15" t="s">
        <v>1076</v>
      </c>
      <c r="AI167" s="15" t="s">
        <v>1077</v>
      </c>
      <c r="AJ167" s="8">
        <f>'Сводка НПЗ'!D167</f>
        <v>0</v>
      </c>
      <c r="AK167" s="8" t="str">
        <f>IF('Сводка НПЗ'!F167&gt;0,'Сводка НПЗ'!E167,"")</f>
        <v/>
      </c>
      <c r="AL167" s="8">
        <f>'Сводка НПЗ'!G167</f>
        <v>0</v>
      </c>
      <c r="AM167" s="6" t="s">
        <v>56</v>
      </c>
      <c r="AN167" s="12" t="s">
        <v>83</v>
      </c>
      <c r="AO167" s="20">
        <v>2024</v>
      </c>
      <c r="AP167" s="20">
        <v>2025</v>
      </c>
      <c r="AQ167" s="20">
        <v>2025</v>
      </c>
      <c r="AR167" s="6" t="s">
        <v>58</v>
      </c>
    </row>
    <row r="168" spans="1:44" ht="42" customHeight="1" x14ac:dyDescent="0.2">
      <c r="A168" s="15">
        <v>167</v>
      </c>
      <c r="B168" s="15" t="s">
        <v>1078</v>
      </c>
      <c r="C168" s="15" t="s">
        <v>1079</v>
      </c>
      <c r="D168" s="16">
        <v>317891.38082191779</v>
      </c>
      <c r="E168" s="19">
        <v>2025</v>
      </c>
      <c r="F168" s="17">
        <f t="shared" si="2"/>
        <v>116.030354</v>
      </c>
      <c r="G168" s="17">
        <v>19.644792258411968</v>
      </c>
      <c r="H168" s="17">
        <v>1.9894095988020513</v>
      </c>
      <c r="I168" s="17">
        <v>1.9352401527620953</v>
      </c>
      <c r="J168" s="17">
        <v>85.356601600991411</v>
      </c>
      <c r="K168" s="17">
        <v>33.733633183606422</v>
      </c>
      <c r="L168" s="16">
        <v>96</v>
      </c>
      <c r="M168" s="19">
        <v>2025</v>
      </c>
      <c r="N168" s="16">
        <v>0</v>
      </c>
      <c r="O168" s="16">
        <v>0</v>
      </c>
      <c r="P168" s="17">
        <v>427.31031592199298</v>
      </c>
      <c r="Q168" s="19">
        <v>2025</v>
      </c>
      <c r="R168" s="17">
        <v>3.4876488635594902</v>
      </c>
      <c r="S168" s="19">
        <v>2025</v>
      </c>
      <c r="T168" s="17">
        <v>1.43633540372673</v>
      </c>
      <c r="U168" s="19">
        <v>2025</v>
      </c>
      <c r="V168" s="18">
        <v>4.1959999999999997</v>
      </c>
      <c r="W168" s="18">
        <v>4.6950000000000003</v>
      </c>
      <c r="X168" s="18" t="s">
        <v>46</v>
      </c>
      <c r="Y168" s="18" t="s">
        <v>46</v>
      </c>
      <c r="Z168" s="18" t="s">
        <v>46</v>
      </c>
      <c r="AA168" s="15" t="s">
        <v>47</v>
      </c>
      <c r="AB168" s="15" t="s">
        <v>48</v>
      </c>
      <c r="AC168" s="15" t="s">
        <v>1080</v>
      </c>
      <c r="AD168" s="15" t="s">
        <v>1081</v>
      </c>
      <c r="AE168" s="15" t="s">
        <v>1082</v>
      </c>
      <c r="AF168" s="15" t="s">
        <v>52</v>
      </c>
      <c r="AG168" s="15" t="s">
        <v>53</v>
      </c>
      <c r="AH168" s="15" t="s">
        <v>1083</v>
      </c>
      <c r="AI168" s="15" t="s">
        <v>1084</v>
      </c>
      <c r="AJ168" s="8">
        <f>'Сводка НПЗ'!D168</f>
        <v>0</v>
      </c>
      <c r="AK168" s="8" t="str">
        <f>IF('Сводка НПЗ'!F168&gt;0,'Сводка НПЗ'!E168,"")</f>
        <v/>
      </c>
      <c r="AL168" s="8">
        <f>'Сводка НПЗ'!G168</f>
        <v>0</v>
      </c>
      <c r="AM168" s="6" t="s">
        <v>56</v>
      </c>
      <c r="AN168" s="12" t="s">
        <v>83</v>
      </c>
      <c r="AO168" s="20">
        <v>2025</v>
      </c>
      <c r="AP168" s="20">
        <v>2025</v>
      </c>
      <c r="AQ168" s="20">
        <v>2025</v>
      </c>
      <c r="AR168" s="6" t="s">
        <v>58</v>
      </c>
    </row>
    <row r="169" spans="1:44" ht="42" customHeight="1" x14ac:dyDescent="0.2">
      <c r="A169" s="15">
        <v>168</v>
      </c>
      <c r="B169" s="15" t="s">
        <v>1085</v>
      </c>
      <c r="C169" s="15" t="s">
        <v>1086</v>
      </c>
      <c r="D169" s="16" t="s">
        <v>46</v>
      </c>
      <c r="E169" s="19" t="s">
        <v>46</v>
      </c>
      <c r="F169" s="17" t="str">
        <f t="shared" si="2"/>
        <v>н/д</v>
      </c>
      <c r="G169" s="17" t="s">
        <v>46</v>
      </c>
      <c r="H169" s="17" t="s">
        <v>46</v>
      </c>
      <c r="I169" s="17" t="s">
        <v>46</v>
      </c>
      <c r="J169" s="17" t="s">
        <v>46</v>
      </c>
      <c r="K169" s="17" t="s">
        <v>46</v>
      </c>
      <c r="L169" s="16" t="s">
        <v>46</v>
      </c>
      <c r="M169" s="19" t="s">
        <v>46</v>
      </c>
      <c r="N169" s="16" t="s">
        <v>46</v>
      </c>
      <c r="O169" s="16" t="s">
        <v>46</v>
      </c>
      <c r="P169" s="17" t="s">
        <v>46</v>
      </c>
      <c r="Q169" s="19" t="s">
        <v>46</v>
      </c>
      <c r="R169" s="17" t="s">
        <v>46</v>
      </c>
      <c r="S169" s="19" t="s">
        <v>46</v>
      </c>
      <c r="T169" s="17" t="s">
        <v>46</v>
      </c>
      <c r="U169" s="19" t="s">
        <v>46</v>
      </c>
      <c r="V169" s="18" t="s">
        <v>46</v>
      </c>
      <c r="W169" s="18" t="s">
        <v>46</v>
      </c>
      <c r="X169" s="18" t="s">
        <v>46</v>
      </c>
      <c r="Y169" s="18" t="s">
        <v>46</v>
      </c>
      <c r="Z169" s="18" t="s">
        <v>46</v>
      </c>
      <c r="AA169" s="15" t="s">
        <v>100</v>
      </c>
      <c r="AB169" s="15" t="s">
        <v>101</v>
      </c>
      <c r="AC169" s="15" t="s">
        <v>198</v>
      </c>
      <c r="AD169" s="15" t="s">
        <v>103</v>
      </c>
      <c r="AE169" s="15" t="s">
        <v>104</v>
      </c>
      <c r="AF169" s="15" t="s">
        <v>105</v>
      </c>
      <c r="AG169" s="15" t="s">
        <v>106</v>
      </c>
      <c r="AH169" s="15" t="s">
        <v>1087</v>
      </c>
      <c r="AI169" s="15" t="s">
        <v>1088</v>
      </c>
      <c r="AJ169" s="8">
        <f>'Сводка НПЗ'!D169</f>
        <v>0</v>
      </c>
      <c r="AK169" s="8" t="str">
        <f>IF('Сводка НПЗ'!F169&gt;0,'Сводка НПЗ'!E169,"")</f>
        <v/>
      </c>
      <c r="AL169" s="8">
        <f>'Сводка НПЗ'!G169</f>
        <v>0</v>
      </c>
      <c r="AM169" s="6" t="s">
        <v>56</v>
      </c>
      <c r="AN169" s="12" t="s">
        <v>83</v>
      </c>
      <c r="AO169" s="20"/>
      <c r="AP169" s="20"/>
      <c r="AQ169" s="20"/>
      <c r="AR169" s="6" t="s">
        <v>58</v>
      </c>
    </row>
    <row r="170" spans="1:44" ht="42" customHeight="1" x14ac:dyDescent="0.2">
      <c r="A170" s="15">
        <v>169</v>
      </c>
      <c r="B170" s="15" t="s">
        <v>1089</v>
      </c>
      <c r="C170" s="15" t="s">
        <v>1090</v>
      </c>
      <c r="D170" s="16" t="s">
        <v>46</v>
      </c>
      <c r="E170" s="19" t="s">
        <v>46</v>
      </c>
      <c r="F170" s="17" t="str">
        <f t="shared" si="2"/>
        <v>н/д</v>
      </c>
      <c r="G170" s="17" t="s">
        <v>46</v>
      </c>
      <c r="H170" s="17" t="s">
        <v>46</v>
      </c>
      <c r="I170" s="17" t="s">
        <v>46</v>
      </c>
      <c r="J170" s="17" t="s">
        <v>46</v>
      </c>
      <c r="K170" s="17" t="s">
        <v>46</v>
      </c>
      <c r="L170" s="16" t="s">
        <v>46</v>
      </c>
      <c r="M170" s="19" t="s">
        <v>46</v>
      </c>
      <c r="N170" s="16" t="s">
        <v>46</v>
      </c>
      <c r="O170" s="16" t="s">
        <v>46</v>
      </c>
      <c r="P170" s="17" t="s">
        <v>46</v>
      </c>
      <c r="Q170" s="19" t="s">
        <v>46</v>
      </c>
      <c r="R170" s="17" t="s">
        <v>46</v>
      </c>
      <c r="S170" s="19" t="s">
        <v>46</v>
      </c>
      <c r="T170" s="17" t="s">
        <v>46</v>
      </c>
      <c r="U170" s="19" t="s">
        <v>46</v>
      </c>
      <c r="V170" s="18" t="s">
        <v>46</v>
      </c>
      <c r="W170" s="18" t="s">
        <v>46</v>
      </c>
      <c r="X170" s="18" t="s">
        <v>46</v>
      </c>
      <c r="Y170" s="18" t="s">
        <v>46</v>
      </c>
      <c r="Z170" s="18" t="s">
        <v>46</v>
      </c>
      <c r="AA170" s="15" t="s">
        <v>100</v>
      </c>
      <c r="AB170" s="15" t="s">
        <v>101</v>
      </c>
      <c r="AC170" s="15" t="s">
        <v>198</v>
      </c>
      <c r="AD170" s="15" t="s">
        <v>103</v>
      </c>
      <c r="AE170" s="15" t="s">
        <v>104</v>
      </c>
      <c r="AF170" s="15" t="s">
        <v>105</v>
      </c>
      <c r="AG170" s="15" t="s">
        <v>106</v>
      </c>
      <c r="AH170" s="15" t="s">
        <v>46</v>
      </c>
      <c r="AI170" s="15" t="s">
        <v>46</v>
      </c>
      <c r="AJ170" s="8">
        <f>'Сводка НПЗ'!D170</f>
        <v>0</v>
      </c>
      <c r="AK170" s="8" t="str">
        <f>IF('Сводка НПЗ'!F170&gt;0,'Сводка НПЗ'!E170,"")</f>
        <v/>
      </c>
      <c r="AL170" s="8">
        <f>'Сводка НПЗ'!G170</f>
        <v>0</v>
      </c>
      <c r="AM170" s="6" t="s">
        <v>56</v>
      </c>
      <c r="AN170" s="12" t="s">
        <v>83</v>
      </c>
      <c r="AO170" s="20"/>
      <c r="AP170" s="20"/>
      <c r="AQ170" s="20"/>
      <c r="AR170" s="6" t="s">
        <v>58</v>
      </c>
    </row>
    <row r="171" spans="1:44" ht="42" customHeight="1" x14ac:dyDescent="0.2">
      <c r="A171" s="15">
        <v>170</v>
      </c>
      <c r="B171" s="15" t="s">
        <v>1091</v>
      </c>
      <c r="C171" s="15" t="s">
        <v>1092</v>
      </c>
      <c r="D171" s="16" t="s">
        <v>46</v>
      </c>
      <c r="E171" s="19" t="s">
        <v>46</v>
      </c>
      <c r="F171" s="17" t="str">
        <f t="shared" si="2"/>
        <v>н/д</v>
      </c>
      <c r="G171" s="17" t="s">
        <v>46</v>
      </c>
      <c r="H171" s="17" t="s">
        <v>46</v>
      </c>
      <c r="I171" s="17" t="s">
        <v>46</v>
      </c>
      <c r="J171" s="17" t="s">
        <v>46</v>
      </c>
      <c r="K171" s="17" t="s">
        <v>46</v>
      </c>
      <c r="L171" s="16" t="s">
        <v>46</v>
      </c>
      <c r="M171" s="19" t="s">
        <v>46</v>
      </c>
      <c r="N171" s="16" t="s">
        <v>46</v>
      </c>
      <c r="O171" s="16" t="s">
        <v>46</v>
      </c>
      <c r="P171" s="17" t="s">
        <v>46</v>
      </c>
      <c r="Q171" s="19" t="s">
        <v>46</v>
      </c>
      <c r="R171" s="17" t="s">
        <v>46</v>
      </c>
      <c r="S171" s="19" t="s">
        <v>46</v>
      </c>
      <c r="T171" s="17" t="s">
        <v>46</v>
      </c>
      <c r="U171" s="19" t="s">
        <v>46</v>
      </c>
      <c r="V171" s="18" t="s">
        <v>46</v>
      </c>
      <c r="W171" s="18" t="s">
        <v>46</v>
      </c>
      <c r="X171" s="18" t="s">
        <v>46</v>
      </c>
      <c r="Y171" s="18" t="s">
        <v>46</v>
      </c>
      <c r="Z171" s="18" t="s">
        <v>46</v>
      </c>
      <c r="AA171" s="15" t="s">
        <v>100</v>
      </c>
      <c r="AB171" s="15" t="s">
        <v>101</v>
      </c>
      <c r="AC171" s="15" t="s">
        <v>198</v>
      </c>
      <c r="AD171" s="15" t="s">
        <v>103</v>
      </c>
      <c r="AE171" s="15" t="s">
        <v>104</v>
      </c>
      <c r="AF171" s="15" t="s">
        <v>105</v>
      </c>
      <c r="AG171" s="15" t="s">
        <v>106</v>
      </c>
      <c r="AH171" s="15" t="s">
        <v>46</v>
      </c>
      <c r="AI171" s="15" t="s">
        <v>46</v>
      </c>
      <c r="AJ171" s="8">
        <f>'Сводка НПЗ'!D171</f>
        <v>0</v>
      </c>
      <c r="AK171" s="8" t="str">
        <f>IF('Сводка НПЗ'!F171&gt;0,'Сводка НПЗ'!E171,"")</f>
        <v/>
      </c>
      <c r="AL171" s="8">
        <f>'Сводка НПЗ'!G171</f>
        <v>0</v>
      </c>
      <c r="AM171" s="6" t="s">
        <v>56</v>
      </c>
      <c r="AN171" s="12" t="s">
        <v>83</v>
      </c>
      <c r="AO171" s="20"/>
      <c r="AP171" s="20"/>
      <c r="AQ171" s="20"/>
      <c r="AR171" s="6" t="s">
        <v>58</v>
      </c>
    </row>
    <row r="172" spans="1:44" ht="42" customHeight="1" x14ac:dyDescent="0.2">
      <c r="A172" s="15">
        <v>171</v>
      </c>
      <c r="B172" s="15" t="s">
        <v>1093</v>
      </c>
      <c r="C172" s="15" t="s">
        <v>1094</v>
      </c>
      <c r="D172" s="16" t="s">
        <v>46</v>
      </c>
      <c r="E172" s="19" t="s">
        <v>46</v>
      </c>
      <c r="F172" s="17" t="str">
        <f t="shared" si="2"/>
        <v>н/д</v>
      </c>
      <c r="G172" s="17" t="s">
        <v>46</v>
      </c>
      <c r="H172" s="17" t="s">
        <v>46</v>
      </c>
      <c r="I172" s="17" t="s">
        <v>46</v>
      </c>
      <c r="J172" s="17" t="s">
        <v>46</v>
      </c>
      <c r="K172" s="17" t="s">
        <v>46</v>
      </c>
      <c r="L172" s="16" t="s">
        <v>46</v>
      </c>
      <c r="M172" s="19" t="s">
        <v>46</v>
      </c>
      <c r="N172" s="16" t="s">
        <v>46</v>
      </c>
      <c r="O172" s="16" t="s">
        <v>46</v>
      </c>
      <c r="P172" s="17" t="s">
        <v>46</v>
      </c>
      <c r="Q172" s="19" t="s">
        <v>46</v>
      </c>
      <c r="R172" s="17" t="s">
        <v>46</v>
      </c>
      <c r="S172" s="19" t="s">
        <v>46</v>
      </c>
      <c r="T172" s="17" t="s">
        <v>46</v>
      </c>
      <c r="U172" s="19" t="s">
        <v>46</v>
      </c>
      <c r="V172" s="18" t="s">
        <v>46</v>
      </c>
      <c r="W172" s="18" t="s">
        <v>46</v>
      </c>
      <c r="X172" s="18" t="s">
        <v>46</v>
      </c>
      <c r="Y172" s="18" t="s">
        <v>46</v>
      </c>
      <c r="Z172" s="18" t="s">
        <v>46</v>
      </c>
      <c r="AA172" s="15" t="s">
        <v>100</v>
      </c>
      <c r="AB172" s="15" t="s">
        <v>101</v>
      </c>
      <c r="AC172" s="15" t="s">
        <v>198</v>
      </c>
      <c r="AD172" s="15" t="s">
        <v>103</v>
      </c>
      <c r="AE172" s="15" t="s">
        <v>104</v>
      </c>
      <c r="AF172" s="15" t="s">
        <v>105</v>
      </c>
      <c r="AG172" s="15" t="s">
        <v>106</v>
      </c>
      <c r="AH172" s="15" t="s">
        <v>46</v>
      </c>
      <c r="AI172" s="15" t="s">
        <v>46</v>
      </c>
      <c r="AJ172" s="8">
        <f>'Сводка НПЗ'!D172</f>
        <v>0</v>
      </c>
      <c r="AK172" s="8" t="str">
        <f>IF('Сводка НПЗ'!F172&gt;0,'Сводка НПЗ'!E172,"")</f>
        <v/>
      </c>
      <c r="AL172" s="8">
        <f>'Сводка НПЗ'!G172</f>
        <v>0</v>
      </c>
      <c r="AM172" s="6" t="s">
        <v>56</v>
      </c>
      <c r="AN172" s="12" t="s">
        <v>83</v>
      </c>
      <c r="AO172" s="20"/>
      <c r="AP172" s="20"/>
      <c r="AQ172" s="20"/>
      <c r="AR172" s="6" t="s">
        <v>58</v>
      </c>
    </row>
    <row r="173" spans="1:44" ht="42" customHeight="1" x14ac:dyDescent="0.2">
      <c r="A173" s="15">
        <v>172</v>
      </c>
      <c r="B173" s="15" t="s">
        <v>1095</v>
      </c>
      <c r="C173" s="15" t="s">
        <v>1096</v>
      </c>
      <c r="D173" s="16" t="s">
        <v>46</v>
      </c>
      <c r="E173" s="19" t="s">
        <v>46</v>
      </c>
      <c r="F173" s="17" t="str">
        <f t="shared" si="2"/>
        <v>н/д</v>
      </c>
      <c r="G173" s="17" t="s">
        <v>46</v>
      </c>
      <c r="H173" s="17" t="s">
        <v>46</v>
      </c>
      <c r="I173" s="17" t="s">
        <v>46</v>
      </c>
      <c r="J173" s="17" t="s">
        <v>46</v>
      </c>
      <c r="K173" s="17" t="s">
        <v>46</v>
      </c>
      <c r="L173" s="16" t="s">
        <v>46</v>
      </c>
      <c r="M173" s="19" t="s">
        <v>46</v>
      </c>
      <c r="N173" s="16" t="s">
        <v>46</v>
      </c>
      <c r="O173" s="16" t="s">
        <v>46</v>
      </c>
      <c r="P173" s="17">
        <v>306.23920965002401</v>
      </c>
      <c r="Q173" s="19">
        <v>2025</v>
      </c>
      <c r="R173" s="17">
        <v>6.5</v>
      </c>
      <c r="S173" s="19">
        <v>2025</v>
      </c>
      <c r="T173" s="17">
        <v>11.3879454675914</v>
      </c>
      <c r="U173" s="19">
        <v>2025</v>
      </c>
      <c r="V173" s="18" t="s">
        <v>46</v>
      </c>
      <c r="W173" s="18" t="s">
        <v>46</v>
      </c>
      <c r="X173" s="18" t="s">
        <v>46</v>
      </c>
      <c r="Y173" s="18" t="s">
        <v>46</v>
      </c>
      <c r="Z173" s="18" t="s">
        <v>46</v>
      </c>
      <c r="AA173" s="15" t="s">
        <v>100</v>
      </c>
      <c r="AB173" s="15" t="s">
        <v>101</v>
      </c>
      <c r="AC173" s="15" t="s">
        <v>198</v>
      </c>
      <c r="AD173" s="15" t="s">
        <v>332</v>
      </c>
      <c r="AE173" s="15" t="s">
        <v>104</v>
      </c>
      <c r="AF173" s="15" t="s">
        <v>105</v>
      </c>
      <c r="AG173" s="15" t="s">
        <v>106</v>
      </c>
      <c r="AH173" s="15" t="s">
        <v>334</v>
      </c>
      <c r="AI173" s="15" t="s">
        <v>335</v>
      </c>
      <c r="AJ173" s="8">
        <f>'Сводка НПЗ'!D173</f>
        <v>0</v>
      </c>
      <c r="AK173" s="8" t="str">
        <f>IF('Сводка НПЗ'!F173&gt;0,'Сводка НПЗ'!E173,"")</f>
        <v/>
      </c>
      <c r="AL173" s="8">
        <f>'Сводка НПЗ'!G173</f>
        <v>0</v>
      </c>
      <c r="AM173" s="6" t="s">
        <v>56</v>
      </c>
      <c r="AN173" s="12" t="s">
        <v>83</v>
      </c>
      <c r="AO173" s="20"/>
      <c r="AP173" s="20"/>
      <c r="AQ173" s="20"/>
      <c r="AR173" s="6" t="s">
        <v>58</v>
      </c>
    </row>
    <row r="174" spans="1:44" ht="42" customHeight="1" x14ac:dyDescent="0.2">
      <c r="A174" s="15">
        <v>173</v>
      </c>
      <c r="B174" s="15" t="s">
        <v>1097</v>
      </c>
      <c r="C174" s="15" t="s">
        <v>1098</v>
      </c>
      <c r="D174" s="16" t="s">
        <v>46</v>
      </c>
      <c r="E174" s="19" t="s">
        <v>46</v>
      </c>
      <c r="F174" s="17" t="str">
        <f t="shared" si="2"/>
        <v>н/д</v>
      </c>
      <c r="G174" s="17" t="s">
        <v>46</v>
      </c>
      <c r="H174" s="17" t="s">
        <v>46</v>
      </c>
      <c r="I174" s="17" t="s">
        <v>46</v>
      </c>
      <c r="J174" s="17" t="s">
        <v>46</v>
      </c>
      <c r="K174" s="17" t="s">
        <v>46</v>
      </c>
      <c r="L174" s="16" t="s">
        <v>46</v>
      </c>
      <c r="M174" s="19" t="s">
        <v>46</v>
      </c>
      <c r="N174" s="16" t="s">
        <v>46</v>
      </c>
      <c r="O174" s="16" t="s">
        <v>46</v>
      </c>
      <c r="P174" s="17" t="s">
        <v>46</v>
      </c>
      <c r="Q174" s="19" t="s">
        <v>46</v>
      </c>
      <c r="R174" s="17" t="s">
        <v>46</v>
      </c>
      <c r="S174" s="19" t="s">
        <v>46</v>
      </c>
      <c r="T174" s="17" t="s">
        <v>46</v>
      </c>
      <c r="U174" s="19" t="s">
        <v>46</v>
      </c>
      <c r="V174" s="18" t="s">
        <v>46</v>
      </c>
      <c r="W174" s="18" t="s">
        <v>46</v>
      </c>
      <c r="X174" s="18" t="s">
        <v>46</v>
      </c>
      <c r="Y174" s="18" t="s">
        <v>46</v>
      </c>
      <c r="Z174" s="18" t="s">
        <v>46</v>
      </c>
      <c r="AA174" s="15" t="s">
        <v>100</v>
      </c>
      <c r="AB174" s="15" t="s">
        <v>101</v>
      </c>
      <c r="AC174" s="15" t="s">
        <v>198</v>
      </c>
      <c r="AD174" s="15" t="s">
        <v>103</v>
      </c>
      <c r="AE174" s="15" t="s">
        <v>104</v>
      </c>
      <c r="AF174" s="15" t="s">
        <v>105</v>
      </c>
      <c r="AG174" s="15" t="s">
        <v>106</v>
      </c>
      <c r="AH174" s="15" t="s">
        <v>46</v>
      </c>
      <c r="AI174" s="15" t="s">
        <v>46</v>
      </c>
      <c r="AJ174" s="8">
        <f>'Сводка НПЗ'!D174</f>
        <v>0</v>
      </c>
      <c r="AK174" s="8" t="str">
        <f>IF('Сводка НПЗ'!F174&gt;0,'Сводка НПЗ'!E174,"")</f>
        <v/>
      </c>
      <c r="AL174" s="8">
        <f>'Сводка НПЗ'!G174</f>
        <v>0</v>
      </c>
      <c r="AM174" s="6" t="s">
        <v>56</v>
      </c>
      <c r="AN174" s="12" t="s">
        <v>83</v>
      </c>
      <c r="AO174" s="20"/>
      <c r="AP174" s="20"/>
      <c r="AQ174" s="20"/>
      <c r="AR174" s="6" t="s">
        <v>58</v>
      </c>
    </row>
    <row r="175" spans="1:44" ht="42" customHeight="1" x14ac:dyDescent="0.2">
      <c r="A175" s="15">
        <v>174</v>
      </c>
      <c r="B175" s="15" t="s">
        <v>1099</v>
      </c>
      <c r="C175" s="15" t="s">
        <v>1100</v>
      </c>
      <c r="D175" s="16" t="s">
        <v>46</v>
      </c>
      <c r="E175" s="19" t="s">
        <v>46</v>
      </c>
      <c r="F175" s="17" t="str">
        <f t="shared" si="2"/>
        <v>н/д</v>
      </c>
      <c r="G175" s="17" t="s">
        <v>46</v>
      </c>
      <c r="H175" s="17" t="s">
        <v>46</v>
      </c>
      <c r="I175" s="17" t="s">
        <v>46</v>
      </c>
      <c r="J175" s="17" t="s">
        <v>46</v>
      </c>
      <c r="K175" s="17" t="s">
        <v>46</v>
      </c>
      <c r="L175" s="16" t="s">
        <v>46</v>
      </c>
      <c r="M175" s="19" t="s">
        <v>46</v>
      </c>
      <c r="N175" s="16" t="s">
        <v>46</v>
      </c>
      <c r="O175" s="16" t="s">
        <v>46</v>
      </c>
      <c r="P175" s="17" t="s">
        <v>46</v>
      </c>
      <c r="Q175" s="19" t="s">
        <v>46</v>
      </c>
      <c r="R175" s="17" t="s">
        <v>46</v>
      </c>
      <c r="S175" s="19" t="s">
        <v>46</v>
      </c>
      <c r="T175" s="17" t="s">
        <v>46</v>
      </c>
      <c r="U175" s="19" t="s">
        <v>46</v>
      </c>
      <c r="V175" s="18" t="s">
        <v>46</v>
      </c>
      <c r="W175" s="18" t="s">
        <v>46</v>
      </c>
      <c r="X175" s="18" t="s">
        <v>46</v>
      </c>
      <c r="Y175" s="18" t="s">
        <v>46</v>
      </c>
      <c r="Z175" s="18" t="s">
        <v>46</v>
      </c>
      <c r="AA175" s="15" t="s">
        <v>100</v>
      </c>
      <c r="AB175" s="15" t="s">
        <v>101</v>
      </c>
      <c r="AC175" s="15" t="s">
        <v>198</v>
      </c>
      <c r="AD175" s="15" t="s">
        <v>103</v>
      </c>
      <c r="AE175" s="15" t="s">
        <v>104</v>
      </c>
      <c r="AF175" s="15" t="s">
        <v>105</v>
      </c>
      <c r="AG175" s="15" t="s">
        <v>106</v>
      </c>
      <c r="AH175" s="15" t="s">
        <v>46</v>
      </c>
      <c r="AI175" s="15" t="s">
        <v>46</v>
      </c>
      <c r="AJ175" s="8">
        <f>'Сводка НПЗ'!D175</f>
        <v>0</v>
      </c>
      <c r="AK175" s="8" t="str">
        <f>IF('Сводка НПЗ'!F175&gt;0,'Сводка НПЗ'!E175,"")</f>
        <v/>
      </c>
      <c r="AL175" s="8">
        <f>'Сводка НПЗ'!G175</f>
        <v>0</v>
      </c>
      <c r="AM175" s="6" t="s">
        <v>56</v>
      </c>
      <c r="AN175" s="12" t="s">
        <v>83</v>
      </c>
      <c r="AO175" s="20"/>
      <c r="AP175" s="20"/>
      <c r="AQ175" s="20"/>
      <c r="AR175" s="6" t="s">
        <v>58</v>
      </c>
    </row>
    <row r="176" spans="1:44" ht="42" customHeight="1" x14ac:dyDescent="0.2">
      <c r="A176" s="15">
        <v>175</v>
      </c>
      <c r="B176" s="15" t="s">
        <v>1101</v>
      </c>
      <c r="C176" s="15" t="s">
        <v>1102</v>
      </c>
      <c r="D176" s="16" t="s">
        <v>46</v>
      </c>
      <c r="E176" s="19" t="s">
        <v>46</v>
      </c>
      <c r="F176" s="17" t="str">
        <f t="shared" si="2"/>
        <v>н/д</v>
      </c>
      <c r="G176" s="17" t="s">
        <v>46</v>
      </c>
      <c r="H176" s="17" t="s">
        <v>46</v>
      </c>
      <c r="I176" s="17" t="s">
        <v>46</v>
      </c>
      <c r="J176" s="17" t="s">
        <v>46</v>
      </c>
      <c r="K176" s="17" t="s">
        <v>46</v>
      </c>
      <c r="L176" s="16" t="s">
        <v>46</v>
      </c>
      <c r="M176" s="19" t="s">
        <v>46</v>
      </c>
      <c r="N176" s="16" t="s">
        <v>46</v>
      </c>
      <c r="O176" s="16" t="s">
        <v>46</v>
      </c>
      <c r="P176" s="17" t="s">
        <v>46</v>
      </c>
      <c r="Q176" s="19" t="s">
        <v>46</v>
      </c>
      <c r="R176" s="17" t="s">
        <v>46</v>
      </c>
      <c r="S176" s="19" t="s">
        <v>46</v>
      </c>
      <c r="T176" s="17" t="s">
        <v>46</v>
      </c>
      <c r="U176" s="19" t="s">
        <v>46</v>
      </c>
      <c r="V176" s="18" t="s">
        <v>46</v>
      </c>
      <c r="W176" s="18" t="s">
        <v>46</v>
      </c>
      <c r="X176" s="18" t="s">
        <v>46</v>
      </c>
      <c r="Y176" s="18" t="s">
        <v>46</v>
      </c>
      <c r="Z176" s="18" t="s">
        <v>46</v>
      </c>
      <c r="AA176" s="15" t="s">
        <v>100</v>
      </c>
      <c r="AB176" s="15" t="s">
        <v>101</v>
      </c>
      <c r="AC176" s="15" t="s">
        <v>198</v>
      </c>
      <c r="AD176" s="15" t="s">
        <v>103</v>
      </c>
      <c r="AE176" s="15" t="s">
        <v>104</v>
      </c>
      <c r="AF176" s="15" t="s">
        <v>105</v>
      </c>
      <c r="AG176" s="15" t="s">
        <v>106</v>
      </c>
      <c r="AH176" s="15" t="s">
        <v>46</v>
      </c>
      <c r="AI176" s="15" t="s">
        <v>46</v>
      </c>
      <c r="AJ176" s="8">
        <f>'Сводка НПЗ'!D176</f>
        <v>0</v>
      </c>
      <c r="AK176" s="8" t="str">
        <f>IF('Сводка НПЗ'!F176&gt;0,'Сводка НПЗ'!E176,"")</f>
        <v/>
      </c>
      <c r="AL176" s="8">
        <f>'Сводка НПЗ'!G176</f>
        <v>0</v>
      </c>
      <c r="AM176" s="6" t="s">
        <v>56</v>
      </c>
      <c r="AN176" s="12" t="s">
        <v>83</v>
      </c>
      <c r="AO176" s="20"/>
      <c r="AP176" s="20"/>
      <c r="AQ176" s="20"/>
      <c r="AR176" s="6" t="s">
        <v>58</v>
      </c>
    </row>
    <row r="177" spans="1:44" ht="42" customHeight="1" x14ac:dyDescent="0.2">
      <c r="A177" s="15">
        <v>176</v>
      </c>
      <c r="B177" s="15" t="s">
        <v>1103</v>
      </c>
      <c r="C177" s="15" t="s">
        <v>1104</v>
      </c>
      <c r="D177" s="16">
        <v>78.7</v>
      </c>
      <c r="E177" s="19">
        <v>2024</v>
      </c>
      <c r="F177" s="17">
        <f t="shared" si="2"/>
        <v>2.8804200000000002E-2</v>
      </c>
      <c r="G177" s="17">
        <v>54.078780177890728</v>
      </c>
      <c r="H177" s="17">
        <v>0.11435832274459974</v>
      </c>
      <c r="I177" s="17">
        <v>0</v>
      </c>
      <c r="J177" s="17">
        <v>0</v>
      </c>
      <c r="K177" s="17">
        <v>45.806861499364672</v>
      </c>
      <c r="L177" s="16">
        <v>0</v>
      </c>
      <c r="M177" s="19">
        <v>2025</v>
      </c>
      <c r="N177" s="16">
        <v>0</v>
      </c>
      <c r="O177" s="16">
        <v>0</v>
      </c>
      <c r="P177" s="17" t="s">
        <v>46</v>
      </c>
      <c r="Q177" s="19" t="s">
        <v>46</v>
      </c>
      <c r="R177" s="17" t="s">
        <v>46</v>
      </c>
      <c r="S177" s="19" t="s">
        <v>46</v>
      </c>
      <c r="T177" s="17" t="s">
        <v>46</v>
      </c>
      <c r="U177" s="19" t="s">
        <v>46</v>
      </c>
      <c r="V177" s="18" t="s">
        <v>46</v>
      </c>
      <c r="W177" s="18" t="s">
        <v>46</v>
      </c>
      <c r="X177" s="18" t="s">
        <v>46</v>
      </c>
      <c r="Y177" s="18" t="s">
        <v>46</v>
      </c>
      <c r="Z177" s="18" t="s">
        <v>46</v>
      </c>
      <c r="AA177" s="15" t="s">
        <v>100</v>
      </c>
      <c r="AB177" s="15" t="s">
        <v>101</v>
      </c>
      <c r="AC177" s="15" t="s">
        <v>421</v>
      </c>
      <c r="AD177" s="15" t="s">
        <v>103</v>
      </c>
      <c r="AE177" s="15" t="s">
        <v>104</v>
      </c>
      <c r="AF177" s="15" t="s">
        <v>64</v>
      </c>
      <c r="AG177" s="15" t="s">
        <v>106</v>
      </c>
      <c r="AH177" s="15" t="s">
        <v>1105</v>
      </c>
      <c r="AI177" s="15" t="s">
        <v>1106</v>
      </c>
      <c r="AJ177" s="8">
        <f>'Сводка НПЗ'!D177</f>
        <v>0</v>
      </c>
      <c r="AK177" s="8" t="str">
        <f>IF('Сводка НПЗ'!F177&gt;0,'Сводка НПЗ'!E177,"")</f>
        <v/>
      </c>
      <c r="AL177" s="8">
        <f>'Сводка НПЗ'!G177</f>
        <v>0</v>
      </c>
      <c r="AM177" s="6" t="s">
        <v>56</v>
      </c>
      <c r="AN177" s="12" t="s">
        <v>83</v>
      </c>
      <c r="AO177" s="20">
        <v>2024</v>
      </c>
      <c r="AP177" s="20">
        <v>2025</v>
      </c>
      <c r="AQ177" s="20">
        <v>2025</v>
      </c>
      <c r="AR177" s="6" t="s">
        <v>58</v>
      </c>
    </row>
    <row r="178" spans="1:44" ht="42" customHeight="1" x14ac:dyDescent="0.2">
      <c r="A178" s="15">
        <v>177</v>
      </c>
      <c r="B178" s="15" t="s">
        <v>1107</v>
      </c>
      <c r="C178" s="15" t="s">
        <v>1108</v>
      </c>
      <c r="D178" s="16">
        <v>1107772.602739726</v>
      </c>
      <c r="E178" s="19">
        <v>2025</v>
      </c>
      <c r="F178" s="17">
        <f t="shared" si="2"/>
        <v>404.33699999999999</v>
      </c>
      <c r="G178" s="17">
        <v>52.006736954570073</v>
      </c>
      <c r="H178" s="17">
        <v>24.779671412707714</v>
      </c>
      <c r="I178" s="17">
        <v>2.2807707432166735</v>
      </c>
      <c r="J178" s="17">
        <v>31.422912075817944</v>
      </c>
      <c r="K178" s="17">
        <v>1.0442873147893958</v>
      </c>
      <c r="L178" s="16">
        <v>363368.84043200384</v>
      </c>
      <c r="M178" s="19">
        <v>2025</v>
      </c>
      <c r="N178" s="16">
        <v>245583.40250301201</v>
      </c>
      <c r="O178" s="16">
        <v>94060.27397260275</v>
      </c>
      <c r="P178" s="17">
        <v>1798.5189336892099</v>
      </c>
      <c r="Q178" s="19">
        <v>2025</v>
      </c>
      <c r="R178" s="17">
        <v>1.3503978507663099</v>
      </c>
      <c r="S178" s="19">
        <v>2025</v>
      </c>
      <c r="T178" s="17">
        <v>2.87403791660173</v>
      </c>
      <c r="U178" s="19">
        <v>2025</v>
      </c>
      <c r="V178" s="18">
        <v>1.5189999999999999</v>
      </c>
      <c r="W178" s="18">
        <v>1.754</v>
      </c>
      <c r="X178" s="18" t="s">
        <v>46</v>
      </c>
      <c r="Y178" s="18">
        <v>0.442</v>
      </c>
      <c r="Z178" s="18" t="s">
        <v>46</v>
      </c>
      <c r="AA178" s="15" t="s">
        <v>47</v>
      </c>
      <c r="AB178" s="15" t="s">
        <v>69</v>
      </c>
      <c r="AC178" s="15" t="s">
        <v>434</v>
      </c>
      <c r="AD178" s="15" t="s">
        <v>1109</v>
      </c>
      <c r="AE178" s="15" t="s">
        <v>1110</v>
      </c>
      <c r="AF178" s="15" t="s">
        <v>52</v>
      </c>
      <c r="AG178" s="15" t="s">
        <v>73</v>
      </c>
      <c r="AH178" s="15" t="s">
        <v>1111</v>
      </c>
      <c r="AI178" s="15" t="s">
        <v>1112</v>
      </c>
      <c r="AJ178" s="8">
        <f>'Сводка НПЗ'!D178</f>
        <v>7</v>
      </c>
      <c r="AK178" s="8">
        <f>IF('Сводка НПЗ'!F178&gt;0,'Сводка НПЗ'!E178,"")</f>
        <v>792000</v>
      </c>
      <c r="AL178" s="8">
        <f>'Сводка НПЗ'!G178</f>
        <v>0</v>
      </c>
      <c r="AM178" s="6" t="s">
        <v>56</v>
      </c>
      <c r="AN178" s="12" t="s">
        <v>121</v>
      </c>
      <c r="AO178" s="20">
        <v>2025</v>
      </c>
      <c r="AP178" s="20">
        <v>2025</v>
      </c>
      <c r="AQ178" s="20">
        <v>2025</v>
      </c>
      <c r="AR178" s="6" t="s">
        <v>58</v>
      </c>
    </row>
    <row r="179" spans="1:44" ht="42" customHeight="1" x14ac:dyDescent="0.2">
      <c r="A179" s="15">
        <v>178</v>
      </c>
      <c r="B179" s="15" t="s">
        <v>1113</v>
      </c>
      <c r="C179" s="15" t="s">
        <v>1114</v>
      </c>
      <c r="D179" s="16">
        <v>3531.1148640000001</v>
      </c>
      <c r="E179" s="19">
        <v>2024</v>
      </c>
      <c r="F179" s="17">
        <f t="shared" si="2"/>
        <v>1.2923880402240002</v>
      </c>
      <c r="G179" s="17">
        <v>77.755685151792889</v>
      </c>
      <c r="H179" s="17">
        <v>12.896926170340517</v>
      </c>
      <c r="I179" s="17">
        <v>6.0602871399541076E-2</v>
      </c>
      <c r="J179" s="17">
        <v>8.3792261763139297</v>
      </c>
      <c r="K179" s="17">
        <v>0</v>
      </c>
      <c r="L179" s="16">
        <v>0</v>
      </c>
      <c r="M179" s="19">
        <v>2025</v>
      </c>
      <c r="N179" s="16">
        <v>0</v>
      </c>
      <c r="O179" s="16">
        <v>0</v>
      </c>
      <c r="P179" s="17" t="s">
        <v>46</v>
      </c>
      <c r="Q179" s="19" t="s">
        <v>46</v>
      </c>
      <c r="R179" s="17" t="s">
        <v>46</v>
      </c>
      <c r="S179" s="19" t="s">
        <v>46</v>
      </c>
      <c r="T179" s="17" t="s">
        <v>46</v>
      </c>
      <c r="U179" s="19" t="s">
        <v>46</v>
      </c>
      <c r="V179" s="18" t="s">
        <v>46</v>
      </c>
      <c r="W179" s="18" t="s">
        <v>46</v>
      </c>
      <c r="X179" s="18" t="s">
        <v>46</v>
      </c>
      <c r="Y179" s="18" t="s">
        <v>46</v>
      </c>
      <c r="Z179" s="18" t="s">
        <v>46</v>
      </c>
      <c r="AA179" s="15" t="s">
        <v>100</v>
      </c>
      <c r="AB179" s="15" t="s">
        <v>101</v>
      </c>
      <c r="AC179" s="15" t="s">
        <v>605</v>
      </c>
      <c r="AD179" s="15" t="s">
        <v>103</v>
      </c>
      <c r="AE179" s="15" t="s">
        <v>104</v>
      </c>
      <c r="AF179" s="15" t="s">
        <v>64</v>
      </c>
      <c r="AG179" s="15" t="s">
        <v>106</v>
      </c>
      <c r="AH179" s="15" t="s">
        <v>1115</v>
      </c>
      <c r="AI179" s="15" t="s">
        <v>1116</v>
      </c>
      <c r="AJ179" s="8">
        <f>'Сводка НПЗ'!D179</f>
        <v>0</v>
      </c>
      <c r="AK179" s="8" t="str">
        <f>IF('Сводка НПЗ'!F179&gt;0,'Сводка НПЗ'!E179,"")</f>
        <v/>
      </c>
      <c r="AL179" s="8">
        <f>'Сводка НПЗ'!G179</f>
        <v>0</v>
      </c>
      <c r="AM179" s="6" t="s">
        <v>56</v>
      </c>
      <c r="AN179" s="12" t="s">
        <v>83</v>
      </c>
      <c r="AO179" s="20">
        <v>2024</v>
      </c>
      <c r="AP179" s="20">
        <v>2025</v>
      </c>
      <c r="AQ179" s="20">
        <v>2025</v>
      </c>
      <c r="AR179" s="6" t="s">
        <v>58</v>
      </c>
    </row>
    <row r="180" spans="1:44" ht="42" customHeight="1" x14ac:dyDescent="0.2">
      <c r="A180" s="15">
        <v>179</v>
      </c>
      <c r="B180" s="15" t="s">
        <v>1117</v>
      </c>
      <c r="C180" s="15" t="s">
        <v>1118</v>
      </c>
      <c r="D180" s="16">
        <v>15411.075063</v>
      </c>
      <c r="E180" s="19">
        <v>2024</v>
      </c>
      <c r="F180" s="17">
        <f t="shared" si="2"/>
        <v>5.6404534730579998</v>
      </c>
      <c r="G180" s="17">
        <v>34.882538155346083</v>
      </c>
      <c r="H180" s="17">
        <v>21.463901307843493</v>
      </c>
      <c r="I180" s="17">
        <v>6.0611510694839579</v>
      </c>
      <c r="J180" s="17">
        <v>25.350859223181761</v>
      </c>
      <c r="K180" s="17">
        <v>11.043323674972095</v>
      </c>
      <c r="L180" s="16">
        <v>0</v>
      </c>
      <c r="M180" s="19">
        <v>2025</v>
      </c>
      <c r="N180" s="16">
        <v>0</v>
      </c>
      <c r="O180" s="16">
        <v>0</v>
      </c>
      <c r="P180" s="17">
        <v>6.19801306206553</v>
      </c>
      <c r="Q180" s="19">
        <v>2025</v>
      </c>
      <c r="R180" s="17">
        <v>3.1954686212402899</v>
      </c>
      <c r="S180" s="19">
        <v>2025</v>
      </c>
      <c r="T180" s="17">
        <v>-1.38326833934224</v>
      </c>
      <c r="U180" s="19">
        <v>2025</v>
      </c>
      <c r="V180" s="18">
        <v>1.4019999999999999</v>
      </c>
      <c r="W180" s="18">
        <v>1.4470000000000001</v>
      </c>
      <c r="X180" s="18" t="s">
        <v>46</v>
      </c>
      <c r="Y180" s="18">
        <v>0.95899999999999996</v>
      </c>
      <c r="Z180" s="18" t="s">
        <v>46</v>
      </c>
      <c r="AA180" s="15" t="s">
        <v>47</v>
      </c>
      <c r="AB180" s="15" t="s">
        <v>69</v>
      </c>
      <c r="AC180" s="15" t="s">
        <v>605</v>
      </c>
      <c r="AD180" s="15" t="s">
        <v>1119</v>
      </c>
      <c r="AE180" s="15" t="s">
        <v>1120</v>
      </c>
      <c r="AF180" s="15" t="s">
        <v>64</v>
      </c>
      <c r="AG180" s="15" t="s">
        <v>73</v>
      </c>
      <c r="AH180" s="15" t="s">
        <v>1121</v>
      </c>
      <c r="AI180" s="15" t="s">
        <v>1122</v>
      </c>
      <c r="AJ180" s="8">
        <f>'Сводка НПЗ'!D180</f>
        <v>0</v>
      </c>
      <c r="AK180" s="8" t="str">
        <f>IF('Сводка НПЗ'!F180&gt;0,'Сводка НПЗ'!E180,"")</f>
        <v/>
      </c>
      <c r="AL180" s="8">
        <f>'Сводка НПЗ'!G180</f>
        <v>0</v>
      </c>
      <c r="AM180" s="6" t="s">
        <v>56</v>
      </c>
      <c r="AN180" s="12" t="s">
        <v>83</v>
      </c>
      <c r="AO180" s="20">
        <v>2024</v>
      </c>
      <c r="AP180" s="20">
        <v>2025</v>
      </c>
      <c r="AQ180" s="20">
        <v>2025</v>
      </c>
      <c r="AR180" s="6" t="s">
        <v>58</v>
      </c>
    </row>
    <row r="181" spans="1:44" ht="42" customHeight="1" x14ac:dyDescent="0.2">
      <c r="A181" s="15">
        <v>180</v>
      </c>
      <c r="B181" s="15" t="s">
        <v>1123</v>
      </c>
      <c r="C181" s="15" t="s">
        <v>1124</v>
      </c>
      <c r="D181" s="16">
        <v>159638.35616438356</v>
      </c>
      <c r="E181" s="19">
        <v>2025</v>
      </c>
      <c r="F181" s="17">
        <f t="shared" si="2"/>
        <v>58.268000000000001</v>
      </c>
      <c r="G181" s="17">
        <v>41.635065559140521</v>
      </c>
      <c r="H181" s="17">
        <v>31.21088762270886</v>
      </c>
      <c r="I181" s="17">
        <v>3.8820621953731038</v>
      </c>
      <c r="J181" s="17">
        <v>38.079460424246584</v>
      </c>
      <c r="K181" s="17">
        <v>2.3317086565524816</v>
      </c>
      <c r="L181" s="16">
        <v>19034.712348832876</v>
      </c>
      <c r="M181" s="19">
        <v>2025</v>
      </c>
      <c r="N181" s="16">
        <v>7914.7041095890418</v>
      </c>
      <c r="O181" s="16">
        <v>4038.9479452054793</v>
      </c>
      <c r="P181" s="17">
        <v>264.057413739965</v>
      </c>
      <c r="Q181" s="19">
        <v>2025</v>
      </c>
      <c r="R181" s="17">
        <v>0.46287183068108101</v>
      </c>
      <c r="S181" s="19">
        <v>2025</v>
      </c>
      <c r="T181" s="17">
        <v>2.8397963180571999</v>
      </c>
      <c r="U181" s="19">
        <v>2025</v>
      </c>
      <c r="V181" s="18">
        <v>1.83</v>
      </c>
      <c r="W181" s="18">
        <v>1.5660000000000001</v>
      </c>
      <c r="X181" s="18" t="s">
        <v>46</v>
      </c>
      <c r="Y181" s="18" t="s">
        <v>46</v>
      </c>
      <c r="Z181" s="18" t="s">
        <v>46</v>
      </c>
      <c r="AA181" s="15" t="s">
        <v>47</v>
      </c>
      <c r="AB181" s="15" t="s">
        <v>48</v>
      </c>
      <c r="AC181" s="15" t="s">
        <v>1125</v>
      </c>
      <c r="AD181" s="15" t="s">
        <v>1126</v>
      </c>
      <c r="AE181" s="15" t="s">
        <v>1127</v>
      </c>
      <c r="AF181" s="15" t="s">
        <v>52</v>
      </c>
      <c r="AG181" s="15" t="s">
        <v>53</v>
      </c>
      <c r="AH181" s="15" t="s">
        <v>1128</v>
      </c>
      <c r="AI181" s="15" t="s">
        <v>1129</v>
      </c>
      <c r="AJ181" s="8">
        <f>'Сводка НПЗ'!D181</f>
        <v>1</v>
      </c>
      <c r="AK181" s="8">
        <f>IF('Сводка НПЗ'!F181&gt;0,'Сводка НПЗ'!E181,"")</f>
        <v>90000</v>
      </c>
      <c r="AL181" s="8">
        <f>'Сводка НПЗ'!G181</f>
        <v>0</v>
      </c>
      <c r="AM181" s="6" t="s">
        <v>56</v>
      </c>
      <c r="AN181" s="12" t="s">
        <v>121</v>
      </c>
      <c r="AO181" s="20">
        <v>2025</v>
      </c>
      <c r="AP181" s="20">
        <v>2025</v>
      </c>
      <c r="AQ181" s="20">
        <v>2025</v>
      </c>
      <c r="AR181" s="6" t="s">
        <v>58</v>
      </c>
    </row>
    <row r="182" spans="1:44" ht="42" customHeight="1" x14ac:dyDescent="0.2">
      <c r="A182" s="15">
        <v>181</v>
      </c>
      <c r="B182" s="15" t="s">
        <v>1130</v>
      </c>
      <c r="C182" s="15" t="s">
        <v>1131</v>
      </c>
      <c r="D182" s="16">
        <v>16920.320671999998</v>
      </c>
      <c r="E182" s="19">
        <v>2024</v>
      </c>
      <c r="F182" s="17">
        <f t="shared" si="2"/>
        <v>6.1928373659519993</v>
      </c>
      <c r="G182" s="17">
        <v>40.649969526771393</v>
      </c>
      <c r="H182" s="17">
        <v>10.298866917360987</v>
      </c>
      <c r="I182" s="17">
        <v>3.7585929801697322</v>
      </c>
      <c r="J182" s="17">
        <v>3.9773653528544664</v>
      </c>
      <c r="K182" s="17">
        <v>39.906407685132081</v>
      </c>
      <c r="L182" s="16">
        <v>0</v>
      </c>
      <c r="M182" s="19">
        <v>2025</v>
      </c>
      <c r="N182" s="16">
        <v>0</v>
      </c>
      <c r="O182" s="16">
        <v>0</v>
      </c>
      <c r="P182" s="17">
        <v>8.5489193871260696</v>
      </c>
      <c r="Q182" s="19">
        <v>2024</v>
      </c>
      <c r="R182" s="17">
        <v>-13.499999998974699</v>
      </c>
      <c r="S182" s="19">
        <v>2024</v>
      </c>
      <c r="T182" s="17" t="s">
        <v>46</v>
      </c>
      <c r="U182" s="19" t="s">
        <v>46</v>
      </c>
      <c r="V182" s="18" t="s">
        <v>46</v>
      </c>
      <c r="W182" s="18" t="s">
        <v>46</v>
      </c>
      <c r="X182" s="18" t="s">
        <v>46</v>
      </c>
      <c r="Y182" s="18" t="s">
        <v>46</v>
      </c>
      <c r="Z182" s="18" t="s">
        <v>46</v>
      </c>
      <c r="AA182" s="15" t="s">
        <v>100</v>
      </c>
      <c r="AB182" s="15" t="s">
        <v>101</v>
      </c>
      <c r="AC182" s="15" t="s">
        <v>421</v>
      </c>
      <c r="AD182" s="15" t="s">
        <v>1132</v>
      </c>
      <c r="AE182" s="15" t="s">
        <v>104</v>
      </c>
      <c r="AF182" s="15" t="s">
        <v>64</v>
      </c>
      <c r="AG182" s="15" t="s">
        <v>106</v>
      </c>
      <c r="AH182" s="15" t="s">
        <v>1133</v>
      </c>
      <c r="AI182" s="15" t="s">
        <v>1134</v>
      </c>
      <c r="AJ182" s="8">
        <f>'Сводка НПЗ'!D182</f>
        <v>0</v>
      </c>
      <c r="AK182" s="8" t="str">
        <f>IF('Сводка НПЗ'!F182&gt;0,'Сводка НПЗ'!E182,"")</f>
        <v/>
      </c>
      <c r="AL182" s="8">
        <f>'Сводка НПЗ'!G182</f>
        <v>0</v>
      </c>
      <c r="AM182" s="6" t="s">
        <v>56</v>
      </c>
      <c r="AN182" s="12" t="s">
        <v>83</v>
      </c>
      <c r="AO182" s="20">
        <v>2024</v>
      </c>
      <c r="AP182" s="20">
        <v>2025</v>
      </c>
      <c r="AQ182" s="20">
        <v>2025</v>
      </c>
      <c r="AR182" s="6" t="s">
        <v>58</v>
      </c>
    </row>
    <row r="183" spans="1:44" ht="42" customHeight="1" x14ac:dyDescent="0.2">
      <c r="A183" s="15">
        <v>182</v>
      </c>
      <c r="B183" s="15" t="s">
        <v>1135</v>
      </c>
      <c r="C183" s="15" t="s">
        <v>1136</v>
      </c>
      <c r="D183" s="16">
        <v>19465.181746999999</v>
      </c>
      <c r="E183" s="19">
        <v>2024</v>
      </c>
      <c r="F183" s="17">
        <f t="shared" si="2"/>
        <v>7.1242565194019996</v>
      </c>
      <c r="G183" s="17">
        <v>51.437752342297713</v>
      </c>
      <c r="H183" s="17">
        <v>15.104258512526492</v>
      </c>
      <c r="I183" s="17">
        <v>2.6946448474894891</v>
      </c>
      <c r="J183" s="17">
        <v>5.6007990994896515</v>
      </c>
      <c r="K183" s="17">
        <v>18.736645418489857</v>
      </c>
      <c r="L183" s="16">
        <v>0</v>
      </c>
      <c r="M183" s="19">
        <v>2025</v>
      </c>
      <c r="N183" s="16">
        <v>0</v>
      </c>
      <c r="O183" s="16">
        <v>0</v>
      </c>
      <c r="P183" s="17">
        <v>19.620352035789903</v>
      </c>
      <c r="Q183" s="19">
        <v>2025</v>
      </c>
      <c r="R183" s="17">
        <v>3.002568866856</v>
      </c>
      <c r="S183" s="19">
        <v>2025</v>
      </c>
      <c r="T183" s="17">
        <v>8.0505243179122701</v>
      </c>
      <c r="U183" s="19">
        <v>2025</v>
      </c>
      <c r="V183" s="18">
        <v>1.1830000000000001</v>
      </c>
      <c r="W183" s="18">
        <v>1.1279999999999999</v>
      </c>
      <c r="X183" s="18" t="s">
        <v>46</v>
      </c>
      <c r="Y183" s="18" t="s">
        <v>46</v>
      </c>
      <c r="Z183" s="18" t="s">
        <v>46</v>
      </c>
      <c r="AA183" s="15" t="s">
        <v>47</v>
      </c>
      <c r="AB183" s="15" t="s">
        <v>48</v>
      </c>
      <c r="AC183" s="15" t="s">
        <v>421</v>
      </c>
      <c r="AD183" s="15" t="s">
        <v>1137</v>
      </c>
      <c r="AE183" s="15" t="s">
        <v>1138</v>
      </c>
      <c r="AF183" s="15" t="s">
        <v>64</v>
      </c>
      <c r="AG183" s="15" t="s">
        <v>53</v>
      </c>
      <c r="AH183" s="15" t="s">
        <v>1139</v>
      </c>
      <c r="AI183" s="15" t="s">
        <v>1140</v>
      </c>
      <c r="AJ183" s="8">
        <f>'Сводка НПЗ'!D183</f>
        <v>0</v>
      </c>
      <c r="AK183" s="8" t="str">
        <f>IF('Сводка НПЗ'!F183&gt;0,'Сводка НПЗ'!E183,"")</f>
        <v/>
      </c>
      <c r="AL183" s="8">
        <f>'Сводка НПЗ'!G183</f>
        <v>0</v>
      </c>
      <c r="AM183" s="6" t="s">
        <v>56</v>
      </c>
      <c r="AN183" s="12" t="s">
        <v>83</v>
      </c>
      <c r="AO183" s="20">
        <v>2024</v>
      </c>
      <c r="AP183" s="20">
        <v>2025</v>
      </c>
      <c r="AQ183" s="20">
        <v>2025</v>
      </c>
      <c r="AR183" s="6" t="s">
        <v>58</v>
      </c>
    </row>
    <row r="184" spans="1:44" ht="42" customHeight="1" x14ac:dyDescent="0.2">
      <c r="A184" s="15">
        <v>183</v>
      </c>
      <c r="B184" s="15" t="s">
        <v>1141</v>
      </c>
      <c r="C184" s="15" t="s">
        <v>1142</v>
      </c>
      <c r="D184" s="16">
        <v>493583.56164383562</v>
      </c>
      <c r="E184" s="19">
        <v>2025</v>
      </c>
      <c r="F184" s="17">
        <f t="shared" si="2"/>
        <v>180.15799999999999</v>
      </c>
      <c r="G184" s="17">
        <v>42.23181873688651</v>
      </c>
      <c r="H184" s="17">
        <v>30.986689461472704</v>
      </c>
      <c r="I184" s="17">
        <v>13.06519832591392</v>
      </c>
      <c r="J184" s="17" t="s">
        <v>46</v>
      </c>
      <c r="K184" s="17">
        <v>3.1300303067307587</v>
      </c>
      <c r="L184" s="16">
        <v>14333.697297515069</v>
      </c>
      <c r="M184" s="19">
        <v>2025</v>
      </c>
      <c r="N184" s="16">
        <v>502.97260273972597</v>
      </c>
      <c r="O184" s="16">
        <v>0</v>
      </c>
      <c r="P184" s="17">
        <v>487.08612372041699</v>
      </c>
      <c r="Q184" s="19">
        <v>2025</v>
      </c>
      <c r="R184" s="17">
        <v>4.4024015871062101</v>
      </c>
      <c r="S184" s="19">
        <v>2025</v>
      </c>
      <c r="T184" s="17">
        <v>1.6587364525509001</v>
      </c>
      <c r="U184" s="19">
        <v>2025</v>
      </c>
      <c r="V184" s="18">
        <v>1.1890000000000001</v>
      </c>
      <c r="W184" s="18">
        <v>1.363</v>
      </c>
      <c r="X184" s="18" t="s">
        <v>46</v>
      </c>
      <c r="Y184" s="18">
        <v>0.69599999999999995</v>
      </c>
      <c r="Z184" s="18" t="s">
        <v>46</v>
      </c>
      <c r="AA184" s="15" t="s">
        <v>47</v>
      </c>
      <c r="AB184" s="15" t="s">
        <v>69</v>
      </c>
      <c r="AC184" s="15" t="s">
        <v>1143</v>
      </c>
      <c r="AD184" s="15" t="s">
        <v>1144</v>
      </c>
      <c r="AE184" s="15" t="s">
        <v>1145</v>
      </c>
      <c r="AF184" s="15" t="s">
        <v>52</v>
      </c>
      <c r="AG184" s="15" t="s">
        <v>73</v>
      </c>
      <c r="AH184" s="15" t="s">
        <v>1146</v>
      </c>
      <c r="AI184" s="15" t="s">
        <v>1147</v>
      </c>
      <c r="AJ184" s="8">
        <f>'Сводка НПЗ'!D184</f>
        <v>3</v>
      </c>
      <c r="AK184" s="8">
        <f>IF('Сводка НПЗ'!F184&gt;0,'Сводка НПЗ'!E184,"")</f>
        <v>300000</v>
      </c>
      <c r="AL184" s="8">
        <f>'Сводка НПЗ'!G184</f>
        <v>1</v>
      </c>
      <c r="AM184" s="6" t="s">
        <v>56</v>
      </c>
      <c r="AN184" s="12" t="s">
        <v>57</v>
      </c>
      <c r="AO184" s="20">
        <v>2025</v>
      </c>
      <c r="AP184" s="20">
        <v>2025</v>
      </c>
      <c r="AQ184" s="20">
        <v>2025</v>
      </c>
      <c r="AR184" s="6" t="s">
        <v>58</v>
      </c>
    </row>
    <row r="185" spans="1:44" ht="42" customHeight="1" x14ac:dyDescent="0.2">
      <c r="A185" s="15">
        <v>184</v>
      </c>
      <c r="B185" s="15" t="s">
        <v>1148</v>
      </c>
      <c r="C185" s="15" t="s">
        <v>1149</v>
      </c>
      <c r="D185" s="16">
        <v>91961.707662000001</v>
      </c>
      <c r="E185" s="19">
        <v>2024</v>
      </c>
      <c r="F185" s="17">
        <f t="shared" si="2"/>
        <v>33.657985004292001</v>
      </c>
      <c r="G185" s="17">
        <v>36.594339911225731</v>
      </c>
      <c r="H185" s="17">
        <v>25.871870515331143</v>
      </c>
      <c r="I185" s="17">
        <v>12.082085851251751</v>
      </c>
      <c r="J185" s="17">
        <v>11.650587145879223</v>
      </c>
      <c r="K185" s="17">
        <v>10.089867312059658</v>
      </c>
      <c r="L185" s="16">
        <v>-202.31026402465756</v>
      </c>
      <c r="M185" s="19">
        <v>2025</v>
      </c>
      <c r="N185" s="16">
        <v>0</v>
      </c>
      <c r="O185" s="16">
        <v>0</v>
      </c>
      <c r="P185" s="17">
        <v>108.82523167119599</v>
      </c>
      <c r="Q185" s="19">
        <v>2025</v>
      </c>
      <c r="R185" s="17">
        <v>4.9534339114043</v>
      </c>
      <c r="S185" s="19">
        <v>2025</v>
      </c>
      <c r="T185" s="17">
        <v>-4.7638603696098301</v>
      </c>
      <c r="U185" s="19">
        <v>2025</v>
      </c>
      <c r="V185" s="18">
        <v>1.4419999999999999</v>
      </c>
      <c r="W185" s="18">
        <v>1.4510000000000001</v>
      </c>
      <c r="X185" s="18" t="s">
        <v>46</v>
      </c>
      <c r="Y185" s="18" t="s">
        <v>46</v>
      </c>
      <c r="Z185" s="18" t="s">
        <v>46</v>
      </c>
      <c r="AA185" s="15" t="s">
        <v>47</v>
      </c>
      <c r="AB185" s="15" t="s">
        <v>48</v>
      </c>
      <c r="AC185" s="15" t="s">
        <v>1150</v>
      </c>
      <c r="AD185" s="15" t="s">
        <v>1151</v>
      </c>
      <c r="AE185" s="15" t="s">
        <v>1152</v>
      </c>
      <c r="AF185" s="15" t="s">
        <v>64</v>
      </c>
      <c r="AG185" s="15" t="s">
        <v>53</v>
      </c>
      <c r="AH185" s="15" t="s">
        <v>1153</v>
      </c>
      <c r="AI185" s="15" t="s">
        <v>1154</v>
      </c>
      <c r="AJ185" s="8">
        <f>'Сводка НПЗ'!D185</f>
        <v>1</v>
      </c>
      <c r="AK185" s="8">
        <f>IF('Сводка НПЗ'!F185&gt;0,'Сводка НПЗ'!E185,"")</f>
        <v>50000</v>
      </c>
      <c r="AL185" s="8">
        <f>'Сводка НПЗ'!G185</f>
        <v>0</v>
      </c>
      <c r="AM185" s="6" t="s">
        <v>56</v>
      </c>
      <c r="AN185" s="12" t="s">
        <v>83</v>
      </c>
      <c r="AO185" s="20">
        <v>2024</v>
      </c>
      <c r="AP185" s="20">
        <v>2025</v>
      </c>
      <c r="AQ185" s="20">
        <v>2025</v>
      </c>
      <c r="AR185" s="6" t="s">
        <v>58</v>
      </c>
    </row>
    <row r="186" spans="1:44" ht="42" customHeight="1" x14ac:dyDescent="0.2">
      <c r="A186" s="15">
        <v>185</v>
      </c>
      <c r="B186" s="15" t="s">
        <v>1155</v>
      </c>
      <c r="C186" s="15" t="s">
        <v>1156</v>
      </c>
      <c r="D186" s="16" t="s">
        <v>46</v>
      </c>
      <c r="E186" s="19" t="s">
        <v>46</v>
      </c>
      <c r="F186" s="17" t="str">
        <f t="shared" si="2"/>
        <v>н/д</v>
      </c>
      <c r="G186" s="17" t="s">
        <v>46</v>
      </c>
      <c r="H186" s="17" t="s">
        <v>46</v>
      </c>
      <c r="I186" s="17" t="s">
        <v>46</v>
      </c>
      <c r="J186" s="17" t="s">
        <v>46</v>
      </c>
      <c r="K186" s="17" t="s">
        <v>46</v>
      </c>
      <c r="L186" s="16" t="s">
        <v>46</v>
      </c>
      <c r="M186" s="19" t="s">
        <v>46</v>
      </c>
      <c r="N186" s="16" t="s">
        <v>46</v>
      </c>
      <c r="O186" s="16" t="s">
        <v>46</v>
      </c>
      <c r="P186" s="17">
        <v>3.5611782122905002</v>
      </c>
      <c r="Q186" s="19">
        <v>2024</v>
      </c>
      <c r="R186" s="17">
        <v>5.0269001547560599</v>
      </c>
      <c r="S186" s="19">
        <v>2024</v>
      </c>
      <c r="T186" s="17" t="s">
        <v>46</v>
      </c>
      <c r="U186" s="19" t="s">
        <v>46</v>
      </c>
      <c r="V186" s="18">
        <v>1.4590000000000001</v>
      </c>
      <c r="W186" s="18">
        <v>1.333</v>
      </c>
      <c r="X186" s="18" t="s">
        <v>46</v>
      </c>
      <c r="Y186" s="18" t="s">
        <v>46</v>
      </c>
      <c r="Z186" s="18" t="s">
        <v>46</v>
      </c>
      <c r="AA186" s="15" t="s">
        <v>47</v>
      </c>
      <c r="AB186" s="15" t="s">
        <v>48</v>
      </c>
      <c r="AC186" s="15" t="s">
        <v>198</v>
      </c>
      <c r="AD186" s="15" t="s">
        <v>1157</v>
      </c>
      <c r="AE186" s="15" t="s">
        <v>1158</v>
      </c>
      <c r="AF186" s="15" t="s">
        <v>105</v>
      </c>
      <c r="AG186" s="15" t="s">
        <v>53</v>
      </c>
      <c r="AH186" s="15" t="s">
        <v>1159</v>
      </c>
      <c r="AI186" s="15" t="s">
        <v>1160</v>
      </c>
      <c r="AJ186" s="8">
        <f>'Сводка НПЗ'!D186</f>
        <v>1</v>
      </c>
      <c r="AK186" s="8">
        <f>IF('Сводка НПЗ'!F186&gt;0,'Сводка НПЗ'!E186,"")</f>
        <v>320000</v>
      </c>
      <c r="AL186" s="8">
        <f>'Сводка НПЗ'!G186</f>
        <v>0</v>
      </c>
      <c r="AM186" s="6" t="s">
        <v>56</v>
      </c>
      <c r="AN186" s="12" t="s">
        <v>83</v>
      </c>
      <c r="AO186" s="20"/>
      <c r="AP186" s="20"/>
      <c r="AQ186" s="20"/>
      <c r="AR186" s="6" t="s">
        <v>58</v>
      </c>
    </row>
    <row r="187" spans="1:44" ht="42" customHeight="1" x14ac:dyDescent="0.2">
      <c r="A187" s="15">
        <v>186</v>
      </c>
      <c r="B187" s="15" t="s">
        <v>1161</v>
      </c>
      <c r="C187" s="15" t="s">
        <v>1162</v>
      </c>
      <c r="D187" s="16">
        <v>7641.6336820000006</v>
      </c>
      <c r="E187" s="19">
        <v>2024</v>
      </c>
      <c r="F187" s="17">
        <f t="shared" si="2"/>
        <v>2.7968379276120001</v>
      </c>
      <c r="G187" s="17">
        <v>6.2553920914315819</v>
      </c>
      <c r="H187" s="17">
        <v>18.837270247469579</v>
      </c>
      <c r="I187" s="17">
        <v>3.9829909894390565</v>
      </c>
      <c r="J187" s="17">
        <v>24.935619715564375</v>
      </c>
      <c r="K187" s="17">
        <v>45.735723922914943</v>
      </c>
      <c r="L187" s="16">
        <v>0</v>
      </c>
      <c r="M187" s="19">
        <v>2025</v>
      </c>
      <c r="N187" s="16">
        <v>0</v>
      </c>
      <c r="O187" s="16">
        <v>0</v>
      </c>
      <c r="P187" s="17">
        <v>4.1675880702921697</v>
      </c>
      <c r="Q187" s="19">
        <v>2024</v>
      </c>
      <c r="R187" s="17">
        <v>6.8107766932455398</v>
      </c>
      <c r="S187" s="19">
        <v>2024</v>
      </c>
      <c r="T187" s="17" t="s">
        <v>46</v>
      </c>
      <c r="U187" s="19" t="s">
        <v>46</v>
      </c>
      <c r="V187" s="18">
        <v>1.62</v>
      </c>
      <c r="W187" s="18">
        <v>1.7210000000000001</v>
      </c>
      <c r="X187" s="18" t="s">
        <v>46</v>
      </c>
      <c r="Y187" s="18" t="s">
        <v>46</v>
      </c>
      <c r="Z187" s="18" t="s">
        <v>46</v>
      </c>
      <c r="AA187" s="15" t="s">
        <v>47</v>
      </c>
      <c r="AB187" s="15" t="s">
        <v>48</v>
      </c>
      <c r="AC187" s="15" t="s">
        <v>421</v>
      </c>
      <c r="AD187" s="15" t="s">
        <v>1163</v>
      </c>
      <c r="AE187" s="15" t="s">
        <v>1164</v>
      </c>
      <c r="AF187" s="15" t="s">
        <v>64</v>
      </c>
      <c r="AG187" s="15" t="s">
        <v>53</v>
      </c>
      <c r="AH187" s="15" t="s">
        <v>1165</v>
      </c>
      <c r="AI187" s="15" t="s">
        <v>1166</v>
      </c>
      <c r="AJ187" s="8">
        <f>'Сводка НПЗ'!D187</f>
        <v>1</v>
      </c>
      <c r="AK187" s="8">
        <f>IF('Сводка НПЗ'!F187&gt;0,'Сводка НПЗ'!E187,"")</f>
        <v>275000</v>
      </c>
      <c r="AL187" s="8">
        <f>'Сводка НПЗ'!G187</f>
        <v>0</v>
      </c>
      <c r="AM187" s="6" t="s">
        <v>56</v>
      </c>
      <c r="AN187" s="12" t="s">
        <v>83</v>
      </c>
      <c r="AO187" s="20">
        <v>2024</v>
      </c>
      <c r="AP187" s="20">
        <v>2025</v>
      </c>
      <c r="AQ187" s="20">
        <v>2025</v>
      </c>
      <c r="AR187" s="6" t="s">
        <v>58</v>
      </c>
    </row>
    <row r="188" spans="1:44" ht="42" customHeight="1" x14ac:dyDescent="0.2">
      <c r="A188" s="15">
        <v>187</v>
      </c>
      <c r="B188" s="15" t="s">
        <v>1167</v>
      </c>
      <c r="C188" s="15" t="s">
        <v>1168</v>
      </c>
      <c r="D188" s="16">
        <v>22434.117912000002</v>
      </c>
      <c r="E188" s="19">
        <v>2024</v>
      </c>
      <c r="F188" s="17">
        <f t="shared" si="2"/>
        <v>8.2108871557920011</v>
      </c>
      <c r="G188" s="17">
        <v>51.850782079459002</v>
      </c>
      <c r="H188" s="17">
        <v>23.903046863864589</v>
      </c>
      <c r="I188" s="17">
        <v>2.2786500855759608</v>
      </c>
      <c r="J188" s="17">
        <v>3.0494673099407392</v>
      </c>
      <c r="K188" s="17">
        <v>18.540604049224182</v>
      </c>
      <c r="L188" s="16">
        <v>0</v>
      </c>
      <c r="M188" s="19">
        <v>2025</v>
      </c>
      <c r="N188" s="16">
        <v>0</v>
      </c>
      <c r="O188" s="16">
        <v>0</v>
      </c>
      <c r="P188" s="17">
        <v>15.832800000000001</v>
      </c>
      <c r="Q188" s="19">
        <v>2024</v>
      </c>
      <c r="R188" s="17">
        <v>3.37866553336166</v>
      </c>
      <c r="S188" s="19">
        <v>2024</v>
      </c>
      <c r="T188" s="17">
        <v>0.40916248908328601</v>
      </c>
      <c r="U188" s="19">
        <v>2024</v>
      </c>
      <c r="V188" s="18">
        <v>1.7829999999999999</v>
      </c>
      <c r="W188" s="18">
        <v>1.6870000000000001</v>
      </c>
      <c r="X188" s="18" t="s">
        <v>46</v>
      </c>
      <c r="Y188" s="18" t="s">
        <v>46</v>
      </c>
      <c r="Z188" s="18" t="s">
        <v>46</v>
      </c>
      <c r="AA188" s="15" t="s">
        <v>47</v>
      </c>
      <c r="AB188" s="15" t="s">
        <v>48</v>
      </c>
      <c r="AC188" s="15" t="s">
        <v>421</v>
      </c>
      <c r="AD188" s="15" t="s">
        <v>1169</v>
      </c>
      <c r="AE188" s="15" t="s">
        <v>1170</v>
      </c>
      <c r="AF188" s="15" t="s">
        <v>64</v>
      </c>
      <c r="AG188" s="15" t="s">
        <v>53</v>
      </c>
      <c r="AH188" s="15" t="s">
        <v>1171</v>
      </c>
      <c r="AI188" s="15" t="s">
        <v>1172</v>
      </c>
      <c r="AJ188" s="8">
        <f>'Сводка НПЗ'!D188</f>
        <v>0</v>
      </c>
      <c r="AK188" s="8" t="str">
        <f>IF('Сводка НПЗ'!F188&gt;0,'Сводка НПЗ'!E188,"")</f>
        <v/>
      </c>
      <c r="AL188" s="8">
        <f>'Сводка НПЗ'!G188</f>
        <v>0</v>
      </c>
      <c r="AM188" s="6" t="s">
        <v>56</v>
      </c>
      <c r="AN188" s="12" t="s">
        <v>83</v>
      </c>
      <c r="AO188" s="20">
        <v>2024</v>
      </c>
      <c r="AP188" s="20">
        <v>2025</v>
      </c>
      <c r="AQ188" s="20">
        <v>2025</v>
      </c>
      <c r="AR188" s="6" t="s">
        <v>58</v>
      </c>
    </row>
    <row r="189" spans="1:44" ht="42" customHeight="1" x14ac:dyDescent="0.2">
      <c r="A189" s="15">
        <v>188</v>
      </c>
      <c r="B189" s="15" t="s">
        <v>1173</v>
      </c>
      <c r="C189" s="15" t="s">
        <v>1174</v>
      </c>
      <c r="D189" s="16">
        <v>3196.5521570000001</v>
      </c>
      <c r="E189" s="19">
        <v>2024</v>
      </c>
      <c r="F189" s="17">
        <f t="shared" si="2"/>
        <v>1.169938089462</v>
      </c>
      <c r="G189" s="17">
        <v>49.739374235400589</v>
      </c>
      <c r="H189" s="17">
        <v>26.82022541451683</v>
      </c>
      <c r="I189" s="17">
        <v>5.0962261211119042</v>
      </c>
      <c r="J189" s="17">
        <v>17.077870661504743</v>
      </c>
      <c r="K189" s="17">
        <v>0</v>
      </c>
      <c r="L189" s="16">
        <v>0</v>
      </c>
      <c r="M189" s="19">
        <v>2025</v>
      </c>
      <c r="N189" s="16">
        <v>0</v>
      </c>
      <c r="O189" s="16">
        <v>0</v>
      </c>
      <c r="P189" s="17">
        <v>1.7453780000000001</v>
      </c>
      <c r="Q189" s="19">
        <v>2024</v>
      </c>
      <c r="R189" s="17">
        <v>5.6368251744336204</v>
      </c>
      <c r="S189" s="19">
        <v>2024</v>
      </c>
      <c r="T189" s="17" t="s">
        <v>46</v>
      </c>
      <c r="U189" s="19" t="s">
        <v>46</v>
      </c>
      <c r="V189" s="18" t="s">
        <v>46</v>
      </c>
      <c r="W189" s="18" t="s">
        <v>46</v>
      </c>
      <c r="X189" s="18" t="s">
        <v>46</v>
      </c>
      <c r="Y189" s="18" t="s">
        <v>46</v>
      </c>
      <c r="Z189" s="18" t="s">
        <v>46</v>
      </c>
      <c r="AA189" s="15" t="s">
        <v>100</v>
      </c>
      <c r="AB189" s="15" t="s">
        <v>101</v>
      </c>
      <c r="AC189" s="15" t="s">
        <v>421</v>
      </c>
      <c r="AD189" s="15" t="s">
        <v>1175</v>
      </c>
      <c r="AE189" s="15" t="s">
        <v>104</v>
      </c>
      <c r="AF189" s="15" t="s">
        <v>64</v>
      </c>
      <c r="AG189" s="15" t="s">
        <v>106</v>
      </c>
      <c r="AH189" s="15" t="s">
        <v>1176</v>
      </c>
      <c r="AI189" s="15" t="s">
        <v>1177</v>
      </c>
      <c r="AJ189" s="8">
        <f>'Сводка НПЗ'!D189</f>
        <v>0</v>
      </c>
      <c r="AK189" s="8" t="str">
        <f>IF('Сводка НПЗ'!F189&gt;0,'Сводка НПЗ'!E189,"")</f>
        <v/>
      </c>
      <c r="AL189" s="8">
        <f>'Сводка НПЗ'!G189</f>
        <v>0</v>
      </c>
      <c r="AM189" s="6" t="s">
        <v>56</v>
      </c>
      <c r="AN189" s="12" t="s">
        <v>83</v>
      </c>
      <c r="AO189" s="20">
        <v>2024</v>
      </c>
      <c r="AP189" s="20">
        <v>2025</v>
      </c>
      <c r="AQ189" s="20">
        <v>2025</v>
      </c>
      <c r="AR189" s="6" t="s">
        <v>58</v>
      </c>
    </row>
    <row r="190" spans="1:44" ht="42" customHeight="1" x14ac:dyDescent="0.2">
      <c r="A190" s="15">
        <v>189</v>
      </c>
      <c r="B190" s="15" t="s">
        <v>1178</v>
      </c>
      <c r="C190" s="15" t="s">
        <v>1179</v>
      </c>
      <c r="D190" s="16">
        <v>824158.05753424659</v>
      </c>
      <c r="E190" s="19">
        <v>2025</v>
      </c>
      <c r="F190" s="17">
        <f t="shared" si="2"/>
        <v>300.81769100000002</v>
      </c>
      <c r="G190" s="17">
        <v>13.018013624737248</v>
      </c>
      <c r="H190" s="17">
        <v>18.870648468610181</v>
      </c>
      <c r="I190" s="17">
        <v>6.9375600652423071</v>
      </c>
      <c r="J190" s="17">
        <v>18.757253541980017</v>
      </c>
      <c r="K190" s="17">
        <v>5.4405068217879515</v>
      </c>
      <c r="L190" s="16">
        <v>25612.046902060276</v>
      </c>
      <c r="M190" s="19">
        <v>2025</v>
      </c>
      <c r="N190" s="16">
        <v>196</v>
      </c>
      <c r="O190" s="16">
        <v>630</v>
      </c>
      <c r="P190" s="17" t="s">
        <v>46</v>
      </c>
      <c r="Q190" s="19" t="s">
        <v>46</v>
      </c>
      <c r="R190" s="17" t="s">
        <v>46</v>
      </c>
      <c r="S190" s="19" t="s">
        <v>46</v>
      </c>
      <c r="T190" s="17" t="s">
        <v>46</v>
      </c>
      <c r="U190" s="19" t="s">
        <v>46</v>
      </c>
      <c r="V190" s="18">
        <v>1.028</v>
      </c>
      <c r="W190" s="18">
        <v>0.94</v>
      </c>
      <c r="X190" s="18" t="s">
        <v>46</v>
      </c>
      <c r="Y190" s="18">
        <v>0.51200000000000001</v>
      </c>
      <c r="Z190" s="18" t="s">
        <v>46</v>
      </c>
      <c r="AA190" s="15" t="s">
        <v>47</v>
      </c>
      <c r="AB190" s="15" t="s">
        <v>69</v>
      </c>
      <c r="AC190" s="15" t="s">
        <v>1180</v>
      </c>
      <c r="AD190" s="15" t="s">
        <v>103</v>
      </c>
      <c r="AE190" s="15" t="s">
        <v>1181</v>
      </c>
      <c r="AF190" s="15" t="s">
        <v>52</v>
      </c>
      <c r="AG190" s="15" t="s">
        <v>73</v>
      </c>
      <c r="AH190" s="15" t="s">
        <v>1182</v>
      </c>
      <c r="AI190" s="15" t="s">
        <v>1183</v>
      </c>
      <c r="AJ190" s="8">
        <f>'Сводка НПЗ'!D190</f>
        <v>4</v>
      </c>
      <c r="AK190" s="8">
        <f>IF('Сводка НПЗ'!F190&gt;0,'Сводка НПЗ'!E190,"")</f>
        <v>770000</v>
      </c>
      <c r="AL190" s="8">
        <f>'Сводка НПЗ'!G190</f>
        <v>1</v>
      </c>
      <c r="AM190" s="6" t="s">
        <v>56</v>
      </c>
      <c r="AN190" s="12" t="s">
        <v>57</v>
      </c>
      <c r="AO190" s="20">
        <v>2025</v>
      </c>
      <c r="AP190" s="20">
        <v>2025</v>
      </c>
      <c r="AQ190" s="20">
        <v>2025</v>
      </c>
      <c r="AR190" s="6" t="s">
        <v>58</v>
      </c>
    </row>
    <row r="191" spans="1:44" ht="42" customHeight="1" x14ac:dyDescent="0.2">
      <c r="A191" s="15">
        <v>190</v>
      </c>
      <c r="B191" s="15" t="s">
        <v>1184</v>
      </c>
      <c r="C191" s="15" t="s">
        <v>1185</v>
      </c>
      <c r="D191" s="16">
        <v>3252150.6849315069</v>
      </c>
      <c r="E191" s="19">
        <v>2025</v>
      </c>
      <c r="F191" s="17">
        <f t="shared" si="2"/>
        <v>1187.0350000000001</v>
      </c>
      <c r="G191" s="17">
        <v>21.23114988184847</v>
      </c>
      <c r="H191" s="17">
        <v>23.050441646623732</v>
      </c>
      <c r="I191" s="17">
        <v>11.487277123252474</v>
      </c>
      <c r="J191" s="17">
        <v>20.831168415421615</v>
      </c>
      <c r="K191" s="17">
        <v>5.0287969604940042</v>
      </c>
      <c r="L191" s="16">
        <v>102908.64348072877</v>
      </c>
      <c r="M191" s="19">
        <v>2025</v>
      </c>
      <c r="N191" s="16">
        <v>3106.6301369863013</v>
      </c>
      <c r="O191" s="16">
        <v>4259.4739726027392</v>
      </c>
      <c r="P191" s="17">
        <v>4435.1629999769402</v>
      </c>
      <c r="Q191" s="19">
        <v>2025</v>
      </c>
      <c r="R191" s="17">
        <v>1.19311288444599</v>
      </c>
      <c r="S191" s="19">
        <v>2025</v>
      </c>
      <c r="T191" s="17">
        <v>3.1725303426024798</v>
      </c>
      <c r="U191" s="19">
        <v>2025</v>
      </c>
      <c r="V191" s="18">
        <v>1.095</v>
      </c>
      <c r="W191" s="18">
        <v>1.0269999999999999</v>
      </c>
      <c r="X191" s="18" t="s">
        <v>46</v>
      </c>
      <c r="Y191" s="18" t="s">
        <v>46</v>
      </c>
      <c r="Z191" s="18" t="s">
        <v>46</v>
      </c>
      <c r="AA191" s="15" t="s">
        <v>47</v>
      </c>
      <c r="AB191" s="15" t="s">
        <v>48</v>
      </c>
      <c r="AC191" s="15" t="s">
        <v>1186</v>
      </c>
      <c r="AD191" s="15" t="s">
        <v>1187</v>
      </c>
      <c r="AE191" s="15" t="s">
        <v>1188</v>
      </c>
      <c r="AF191" s="15" t="s">
        <v>52</v>
      </c>
      <c r="AG191" s="15" t="s">
        <v>53</v>
      </c>
      <c r="AH191" s="15" t="s">
        <v>1189</v>
      </c>
      <c r="AI191" s="15" t="s">
        <v>1190</v>
      </c>
      <c r="AJ191" s="8">
        <f>'Сводка НПЗ'!D191</f>
        <v>31</v>
      </c>
      <c r="AK191" s="8">
        <f>IF('Сводка НПЗ'!F191&gt;0,'Сводка НПЗ'!E191,"")</f>
        <v>4625000</v>
      </c>
      <c r="AL191" s="8">
        <f>'Сводка НПЗ'!G191</f>
        <v>3</v>
      </c>
      <c r="AM191" s="6" t="s">
        <v>56</v>
      </c>
      <c r="AN191" s="12" t="s">
        <v>57</v>
      </c>
      <c r="AO191" s="20">
        <v>2025</v>
      </c>
      <c r="AP191" s="20">
        <v>2025</v>
      </c>
      <c r="AQ191" s="20">
        <v>2025</v>
      </c>
      <c r="AR191" s="6" t="s">
        <v>58</v>
      </c>
    </row>
    <row r="192" spans="1:44" ht="42" customHeight="1" x14ac:dyDescent="0.2">
      <c r="A192" s="15">
        <v>191</v>
      </c>
      <c r="B192" s="15" t="s">
        <v>1191</v>
      </c>
      <c r="C192" s="15" t="s">
        <v>1192</v>
      </c>
      <c r="D192" s="16">
        <v>491.52115299999997</v>
      </c>
      <c r="E192" s="19">
        <v>2024</v>
      </c>
      <c r="F192" s="17">
        <f t="shared" si="2"/>
        <v>0.17989674199799999</v>
      </c>
      <c r="G192" s="17">
        <v>75.193457849005341</v>
      </c>
      <c r="H192" s="17">
        <v>14.490771875284885</v>
      </c>
      <c r="I192" s="17">
        <v>0</v>
      </c>
      <c r="J192" s="17">
        <v>0</v>
      </c>
      <c r="K192" s="17">
        <v>0</v>
      </c>
      <c r="L192" s="16">
        <v>0</v>
      </c>
      <c r="M192" s="19">
        <v>2025</v>
      </c>
      <c r="N192" s="16">
        <v>0</v>
      </c>
      <c r="O192" s="16">
        <v>0</v>
      </c>
      <c r="P192" s="17" t="s">
        <v>46</v>
      </c>
      <c r="Q192" s="19" t="s">
        <v>46</v>
      </c>
      <c r="R192" s="17" t="s">
        <v>46</v>
      </c>
      <c r="S192" s="19" t="s">
        <v>46</v>
      </c>
      <c r="T192" s="17" t="s">
        <v>46</v>
      </c>
      <c r="U192" s="19" t="s">
        <v>46</v>
      </c>
      <c r="V192" s="18" t="s">
        <v>46</v>
      </c>
      <c r="W192" s="18" t="s">
        <v>46</v>
      </c>
      <c r="X192" s="18" t="s">
        <v>46</v>
      </c>
      <c r="Y192" s="18" t="s">
        <v>46</v>
      </c>
      <c r="Z192" s="18" t="s">
        <v>46</v>
      </c>
      <c r="AA192" s="15" t="s">
        <v>100</v>
      </c>
      <c r="AB192" s="15" t="s">
        <v>101</v>
      </c>
      <c r="AC192" s="15" t="s">
        <v>421</v>
      </c>
      <c r="AD192" s="15" t="s">
        <v>103</v>
      </c>
      <c r="AE192" s="15" t="s">
        <v>104</v>
      </c>
      <c r="AF192" s="15" t="s">
        <v>64</v>
      </c>
      <c r="AG192" s="15" t="s">
        <v>106</v>
      </c>
      <c r="AH192" s="15" t="s">
        <v>1193</v>
      </c>
      <c r="AI192" s="15" t="s">
        <v>1194</v>
      </c>
      <c r="AJ192" s="8">
        <f>'Сводка НПЗ'!D192</f>
        <v>0</v>
      </c>
      <c r="AK192" s="8" t="str">
        <f>IF('Сводка НПЗ'!F192&gt;0,'Сводка НПЗ'!E192,"")</f>
        <v/>
      </c>
      <c r="AL192" s="8">
        <f>'Сводка НПЗ'!G192</f>
        <v>0</v>
      </c>
      <c r="AM192" s="6" t="s">
        <v>56</v>
      </c>
      <c r="AN192" s="12" t="s">
        <v>83</v>
      </c>
      <c r="AO192" s="20">
        <v>2024</v>
      </c>
      <c r="AP192" s="20">
        <v>2025</v>
      </c>
      <c r="AQ192" s="20">
        <v>2025</v>
      </c>
      <c r="AR192" s="6" t="s">
        <v>58</v>
      </c>
    </row>
    <row r="193" spans="1:44" ht="42" customHeight="1" x14ac:dyDescent="0.2">
      <c r="A193" s="15">
        <v>192</v>
      </c>
      <c r="B193" s="15" t="s">
        <v>1195</v>
      </c>
      <c r="C193" s="15" t="s">
        <v>1196</v>
      </c>
      <c r="D193" s="16">
        <v>16295.890410958904</v>
      </c>
      <c r="E193" s="19">
        <v>2025</v>
      </c>
      <c r="F193" s="17">
        <f t="shared" si="2"/>
        <v>5.9480000000000004</v>
      </c>
      <c r="G193" s="17">
        <v>43.897108271687962</v>
      </c>
      <c r="H193" s="17">
        <v>16.053295225285812</v>
      </c>
      <c r="I193" s="17">
        <v>0.19502353732347008</v>
      </c>
      <c r="J193" s="17">
        <v>78.164088769334228</v>
      </c>
      <c r="K193" s="17">
        <v>0</v>
      </c>
      <c r="L193" s="16">
        <v>0</v>
      </c>
      <c r="M193" s="19">
        <v>2025</v>
      </c>
      <c r="N193" s="16">
        <v>0</v>
      </c>
      <c r="O193" s="16">
        <v>0</v>
      </c>
      <c r="P193" s="17">
        <v>38.582528789003305</v>
      </c>
      <c r="Q193" s="19">
        <v>2025</v>
      </c>
      <c r="R193" s="17">
        <v>1.27946207863934</v>
      </c>
      <c r="S193" s="19">
        <v>2025</v>
      </c>
      <c r="T193" s="17">
        <v>4.0908505600651504</v>
      </c>
      <c r="U193" s="19">
        <v>2025</v>
      </c>
      <c r="V193" s="18">
        <v>2.093</v>
      </c>
      <c r="W193" s="18">
        <v>2.3820000000000001</v>
      </c>
      <c r="X193" s="18" t="s">
        <v>46</v>
      </c>
      <c r="Y193" s="18" t="s">
        <v>46</v>
      </c>
      <c r="Z193" s="18" t="s">
        <v>46</v>
      </c>
      <c r="AA193" s="15" t="s">
        <v>47</v>
      </c>
      <c r="AB193" s="15" t="s">
        <v>48</v>
      </c>
      <c r="AC193" s="15" t="s">
        <v>390</v>
      </c>
      <c r="AD193" s="15" t="s">
        <v>1197</v>
      </c>
      <c r="AE193" s="15" t="s">
        <v>1198</v>
      </c>
      <c r="AF193" s="15" t="s">
        <v>52</v>
      </c>
      <c r="AG193" s="15" t="s">
        <v>53</v>
      </c>
      <c r="AH193" s="15" t="s">
        <v>1199</v>
      </c>
      <c r="AI193" s="15" t="s">
        <v>1200</v>
      </c>
      <c r="AJ193" s="8">
        <f>'Сводка НПЗ'!D193</f>
        <v>0</v>
      </c>
      <c r="AK193" s="8" t="str">
        <f>IF('Сводка НПЗ'!F193&gt;0,'Сводка НПЗ'!E193,"")</f>
        <v/>
      </c>
      <c r="AL193" s="8">
        <f>'Сводка НПЗ'!G193</f>
        <v>0</v>
      </c>
      <c r="AM193" s="6" t="s">
        <v>56</v>
      </c>
      <c r="AN193" s="12" t="s">
        <v>83</v>
      </c>
      <c r="AO193" s="20">
        <v>2025</v>
      </c>
      <c r="AP193" s="20">
        <v>2025</v>
      </c>
      <c r="AQ193" s="20">
        <v>2025</v>
      </c>
      <c r="AR193" s="6" t="s">
        <v>58</v>
      </c>
    </row>
    <row r="194" spans="1:44" ht="42" customHeight="1" x14ac:dyDescent="0.2">
      <c r="A194" s="15">
        <v>193</v>
      </c>
      <c r="B194" s="15" t="s">
        <v>1201</v>
      </c>
      <c r="C194" s="15" t="s">
        <v>1202</v>
      </c>
      <c r="D194" s="16" t="s">
        <v>46</v>
      </c>
      <c r="E194" s="19" t="s">
        <v>46</v>
      </c>
      <c r="F194" s="17" t="str">
        <f t="shared" ref="F194:F257" si="3">IF(AND(ISNUMBER(D194),ISNUMBER(E194)),D194*(DATE(E194+1,1,1)-DATE(E194,1,1))/1000000,"н/д")</f>
        <v>н/д</v>
      </c>
      <c r="G194" s="17" t="s">
        <v>46</v>
      </c>
      <c r="H194" s="17" t="s">
        <v>46</v>
      </c>
      <c r="I194" s="17" t="s">
        <v>46</v>
      </c>
      <c r="J194" s="17" t="s">
        <v>46</v>
      </c>
      <c r="K194" s="17" t="s">
        <v>46</v>
      </c>
      <c r="L194" s="16" t="s">
        <v>46</v>
      </c>
      <c r="M194" s="19" t="s">
        <v>46</v>
      </c>
      <c r="N194" s="16" t="s">
        <v>46</v>
      </c>
      <c r="O194" s="16" t="s">
        <v>46</v>
      </c>
      <c r="P194" s="17" t="s">
        <v>46</v>
      </c>
      <c r="Q194" s="19" t="s">
        <v>46</v>
      </c>
      <c r="R194" s="17" t="s">
        <v>46</v>
      </c>
      <c r="S194" s="19" t="s">
        <v>46</v>
      </c>
      <c r="T194" s="17" t="s">
        <v>46</v>
      </c>
      <c r="U194" s="19" t="s">
        <v>46</v>
      </c>
      <c r="V194" s="18" t="s">
        <v>46</v>
      </c>
      <c r="W194" s="18" t="s">
        <v>46</v>
      </c>
      <c r="X194" s="18" t="s">
        <v>46</v>
      </c>
      <c r="Y194" s="18" t="s">
        <v>46</v>
      </c>
      <c r="Z194" s="18" t="s">
        <v>46</v>
      </c>
      <c r="AA194" s="15" t="s">
        <v>100</v>
      </c>
      <c r="AB194" s="15" t="s">
        <v>101</v>
      </c>
      <c r="AC194" s="15" t="s">
        <v>198</v>
      </c>
      <c r="AD194" s="15" t="s">
        <v>103</v>
      </c>
      <c r="AE194" s="15" t="s">
        <v>104</v>
      </c>
      <c r="AF194" s="15" t="s">
        <v>105</v>
      </c>
      <c r="AG194" s="15" t="s">
        <v>106</v>
      </c>
      <c r="AH194" s="15" t="s">
        <v>1203</v>
      </c>
      <c r="AI194" s="15" t="s">
        <v>1204</v>
      </c>
      <c r="AJ194" s="8">
        <f>'Сводка НПЗ'!D194</f>
        <v>0</v>
      </c>
      <c r="AK194" s="8" t="str">
        <f>IF('Сводка НПЗ'!F194&gt;0,'Сводка НПЗ'!E194,"")</f>
        <v/>
      </c>
      <c r="AL194" s="8">
        <f>'Сводка НПЗ'!G194</f>
        <v>0</v>
      </c>
      <c r="AM194" s="6" t="s">
        <v>56</v>
      </c>
      <c r="AN194" s="12" t="s">
        <v>83</v>
      </c>
      <c r="AO194" s="20"/>
      <c r="AP194" s="20"/>
      <c r="AQ194" s="20"/>
      <c r="AR194" s="6" t="s">
        <v>58</v>
      </c>
    </row>
    <row r="195" spans="1:44" ht="42" customHeight="1" x14ac:dyDescent="0.2">
      <c r="A195" s="15">
        <v>194</v>
      </c>
      <c r="B195" s="15" t="s">
        <v>1205</v>
      </c>
      <c r="C195" s="15" t="s">
        <v>1206</v>
      </c>
      <c r="D195" s="16">
        <v>8874.3733769999999</v>
      </c>
      <c r="E195" s="19">
        <v>2024</v>
      </c>
      <c r="F195" s="17">
        <f t="shared" si="3"/>
        <v>3.2480206559819997</v>
      </c>
      <c r="G195" s="17">
        <v>50.512059033010416</v>
      </c>
      <c r="H195" s="17">
        <v>15.88388330215284</v>
      </c>
      <c r="I195" s="17">
        <v>4.4690878910717258</v>
      </c>
      <c r="J195" s="17">
        <v>4.137197088771984</v>
      </c>
      <c r="K195" s="17">
        <v>24.386226824857658</v>
      </c>
      <c r="L195" s="16">
        <v>0</v>
      </c>
      <c r="M195" s="19">
        <v>2025</v>
      </c>
      <c r="N195" s="16">
        <v>0</v>
      </c>
      <c r="O195" s="16">
        <v>0</v>
      </c>
      <c r="P195" s="17">
        <v>6.3237163550500899</v>
      </c>
      <c r="Q195" s="19">
        <v>2024</v>
      </c>
      <c r="R195" s="17">
        <v>1.12638897730247</v>
      </c>
      <c r="S195" s="19">
        <v>2024</v>
      </c>
      <c r="T195" s="17" t="s">
        <v>46</v>
      </c>
      <c r="U195" s="19" t="s">
        <v>46</v>
      </c>
      <c r="V195" s="18" t="s">
        <v>46</v>
      </c>
      <c r="W195" s="18" t="s">
        <v>46</v>
      </c>
      <c r="X195" s="18" t="s">
        <v>46</v>
      </c>
      <c r="Y195" s="18" t="s">
        <v>46</v>
      </c>
      <c r="Z195" s="18" t="s">
        <v>46</v>
      </c>
      <c r="AA195" s="15" t="s">
        <v>100</v>
      </c>
      <c r="AB195" s="15" t="s">
        <v>101</v>
      </c>
      <c r="AC195" s="15" t="s">
        <v>421</v>
      </c>
      <c r="AD195" s="15" t="s">
        <v>1207</v>
      </c>
      <c r="AE195" s="15" t="s">
        <v>104</v>
      </c>
      <c r="AF195" s="15" t="s">
        <v>64</v>
      </c>
      <c r="AG195" s="15" t="s">
        <v>106</v>
      </c>
      <c r="AH195" s="15" t="s">
        <v>1208</v>
      </c>
      <c r="AI195" s="15" t="s">
        <v>1209</v>
      </c>
      <c r="AJ195" s="8">
        <f>'Сводка НПЗ'!D195</f>
        <v>0</v>
      </c>
      <c r="AK195" s="8" t="str">
        <f>IF('Сводка НПЗ'!F195&gt;0,'Сводка НПЗ'!E195,"")</f>
        <v/>
      </c>
      <c r="AL195" s="8">
        <f>'Сводка НПЗ'!G195</f>
        <v>0</v>
      </c>
      <c r="AM195" s="6" t="s">
        <v>56</v>
      </c>
      <c r="AN195" s="12" t="s">
        <v>83</v>
      </c>
      <c r="AO195" s="20">
        <v>2024</v>
      </c>
      <c r="AP195" s="20">
        <v>2025</v>
      </c>
      <c r="AQ195" s="20">
        <v>2025</v>
      </c>
      <c r="AR195" s="6" t="s">
        <v>58</v>
      </c>
    </row>
    <row r="196" spans="1:44" ht="42" customHeight="1" x14ac:dyDescent="0.2">
      <c r="A196" s="15">
        <v>195</v>
      </c>
      <c r="B196" s="15" t="s">
        <v>1210</v>
      </c>
      <c r="C196" s="15" t="s">
        <v>1211</v>
      </c>
      <c r="D196" s="16" t="s">
        <v>46</v>
      </c>
      <c r="E196" s="19" t="s">
        <v>46</v>
      </c>
      <c r="F196" s="17" t="str">
        <f t="shared" si="3"/>
        <v>н/д</v>
      </c>
      <c r="G196" s="17" t="s">
        <v>46</v>
      </c>
      <c r="H196" s="17" t="s">
        <v>46</v>
      </c>
      <c r="I196" s="17" t="s">
        <v>46</v>
      </c>
      <c r="J196" s="17" t="s">
        <v>46</v>
      </c>
      <c r="K196" s="17" t="s">
        <v>46</v>
      </c>
      <c r="L196" s="16" t="s">
        <v>46</v>
      </c>
      <c r="M196" s="19" t="s">
        <v>46</v>
      </c>
      <c r="N196" s="16" t="s">
        <v>46</v>
      </c>
      <c r="O196" s="16" t="s">
        <v>46</v>
      </c>
      <c r="P196" s="17" t="s">
        <v>46</v>
      </c>
      <c r="Q196" s="19" t="s">
        <v>46</v>
      </c>
      <c r="R196" s="17" t="s">
        <v>46</v>
      </c>
      <c r="S196" s="19" t="s">
        <v>46</v>
      </c>
      <c r="T196" s="17" t="s">
        <v>46</v>
      </c>
      <c r="U196" s="19" t="s">
        <v>46</v>
      </c>
      <c r="V196" s="18" t="s">
        <v>46</v>
      </c>
      <c r="W196" s="18" t="s">
        <v>46</v>
      </c>
      <c r="X196" s="18" t="s">
        <v>46</v>
      </c>
      <c r="Y196" s="18" t="s">
        <v>46</v>
      </c>
      <c r="Z196" s="18" t="s">
        <v>46</v>
      </c>
      <c r="AA196" s="15" t="s">
        <v>100</v>
      </c>
      <c r="AB196" s="15" t="s">
        <v>101</v>
      </c>
      <c r="AC196" s="15" t="s">
        <v>198</v>
      </c>
      <c r="AD196" s="15" t="s">
        <v>103</v>
      </c>
      <c r="AE196" s="15" t="s">
        <v>104</v>
      </c>
      <c r="AF196" s="15" t="s">
        <v>105</v>
      </c>
      <c r="AG196" s="15" t="s">
        <v>106</v>
      </c>
      <c r="AH196" s="15" t="s">
        <v>1212</v>
      </c>
      <c r="AI196" s="15" t="s">
        <v>1213</v>
      </c>
      <c r="AJ196" s="8">
        <f>'Сводка НПЗ'!D196</f>
        <v>0</v>
      </c>
      <c r="AK196" s="8" t="str">
        <f>IF('Сводка НПЗ'!F196&gt;0,'Сводка НПЗ'!E196,"")</f>
        <v/>
      </c>
      <c r="AL196" s="8">
        <f>'Сводка НПЗ'!G196</f>
        <v>0</v>
      </c>
      <c r="AM196" s="6" t="s">
        <v>56</v>
      </c>
      <c r="AN196" s="12" t="s">
        <v>83</v>
      </c>
      <c r="AO196" s="20"/>
      <c r="AP196" s="20"/>
      <c r="AQ196" s="20"/>
      <c r="AR196" s="6" t="s">
        <v>58</v>
      </c>
    </row>
    <row r="197" spans="1:44" ht="42" customHeight="1" x14ac:dyDescent="0.2">
      <c r="A197" s="15">
        <v>196</v>
      </c>
      <c r="B197" s="15" t="s">
        <v>1214</v>
      </c>
      <c r="C197" s="15" t="s">
        <v>1215</v>
      </c>
      <c r="D197" s="16">
        <v>6476.3992039999994</v>
      </c>
      <c r="E197" s="19">
        <v>2024</v>
      </c>
      <c r="F197" s="17">
        <f t="shared" si="3"/>
        <v>2.3703621086640001</v>
      </c>
      <c r="G197" s="17">
        <v>37.322941759165843</v>
      </c>
      <c r="H197" s="17">
        <v>15.447225155331857</v>
      </c>
      <c r="I197" s="17">
        <v>2.0854185905739611</v>
      </c>
      <c r="J197" s="17">
        <v>15.918435021165198</v>
      </c>
      <c r="K197" s="17">
        <v>28.910847231955167</v>
      </c>
      <c r="L197" s="16">
        <v>0</v>
      </c>
      <c r="M197" s="19">
        <v>2025</v>
      </c>
      <c r="N197" s="16">
        <v>0</v>
      </c>
      <c r="O197" s="16">
        <v>0</v>
      </c>
      <c r="P197" s="17">
        <v>2.38702285348583</v>
      </c>
      <c r="Q197" s="19">
        <v>2025</v>
      </c>
      <c r="R197" s="17">
        <v>5.79795669973812</v>
      </c>
      <c r="S197" s="19">
        <v>2025</v>
      </c>
      <c r="T197" s="17">
        <v>0.297589655467556</v>
      </c>
      <c r="U197" s="19">
        <v>2025</v>
      </c>
      <c r="V197" s="18">
        <v>1.7849999999999999</v>
      </c>
      <c r="W197" s="18">
        <v>1.8220000000000001</v>
      </c>
      <c r="X197" s="18" t="s">
        <v>46</v>
      </c>
      <c r="Y197" s="18" t="s">
        <v>46</v>
      </c>
      <c r="Z197" s="18" t="s">
        <v>46</v>
      </c>
      <c r="AA197" s="15" t="s">
        <v>47</v>
      </c>
      <c r="AB197" s="15" t="s">
        <v>48</v>
      </c>
      <c r="AC197" s="15" t="s">
        <v>421</v>
      </c>
      <c r="AD197" s="15" t="s">
        <v>1216</v>
      </c>
      <c r="AE197" s="15" t="s">
        <v>1217</v>
      </c>
      <c r="AF197" s="15" t="s">
        <v>64</v>
      </c>
      <c r="AG197" s="15" t="s">
        <v>53</v>
      </c>
      <c r="AH197" s="15" t="s">
        <v>1218</v>
      </c>
      <c r="AI197" s="15" t="s">
        <v>1219</v>
      </c>
      <c r="AJ197" s="8">
        <f>'Сводка НПЗ'!D197</f>
        <v>0</v>
      </c>
      <c r="AK197" s="8" t="str">
        <f>IF('Сводка НПЗ'!F197&gt;0,'Сводка НПЗ'!E197,"")</f>
        <v/>
      </c>
      <c r="AL197" s="8">
        <f>'Сводка НПЗ'!G197</f>
        <v>0</v>
      </c>
      <c r="AM197" s="6" t="s">
        <v>56</v>
      </c>
      <c r="AN197" s="12" t="s">
        <v>83</v>
      </c>
      <c r="AO197" s="20">
        <v>2024</v>
      </c>
      <c r="AP197" s="20">
        <v>2025</v>
      </c>
      <c r="AQ197" s="20">
        <v>2025</v>
      </c>
      <c r="AR197" s="6" t="s">
        <v>58</v>
      </c>
    </row>
    <row r="198" spans="1:44" ht="42" customHeight="1" x14ac:dyDescent="0.2">
      <c r="A198" s="15">
        <v>197</v>
      </c>
      <c r="B198" s="15" t="s">
        <v>1220</v>
      </c>
      <c r="C198" s="15" t="s">
        <v>1221</v>
      </c>
      <c r="D198" s="16">
        <v>588.76141000000007</v>
      </c>
      <c r="E198" s="19">
        <v>2024</v>
      </c>
      <c r="F198" s="17">
        <f t="shared" si="3"/>
        <v>0.21548667606000002</v>
      </c>
      <c r="G198" s="17">
        <v>52.885049310551778</v>
      </c>
      <c r="H198" s="17">
        <v>32.013761227998955</v>
      </c>
      <c r="I198" s="17">
        <v>1.2093245037917819</v>
      </c>
      <c r="J198" s="17">
        <v>13.434197733849437</v>
      </c>
      <c r="K198" s="17">
        <v>0</v>
      </c>
      <c r="L198" s="16">
        <v>0</v>
      </c>
      <c r="M198" s="19">
        <v>2025</v>
      </c>
      <c r="N198" s="16">
        <v>0</v>
      </c>
      <c r="O198" s="16">
        <v>0</v>
      </c>
      <c r="P198" s="17">
        <v>0.34922725415883304</v>
      </c>
      <c r="Q198" s="19">
        <v>2025</v>
      </c>
      <c r="R198" s="17">
        <v>4.2216358839050097</v>
      </c>
      <c r="S198" s="19">
        <v>2025</v>
      </c>
      <c r="T198" s="17">
        <v>2.4554507215902799</v>
      </c>
      <c r="U198" s="19">
        <v>2024</v>
      </c>
      <c r="V198" s="18" t="s">
        <v>46</v>
      </c>
      <c r="W198" s="18" t="s">
        <v>46</v>
      </c>
      <c r="X198" s="18" t="s">
        <v>46</v>
      </c>
      <c r="Y198" s="18" t="s">
        <v>46</v>
      </c>
      <c r="Z198" s="18" t="s">
        <v>46</v>
      </c>
      <c r="AA198" s="15" t="s">
        <v>100</v>
      </c>
      <c r="AB198" s="15" t="s">
        <v>101</v>
      </c>
      <c r="AC198" s="15" t="s">
        <v>421</v>
      </c>
      <c r="AD198" s="15" t="s">
        <v>1222</v>
      </c>
      <c r="AE198" s="15" t="s">
        <v>104</v>
      </c>
      <c r="AF198" s="15" t="s">
        <v>64</v>
      </c>
      <c r="AG198" s="15" t="s">
        <v>106</v>
      </c>
      <c r="AH198" s="15" t="s">
        <v>1223</v>
      </c>
      <c r="AI198" s="15" t="s">
        <v>1224</v>
      </c>
      <c r="AJ198" s="8">
        <f>'Сводка НПЗ'!D198</f>
        <v>0</v>
      </c>
      <c r="AK198" s="8" t="str">
        <f>IF('Сводка НПЗ'!F198&gt;0,'Сводка НПЗ'!E198,"")</f>
        <v/>
      </c>
      <c r="AL198" s="8">
        <f>'Сводка НПЗ'!G198</f>
        <v>0</v>
      </c>
      <c r="AM198" s="6" t="s">
        <v>56</v>
      </c>
      <c r="AN198" s="12" t="s">
        <v>83</v>
      </c>
      <c r="AO198" s="20">
        <v>2024</v>
      </c>
      <c r="AP198" s="20">
        <v>2025</v>
      </c>
      <c r="AQ198" s="20">
        <v>2025</v>
      </c>
      <c r="AR198" s="6" t="s">
        <v>58</v>
      </c>
    </row>
    <row r="199" spans="1:44" ht="42" customHeight="1" x14ac:dyDescent="0.2">
      <c r="A199" s="15">
        <v>198</v>
      </c>
      <c r="B199" s="15" t="s">
        <v>1225</v>
      </c>
      <c r="C199" s="15" t="s">
        <v>1226</v>
      </c>
      <c r="D199" s="16" t="s">
        <v>46</v>
      </c>
      <c r="E199" s="19" t="s">
        <v>46</v>
      </c>
      <c r="F199" s="17" t="str">
        <f t="shared" si="3"/>
        <v>н/д</v>
      </c>
      <c r="G199" s="17" t="s">
        <v>46</v>
      </c>
      <c r="H199" s="17" t="s">
        <v>46</v>
      </c>
      <c r="I199" s="17" t="s">
        <v>46</v>
      </c>
      <c r="J199" s="17" t="s">
        <v>46</v>
      </c>
      <c r="K199" s="17" t="s">
        <v>46</v>
      </c>
      <c r="L199" s="16" t="s">
        <v>46</v>
      </c>
      <c r="M199" s="19" t="s">
        <v>46</v>
      </c>
      <c r="N199" s="16" t="s">
        <v>46</v>
      </c>
      <c r="O199" s="16" t="s">
        <v>46</v>
      </c>
      <c r="P199" s="17">
        <v>0.308</v>
      </c>
      <c r="Q199" s="19">
        <v>2025</v>
      </c>
      <c r="R199" s="17">
        <v>2.2831050228310499</v>
      </c>
      <c r="S199" s="19">
        <v>2025</v>
      </c>
      <c r="T199" s="17" t="s">
        <v>46</v>
      </c>
      <c r="U199" s="19" t="s">
        <v>46</v>
      </c>
      <c r="V199" s="18" t="s">
        <v>46</v>
      </c>
      <c r="W199" s="18" t="s">
        <v>46</v>
      </c>
      <c r="X199" s="18" t="s">
        <v>46</v>
      </c>
      <c r="Y199" s="18" t="s">
        <v>46</v>
      </c>
      <c r="Z199" s="18" t="s">
        <v>46</v>
      </c>
      <c r="AA199" s="15" t="s">
        <v>100</v>
      </c>
      <c r="AB199" s="15" t="s">
        <v>101</v>
      </c>
      <c r="AC199" s="15" t="s">
        <v>198</v>
      </c>
      <c r="AD199" s="15" t="s">
        <v>1227</v>
      </c>
      <c r="AE199" s="15" t="s">
        <v>104</v>
      </c>
      <c r="AF199" s="15" t="s">
        <v>105</v>
      </c>
      <c r="AG199" s="15" t="s">
        <v>106</v>
      </c>
      <c r="AH199" s="15" t="s">
        <v>1228</v>
      </c>
      <c r="AI199" s="15" t="s">
        <v>1229</v>
      </c>
      <c r="AJ199" s="8">
        <f>'Сводка НПЗ'!D199</f>
        <v>0</v>
      </c>
      <c r="AK199" s="8" t="str">
        <f>IF('Сводка НПЗ'!F199&gt;0,'Сводка НПЗ'!E199,"")</f>
        <v/>
      </c>
      <c r="AL199" s="8">
        <f>'Сводка НПЗ'!G199</f>
        <v>0</v>
      </c>
      <c r="AM199" s="6" t="s">
        <v>56</v>
      </c>
      <c r="AN199" s="12" t="s">
        <v>83</v>
      </c>
      <c r="AO199" s="20"/>
      <c r="AP199" s="20"/>
      <c r="AQ199" s="20"/>
      <c r="AR199" s="6" t="s">
        <v>58</v>
      </c>
    </row>
    <row r="200" spans="1:44" ht="42" customHeight="1" x14ac:dyDescent="0.2">
      <c r="A200" s="15">
        <v>199</v>
      </c>
      <c r="B200" s="15" t="s">
        <v>1230</v>
      </c>
      <c r="C200" s="15" t="s">
        <v>1231</v>
      </c>
      <c r="D200" s="16">
        <v>27004.607614</v>
      </c>
      <c r="E200" s="19">
        <v>2024</v>
      </c>
      <c r="F200" s="17">
        <f t="shared" si="3"/>
        <v>9.8836863867240012</v>
      </c>
      <c r="G200" s="17">
        <v>32.34726942846369</v>
      </c>
      <c r="H200" s="17">
        <v>39.152400031610398</v>
      </c>
      <c r="I200" s="17">
        <v>9.3058490533192604</v>
      </c>
      <c r="J200" s="17">
        <v>18.923957900246055</v>
      </c>
      <c r="K200" s="17">
        <v>0.27052358636059831</v>
      </c>
      <c r="L200" s="16">
        <v>71566.032749532838</v>
      </c>
      <c r="M200" s="19">
        <v>2025</v>
      </c>
      <c r="N200" s="16">
        <v>51199.550704972433</v>
      </c>
      <c r="O200" s="16">
        <v>15359.551252817932</v>
      </c>
      <c r="P200" s="17">
        <v>25.942749718468498</v>
      </c>
      <c r="Q200" s="19">
        <v>2025</v>
      </c>
      <c r="R200" s="17">
        <v>-0.787768572727643</v>
      </c>
      <c r="S200" s="19">
        <v>2025</v>
      </c>
      <c r="T200" s="17">
        <v>0.99448998790482102</v>
      </c>
      <c r="U200" s="19">
        <v>2025</v>
      </c>
      <c r="V200" s="18">
        <v>1.1439999999999999</v>
      </c>
      <c r="W200" s="18">
        <v>0.65100000000000002</v>
      </c>
      <c r="X200" s="18" t="s">
        <v>46</v>
      </c>
      <c r="Y200" s="18" t="s">
        <v>46</v>
      </c>
      <c r="Z200" s="18" t="s">
        <v>46</v>
      </c>
      <c r="AA200" s="15" t="s">
        <v>47</v>
      </c>
      <c r="AB200" s="15" t="s">
        <v>48</v>
      </c>
      <c r="AC200" s="15" t="s">
        <v>421</v>
      </c>
      <c r="AD200" s="15" t="s">
        <v>1232</v>
      </c>
      <c r="AE200" s="15" t="s">
        <v>1233</v>
      </c>
      <c r="AF200" s="15" t="s">
        <v>64</v>
      </c>
      <c r="AG200" s="15" t="s">
        <v>53</v>
      </c>
      <c r="AH200" s="15" t="s">
        <v>1234</v>
      </c>
      <c r="AI200" s="15" t="s">
        <v>1235</v>
      </c>
      <c r="AJ200" s="8">
        <f>'Сводка НПЗ'!D200</f>
        <v>1</v>
      </c>
      <c r="AK200" s="8">
        <f>IF('Сводка НПЗ'!F200&gt;0,'Сводка НПЗ'!E200,"")</f>
        <v>165000</v>
      </c>
      <c r="AL200" s="8">
        <f>'Сводка НПЗ'!G200</f>
        <v>0</v>
      </c>
      <c r="AM200" s="6" t="s">
        <v>56</v>
      </c>
      <c r="AN200" s="12" t="s">
        <v>83</v>
      </c>
      <c r="AO200" s="20">
        <v>2024</v>
      </c>
      <c r="AP200" s="20">
        <v>2025</v>
      </c>
      <c r="AQ200" s="20">
        <v>2025</v>
      </c>
      <c r="AR200" s="6" t="s">
        <v>58</v>
      </c>
    </row>
    <row r="201" spans="1:44" ht="42" customHeight="1" x14ac:dyDescent="0.2">
      <c r="A201" s="15">
        <v>200</v>
      </c>
      <c r="B201" s="15" t="s">
        <v>1236</v>
      </c>
      <c r="C201" s="15" t="s">
        <v>1237</v>
      </c>
      <c r="D201" s="16">
        <v>2807.5126049999999</v>
      </c>
      <c r="E201" s="19">
        <v>2024</v>
      </c>
      <c r="F201" s="17">
        <f t="shared" si="3"/>
        <v>1.02754961343</v>
      </c>
      <c r="G201" s="17">
        <v>63.342013098459446</v>
      </c>
      <c r="H201" s="17">
        <v>22.152185065612557</v>
      </c>
      <c r="I201" s="17">
        <v>6.4721452247941009</v>
      </c>
      <c r="J201" s="17">
        <v>7.6905721675290586</v>
      </c>
      <c r="K201" s="17">
        <v>0</v>
      </c>
      <c r="L201" s="16">
        <v>0</v>
      </c>
      <c r="M201" s="19">
        <v>2025</v>
      </c>
      <c r="N201" s="16">
        <v>0</v>
      </c>
      <c r="O201" s="16">
        <v>0</v>
      </c>
      <c r="P201" s="17">
        <v>1.4201732285694799</v>
      </c>
      <c r="Q201" s="19">
        <v>2025</v>
      </c>
      <c r="R201" s="17">
        <v>4.4120100000000004</v>
      </c>
      <c r="S201" s="19">
        <v>2025</v>
      </c>
      <c r="T201" s="17">
        <v>0.61031197589383301</v>
      </c>
      <c r="U201" s="19">
        <v>2025</v>
      </c>
      <c r="V201" s="18">
        <v>1.3839999999999999</v>
      </c>
      <c r="W201" s="18">
        <v>1.3839999999999999</v>
      </c>
      <c r="X201" s="18" t="s">
        <v>46</v>
      </c>
      <c r="Y201" s="18" t="s">
        <v>46</v>
      </c>
      <c r="Z201" s="18" t="s">
        <v>46</v>
      </c>
      <c r="AA201" s="15" t="s">
        <v>47</v>
      </c>
      <c r="AB201" s="15" t="s">
        <v>48</v>
      </c>
      <c r="AC201" s="15" t="s">
        <v>421</v>
      </c>
      <c r="AD201" s="15" t="s">
        <v>1238</v>
      </c>
      <c r="AE201" s="15" t="s">
        <v>1239</v>
      </c>
      <c r="AF201" s="15" t="s">
        <v>64</v>
      </c>
      <c r="AG201" s="15" t="s">
        <v>53</v>
      </c>
      <c r="AH201" s="15" t="s">
        <v>1240</v>
      </c>
      <c r="AI201" s="15" t="s">
        <v>1241</v>
      </c>
      <c r="AJ201" s="8">
        <f>'Сводка НПЗ'!D201</f>
        <v>0</v>
      </c>
      <c r="AK201" s="8" t="str">
        <f>IF('Сводка НПЗ'!F201&gt;0,'Сводка НПЗ'!E201,"")</f>
        <v/>
      </c>
      <c r="AL201" s="8">
        <f>'Сводка НПЗ'!G201</f>
        <v>0</v>
      </c>
      <c r="AM201" s="6" t="s">
        <v>56</v>
      </c>
      <c r="AN201" s="12" t="s">
        <v>83</v>
      </c>
      <c r="AO201" s="20">
        <v>2024</v>
      </c>
      <c r="AP201" s="20">
        <v>2025</v>
      </c>
      <c r="AQ201" s="20">
        <v>2025</v>
      </c>
      <c r="AR201" s="6" t="s">
        <v>58</v>
      </c>
    </row>
    <row r="202" spans="1:44" ht="42" customHeight="1" x14ac:dyDescent="0.2">
      <c r="A202" s="15">
        <v>201</v>
      </c>
      <c r="B202" s="15" t="s">
        <v>1242</v>
      </c>
      <c r="C202" s="15" t="s">
        <v>1243</v>
      </c>
      <c r="D202" s="16">
        <v>1933.2105820000002</v>
      </c>
      <c r="E202" s="19">
        <v>2024</v>
      </c>
      <c r="F202" s="17">
        <f t="shared" si="3"/>
        <v>0.70755507301200005</v>
      </c>
      <c r="G202" s="17">
        <v>46.074523711664639</v>
      </c>
      <c r="H202" s="17">
        <v>42.120323289229745</v>
      </c>
      <c r="I202" s="17">
        <v>10.730136951009095</v>
      </c>
      <c r="J202" s="17">
        <v>7.1101773019365752E-2</v>
      </c>
      <c r="K202" s="17">
        <v>0</v>
      </c>
      <c r="L202" s="16">
        <v>0</v>
      </c>
      <c r="M202" s="19">
        <v>2025</v>
      </c>
      <c r="N202" s="16">
        <v>0</v>
      </c>
      <c r="O202" s="16">
        <v>0</v>
      </c>
      <c r="P202" s="17">
        <v>1.25522222222222</v>
      </c>
      <c r="Q202" s="19">
        <v>2025</v>
      </c>
      <c r="R202" s="17">
        <v>3.3921670546226999</v>
      </c>
      <c r="S202" s="19">
        <v>2025</v>
      </c>
      <c r="T202" s="17">
        <v>0.815322893749171</v>
      </c>
      <c r="U202" s="19">
        <v>2025</v>
      </c>
      <c r="V202" s="18" t="s">
        <v>46</v>
      </c>
      <c r="W202" s="18" t="s">
        <v>46</v>
      </c>
      <c r="X202" s="18" t="s">
        <v>46</v>
      </c>
      <c r="Y202" s="18" t="s">
        <v>46</v>
      </c>
      <c r="Z202" s="18" t="s">
        <v>46</v>
      </c>
      <c r="AA202" s="15" t="s">
        <v>100</v>
      </c>
      <c r="AB202" s="15" t="s">
        <v>101</v>
      </c>
      <c r="AC202" s="15" t="s">
        <v>421</v>
      </c>
      <c r="AD202" s="15" t="s">
        <v>1244</v>
      </c>
      <c r="AE202" s="15" t="s">
        <v>104</v>
      </c>
      <c r="AF202" s="15" t="s">
        <v>64</v>
      </c>
      <c r="AG202" s="15" t="s">
        <v>106</v>
      </c>
      <c r="AH202" s="15" t="s">
        <v>1245</v>
      </c>
      <c r="AI202" s="15" t="s">
        <v>1246</v>
      </c>
      <c r="AJ202" s="8">
        <f>'Сводка НПЗ'!D202</f>
        <v>0</v>
      </c>
      <c r="AK202" s="8" t="str">
        <f>IF('Сводка НПЗ'!F202&gt;0,'Сводка НПЗ'!E202,"")</f>
        <v/>
      </c>
      <c r="AL202" s="8">
        <f>'Сводка НПЗ'!G202</f>
        <v>0</v>
      </c>
      <c r="AM202" s="6" t="s">
        <v>56</v>
      </c>
      <c r="AN202" s="12" t="s">
        <v>83</v>
      </c>
      <c r="AO202" s="20">
        <v>2024</v>
      </c>
      <c r="AP202" s="20">
        <v>2025</v>
      </c>
      <c r="AQ202" s="20">
        <v>2025</v>
      </c>
      <c r="AR202" s="6" t="s">
        <v>58</v>
      </c>
    </row>
    <row r="203" spans="1:44" ht="42" customHeight="1" x14ac:dyDescent="0.2">
      <c r="A203" s="15">
        <v>202</v>
      </c>
      <c r="B203" s="15" t="s">
        <v>1247</v>
      </c>
      <c r="C203" s="15" t="s">
        <v>1248</v>
      </c>
      <c r="D203" s="16">
        <v>10498.273311999999</v>
      </c>
      <c r="E203" s="19">
        <v>2024</v>
      </c>
      <c r="F203" s="17">
        <f t="shared" si="3"/>
        <v>3.8423680321919997</v>
      </c>
      <c r="G203" s="17">
        <v>11.551082677699673</v>
      </c>
      <c r="H203" s="17">
        <v>18.893974838059542</v>
      </c>
      <c r="I203" s="17">
        <v>3.7587336724121281</v>
      </c>
      <c r="J203" s="17">
        <v>36.54554986308591</v>
      </c>
      <c r="K203" s="17">
        <v>29.250658948742753</v>
      </c>
      <c r="L203" s="16">
        <v>1000.9999999999999</v>
      </c>
      <c r="M203" s="19">
        <v>2025</v>
      </c>
      <c r="N203" s="16">
        <v>1000</v>
      </c>
      <c r="O203" s="16">
        <v>0</v>
      </c>
      <c r="P203" s="17">
        <v>8.0165500000000005</v>
      </c>
      <c r="Q203" s="19">
        <v>2025</v>
      </c>
      <c r="R203" s="17">
        <v>2.70000021764021</v>
      </c>
      <c r="S203" s="19">
        <v>2025</v>
      </c>
      <c r="T203" s="17">
        <v>0.84657656319628904</v>
      </c>
      <c r="U203" s="19">
        <v>2025</v>
      </c>
      <c r="V203" s="18">
        <v>1.994</v>
      </c>
      <c r="W203" s="18">
        <v>1.5960000000000001</v>
      </c>
      <c r="X203" s="18" t="s">
        <v>46</v>
      </c>
      <c r="Y203" s="18" t="s">
        <v>46</v>
      </c>
      <c r="Z203" s="18" t="s">
        <v>46</v>
      </c>
      <c r="AA203" s="15" t="s">
        <v>47</v>
      </c>
      <c r="AB203" s="15" t="s">
        <v>48</v>
      </c>
      <c r="AC203" s="15" t="s">
        <v>605</v>
      </c>
      <c r="AD203" s="15" t="s">
        <v>1249</v>
      </c>
      <c r="AE203" s="15" t="s">
        <v>1250</v>
      </c>
      <c r="AF203" s="15" t="s">
        <v>64</v>
      </c>
      <c r="AG203" s="15" t="s">
        <v>53</v>
      </c>
      <c r="AH203" s="15" t="s">
        <v>1251</v>
      </c>
      <c r="AI203" s="15" t="s">
        <v>1252</v>
      </c>
      <c r="AJ203" s="8">
        <f>'Сводка НПЗ'!D203</f>
        <v>0</v>
      </c>
      <c r="AK203" s="8" t="str">
        <f>IF('Сводка НПЗ'!F203&gt;0,'Сводка НПЗ'!E203,"")</f>
        <v/>
      </c>
      <c r="AL203" s="8">
        <f>'Сводка НПЗ'!G203</f>
        <v>0</v>
      </c>
      <c r="AM203" s="6" t="s">
        <v>56</v>
      </c>
      <c r="AN203" s="12" t="s">
        <v>83</v>
      </c>
      <c r="AO203" s="20">
        <v>2024</v>
      </c>
      <c r="AP203" s="20">
        <v>2025</v>
      </c>
      <c r="AQ203" s="20">
        <v>2025</v>
      </c>
      <c r="AR203" s="6" t="s">
        <v>58</v>
      </c>
    </row>
    <row r="204" spans="1:44" ht="42" customHeight="1" x14ac:dyDescent="0.2">
      <c r="A204" s="15">
        <v>203</v>
      </c>
      <c r="B204" s="15" t="s">
        <v>1253</v>
      </c>
      <c r="C204" s="15" t="s">
        <v>1254</v>
      </c>
      <c r="D204" s="16">
        <v>4429.4719500000001</v>
      </c>
      <c r="E204" s="19">
        <v>2024</v>
      </c>
      <c r="F204" s="17">
        <f t="shared" si="3"/>
        <v>1.6211867336999999</v>
      </c>
      <c r="G204" s="17">
        <v>53.640316629615405</v>
      </c>
      <c r="H204" s="17">
        <v>24.350848118588942</v>
      </c>
      <c r="I204" s="17">
        <v>5.9943031584159829</v>
      </c>
      <c r="J204" s="17">
        <v>15.241927223401881</v>
      </c>
      <c r="K204" s="17">
        <v>0.41970214982397624</v>
      </c>
      <c r="L204" s="16">
        <v>0</v>
      </c>
      <c r="M204" s="19">
        <v>2025</v>
      </c>
      <c r="N204" s="16">
        <v>0</v>
      </c>
      <c r="O204" s="16">
        <v>0</v>
      </c>
      <c r="P204" s="17">
        <v>2.6564444444444399</v>
      </c>
      <c r="Q204" s="19">
        <v>2025</v>
      </c>
      <c r="R204" s="17">
        <v>-0.57407528214495995</v>
      </c>
      <c r="S204" s="19">
        <v>2025</v>
      </c>
      <c r="T204" s="17">
        <v>2.0270951208627399</v>
      </c>
      <c r="U204" s="19">
        <v>2025</v>
      </c>
      <c r="V204" s="18">
        <v>1.4039999999999999</v>
      </c>
      <c r="W204" s="18">
        <v>1.4039999999999999</v>
      </c>
      <c r="X204" s="18" t="s">
        <v>46</v>
      </c>
      <c r="Y204" s="18" t="s">
        <v>46</v>
      </c>
      <c r="Z204" s="18" t="s">
        <v>46</v>
      </c>
      <c r="AA204" s="15" t="s">
        <v>47</v>
      </c>
      <c r="AB204" s="15" t="s">
        <v>48</v>
      </c>
      <c r="AC204" s="15" t="s">
        <v>421</v>
      </c>
      <c r="AD204" s="15" t="s">
        <v>1255</v>
      </c>
      <c r="AE204" s="15" t="s">
        <v>1256</v>
      </c>
      <c r="AF204" s="15" t="s">
        <v>64</v>
      </c>
      <c r="AG204" s="15" t="s">
        <v>53</v>
      </c>
      <c r="AH204" s="15" t="s">
        <v>1257</v>
      </c>
      <c r="AI204" s="15" t="s">
        <v>1258</v>
      </c>
      <c r="AJ204" s="8">
        <f>'Сводка НПЗ'!D204</f>
        <v>0</v>
      </c>
      <c r="AK204" s="8" t="str">
        <f>IF('Сводка НПЗ'!F204&gt;0,'Сводка НПЗ'!E204,"")</f>
        <v/>
      </c>
      <c r="AL204" s="8">
        <f>'Сводка НПЗ'!G204</f>
        <v>0</v>
      </c>
      <c r="AM204" s="6" t="s">
        <v>56</v>
      </c>
      <c r="AN204" s="12" t="s">
        <v>83</v>
      </c>
      <c r="AO204" s="20">
        <v>2024</v>
      </c>
      <c r="AP204" s="20">
        <v>2025</v>
      </c>
      <c r="AQ204" s="20">
        <v>2025</v>
      </c>
      <c r="AR204" s="6" t="s">
        <v>58</v>
      </c>
    </row>
    <row r="205" spans="1:44" ht="42" customHeight="1" x14ac:dyDescent="0.2">
      <c r="A205" s="15">
        <v>204</v>
      </c>
      <c r="B205" s="15" t="s">
        <v>1259</v>
      </c>
      <c r="C205" s="15" t="s">
        <v>1260</v>
      </c>
      <c r="D205" s="16">
        <v>1236.574531</v>
      </c>
      <c r="E205" s="19">
        <v>2024</v>
      </c>
      <c r="F205" s="17">
        <f t="shared" si="3"/>
        <v>0.45258627834600001</v>
      </c>
      <c r="G205" s="17">
        <v>49.130253597306215</v>
      </c>
      <c r="H205" s="17">
        <v>20.174092280411038</v>
      </c>
      <c r="I205" s="17">
        <v>7.7820068736317829</v>
      </c>
      <c r="J205" s="17">
        <v>1.5274547167590014</v>
      </c>
      <c r="K205" s="17">
        <v>20.749441749581045</v>
      </c>
      <c r="L205" s="16">
        <v>0</v>
      </c>
      <c r="M205" s="19">
        <v>2025</v>
      </c>
      <c r="N205" s="16">
        <v>0</v>
      </c>
      <c r="O205" s="16">
        <v>0</v>
      </c>
      <c r="P205" s="17">
        <v>0.72385925925925898</v>
      </c>
      <c r="Q205" s="19">
        <v>2025</v>
      </c>
      <c r="R205" s="17">
        <v>3.05243763087539</v>
      </c>
      <c r="S205" s="19">
        <v>2025</v>
      </c>
      <c r="T205" s="17">
        <v>2.5338512610713502</v>
      </c>
      <c r="U205" s="19">
        <v>2025</v>
      </c>
      <c r="V205" s="18">
        <v>1.5509999999999999</v>
      </c>
      <c r="W205" s="18">
        <v>1.5109999999999999</v>
      </c>
      <c r="X205" s="18" t="s">
        <v>46</v>
      </c>
      <c r="Y205" s="18" t="s">
        <v>46</v>
      </c>
      <c r="Z205" s="18" t="s">
        <v>46</v>
      </c>
      <c r="AA205" s="15" t="s">
        <v>47</v>
      </c>
      <c r="AB205" s="15" t="s">
        <v>48</v>
      </c>
      <c r="AC205" s="15" t="s">
        <v>421</v>
      </c>
      <c r="AD205" s="15" t="s">
        <v>1261</v>
      </c>
      <c r="AE205" s="15" t="s">
        <v>1262</v>
      </c>
      <c r="AF205" s="15" t="s">
        <v>64</v>
      </c>
      <c r="AG205" s="15" t="s">
        <v>53</v>
      </c>
      <c r="AH205" s="15" t="s">
        <v>1263</v>
      </c>
      <c r="AI205" s="15" t="s">
        <v>1264</v>
      </c>
      <c r="AJ205" s="8">
        <f>'Сводка НПЗ'!D205</f>
        <v>0</v>
      </c>
      <c r="AK205" s="8" t="str">
        <f>IF('Сводка НПЗ'!F205&gt;0,'Сводка НПЗ'!E205,"")</f>
        <v/>
      </c>
      <c r="AL205" s="8">
        <f>'Сводка НПЗ'!G205</f>
        <v>0</v>
      </c>
      <c r="AM205" s="6" t="s">
        <v>56</v>
      </c>
      <c r="AN205" s="12" t="s">
        <v>83</v>
      </c>
      <c r="AO205" s="20">
        <v>2024</v>
      </c>
      <c r="AP205" s="20">
        <v>2025</v>
      </c>
      <c r="AQ205" s="20">
        <v>2025</v>
      </c>
      <c r="AR205" s="6" t="s">
        <v>58</v>
      </c>
    </row>
    <row r="206" spans="1:44" ht="42" customHeight="1" x14ac:dyDescent="0.2">
      <c r="A206" s="15">
        <v>205</v>
      </c>
      <c r="B206" s="15" t="s">
        <v>1265</v>
      </c>
      <c r="C206" s="15" t="s">
        <v>1266</v>
      </c>
      <c r="D206" s="16" t="s">
        <v>46</v>
      </c>
      <c r="E206" s="19" t="s">
        <v>46</v>
      </c>
      <c r="F206" s="17" t="str">
        <f t="shared" si="3"/>
        <v>н/д</v>
      </c>
      <c r="G206" s="17" t="s">
        <v>46</v>
      </c>
      <c r="H206" s="17" t="s">
        <v>46</v>
      </c>
      <c r="I206" s="17" t="s">
        <v>46</v>
      </c>
      <c r="J206" s="17" t="s">
        <v>46</v>
      </c>
      <c r="K206" s="17" t="s">
        <v>46</v>
      </c>
      <c r="L206" s="16" t="s">
        <v>46</v>
      </c>
      <c r="M206" s="19" t="s">
        <v>46</v>
      </c>
      <c r="N206" s="16" t="s">
        <v>46</v>
      </c>
      <c r="O206" s="16" t="s">
        <v>46</v>
      </c>
      <c r="P206" s="17" t="s">
        <v>46</v>
      </c>
      <c r="Q206" s="19" t="s">
        <v>46</v>
      </c>
      <c r="R206" s="17" t="s">
        <v>46</v>
      </c>
      <c r="S206" s="19" t="s">
        <v>46</v>
      </c>
      <c r="T206" s="17" t="s">
        <v>46</v>
      </c>
      <c r="U206" s="19" t="s">
        <v>46</v>
      </c>
      <c r="V206" s="18" t="s">
        <v>46</v>
      </c>
      <c r="W206" s="18" t="s">
        <v>46</v>
      </c>
      <c r="X206" s="18" t="s">
        <v>46</v>
      </c>
      <c r="Y206" s="18" t="s">
        <v>46</v>
      </c>
      <c r="Z206" s="18" t="s">
        <v>46</v>
      </c>
      <c r="AA206" s="15" t="s">
        <v>100</v>
      </c>
      <c r="AB206" s="15" t="s">
        <v>101</v>
      </c>
      <c r="AC206" s="15" t="s">
        <v>198</v>
      </c>
      <c r="AD206" s="15" t="s">
        <v>103</v>
      </c>
      <c r="AE206" s="15" t="s">
        <v>104</v>
      </c>
      <c r="AF206" s="15" t="s">
        <v>105</v>
      </c>
      <c r="AG206" s="15" t="s">
        <v>106</v>
      </c>
      <c r="AH206" s="15" t="s">
        <v>1267</v>
      </c>
      <c r="AI206" s="15" t="s">
        <v>1268</v>
      </c>
      <c r="AJ206" s="8">
        <f>'Сводка НПЗ'!D206</f>
        <v>0</v>
      </c>
      <c r="AK206" s="8" t="str">
        <f>IF('Сводка НПЗ'!F206&gt;0,'Сводка НПЗ'!E206,"")</f>
        <v/>
      </c>
      <c r="AL206" s="8">
        <f>'Сводка НПЗ'!G206</f>
        <v>0</v>
      </c>
      <c r="AM206" s="6" t="s">
        <v>56</v>
      </c>
      <c r="AN206" s="12" t="s">
        <v>83</v>
      </c>
      <c r="AO206" s="20"/>
      <c r="AP206" s="20"/>
      <c r="AQ206" s="20"/>
      <c r="AR206" s="6" t="s">
        <v>58</v>
      </c>
    </row>
    <row r="207" spans="1:44" ht="42" customHeight="1" x14ac:dyDescent="0.2">
      <c r="A207" s="15">
        <v>206</v>
      </c>
      <c r="B207" s="15" t="s">
        <v>1269</v>
      </c>
      <c r="C207" s="15" t="s">
        <v>1270</v>
      </c>
      <c r="D207" s="16">
        <v>335.36041460000001</v>
      </c>
      <c r="E207" s="19">
        <v>2024</v>
      </c>
      <c r="F207" s="17">
        <f t="shared" si="3"/>
        <v>0.12274191174360001</v>
      </c>
      <c r="G207" s="17">
        <v>39.479685209096232</v>
      </c>
      <c r="H207" s="17">
        <v>26.333019985478035</v>
      </c>
      <c r="I207" s="17">
        <v>29.500980047989245</v>
      </c>
      <c r="J207" s="17">
        <v>4.6863147574364907</v>
      </c>
      <c r="K207" s="17">
        <v>0</v>
      </c>
      <c r="L207" s="16">
        <v>0</v>
      </c>
      <c r="M207" s="19">
        <v>2025</v>
      </c>
      <c r="N207" s="16">
        <v>0</v>
      </c>
      <c r="O207" s="16">
        <v>0</v>
      </c>
      <c r="P207" s="17" t="s">
        <v>46</v>
      </c>
      <c r="Q207" s="19" t="s">
        <v>46</v>
      </c>
      <c r="R207" s="17" t="s">
        <v>46</v>
      </c>
      <c r="S207" s="19" t="s">
        <v>46</v>
      </c>
      <c r="T207" s="17" t="s">
        <v>46</v>
      </c>
      <c r="U207" s="19" t="s">
        <v>46</v>
      </c>
      <c r="V207" s="18" t="s">
        <v>46</v>
      </c>
      <c r="W207" s="18" t="s">
        <v>46</v>
      </c>
      <c r="X207" s="18" t="s">
        <v>46</v>
      </c>
      <c r="Y207" s="18" t="s">
        <v>46</v>
      </c>
      <c r="Z207" s="18" t="s">
        <v>46</v>
      </c>
      <c r="AA207" s="15" t="s">
        <v>100</v>
      </c>
      <c r="AB207" s="15" t="s">
        <v>101</v>
      </c>
      <c r="AC207" s="15" t="s">
        <v>421</v>
      </c>
      <c r="AD207" s="15" t="s">
        <v>103</v>
      </c>
      <c r="AE207" s="15" t="s">
        <v>104</v>
      </c>
      <c r="AF207" s="15" t="s">
        <v>64</v>
      </c>
      <c r="AG207" s="15" t="s">
        <v>106</v>
      </c>
      <c r="AH207" s="15" t="s">
        <v>1271</v>
      </c>
      <c r="AI207" s="15" t="s">
        <v>1272</v>
      </c>
      <c r="AJ207" s="8">
        <f>'Сводка НПЗ'!D207</f>
        <v>0</v>
      </c>
      <c r="AK207" s="8" t="str">
        <f>IF('Сводка НПЗ'!F207&gt;0,'Сводка НПЗ'!E207,"")</f>
        <v/>
      </c>
      <c r="AL207" s="8">
        <f>'Сводка НПЗ'!G207</f>
        <v>0</v>
      </c>
      <c r="AM207" s="6" t="s">
        <v>56</v>
      </c>
      <c r="AN207" s="12" t="s">
        <v>83</v>
      </c>
      <c r="AO207" s="20">
        <v>2024</v>
      </c>
      <c r="AP207" s="20">
        <v>2025</v>
      </c>
      <c r="AQ207" s="20">
        <v>2025</v>
      </c>
      <c r="AR207" s="6" t="s">
        <v>58</v>
      </c>
    </row>
    <row r="208" spans="1:44" ht="42" customHeight="1" x14ac:dyDescent="0.2">
      <c r="A208" s="15">
        <v>207</v>
      </c>
      <c r="B208" s="15" t="s">
        <v>1273</v>
      </c>
      <c r="C208" s="15" t="s">
        <v>1274</v>
      </c>
      <c r="D208" s="16">
        <v>5018.6523420000003</v>
      </c>
      <c r="E208" s="19">
        <v>2024</v>
      </c>
      <c r="F208" s="17">
        <f t="shared" si="3"/>
        <v>1.8368267571720001</v>
      </c>
      <c r="G208" s="17">
        <v>16.232346185497143</v>
      </c>
      <c r="H208" s="17">
        <v>24.904066825675329</v>
      </c>
      <c r="I208" s="17">
        <v>2.3962637737140948</v>
      </c>
      <c r="J208" s="17">
        <v>20.968134755886219</v>
      </c>
      <c r="K208" s="17">
        <v>32.688674034476485</v>
      </c>
      <c r="L208" s="16">
        <v>0</v>
      </c>
      <c r="M208" s="19">
        <v>2025</v>
      </c>
      <c r="N208" s="16">
        <v>0</v>
      </c>
      <c r="O208" s="16">
        <v>0</v>
      </c>
      <c r="P208" s="17">
        <v>2.3381962962962999</v>
      </c>
      <c r="Q208" s="19">
        <v>2025</v>
      </c>
      <c r="R208" s="17">
        <v>4.9980399843198704</v>
      </c>
      <c r="S208" s="19">
        <v>2025</v>
      </c>
      <c r="T208" s="17">
        <v>1.3687352752195401</v>
      </c>
      <c r="U208" s="19">
        <v>2025</v>
      </c>
      <c r="V208" s="18" t="s">
        <v>46</v>
      </c>
      <c r="W208" s="18" t="s">
        <v>46</v>
      </c>
      <c r="X208" s="18" t="s">
        <v>46</v>
      </c>
      <c r="Y208" s="18" t="s">
        <v>46</v>
      </c>
      <c r="Z208" s="18" t="s">
        <v>46</v>
      </c>
      <c r="AA208" s="15" t="s">
        <v>100</v>
      </c>
      <c r="AB208" s="15" t="s">
        <v>101</v>
      </c>
      <c r="AC208" s="15" t="s">
        <v>605</v>
      </c>
      <c r="AD208" s="15" t="s">
        <v>1275</v>
      </c>
      <c r="AE208" s="15" t="s">
        <v>104</v>
      </c>
      <c r="AF208" s="15" t="s">
        <v>64</v>
      </c>
      <c r="AG208" s="15" t="s">
        <v>106</v>
      </c>
      <c r="AH208" s="15" t="s">
        <v>1276</v>
      </c>
      <c r="AI208" s="15" t="s">
        <v>1277</v>
      </c>
      <c r="AJ208" s="8">
        <f>'Сводка НПЗ'!D208</f>
        <v>0</v>
      </c>
      <c r="AK208" s="8" t="str">
        <f>IF('Сводка НПЗ'!F208&gt;0,'Сводка НПЗ'!E208,"")</f>
        <v/>
      </c>
      <c r="AL208" s="8">
        <f>'Сводка НПЗ'!G208</f>
        <v>0</v>
      </c>
      <c r="AM208" s="6" t="s">
        <v>56</v>
      </c>
      <c r="AN208" s="12" t="s">
        <v>83</v>
      </c>
      <c r="AO208" s="20">
        <v>2024</v>
      </c>
      <c r="AP208" s="20">
        <v>2025</v>
      </c>
      <c r="AQ208" s="20">
        <v>2025</v>
      </c>
      <c r="AR208" s="6" t="s">
        <v>58</v>
      </c>
    </row>
    <row r="209" spans="1:44" ht="42" customHeight="1" x14ac:dyDescent="0.2">
      <c r="A209" s="15">
        <v>208</v>
      </c>
      <c r="B209" s="15" t="s">
        <v>1278</v>
      </c>
      <c r="C209" s="15" t="s">
        <v>1279</v>
      </c>
      <c r="D209" s="16">
        <v>1928.98821</v>
      </c>
      <c r="E209" s="19">
        <v>2024</v>
      </c>
      <c r="F209" s="17">
        <f t="shared" si="3"/>
        <v>0.70600968486000004</v>
      </c>
      <c r="G209" s="17">
        <v>66.293653604031107</v>
      </c>
      <c r="H209" s="17">
        <v>23.49499129390739</v>
      </c>
      <c r="I209" s="17">
        <v>3.699587775085468</v>
      </c>
      <c r="J209" s="17">
        <v>5.9029009824793075</v>
      </c>
      <c r="K209" s="17">
        <v>0</v>
      </c>
      <c r="L209" s="16">
        <v>0</v>
      </c>
      <c r="M209" s="19">
        <v>2025</v>
      </c>
      <c r="N209" s="16">
        <v>0</v>
      </c>
      <c r="O209" s="16">
        <v>0</v>
      </c>
      <c r="P209" s="17">
        <v>1.18351481481481</v>
      </c>
      <c r="Q209" s="19">
        <v>2025</v>
      </c>
      <c r="R209" s="17">
        <v>2.68858456990016</v>
      </c>
      <c r="S209" s="19">
        <v>2025</v>
      </c>
      <c r="T209" s="17" t="s">
        <v>46</v>
      </c>
      <c r="U209" s="19" t="s">
        <v>46</v>
      </c>
      <c r="V209" s="18" t="s">
        <v>46</v>
      </c>
      <c r="W209" s="18" t="s">
        <v>46</v>
      </c>
      <c r="X209" s="18" t="s">
        <v>46</v>
      </c>
      <c r="Y209" s="18" t="s">
        <v>46</v>
      </c>
      <c r="Z209" s="18" t="s">
        <v>46</v>
      </c>
      <c r="AA209" s="15" t="s">
        <v>100</v>
      </c>
      <c r="AB209" s="15" t="s">
        <v>101</v>
      </c>
      <c r="AC209" s="15" t="s">
        <v>605</v>
      </c>
      <c r="AD209" s="15" t="s">
        <v>1280</v>
      </c>
      <c r="AE209" s="15" t="s">
        <v>104</v>
      </c>
      <c r="AF209" s="15" t="s">
        <v>64</v>
      </c>
      <c r="AG209" s="15" t="s">
        <v>106</v>
      </c>
      <c r="AH209" s="15" t="s">
        <v>1281</v>
      </c>
      <c r="AI209" s="15" t="s">
        <v>1282</v>
      </c>
      <c r="AJ209" s="8">
        <f>'Сводка НПЗ'!D209</f>
        <v>0</v>
      </c>
      <c r="AK209" s="8" t="str">
        <f>IF('Сводка НПЗ'!F209&gt;0,'Сводка НПЗ'!E209,"")</f>
        <v/>
      </c>
      <c r="AL209" s="8">
        <f>'Сводка НПЗ'!G209</f>
        <v>0</v>
      </c>
      <c r="AM209" s="6" t="s">
        <v>56</v>
      </c>
      <c r="AN209" s="12" t="s">
        <v>83</v>
      </c>
      <c r="AO209" s="20">
        <v>2024</v>
      </c>
      <c r="AP209" s="20">
        <v>2025</v>
      </c>
      <c r="AQ209" s="20">
        <v>2025</v>
      </c>
      <c r="AR209" s="6" t="s">
        <v>58</v>
      </c>
    </row>
    <row r="210" spans="1:44" ht="42" customHeight="1" x14ac:dyDescent="0.2">
      <c r="A210" s="15">
        <v>209</v>
      </c>
      <c r="B210" s="15" t="s">
        <v>1283</v>
      </c>
      <c r="C210" s="15" t="s">
        <v>1284</v>
      </c>
      <c r="D210" s="16">
        <v>16405.47</v>
      </c>
      <c r="E210" s="19">
        <v>2024</v>
      </c>
      <c r="F210" s="17">
        <f t="shared" si="3"/>
        <v>6.0044020200000006</v>
      </c>
      <c r="G210" s="17">
        <v>53.871056422034833</v>
      </c>
      <c r="H210" s="17">
        <v>7.5985022068858736</v>
      </c>
      <c r="I210" s="17">
        <v>13.150552833902349</v>
      </c>
      <c r="J210" s="17">
        <v>10.927635721500206</v>
      </c>
      <c r="K210" s="17">
        <v>14.452252815676722</v>
      </c>
      <c r="L210" s="16">
        <v>0</v>
      </c>
      <c r="M210" s="19">
        <v>2025</v>
      </c>
      <c r="N210" s="16">
        <v>0</v>
      </c>
      <c r="O210" s="16">
        <v>0</v>
      </c>
      <c r="P210" s="17" t="s">
        <v>46</v>
      </c>
      <c r="Q210" s="19" t="s">
        <v>46</v>
      </c>
      <c r="R210" s="17" t="s">
        <v>46</v>
      </c>
      <c r="S210" s="19" t="s">
        <v>46</v>
      </c>
      <c r="T210" s="17" t="s">
        <v>46</v>
      </c>
      <c r="U210" s="19" t="s">
        <v>46</v>
      </c>
      <c r="V210" s="18" t="s">
        <v>46</v>
      </c>
      <c r="W210" s="18" t="s">
        <v>46</v>
      </c>
      <c r="X210" s="18" t="s">
        <v>46</v>
      </c>
      <c r="Y210" s="18" t="s">
        <v>46</v>
      </c>
      <c r="Z210" s="18" t="s">
        <v>46</v>
      </c>
      <c r="AA210" s="15" t="s">
        <v>100</v>
      </c>
      <c r="AB210" s="15" t="s">
        <v>101</v>
      </c>
      <c r="AC210" s="15" t="s">
        <v>605</v>
      </c>
      <c r="AD210" s="15" t="s">
        <v>103</v>
      </c>
      <c r="AE210" s="15" t="s">
        <v>104</v>
      </c>
      <c r="AF210" s="15" t="s">
        <v>64</v>
      </c>
      <c r="AG210" s="15" t="s">
        <v>106</v>
      </c>
      <c r="AH210" s="15" t="s">
        <v>1285</v>
      </c>
      <c r="AI210" s="15" t="s">
        <v>1286</v>
      </c>
      <c r="AJ210" s="8">
        <f>'Сводка НПЗ'!D210</f>
        <v>1</v>
      </c>
      <c r="AK210" s="8">
        <f>IF('Сводка НПЗ'!F210&gt;0,'Сводка НПЗ'!E210,"")</f>
        <v>494000</v>
      </c>
      <c r="AL210" s="8">
        <f>'Сводка НПЗ'!G210</f>
        <v>0</v>
      </c>
      <c r="AM210" s="6" t="s">
        <v>56</v>
      </c>
      <c r="AN210" s="12" t="s">
        <v>83</v>
      </c>
      <c r="AO210" s="20">
        <v>2024</v>
      </c>
      <c r="AP210" s="20">
        <v>2025</v>
      </c>
      <c r="AQ210" s="20">
        <v>2025</v>
      </c>
      <c r="AR210" s="6" t="s">
        <v>58</v>
      </c>
    </row>
    <row r="211" spans="1:44" ht="42" customHeight="1" x14ac:dyDescent="0.2">
      <c r="A211" s="15">
        <v>210</v>
      </c>
      <c r="B211" s="15" t="s">
        <v>1287</v>
      </c>
      <c r="C211" s="15" t="s">
        <v>1288</v>
      </c>
      <c r="D211" s="16" t="s">
        <v>46</v>
      </c>
      <c r="E211" s="19" t="s">
        <v>46</v>
      </c>
      <c r="F211" s="17" t="str">
        <f t="shared" si="3"/>
        <v>н/д</v>
      </c>
      <c r="G211" s="17" t="s">
        <v>46</v>
      </c>
      <c r="H211" s="17" t="s">
        <v>46</v>
      </c>
      <c r="I211" s="17" t="s">
        <v>46</v>
      </c>
      <c r="J211" s="17" t="s">
        <v>46</v>
      </c>
      <c r="K211" s="17" t="s">
        <v>46</v>
      </c>
      <c r="L211" s="16" t="s">
        <v>46</v>
      </c>
      <c r="M211" s="19" t="s">
        <v>46</v>
      </c>
      <c r="N211" s="16" t="s">
        <v>46</v>
      </c>
      <c r="O211" s="16" t="s">
        <v>46</v>
      </c>
      <c r="P211" s="17" t="s">
        <v>46</v>
      </c>
      <c r="Q211" s="19" t="s">
        <v>46</v>
      </c>
      <c r="R211" s="17" t="s">
        <v>46</v>
      </c>
      <c r="S211" s="19" t="s">
        <v>46</v>
      </c>
      <c r="T211" s="17" t="s">
        <v>46</v>
      </c>
      <c r="U211" s="19" t="s">
        <v>46</v>
      </c>
      <c r="V211" s="18" t="s">
        <v>46</v>
      </c>
      <c r="W211" s="18" t="s">
        <v>46</v>
      </c>
      <c r="X211" s="18" t="s">
        <v>46</v>
      </c>
      <c r="Y211" s="18" t="s">
        <v>46</v>
      </c>
      <c r="Z211" s="18" t="s">
        <v>46</v>
      </c>
      <c r="AA211" s="15" t="s">
        <v>100</v>
      </c>
      <c r="AB211" s="15" t="s">
        <v>101</v>
      </c>
      <c r="AC211" s="15" t="s">
        <v>198</v>
      </c>
      <c r="AD211" s="15" t="s">
        <v>103</v>
      </c>
      <c r="AE211" s="15" t="s">
        <v>104</v>
      </c>
      <c r="AF211" s="15" t="s">
        <v>105</v>
      </c>
      <c r="AG211" s="15" t="s">
        <v>106</v>
      </c>
      <c r="AH211" s="15" t="s">
        <v>1289</v>
      </c>
      <c r="AI211" s="15" t="s">
        <v>1290</v>
      </c>
      <c r="AJ211" s="8">
        <f>'Сводка НПЗ'!D211</f>
        <v>0</v>
      </c>
      <c r="AK211" s="8" t="str">
        <f>IF('Сводка НПЗ'!F211&gt;0,'Сводка НПЗ'!E211,"")</f>
        <v/>
      </c>
      <c r="AL211" s="8">
        <f>'Сводка НПЗ'!G211</f>
        <v>0</v>
      </c>
      <c r="AM211" s="6" t="s">
        <v>56</v>
      </c>
      <c r="AN211" s="12" t="s">
        <v>83</v>
      </c>
      <c r="AO211" s="20"/>
      <c r="AP211" s="20"/>
      <c r="AQ211" s="20"/>
      <c r="AR211" s="6" t="s">
        <v>58</v>
      </c>
    </row>
    <row r="212" spans="1:44" ht="42" customHeight="1" x14ac:dyDescent="0.2">
      <c r="A212" s="15">
        <v>211</v>
      </c>
      <c r="B212" s="15" t="s">
        <v>1291</v>
      </c>
      <c r="C212" s="15" t="s">
        <v>1292</v>
      </c>
      <c r="D212" s="16">
        <v>94399.999999000007</v>
      </c>
      <c r="E212" s="19">
        <v>2024</v>
      </c>
      <c r="F212" s="17">
        <f t="shared" si="3"/>
        <v>34.550399999634003</v>
      </c>
      <c r="G212" s="17">
        <v>17.055084745943379</v>
      </c>
      <c r="H212" s="17">
        <v>46.398305085237268</v>
      </c>
      <c r="I212" s="17">
        <v>6.6737288125706948</v>
      </c>
      <c r="J212" s="17">
        <v>6.0381355932843013</v>
      </c>
      <c r="K212" s="17">
        <v>22.24576271210006</v>
      </c>
      <c r="L212" s="16">
        <v>0</v>
      </c>
      <c r="M212" s="19">
        <v>2025</v>
      </c>
      <c r="N212" s="16">
        <v>0</v>
      </c>
      <c r="O212" s="16">
        <v>0</v>
      </c>
      <c r="P212" s="17">
        <v>129.368484</v>
      </c>
      <c r="Q212" s="19">
        <v>2025</v>
      </c>
      <c r="R212" s="17">
        <v>0.31767004619689498</v>
      </c>
      <c r="S212" s="19">
        <v>2025</v>
      </c>
      <c r="T212" s="17" t="s">
        <v>46</v>
      </c>
      <c r="U212" s="19" t="s">
        <v>46</v>
      </c>
      <c r="V212" s="18">
        <v>1.323</v>
      </c>
      <c r="W212" s="18">
        <v>1.5620000000000001</v>
      </c>
      <c r="X212" s="18" t="s">
        <v>46</v>
      </c>
      <c r="Y212" s="18" t="s">
        <v>46</v>
      </c>
      <c r="Z212" s="18" t="s">
        <v>46</v>
      </c>
      <c r="AA212" s="15" t="s">
        <v>47</v>
      </c>
      <c r="AB212" s="15" t="s">
        <v>48</v>
      </c>
      <c r="AC212" s="15" t="s">
        <v>421</v>
      </c>
      <c r="AD212" s="15" t="s">
        <v>1293</v>
      </c>
      <c r="AE212" s="15" t="s">
        <v>1294</v>
      </c>
      <c r="AF212" s="15" t="s">
        <v>64</v>
      </c>
      <c r="AG212" s="15" t="s">
        <v>53</v>
      </c>
      <c r="AH212" s="15" t="s">
        <v>1295</v>
      </c>
      <c r="AI212" s="15" t="s">
        <v>1296</v>
      </c>
      <c r="AJ212" s="8">
        <f>'Сводка НПЗ'!D212</f>
        <v>1</v>
      </c>
      <c r="AK212" s="8">
        <f>IF('Сводка НПЗ'!F212&gt;0,'Сводка НПЗ'!E212,"")</f>
        <v>73000</v>
      </c>
      <c r="AL212" s="8">
        <f>'Сводка НПЗ'!G212</f>
        <v>0</v>
      </c>
      <c r="AM212" s="6" t="s">
        <v>56</v>
      </c>
      <c r="AN212" s="12" t="s">
        <v>83</v>
      </c>
      <c r="AO212" s="20">
        <v>2024</v>
      </c>
      <c r="AP212" s="20">
        <v>2025</v>
      </c>
      <c r="AQ212" s="20">
        <v>2025</v>
      </c>
      <c r="AR212" s="6" t="s">
        <v>58</v>
      </c>
    </row>
    <row r="213" spans="1:44" ht="42" customHeight="1" x14ac:dyDescent="0.2">
      <c r="A213" s="15">
        <v>212</v>
      </c>
      <c r="B213" s="15" t="s">
        <v>1297</v>
      </c>
      <c r="C213" s="15" t="s">
        <v>1298</v>
      </c>
      <c r="D213" s="16" t="s">
        <v>46</v>
      </c>
      <c r="E213" s="19" t="s">
        <v>46</v>
      </c>
      <c r="F213" s="17" t="str">
        <f t="shared" si="3"/>
        <v>н/д</v>
      </c>
      <c r="G213" s="17" t="s">
        <v>46</v>
      </c>
      <c r="H213" s="17" t="s">
        <v>46</v>
      </c>
      <c r="I213" s="17" t="s">
        <v>46</v>
      </c>
      <c r="J213" s="17" t="s">
        <v>46</v>
      </c>
      <c r="K213" s="17" t="s">
        <v>46</v>
      </c>
      <c r="L213" s="16" t="s">
        <v>46</v>
      </c>
      <c r="M213" s="19" t="s">
        <v>46</v>
      </c>
      <c r="N213" s="16" t="s">
        <v>46</v>
      </c>
      <c r="O213" s="16" t="s">
        <v>46</v>
      </c>
      <c r="P213" s="17" t="s">
        <v>46</v>
      </c>
      <c r="Q213" s="19" t="s">
        <v>46</v>
      </c>
      <c r="R213" s="17" t="s">
        <v>46</v>
      </c>
      <c r="S213" s="19" t="s">
        <v>46</v>
      </c>
      <c r="T213" s="17" t="s">
        <v>46</v>
      </c>
      <c r="U213" s="19" t="s">
        <v>46</v>
      </c>
      <c r="V213" s="18" t="s">
        <v>46</v>
      </c>
      <c r="W213" s="18" t="s">
        <v>46</v>
      </c>
      <c r="X213" s="18" t="s">
        <v>46</v>
      </c>
      <c r="Y213" s="18" t="s">
        <v>46</v>
      </c>
      <c r="Z213" s="18" t="s">
        <v>46</v>
      </c>
      <c r="AA213" s="15" t="s">
        <v>100</v>
      </c>
      <c r="AB213" s="15" t="s">
        <v>101</v>
      </c>
      <c r="AC213" s="15" t="s">
        <v>198</v>
      </c>
      <c r="AD213" s="15" t="s">
        <v>103</v>
      </c>
      <c r="AE213" s="15" t="s">
        <v>104</v>
      </c>
      <c r="AF213" s="15" t="s">
        <v>105</v>
      </c>
      <c r="AG213" s="15" t="s">
        <v>106</v>
      </c>
      <c r="AH213" s="15" t="s">
        <v>1299</v>
      </c>
      <c r="AI213" s="15" t="s">
        <v>1300</v>
      </c>
      <c r="AJ213" s="8">
        <f>'Сводка НПЗ'!D213</f>
        <v>0</v>
      </c>
      <c r="AK213" s="8" t="str">
        <f>IF('Сводка НПЗ'!F213&gt;0,'Сводка НПЗ'!E213,"")</f>
        <v/>
      </c>
      <c r="AL213" s="8">
        <f>'Сводка НПЗ'!G213</f>
        <v>0</v>
      </c>
      <c r="AM213" s="6" t="s">
        <v>56</v>
      </c>
      <c r="AN213" s="12" t="s">
        <v>83</v>
      </c>
      <c r="AO213" s="20"/>
      <c r="AP213" s="20"/>
      <c r="AQ213" s="20"/>
      <c r="AR213" s="6" t="s">
        <v>58</v>
      </c>
    </row>
    <row r="214" spans="1:44" ht="42" customHeight="1" x14ac:dyDescent="0.2">
      <c r="A214" s="15">
        <v>213</v>
      </c>
      <c r="B214" s="15" t="s">
        <v>1301</v>
      </c>
      <c r="C214" s="15" t="s">
        <v>1302</v>
      </c>
      <c r="D214" s="16">
        <v>1287.5315000000001</v>
      </c>
      <c r="E214" s="19">
        <v>2024</v>
      </c>
      <c r="F214" s="17">
        <f t="shared" si="3"/>
        <v>0.47123652900000002</v>
      </c>
      <c r="G214" s="17">
        <v>73.33817075543395</v>
      </c>
      <c r="H214" s="17">
        <v>21.599577952073407</v>
      </c>
      <c r="I214" s="17">
        <v>0</v>
      </c>
      <c r="J214" s="17">
        <v>5.0622512924926495</v>
      </c>
      <c r="K214" s="17">
        <v>0</v>
      </c>
      <c r="L214" s="16">
        <v>0</v>
      </c>
      <c r="M214" s="19">
        <v>2025</v>
      </c>
      <c r="N214" s="16">
        <v>0</v>
      </c>
      <c r="O214" s="16">
        <v>0</v>
      </c>
      <c r="P214" s="17" t="s">
        <v>46</v>
      </c>
      <c r="Q214" s="19" t="s">
        <v>46</v>
      </c>
      <c r="R214" s="17" t="s">
        <v>46</v>
      </c>
      <c r="S214" s="19" t="s">
        <v>46</v>
      </c>
      <c r="T214" s="17" t="s">
        <v>46</v>
      </c>
      <c r="U214" s="19" t="s">
        <v>46</v>
      </c>
      <c r="V214" s="18" t="s">
        <v>46</v>
      </c>
      <c r="W214" s="18" t="s">
        <v>46</v>
      </c>
      <c r="X214" s="18" t="s">
        <v>46</v>
      </c>
      <c r="Y214" s="18" t="s">
        <v>46</v>
      </c>
      <c r="Z214" s="18" t="s">
        <v>46</v>
      </c>
      <c r="AA214" s="15" t="s">
        <v>100</v>
      </c>
      <c r="AB214" s="15" t="s">
        <v>101</v>
      </c>
      <c r="AC214" s="15" t="s">
        <v>421</v>
      </c>
      <c r="AD214" s="15" t="s">
        <v>103</v>
      </c>
      <c r="AE214" s="15" t="s">
        <v>104</v>
      </c>
      <c r="AF214" s="15" t="s">
        <v>64</v>
      </c>
      <c r="AG214" s="15" t="s">
        <v>106</v>
      </c>
      <c r="AH214" s="15" t="s">
        <v>1303</v>
      </c>
      <c r="AI214" s="15" t="s">
        <v>1304</v>
      </c>
      <c r="AJ214" s="8">
        <f>'Сводка НПЗ'!D214</f>
        <v>0</v>
      </c>
      <c r="AK214" s="8" t="str">
        <f>IF('Сводка НПЗ'!F214&gt;0,'Сводка НПЗ'!E214,"")</f>
        <v/>
      </c>
      <c r="AL214" s="8">
        <f>'Сводка НПЗ'!G214</f>
        <v>0</v>
      </c>
      <c r="AM214" s="6" t="s">
        <v>56</v>
      </c>
      <c r="AN214" s="12" t="s">
        <v>83</v>
      </c>
      <c r="AO214" s="20">
        <v>2024</v>
      </c>
      <c r="AP214" s="20">
        <v>2025</v>
      </c>
      <c r="AQ214" s="20">
        <v>2025</v>
      </c>
      <c r="AR214" s="6" t="s">
        <v>58</v>
      </c>
    </row>
    <row r="215" spans="1:44" ht="42" customHeight="1" x14ac:dyDescent="0.2">
      <c r="A215" s="15">
        <v>214</v>
      </c>
      <c r="B215" s="15" t="s">
        <v>1305</v>
      </c>
      <c r="C215" s="15" t="s">
        <v>1306</v>
      </c>
      <c r="D215" s="16">
        <v>44141.584028999998</v>
      </c>
      <c r="E215" s="19">
        <v>2024</v>
      </c>
      <c r="F215" s="17">
        <f t="shared" si="3"/>
        <v>16.155819754614001</v>
      </c>
      <c r="G215" s="17">
        <v>19.529155535824327</v>
      </c>
      <c r="H215" s="17">
        <v>32.638356680935779</v>
      </c>
      <c r="I215" s="17">
        <v>8.7050775374882949</v>
      </c>
      <c r="J215" s="17">
        <v>10.586334960091063</v>
      </c>
      <c r="K215" s="17">
        <v>24.144887081981434</v>
      </c>
      <c r="L215" s="16">
        <v>2284.8861957558775</v>
      </c>
      <c r="M215" s="19">
        <v>2025</v>
      </c>
      <c r="N215" s="16">
        <v>0</v>
      </c>
      <c r="O215" s="16">
        <v>0</v>
      </c>
      <c r="P215" s="17">
        <v>22.7049032175631</v>
      </c>
      <c r="Q215" s="19">
        <v>2025</v>
      </c>
      <c r="R215" s="17">
        <v>8.1645487774565595E-2</v>
      </c>
      <c r="S215" s="19">
        <v>2025</v>
      </c>
      <c r="T215" s="17">
        <v>4.0045904807923902</v>
      </c>
      <c r="U215" s="19">
        <v>2025</v>
      </c>
      <c r="V215" s="18">
        <v>1.621</v>
      </c>
      <c r="W215" s="18">
        <v>1.8089999999999999</v>
      </c>
      <c r="X215" s="18" t="s">
        <v>46</v>
      </c>
      <c r="Y215" s="18" t="s">
        <v>46</v>
      </c>
      <c r="Z215" s="18" t="s">
        <v>46</v>
      </c>
      <c r="AA215" s="15" t="s">
        <v>47</v>
      </c>
      <c r="AB215" s="15" t="s">
        <v>48</v>
      </c>
      <c r="AC215" s="15" t="s">
        <v>421</v>
      </c>
      <c r="AD215" s="15" t="s">
        <v>1307</v>
      </c>
      <c r="AE215" s="15" t="s">
        <v>1308</v>
      </c>
      <c r="AF215" s="15" t="s">
        <v>64</v>
      </c>
      <c r="AG215" s="15" t="s">
        <v>53</v>
      </c>
      <c r="AH215" s="15" t="s">
        <v>1309</v>
      </c>
      <c r="AI215" s="15" t="s">
        <v>1310</v>
      </c>
      <c r="AJ215" s="8">
        <f>'Сводка НПЗ'!D215</f>
        <v>1</v>
      </c>
      <c r="AK215" s="8">
        <f>IF('Сводка НПЗ'!F215&gt;0,'Сводка НПЗ'!E215,"")</f>
        <v>36000</v>
      </c>
      <c r="AL215" s="8">
        <f>'Сводка НПЗ'!G215</f>
        <v>0</v>
      </c>
      <c r="AM215" s="6" t="s">
        <v>56</v>
      </c>
      <c r="AN215" s="12" t="s">
        <v>83</v>
      </c>
      <c r="AO215" s="20">
        <v>2024</v>
      </c>
      <c r="AP215" s="20">
        <v>2025</v>
      </c>
      <c r="AQ215" s="20">
        <v>2025</v>
      </c>
      <c r="AR215" s="6" t="s">
        <v>58</v>
      </c>
    </row>
    <row r="216" spans="1:44" ht="42" customHeight="1" x14ac:dyDescent="0.2">
      <c r="A216" s="15">
        <v>215</v>
      </c>
      <c r="B216" s="15" t="s">
        <v>1311</v>
      </c>
      <c r="C216" s="15" t="s">
        <v>1312</v>
      </c>
      <c r="D216" s="16">
        <v>5831.1984170000005</v>
      </c>
      <c r="E216" s="19">
        <v>2024</v>
      </c>
      <c r="F216" s="17">
        <f t="shared" si="3"/>
        <v>2.1342186206220002</v>
      </c>
      <c r="G216" s="17">
        <v>63.871186721101758</v>
      </c>
      <c r="H216" s="17">
        <v>18.292507846933717</v>
      </c>
      <c r="I216" s="17">
        <v>2.8170656913525498</v>
      </c>
      <c r="J216" s="17">
        <v>14.037100120169002</v>
      </c>
      <c r="K216" s="17">
        <v>0</v>
      </c>
      <c r="L216" s="16">
        <v>0</v>
      </c>
      <c r="M216" s="19">
        <v>2025</v>
      </c>
      <c r="N216" s="16">
        <v>0</v>
      </c>
      <c r="O216" s="16">
        <v>0</v>
      </c>
      <c r="P216" s="17">
        <v>7.76533650534319</v>
      </c>
      <c r="Q216" s="19">
        <v>2024</v>
      </c>
      <c r="R216" s="17">
        <v>3.75641197192778</v>
      </c>
      <c r="S216" s="19">
        <v>2024</v>
      </c>
      <c r="T216" s="17" t="s">
        <v>46</v>
      </c>
      <c r="U216" s="19" t="s">
        <v>46</v>
      </c>
      <c r="V216" s="18">
        <v>1.58</v>
      </c>
      <c r="W216" s="18">
        <v>1.698</v>
      </c>
      <c r="X216" s="18" t="s">
        <v>46</v>
      </c>
      <c r="Y216" s="18" t="s">
        <v>46</v>
      </c>
      <c r="Z216" s="18" t="s">
        <v>46</v>
      </c>
      <c r="AA216" s="15" t="s">
        <v>47</v>
      </c>
      <c r="AB216" s="15" t="s">
        <v>48</v>
      </c>
      <c r="AC216" s="15" t="s">
        <v>605</v>
      </c>
      <c r="AD216" s="15" t="s">
        <v>1313</v>
      </c>
      <c r="AE216" s="15" t="s">
        <v>1314</v>
      </c>
      <c r="AF216" s="15" t="s">
        <v>64</v>
      </c>
      <c r="AG216" s="15" t="s">
        <v>53</v>
      </c>
      <c r="AH216" s="15" t="s">
        <v>1315</v>
      </c>
      <c r="AI216" s="15" t="s">
        <v>1316</v>
      </c>
      <c r="AJ216" s="8">
        <f>'Сводка НПЗ'!D216</f>
        <v>0</v>
      </c>
      <c r="AK216" s="8" t="str">
        <f>IF('Сводка НПЗ'!F216&gt;0,'Сводка НПЗ'!E216,"")</f>
        <v/>
      </c>
      <c r="AL216" s="8">
        <f>'Сводка НПЗ'!G216</f>
        <v>0</v>
      </c>
      <c r="AM216" s="6" t="s">
        <v>56</v>
      </c>
      <c r="AN216" s="12" t="s">
        <v>83</v>
      </c>
      <c r="AO216" s="20">
        <v>2024</v>
      </c>
      <c r="AP216" s="20">
        <v>2025</v>
      </c>
      <c r="AQ216" s="20">
        <v>2025</v>
      </c>
      <c r="AR216" s="6" t="s">
        <v>58</v>
      </c>
    </row>
    <row r="217" spans="1:44" ht="42" customHeight="1" x14ac:dyDescent="0.2">
      <c r="A217" s="15">
        <v>216</v>
      </c>
      <c r="B217" s="15" t="s">
        <v>1317</v>
      </c>
      <c r="C217" s="15" t="s">
        <v>1318</v>
      </c>
      <c r="D217" s="16">
        <v>3771.4300269999999</v>
      </c>
      <c r="E217" s="19">
        <v>2024</v>
      </c>
      <c r="F217" s="17">
        <f t="shared" si="3"/>
        <v>1.3803433898819999</v>
      </c>
      <c r="G217" s="17">
        <v>9.9318810721236286</v>
      </c>
      <c r="H217" s="17">
        <v>12.548537997838876</v>
      </c>
      <c r="I217" s="17">
        <v>4.2662087284696693</v>
      </c>
      <c r="J217" s="17">
        <v>13.707402001336403</v>
      </c>
      <c r="K217" s="17">
        <v>59.275292289547245</v>
      </c>
      <c r="L217" s="16">
        <v>0</v>
      </c>
      <c r="M217" s="19">
        <v>2025</v>
      </c>
      <c r="N217" s="16">
        <v>0</v>
      </c>
      <c r="O217" s="16">
        <v>0</v>
      </c>
      <c r="P217" s="17">
        <v>9.1944990000000004</v>
      </c>
      <c r="Q217" s="19">
        <v>2024</v>
      </c>
      <c r="R217" s="17">
        <v>1.88822861970388</v>
      </c>
      <c r="S217" s="19">
        <v>2024</v>
      </c>
      <c r="T217" s="17" t="s">
        <v>46</v>
      </c>
      <c r="U217" s="19" t="s">
        <v>46</v>
      </c>
      <c r="V217" s="18" t="s">
        <v>46</v>
      </c>
      <c r="W217" s="18" t="s">
        <v>46</v>
      </c>
      <c r="X217" s="18" t="s">
        <v>46</v>
      </c>
      <c r="Y217" s="18" t="s">
        <v>46</v>
      </c>
      <c r="Z217" s="18" t="s">
        <v>46</v>
      </c>
      <c r="AA217" s="15" t="s">
        <v>100</v>
      </c>
      <c r="AB217" s="15" t="s">
        <v>101</v>
      </c>
      <c r="AC217" s="15" t="s">
        <v>421</v>
      </c>
      <c r="AD217" s="15" t="s">
        <v>1319</v>
      </c>
      <c r="AE217" s="15" t="s">
        <v>104</v>
      </c>
      <c r="AF217" s="15" t="s">
        <v>64</v>
      </c>
      <c r="AG217" s="15" t="s">
        <v>106</v>
      </c>
      <c r="AH217" s="15" t="s">
        <v>1320</v>
      </c>
      <c r="AI217" s="15" t="s">
        <v>1321</v>
      </c>
      <c r="AJ217" s="8">
        <f>'Сводка НПЗ'!D217</f>
        <v>0</v>
      </c>
      <c r="AK217" s="8" t="str">
        <f>IF('Сводка НПЗ'!F217&gt;0,'Сводка НПЗ'!E217,"")</f>
        <v/>
      </c>
      <c r="AL217" s="8">
        <f>'Сводка НПЗ'!G217</f>
        <v>0</v>
      </c>
      <c r="AM217" s="6" t="s">
        <v>56</v>
      </c>
      <c r="AN217" s="12" t="s">
        <v>83</v>
      </c>
      <c r="AO217" s="20">
        <v>2024</v>
      </c>
      <c r="AP217" s="20">
        <v>2025</v>
      </c>
      <c r="AQ217" s="20">
        <v>2025</v>
      </c>
      <c r="AR217" s="6" t="s">
        <v>58</v>
      </c>
    </row>
    <row r="218" spans="1:44" ht="42" customHeight="1" x14ac:dyDescent="0.2">
      <c r="A218" s="15">
        <v>217</v>
      </c>
      <c r="B218" s="15" t="s">
        <v>1322</v>
      </c>
      <c r="C218" s="15" t="s">
        <v>1323</v>
      </c>
      <c r="D218" s="16" t="s">
        <v>46</v>
      </c>
      <c r="E218" s="19" t="s">
        <v>46</v>
      </c>
      <c r="F218" s="17" t="str">
        <f t="shared" si="3"/>
        <v>н/д</v>
      </c>
      <c r="G218" s="17" t="s">
        <v>46</v>
      </c>
      <c r="H218" s="17" t="s">
        <v>46</v>
      </c>
      <c r="I218" s="17" t="s">
        <v>46</v>
      </c>
      <c r="J218" s="17" t="s">
        <v>46</v>
      </c>
      <c r="K218" s="17" t="s">
        <v>46</v>
      </c>
      <c r="L218" s="16" t="s">
        <v>46</v>
      </c>
      <c r="M218" s="19" t="s">
        <v>46</v>
      </c>
      <c r="N218" s="16" t="s">
        <v>46</v>
      </c>
      <c r="O218" s="16" t="s">
        <v>46</v>
      </c>
      <c r="P218" s="17" t="s">
        <v>46</v>
      </c>
      <c r="Q218" s="19" t="s">
        <v>46</v>
      </c>
      <c r="R218" s="17" t="s">
        <v>46</v>
      </c>
      <c r="S218" s="19" t="s">
        <v>46</v>
      </c>
      <c r="T218" s="17" t="s">
        <v>46</v>
      </c>
      <c r="U218" s="19" t="s">
        <v>46</v>
      </c>
      <c r="V218" s="18" t="s">
        <v>46</v>
      </c>
      <c r="W218" s="18" t="s">
        <v>46</v>
      </c>
      <c r="X218" s="18" t="s">
        <v>46</v>
      </c>
      <c r="Y218" s="18" t="s">
        <v>46</v>
      </c>
      <c r="Z218" s="18" t="s">
        <v>46</v>
      </c>
      <c r="AA218" s="15" t="s">
        <v>100</v>
      </c>
      <c r="AB218" s="15" t="s">
        <v>101</v>
      </c>
      <c r="AC218" s="15" t="s">
        <v>198</v>
      </c>
      <c r="AD218" s="15" t="s">
        <v>103</v>
      </c>
      <c r="AE218" s="15" t="s">
        <v>104</v>
      </c>
      <c r="AF218" s="15" t="s">
        <v>105</v>
      </c>
      <c r="AG218" s="15" t="s">
        <v>106</v>
      </c>
      <c r="AH218" s="15" t="s">
        <v>1324</v>
      </c>
      <c r="AI218" s="15" t="s">
        <v>1325</v>
      </c>
      <c r="AJ218" s="8">
        <f>'Сводка НПЗ'!D218</f>
        <v>0</v>
      </c>
      <c r="AK218" s="8" t="str">
        <f>IF('Сводка НПЗ'!F218&gt;0,'Сводка НПЗ'!E218,"")</f>
        <v/>
      </c>
      <c r="AL218" s="8">
        <f>'Сводка НПЗ'!G218</f>
        <v>0</v>
      </c>
      <c r="AM218" s="6" t="s">
        <v>56</v>
      </c>
      <c r="AN218" s="12" t="s">
        <v>83</v>
      </c>
      <c r="AO218" s="20"/>
      <c r="AP218" s="20"/>
      <c r="AQ218" s="20"/>
      <c r="AR218" s="6" t="s">
        <v>58</v>
      </c>
    </row>
    <row r="219" spans="1:44" ht="42" customHeight="1" x14ac:dyDescent="0.2">
      <c r="A219" s="15">
        <v>218</v>
      </c>
      <c r="B219" s="15" t="s">
        <v>1326</v>
      </c>
      <c r="C219" s="15" t="s">
        <v>1327</v>
      </c>
      <c r="D219" s="16">
        <v>72.358350000000002</v>
      </c>
      <c r="E219" s="19">
        <v>2024</v>
      </c>
      <c r="F219" s="17">
        <f t="shared" si="3"/>
        <v>2.6483156099999999E-2</v>
      </c>
      <c r="G219" s="17">
        <v>81.913462648056509</v>
      </c>
      <c r="H219" s="17">
        <v>18.086537351943488</v>
      </c>
      <c r="I219" s="17">
        <v>0</v>
      </c>
      <c r="J219" s="17">
        <v>0</v>
      </c>
      <c r="K219" s="17">
        <v>0</v>
      </c>
      <c r="L219" s="16">
        <v>0</v>
      </c>
      <c r="M219" s="19">
        <v>2025</v>
      </c>
      <c r="N219" s="16">
        <v>0</v>
      </c>
      <c r="O219" s="16">
        <v>0</v>
      </c>
      <c r="P219" s="17" t="s">
        <v>46</v>
      </c>
      <c r="Q219" s="19" t="s">
        <v>46</v>
      </c>
      <c r="R219" s="17" t="s">
        <v>46</v>
      </c>
      <c r="S219" s="19" t="s">
        <v>46</v>
      </c>
      <c r="T219" s="17" t="s">
        <v>46</v>
      </c>
      <c r="U219" s="19" t="s">
        <v>46</v>
      </c>
      <c r="V219" s="18" t="s">
        <v>46</v>
      </c>
      <c r="W219" s="18" t="s">
        <v>46</v>
      </c>
      <c r="X219" s="18" t="s">
        <v>46</v>
      </c>
      <c r="Y219" s="18" t="s">
        <v>46</v>
      </c>
      <c r="Z219" s="18" t="s">
        <v>46</v>
      </c>
      <c r="AA219" s="15" t="s">
        <v>100</v>
      </c>
      <c r="AB219" s="15" t="s">
        <v>101</v>
      </c>
      <c r="AC219" s="15" t="s">
        <v>421</v>
      </c>
      <c r="AD219" s="15" t="s">
        <v>103</v>
      </c>
      <c r="AE219" s="15" t="s">
        <v>104</v>
      </c>
      <c r="AF219" s="15" t="s">
        <v>64</v>
      </c>
      <c r="AG219" s="15" t="s">
        <v>106</v>
      </c>
      <c r="AH219" s="15" t="s">
        <v>1328</v>
      </c>
      <c r="AI219" s="15" t="s">
        <v>1329</v>
      </c>
      <c r="AJ219" s="8">
        <f>'Сводка НПЗ'!D219</f>
        <v>0</v>
      </c>
      <c r="AK219" s="8" t="str">
        <f>IF('Сводка НПЗ'!F219&gt;0,'Сводка НПЗ'!E219,"")</f>
        <v/>
      </c>
      <c r="AL219" s="8">
        <f>'Сводка НПЗ'!G219</f>
        <v>0</v>
      </c>
      <c r="AM219" s="6" t="s">
        <v>56</v>
      </c>
      <c r="AN219" s="12" t="s">
        <v>83</v>
      </c>
      <c r="AO219" s="20">
        <v>2024</v>
      </c>
      <c r="AP219" s="20">
        <v>2025</v>
      </c>
      <c r="AQ219" s="20">
        <v>2025</v>
      </c>
      <c r="AR219" s="6" t="s">
        <v>58</v>
      </c>
    </row>
    <row r="220" spans="1:44" ht="42" customHeight="1" x14ac:dyDescent="0.2">
      <c r="A220" s="15">
        <v>219</v>
      </c>
      <c r="B220" s="15" t="s">
        <v>1330</v>
      </c>
      <c r="C220" s="15" t="s">
        <v>1331</v>
      </c>
      <c r="D220" s="16">
        <v>28460.113130000002</v>
      </c>
      <c r="E220" s="19">
        <v>2024</v>
      </c>
      <c r="F220" s="17">
        <f t="shared" si="3"/>
        <v>10.41640140558</v>
      </c>
      <c r="G220" s="17">
        <v>24.253641742287758</v>
      </c>
      <c r="H220" s="17">
        <v>17.027176325212306</v>
      </c>
      <c r="I220" s="17">
        <v>10.546006866839182</v>
      </c>
      <c r="J220" s="17">
        <v>17.631852238529735</v>
      </c>
      <c r="K220" s="17">
        <v>29.089665751444606</v>
      </c>
      <c r="L220" s="16">
        <v>0</v>
      </c>
      <c r="M220" s="19">
        <v>2025</v>
      </c>
      <c r="N220" s="16">
        <v>0</v>
      </c>
      <c r="O220" s="16">
        <v>0</v>
      </c>
      <c r="P220" s="17">
        <v>16.1578044917614</v>
      </c>
      <c r="Q220" s="19">
        <v>2025</v>
      </c>
      <c r="R220" s="17">
        <v>3.1515739530586702</v>
      </c>
      <c r="S220" s="19">
        <v>2025</v>
      </c>
      <c r="T220" s="17">
        <v>3.67359279962943</v>
      </c>
      <c r="U220" s="19">
        <v>2025</v>
      </c>
      <c r="V220" s="18">
        <v>1.5089999999999999</v>
      </c>
      <c r="W220" s="18">
        <v>1.522</v>
      </c>
      <c r="X220" s="18" t="s">
        <v>46</v>
      </c>
      <c r="Y220" s="18" t="s">
        <v>46</v>
      </c>
      <c r="Z220" s="18" t="s">
        <v>46</v>
      </c>
      <c r="AA220" s="15" t="s">
        <v>47</v>
      </c>
      <c r="AB220" s="15" t="s">
        <v>48</v>
      </c>
      <c r="AC220" s="15" t="s">
        <v>605</v>
      </c>
      <c r="AD220" s="15" t="s">
        <v>1332</v>
      </c>
      <c r="AE220" s="15" t="s">
        <v>1333</v>
      </c>
      <c r="AF220" s="15" t="s">
        <v>64</v>
      </c>
      <c r="AG220" s="15" t="s">
        <v>53</v>
      </c>
      <c r="AH220" s="15" t="s">
        <v>1334</v>
      </c>
      <c r="AI220" s="15" t="s">
        <v>1335</v>
      </c>
      <c r="AJ220" s="8">
        <f>'Сводка НПЗ'!D220</f>
        <v>0</v>
      </c>
      <c r="AK220" s="8" t="str">
        <f>IF('Сводка НПЗ'!F220&gt;0,'Сводка НПЗ'!E220,"")</f>
        <v/>
      </c>
      <c r="AL220" s="8">
        <f>'Сводка НПЗ'!G220</f>
        <v>0</v>
      </c>
      <c r="AM220" s="6" t="s">
        <v>56</v>
      </c>
      <c r="AN220" s="12" t="s">
        <v>83</v>
      </c>
      <c r="AO220" s="20">
        <v>2024</v>
      </c>
      <c r="AP220" s="20">
        <v>2025</v>
      </c>
      <c r="AQ220" s="20">
        <v>2025</v>
      </c>
      <c r="AR220" s="6" t="s">
        <v>58</v>
      </c>
    </row>
    <row r="221" spans="1:44" ht="42" customHeight="1" x14ac:dyDescent="0.2">
      <c r="A221" s="15">
        <v>220</v>
      </c>
      <c r="B221" s="15" t="s">
        <v>1336</v>
      </c>
      <c r="C221" s="15" t="s">
        <v>1337</v>
      </c>
      <c r="D221" s="16">
        <v>2656.1976319999999</v>
      </c>
      <c r="E221" s="19">
        <v>2024</v>
      </c>
      <c r="F221" s="17">
        <f t="shared" si="3"/>
        <v>0.97216833331199992</v>
      </c>
      <c r="G221" s="17">
        <v>36.993505346216651</v>
      </c>
      <c r="H221" s="17">
        <v>36.826576916397158</v>
      </c>
      <c r="I221" s="17">
        <v>2.7752524553112772</v>
      </c>
      <c r="J221" s="17">
        <v>15.263997080470254</v>
      </c>
      <c r="K221" s="17">
        <v>6.0113795403007124</v>
      </c>
      <c r="L221" s="16">
        <v>0</v>
      </c>
      <c r="M221" s="19">
        <v>2025</v>
      </c>
      <c r="N221" s="16">
        <v>0</v>
      </c>
      <c r="O221" s="16">
        <v>0</v>
      </c>
      <c r="P221" s="17">
        <v>1.8149208562702601</v>
      </c>
      <c r="Q221" s="19">
        <v>2025</v>
      </c>
      <c r="R221" s="17">
        <v>3.7544428489180999</v>
      </c>
      <c r="S221" s="19">
        <v>2025</v>
      </c>
      <c r="T221" s="17">
        <v>3.2490933230643302</v>
      </c>
      <c r="U221" s="19">
        <v>2025</v>
      </c>
      <c r="V221" s="18" t="s">
        <v>46</v>
      </c>
      <c r="W221" s="18" t="s">
        <v>46</v>
      </c>
      <c r="X221" s="18" t="s">
        <v>46</v>
      </c>
      <c r="Y221" s="18" t="s">
        <v>46</v>
      </c>
      <c r="Z221" s="18" t="s">
        <v>46</v>
      </c>
      <c r="AA221" s="15" t="s">
        <v>100</v>
      </c>
      <c r="AB221" s="15" t="s">
        <v>101</v>
      </c>
      <c r="AC221" s="15" t="s">
        <v>421</v>
      </c>
      <c r="AD221" s="15" t="s">
        <v>1338</v>
      </c>
      <c r="AE221" s="15" t="s">
        <v>104</v>
      </c>
      <c r="AF221" s="15" t="s">
        <v>64</v>
      </c>
      <c r="AG221" s="15" t="s">
        <v>106</v>
      </c>
      <c r="AH221" s="15" t="s">
        <v>1339</v>
      </c>
      <c r="AI221" s="15" t="s">
        <v>1340</v>
      </c>
      <c r="AJ221" s="8">
        <f>'Сводка НПЗ'!D221</f>
        <v>0</v>
      </c>
      <c r="AK221" s="8" t="str">
        <f>IF('Сводка НПЗ'!F221&gt;0,'Сводка НПЗ'!E221,"")</f>
        <v/>
      </c>
      <c r="AL221" s="8">
        <f>'Сводка НПЗ'!G221</f>
        <v>0</v>
      </c>
      <c r="AM221" s="6" t="s">
        <v>56</v>
      </c>
      <c r="AN221" s="12" t="s">
        <v>83</v>
      </c>
      <c r="AO221" s="20">
        <v>2024</v>
      </c>
      <c r="AP221" s="20">
        <v>2025</v>
      </c>
      <c r="AQ221" s="20">
        <v>2025</v>
      </c>
      <c r="AR221" s="6" t="s">
        <v>58</v>
      </c>
    </row>
    <row r="222" spans="1:44" ht="42" customHeight="1" x14ac:dyDescent="0.2">
      <c r="A222" s="15">
        <v>221</v>
      </c>
      <c r="B222" s="15" t="s">
        <v>1341</v>
      </c>
      <c r="C222" s="15" t="s">
        <v>1342</v>
      </c>
      <c r="D222" s="16">
        <v>1215.8583100000001</v>
      </c>
      <c r="E222" s="19">
        <v>2024</v>
      </c>
      <c r="F222" s="17">
        <f t="shared" si="3"/>
        <v>0.44500414146</v>
      </c>
      <c r="G222" s="17">
        <v>60.276021142628046</v>
      </c>
      <c r="H222" s="17">
        <v>19.532194586061593</v>
      </c>
      <c r="I222" s="17">
        <v>0.58396714005269246</v>
      </c>
      <c r="J222" s="17">
        <v>16.903154529576721</v>
      </c>
      <c r="K222" s="17">
        <v>0</v>
      </c>
      <c r="L222" s="16">
        <v>0</v>
      </c>
      <c r="M222" s="19">
        <v>2025</v>
      </c>
      <c r="N222" s="16">
        <v>0</v>
      </c>
      <c r="O222" s="16">
        <v>0</v>
      </c>
      <c r="P222" s="17">
        <v>0.981293586906408</v>
      </c>
      <c r="Q222" s="19">
        <v>2025</v>
      </c>
      <c r="R222" s="17">
        <v>1.02847453097097</v>
      </c>
      <c r="S222" s="19">
        <v>2025</v>
      </c>
      <c r="T222" s="17">
        <v>11.0474362281814</v>
      </c>
      <c r="U222" s="19">
        <v>2025</v>
      </c>
      <c r="V222" s="18" t="s">
        <v>46</v>
      </c>
      <c r="W222" s="18" t="s">
        <v>46</v>
      </c>
      <c r="X222" s="18" t="s">
        <v>46</v>
      </c>
      <c r="Y222" s="18" t="s">
        <v>46</v>
      </c>
      <c r="Z222" s="18" t="s">
        <v>46</v>
      </c>
      <c r="AA222" s="15" t="s">
        <v>100</v>
      </c>
      <c r="AB222" s="15" t="s">
        <v>101</v>
      </c>
      <c r="AC222" s="15" t="s">
        <v>421</v>
      </c>
      <c r="AD222" s="15" t="s">
        <v>1343</v>
      </c>
      <c r="AE222" s="15" t="s">
        <v>104</v>
      </c>
      <c r="AF222" s="15" t="s">
        <v>64</v>
      </c>
      <c r="AG222" s="15" t="s">
        <v>106</v>
      </c>
      <c r="AH222" s="15" t="s">
        <v>1344</v>
      </c>
      <c r="AI222" s="15" t="s">
        <v>1345</v>
      </c>
      <c r="AJ222" s="8">
        <f>'Сводка НПЗ'!D222</f>
        <v>0</v>
      </c>
      <c r="AK222" s="8" t="str">
        <f>IF('Сводка НПЗ'!F222&gt;0,'Сводка НПЗ'!E222,"")</f>
        <v/>
      </c>
      <c r="AL222" s="8">
        <f>'Сводка НПЗ'!G222</f>
        <v>0</v>
      </c>
      <c r="AM222" s="6" t="s">
        <v>56</v>
      </c>
      <c r="AN222" s="12" t="s">
        <v>83</v>
      </c>
      <c r="AO222" s="20">
        <v>2024</v>
      </c>
      <c r="AP222" s="20">
        <v>2025</v>
      </c>
      <c r="AQ222" s="20">
        <v>2025</v>
      </c>
      <c r="AR222" s="6" t="s">
        <v>58</v>
      </c>
    </row>
    <row r="223" spans="1:44" ht="42" customHeight="1" x14ac:dyDescent="0.2">
      <c r="A223" s="15">
        <v>222</v>
      </c>
      <c r="B223" s="15" t="s">
        <v>1346</v>
      </c>
      <c r="C223" s="15" t="s">
        <v>1347</v>
      </c>
      <c r="D223" s="16">
        <v>4791.4689250000001</v>
      </c>
      <c r="E223" s="19">
        <v>2024</v>
      </c>
      <c r="F223" s="17">
        <f t="shared" si="3"/>
        <v>1.7536776265500003</v>
      </c>
      <c r="G223" s="17">
        <v>37.229383471374597</v>
      </c>
      <c r="H223" s="17">
        <v>7.218658649654083</v>
      </c>
      <c r="I223" s="17">
        <v>8.9367130978523441</v>
      </c>
      <c r="J223" s="17">
        <v>14.641790231374607</v>
      </c>
      <c r="K223" s="17">
        <v>30.958299807819373</v>
      </c>
      <c r="L223" s="16">
        <v>0</v>
      </c>
      <c r="M223" s="19">
        <v>2025</v>
      </c>
      <c r="N223" s="16">
        <v>0</v>
      </c>
      <c r="O223" s="16">
        <v>0</v>
      </c>
      <c r="P223" s="17">
        <v>3.0566304353246299</v>
      </c>
      <c r="Q223" s="19">
        <v>2025</v>
      </c>
      <c r="R223" s="17">
        <v>6.2969851825309604</v>
      </c>
      <c r="S223" s="19">
        <v>2025</v>
      </c>
      <c r="T223" s="17">
        <v>2.3433389736516301</v>
      </c>
      <c r="U223" s="19">
        <v>2025</v>
      </c>
      <c r="V223" s="18">
        <v>1.827</v>
      </c>
      <c r="W223" s="18">
        <v>1.7649999999999999</v>
      </c>
      <c r="X223" s="18" t="s">
        <v>46</v>
      </c>
      <c r="Y223" s="18" t="s">
        <v>46</v>
      </c>
      <c r="Z223" s="18" t="s">
        <v>46</v>
      </c>
      <c r="AA223" s="15" t="s">
        <v>47</v>
      </c>
      <c r="AB223" s="15" t="s">
        <v>48</v>
      </c>
      <c r="AC223" s="15" t="s">
        <v>605</v>
      </c>
      <c r="AD223" s="15" t="s">
        <v>1348</v>
      </c>
      <c r="AE223" s="15" t="s">
        <v>1349</v>
      </c>
      <c r="AF223" s="15" t="s">
        <v>64</v>
      </c>
      <c r="AG223" s="15" t="s">
        <v>53</v>
      </c>
      <c r="AH223" s="15" t="s">
        <v>1350</v>
      </c>
      <c r="AI223" s="15" t="s">
        <v>1351</v>
      </c>
      <c r="AJ223" s="8">
        <f>'Сводка НПЗ'!D223</f>
        <v>0</v>
      </c>
      <c r="AK223" s="8" t="str">
        <f>IF('Сводка НПЗ'!F223&gt;0,'Сводка НПЗ'!E223,"")</f>
        <v/>
      </c>
      <c r="AL223" s="8">
        <f>'Сводка НПЗ'!G223</f>
        <v>0</v>
      </c>
      <c r="AM223" s="6" t="s">
        <v>56</v>
      </c>
      <c r="AN223" s="12" t="s">
        <v>83</v>
      </c>
      <c r="AO223" s="20">
        <v>2024</v>
      </c>
      <c r="AP223" s="20">
        <v>2025</v>
      </c>
      <c r="AQ223" s="20">
        <v>2025</v>
      </c>
      <c r="AR223" s="6" t="s">
        <v>58</v>
      </c>
    </row>
    <row r="224" spans="1:44" ht="42" customHeight="1" x14ac:dyDescent="0.2">
      <c r="A224" s="15">
        <v>223</v>
      </c>
      <c r="B224" s="15" t="s">
        <v>1352</v>
      </c>
      <c r="C224" s="15" t="s">
        <v>1353</v>
      </c>
      <c r="D224" s="16">
        <v>10029.682191780821</v>
      </c>
      <c r="E224" s="19">
        <v>2025</v>
      </c>
      <c r="F224" s="17">
        <f t="shared" si="3"/>
        <v>3.6608339999999995</v>
      </c>
      <c r="G224" s="17">
        <v>38.106617235307581</v>
      </c>
      <c r="H224" s="17">
        <v>21.23559822707066</v>
      </c>
      <c r="I224" s="17">
        <v>8.2385598472916275</v>
      </c>
      <c r="J224" s="17" t="s">
        <v>46</v>
      </c>
      <c r="K224" s="17">
        <v>2.1142723215529577</v>
      </c>
      <c r="L224" s="16">
        <v>0</v>
      </c>
      <c r="M224" s="19">
        <v>2025</v>
      </c>
      <c r="N224" s="16">
        <v>0</v>
      </c>
      <c r="O224" s="16">
        <v>0</v>
      </c>
      <c r="P224" s="17">
        <v>27.771821560941103</v>
      </c>
      <c r="Q224" s="19">
        <v>2025</v>
      </c>
      <c r="R224" s="17">
        <v>3.9615613901895901</v>
      </c>
      <c r="S224" s="19">
        <v>2025</v>
      </c>
      <c r="T224" s="17">
        <v>2.3635175225218599</v>
      </c>
      <c r="U224" s="19">
        <v>2025</v>
      </c>
      <c r="V224" s="18">
        <v>1.5469999999999999</v>
      </c>
      <c r="W224" s="18">
        <v>1.397</v>
      </c>
      <c r="X224" s="18" t="s">
        <v>46</v>
      </c>
      <c r="Y224" s="18" t="s">
        <v>46</v>
      </c>
      <c r="Z224" s="18" t="s">
        <v>46</v>
      </c>
      <c r="AA224" s="15" t="s">
        <v>47</v>
      </c>
      <c r="AB224" s="15" t="s">
        <v>48</v>
      </c>
      <c r="AC224" s="15" t="s">
        <v>434</v>
      </c>
      <c r="AD224" s="15" t="s">
        <v>1354</v>
      </c>
      <c r="AE224" s="15" t="s">
        <v>1355</v>
      </c>
      <c r="AF224" s="15" t="s">
        <v>52</v>
      </c>
      <c r="AG224" s="15" t="s">
        <v>53</v>
      </c>
      <c r="AH224" s="15" t="s">
        <v>1356</v>
      </c>
      <c r="AI224" s="15" t="s">
        <v>1357</v>
      </c>
      <c r="AJ224" s="8">
        <f>'Сводка НПЗ'!D224</f>
        <v>0</v>
      </c>
      <c r="AK224" s="8" t="str">
        <f>IF('Сводка НПЗ'!F224&gt;0,'Сводка НПЗ'!E224,"")</f>
        <v/>
      </c>
      <c r="AL224" s="8">
        <f>'Сводка НПЗ'!G224</f>
        <v>0</v>
      </c>
      <c r="AM224" s="6" t="s">
        <v>56</v>
      </c>
      <c r="AN224" s="12" t="s">
        <v>83</v>
      </c>
      <c r="AO224" s="20">
        <v>2025</v>
      </c>
      <c r="AP224" s="20">
        <v>2025</v>
      </c>
      <c r="AQ224" s="20">
        <v>2025</v>
      </c>
      <c r="AR224" s="6" t="s">
        <v>58</v>
      </c>
    </row>
    <row r="225" spans="1:44" ht="42" customHeight="1" x14ac:dyDescent="0.2">
      <c r="A225" s="15">
        <v>224</v>
      </c>
      <c r="B225" s="15" t="s">
        <v>1358</v>
      </c>
      <c r="C225" s="15" t="s">
        <v>1359</v>
      </c>
      <c r="D225" s="16" t="s">
        <v>46</v>
      </c>
      <c r="E225" s="19" t="s">
        <v>46</v>
      </c>
      <c r="F225" s="17" t="str">
        <f t="shared" si="3"/>
        <v>н/д</v>
      </c>
      <c r="G225" s="17" t="s">
        <v>46</v>
      </c>
      <c r="H225" s="17" t="s">
        <v>46</v>
      </c>
      <c r="I225" s="17" t="s">
        <v>46</v>
      </c>
      <c r="J225" s="17" t="s">
        <v>46</v>
      </c>
      <c r="K225" s="17" t="s">
        <v>46</v>
      </c>
      <c r="L225" s="16" t="s">
        <v>46</v>
      </c>
      <c r="M225" s="19" t="s">
        <v>46</v>
      </c>
      <c r="N225" s="16" t="s">
        <v>46</v>
      </c>
      <c r="O225" s="16" t="s">
        <v>46</v>
      </c>
      <c r="P225" s="17" t="s">
        <v>46</v>
      </c>
      <c r="Q225" s="19" t="s">
        <v>46</v>
      </c>
      <c r="R225" s="17" t="s">
        <v>46</v>
      </c>
      <c r="S225" s="19" t="s">
        <v>46</v>
      </c>
      <c r="T225" s="17" t="s">
        <v>46</v>
      </c>
      <c r="U225" s="19" t="s">
        <v>46</v>
      </c>
      <c r="V225" s="18" t="s">
        <v>46</v>
      </c>
      <c r="W225" s="18" t="s">
        <v>46</v>
      </c>
      <c r="X225" s="18" t="s">
        <v>46</v>
      </c>
      <c r="Y225" s="18" t="s">
        <v>46</v>
      </c>
      <c r="Z225" s="18" t="s">
        <v>46</v>
      </c>
      <c r="AA225" s="15" t="s">
        <v>100</v>
      </c>
      <c r="AB225" s="15" t="s">
        <v>101</v>
      </c>
      <c r="AC225" s="15" t="s">
        <v>198</v>
      </c>
      <c r="AD225" s="15" t="s">
        <v>103</v>
      </c>
      <c r="AE225" s="15" t="s">
        <v>104</v>
      </c>
      <c r="AF225" s="15" t="s">
        <v>105</v>
      </c>
      <c r="AG225" s="15" t="s">
        <v>106</v>
      </c>
      <c r="AH225" s="15" t="s">
        <v>1360</v>
      </c>
      <c r="AI225" s="15" t="s">
        <v>1361</v>
      </c>
      <c r="AJ225" s="8">
        <f>'Сводка НПЗ'!D225</f>
        <v>0</v>
      </c>
      <c r="AK225" s="8" t="str">
        <f>IF('Сводка НПЗ'!F225&gt;0,'Сводка НПЗ'!E225,"")</f>
        <v/>
      </c>
      <c r="AL225" s="8">
        <f>'Сводка НПЗ'!G225</f>
        <v>0</v>
      </c>
      <c r="AM225" s="6" t="s">
        <v>56</v>
      </c>
      <c r="AN225" s="12" t="s">
        <v>83</v>
      </c>
      <c r="AO225" s="20"/>
      <c r="AP225" s="20"/>
      <c r="AQ225" s="20"/>
      <c r="AR225" s="6" t="s">
        <v>58</v>
      </c>
    </row>
    <row r="226" spans="1:44" ht="42" customHeight="1" x14ac:dyDescent="0.2">
      <c r="A226" s="15">
        <v>225</v>
      </c>
      <c r="B226" s="15" t="s">
        <v>1362</v>
      </c>
      <c r="C226" s="15" t="s">
        <v>1363</v>
      </c>
      <c r="D226" s="16" t="s">
        <v>46</v>
      </c>
      <c r="E226" s="19" t="s">
        <v>46</v>
      </c>
      <c r="F226" s="17" t="str">
        <f t="shared" si="3"/>
        <v>н/д</v>
      </c>
      <c r="G226" s="17" t="s">
        <v>46</v>
      </c>
      <c r="H226" s="17" t="s">
        <v>46</v>
      </c>
      <c r="I226" s="17" t="s">
        <v>46</v>
      </c>
      <c r="J226" s="17" t="s">
        <v>46</v>
      </c>
      <c r="K226" s="17" t="s">
        <v>46</v>
      </c>
      <c r="L226" s="16" t="s">
        <v>46</v>
      </c>
      <c r="M226" s="19" t="s">
        <v>46</v>
      </c>
      <c r="N226" s="16" t="s">
        <v>46</v>
      </c>
      <c r="O226" s="16" t="s">
        <v>46</v>
      </c>
      <c r="P226" s="17" t="s">
        <v>46</v>
      </c>
      <c r="Q226" s="19" t="s">
        <v>46</v>
      </c>
      <c r="R226" s="17" t="s">
        <v>46</v>
      </c>
      <c r="S226" s="19" t="s">
        <v>46</v>
      </c>
      <c r="T226" s="17" t="s">
        <v>46</v>
      </c>
      <c r="U226" s="19" t="s">
        <v>46</v>
      </c>
      <c r="V226" s="18" t="s">
        <v>46</v>
      </c>
      <c r="W226" s="18" t="s">
        <v>46</v>
      </c>
      <c r="X226" s="18" t="s">
        <v>46</v>
      </c>
      <c r="Y226" s="18" t="s">
        <v>46</v>
      </c>
      <c r="Z226" s="18" t="s">
        <v>46</v>
      </c>
      <c r="AA226" s="15" t="s">
        <v>100</v>
      </c>
      <c r="AB226" s="15" t="s">
        <v>101</v>
      </c>
      <c r="AC226" s="15" t="s">
        <v>198</v>
      </c>
      <c r="AD226" s="15" t="s">
        <v>103</v>
      </c>
      <c r="AE226" s="15" t="s">
        <v>104</v>
      </c>
      <c r="AF226" s="15" t="s">
        <v>105</v>
      </c>
      <c r="AG226" s="15" t="s">
        <v>106</v>
      </c>
      <c r="AH226" s="15" t="s">
        <v>1364</v>
      </c>
      <c r="AI226" s="15" t="s">
        <v>1365</v>
      </c>
      <c r="AJ226" s="8">
        <f>'Сводка НПЗ'!D226</f>
        <v>0</v>
      </c>
      <c r="AK226" s="8" t="str">
        <f>IF('Сводка НПЗ'!F226&gt;0,'Сводка НПЗ'!E226,"")</f>
        <v/>
      </c>
      <c r="AL226" s="8">
        <f>'Сводка НПЗ'!G226</f>
        <v>0</v>
      </c>
      <c r="AM226" s="6" t="s">
        <v>56</v>
      </c>
      <c r="AN226" s="12" t="s">
        <v>83</v>
      </c>
      <c r="AO226" s="20"/>
      <c r="AP226" s="20"/>
      <c r="AQ226" s="20"/>
      <c r="AR226" s="6" t="s">
        <v>58</v>
      </c>
    </row>
    <row r="227" spans="1:44" ht="42" customHeight="1" x14ac:dyDescent="0.2">
      <c r="A227" s="15">
        <v>226</v>
      </c>
      <c r="B227" s="15" t="s">
        <v>1366</v>
      </c>
      <c r="C227" s="15" t="s">
        <v>1367</v>
      </c>
      <c r="D227" s="16" t="s">
        <v>46</v>
      </c>
      <c r="E227" s="19" t="s">
        <v>46</v>
      </c>
      <c r="F227" s="17" t="str">
        <f t="shared" si="3"/>
        <v>н/д</v>
      </c>
      <c r="G227" s="17" t="s">
        <v>46</v>
      </c>
      <c r="H227" s="17" t="s">
        <v>46</v>
      </c>
      <c r="I227" s="17" t="s">
        <v>46</v>
      </c>
      <c r="J227" s="17" t="s">
        <v>46</v>
      </c>
      <c r="K227" s="17" t="s">
        <v>46</v>
      </c>
      <c r="L227" s="16" t="s">
        <v>46</v>
      </c>
      <c r="M227" s="19" t="s">
        <v>46</v>
      </c>
      <c r="N227" s="16" t="s">
        <v>46</v>
      </c>
      <c r="O227" s="16" t="s">
        <v>46</v>
      </c>
      <c r="P227" s="17" t="s">
        <v>46</v>
      </c>
      <c r="Q227" s="19" t="s">
        <v>46</v>
      </c>
      <c r="R227" s="17" t="s">
        <v>46</v>
      </c>
      <c r="S227" s="19" t="s">
        <v>46</v>
      </c>
      <c r="T227" s="17" t="s">
        <v>46</v>
      </c>
      <c r="U227" s="19" t="s">
        <v>46</v>
      </c>
      <c r="V227" s="18" t="s">
        <v>46</v>
      </c>
      <c r="W227" s="18" t="s">
        <v>46</v>
      </c>
      <c r="X227" s="18" t="s">
        <v>46</v>
      </c>
      <c r="Y227" s="18" t="s">
        <v>46</v>
      </c>
      <c r="Z227" s="18" t="s">
        <v>46</v>
      </c>
      <c r="AA227" s="15" t="s">
        <v>100</v>
      </c>
      <c r="AB227" s="15" t="s">
        <v>101</v>
      </c>
      <c r="AC227" s="15" t="s">
        <v>198</v>
      </c>
      <c r="AD227" s="15" t="s">
        <v>103</v>
      </c>
      <c r="AE227" s="15" t="s">
        <v>104</v>
      </c>
      <c r="AF227" s="15" t="s">
        <v>105</v>
      </c>
      <c r="AG227" s="15" t="s">
        <v>106</v>
      </c>
      <c r="AH227" s="15" t="s">
        <v>1368</v>
      </c>
      <c r="AI227" s="15" t="s">
        <v>1369</v>
      </c>
      <c r="AJ227" s="8">
        <f>'Сводка НПЗ'!D227</f>
        <v>0</v>
      </c>
      <c r="AK227" s="8" t="str">
        <f>IF('Сводка НПЗ'!F227&gt;0,'Сводка НПЗ'!E227,"")</f>
        <v/>
      </c>
      <c r="AL227" s="8">
        <f>'Сводка НПЗ'!G227</f>
        <v>0</v>
      </c>
      <c r="AM227" s="6" t="s">
        <v>56</v>
      </c>
      <c r="AN227" s="12" t="s">
        <v>83</v>
      </c>
      <c r="AO227" s="20"/>
      <c r="AP227" s="20"/>
      <c r="AQ227" s="20"/>
      <c r="AR227" s="6" t="s">
        <v>58</v>
      </c>
    </row>
    <row r="228" spans="1:44" ht="42" customHeight="1" x14ac:dyDescent="0.2">
      <c r="A228" s="15">
        <v>227</v>
      </c>
      <c r="B228" s="15" t="s">
        <v>1370</v>
      </c>
      <c r="C228" s="15" t="s">
        <v>1371</v>
      </c>
      <c r="D228" s="16" t="s">
        <v>46</v>
      </c>
      <c r="E228" s="19" t="s">
        <v>46</v>
      </c>
      <c r="F228" s="17" t="str">
        <f t="shared" si="3"/>
        <v>н/д</v>
      </c>
      <c r="G228" s="17" t="s">
        <v>46</v>
      </c>
      <c r="H228" s="17" t="s">
        <v>46</v>
      </c>
      <c r="I228" s="17" t="s">
        <v>46</v>
      </c>
      <c r="J228" s="17" t="s">
        <v>46</v>
      </c>
      <c r="K228" s="17" t="s">
        <v>46</v>
      </c>
      <c r="L228" s="16" t="s">
        <v>46</v>
      </c>
      <c r="M228" s="19" t="s">
        <v>46</v>
      </c>
      <c r="N228" s="16" t="s">
        <v>46</v>
      </c>
      <c r="O228" s="16" t="s">
        <v>46</v>
      </c>
      <c r="P228" s="17" t="s">
        <v>46</v>
      </c>
      <c r="Q228" s="19" t="s">
        <v>46</v>
      </c>
      <c r="R228" s="17" t="s">
        <v>46</v>
      </c>
      <c r="S228" s="19" t="s">
        <v>46</v>
      </c>
      <c r="T228" s="17" t="s">
        <v>46</v>
      </c>
      <c r="U228" s="19" t="s">
        <v>46</v>
      </c>
      <c r="V228" s="18" t="s">
        <v>46</v>
      </c>
      <c r="W228" s="18" t="s">
        <v>46</v>
      </c>
      <c r="X228" s="18" t="s">
        <v>46</v>
      </c>
      <c r="Y228" s="18" t="s">
        <v>46</v>
      </c>
      <c r="Z228" s="18" t="s">
        <v>46</v>
      </c>
      <c r="AA228" s="15" t="s">
        <v>100</v>
      </c>
      <c r="AB228" s="15" t="s">
        <v>101</v>
      </c>
      <c r="AC228" s="15" t="s">
        <v>198</v>
      </c>
      <c r="AD228" s="15" t="s">
        <v>103</v>
      </c>
      <c r="AE228" s="15" t="s">
        <v>104</v>
      </c>
      <c r="AF228" s="15" t="s">
        <v>105</v>
      </c>
      <c r="AG228" s="15" t="s">
        <v>106</v>
      </c>
      <c r="AH228" s="15" t="s">
        <v>1372</v>
      </c>
      <c r="AI228" s="15" t="s">
        <v>1373</v>
      </c>
      <c r="AJ228" s="8">
        <f>'Сводка НПЗ'!D228</f>
        <v>0</v>
      </c>
      <c r="AK228" s="8" t="str">
        <f>IF('Сводка НПЗ'!F228&gt;0,'Сводка НПЗ'!E228,"")</f>
        <v/>
      </c>
      <c r="AL228" s="8">
        <f>'Сводка НПЗ'!G228</f>
        <v>0</v>
      </c>
      <c r="AM228" s="6" t="s">
        <v>56</v>
      </c>
      <c r="AN228" s="12" t="s">
        <v>83</v>
      </c>
      <c r="AO228" s="20"/>
      <c r="AP228" s="20"/>
      <c r="AQ228" s="20"/>
      <c r="AR228" s="6" t="s">
        <v>58</v>
      </c>
    </row>
    <row r="229" spans="1:44" ht="42" customHeight="1" x14ac:dyDescent="0.2">
      <c r="A229" s="15">
        <v>228</v>
      </c>
      <c r="B229" s="15" t="s">
        <v>1374</v>
      </c>
      <c r="C229" s="15" t="s">
        <v>1375</v>
      </c>
      <c r="D229" s="16">
        <v>5288.0132599999997</v>
      </c>
      <c r="E229" s="19">
        <v>2024</v>
      </c>
      <c r="F229" s="17">
        <f t="shared" si="3"/>
        <v>1.9354128531599999</v>
      </c>
      <c r="G229" s="17">
        <v>69.594592695858708</v>
      </c>
      <c r="H229" s="17">
        <v>4.8692984934005255</v>
      </c>
      <c r="I229" s="17">
        <v>0</v>
      </c>
      <c r="J229" s="17">
        <v>0</v>
      </c>
      <c r="K229" s="17">
        <v>25.520297390479698</v>
      </c>
      <c r="L229" s="16">
        <v>0</v>
      </c>
      <c r="M229" s="19">
        <v>2025</v>
      </c>
      <c r="N229" s="16">
        <v>0</v>
      </c>
      <c r="O229" s="16">
        <v>0</v>
      </c>
      <c r="P229" s="17">
        <v>4.05293716976536</v>
      </c>
      <c r="Q229" s="19">
        <v>2024</v>
      </c>
      <c r="R229" s="17">
        <v>0.84371685136210295</v>
      </c>
      <c r="S229" s="19">
        <v>2024</v>
      </c>
      <c r="T229" s="17" t="s">
        <v>46</v>
      </c>
      <c r="U229" s="19" t="s">
        <v>46</v>
      </c>
      <c r="V229" s="18" t="s">
        <v>46</v>
      </c>
      <c r="W229" s="18" t="s">
        <v>46</v>
      </c>
      <c r="X229" s="18" t="s">
        <v>46</v>
      </c>
      <c r="Y229" s="18" t="s">
        <v>46</v>
      </c>
      <c r="Z229" s="18" t="s">
        <v>46</v>
      </c>
      <c r="AA229" s="15" t="s">
        <v>100</v>
      </c>
      <c r="AB229" s="15" t="s">
        <v>101</v>
      </c>
      <c r="AC229" s="15" t="s">
        <v>605</v>
      </c>
      <c r="AD229" s="15" t="s">
        <v>1376</v>
      </c>
      <c r="AE229" s="15" t="s">
        <v>104</v>
      </c>
      <c r="AF229" s="15" t="s">
        <v>64</v>
      </c>
      <c r="AG229" s="15" t="s">
        <v>106</v>
      </c>
      <c r="AH229" s="15" t="s">
        <v>1377</v>
      </c>
      <c r="AI229" s="15" t="s">
        <v>1378</v>
      </c>
      <c r="AJ229" s="8">
        <f>'Сводка НПЗ'!D229</f>
        <v>0</v>
      </c>
      <c r="AK229" s="8" t="str">
        <f>IF('Сводка НПЗ'!F229&gt;0,'Сводка НПЗ'!E229,"")</f>
        <v/>
      </c>
      <c r="AL229" s="8">
        <f>'Сводка НПЗ'!G229</f>
        <v>0</v>
      </c>
      <c r="AM229" s="6" t="s">
        <v>56</v>
      </c>
      <c r="AN229" s="12" t="s">
        <v>83</v>
      </c>
      <c r="AO229" s="20">
        <v>2024</v>
      </c>
      <c r="AP229" s="20">
        <v>2025</v>
      </c>
      <c r="AQ229" s="20">
        <v>2025</v>
      </c>
      <c r="AR229" s="6" t="s">
        <v>58</v>
      </c>
    </row>
    <row r="230" spans="1:44" ht="42" customHeight="1" x14ac:dyDescent="0.2">
      <c r="A230" s="15">
        <v>229</v>
      </c>
      <c r="B230" s="15" t="s">
        <v>1379</v>
      </c>
      <c r="C230" s="15" t="s">
        <v>1380</v>
      </c>
      <c r="D230" s="16">
        <v>1107772.602739726</v>
      </c>
      <c r="E230" s="19">
        <v>2025</v>
      </c>
      <c r="F230" s="17">
        <f t="shared" si="3"/>
        <v>404.33699999999999</v>
      </c>
      <c r="G230" s="17">
        <v>52.006736954570073</v>
      </c>
      <c r="H230" s="17">
        <v>24.779671412707714</v>
      </c>
      <c r="I230" s="17">
        <v>2.2807707432166735</v>
      </c>
      <c r="J230" s="17">
        <v>31.422912075817944</v>
      </c>
      <c r="K230" s="17">
        <v>1.0442873147893958</v>
      </c>
      <c r="L230" s="16" t="s">
        <v>46</v>
      </c>
      <c r="M230" s="19" t="s">
        <v>46</v>
      </c>
      <c r="N230" s="16" t="s">
        <v>46</v>
      </c>
      <c r="O230" s="16" t="s">
        <v>46</v>
      </c>
      <c r="P230" s="17">
        <v>1798.5189336892099</v>
      </c>
      <c r="Q230" s="19">
        <v>2025</v>
      </c>
      <c r="R230" s="17">
        <v>1.3503978507663099</v>
      </c>
      <c r="S230" s="19">
        <v>2025</v>
      </c>
      <c r="T230" s="17">
        <v>2.87403791660173</v>
      </c>
      <c r="U230" s="19">
        <v>2025</v>
      </c>
      <c r="V230" s="18" t="s">
        <v>46</v>
      </c>
      <c r="W230" s="18" t="s">
        <v>46</v>
      </c>
      <c r="X230" s="18" t="s">
        <v>46</v>
      </c>
      <c r="Y230" s="18" t="s">
        <v>46</v>
      </c>
      <c r="Z230" s="18" t="s">
        <v>46</v>
      </c>
      <c r="AA230" s="15" t="s">
        <v>100</v>
      </c>
      <c r="AB230" s="15" t="s">
        <v>101</v>
      </c>
      <c r="AC230" s="15" t="s">
        <v>1381</v>
      </c>
      <c r="AD230" s="15" t="s">
        <v>1109</v>
      </c>
      <c r="AE230" s="15" t="s">
        <v>104</v>
      </c>
      <c r="AF230" s="15" t="s">
        <v>52</v>
      </c>
      <c r="AG230" s="15" t="s">
        <v>106</v>
      </c>
      <c r="AH230" s="15" t="s">
        <v>1111</v>
      </c>
      <c r="AI230" s="15" t="s">
        <v>1112</v>
      </c>
      <c r="AJ230" s="8">
        <f>'Сводка НПЗ'!D230</f>
        <v>0</v>
      </c>
      <c r="AK230" s="8" t="str">
        <f>IF('Сводка НПЗ'!F230&gt;0,'Сводка НПЗ'!E230,"")</f>
        <v/>
      </c>
      <c r="AL230" s="8">
        <f>'Сводка НПЗ'!G230</f>
        <v>0</v>
      </c>
      <c r="AM230" s="6" t="s">
        <v>56</v>
      </c>
      <c r="AN230" s="12" t="s">
        <v>83</v>
      </c>
      <c r="AO230" s="20">
        <v>2025</v>
      </c>
      <c r="AP230" s="20"/>
      <c r="AQ230" s="20"/>
      <c r="AR230" s="6" t="s">
        <v>58</v>
      </c>
    </row>
    <row r="231" spans="1:44" ht="42" customHeight="1" x14ac:dyDescent="0.2">
      <c r="A231" s="15">
        <v>230</v>
      </c>
      <c r="B231" s="15" t="s">
        <v>1382</v>
      </c>
      <c r="C231" s="15" t="s">
        <v>1383</v>
      </c>
      <c r="D231" s="16" t="s">
        <v>46</v>
      </c>
      <c r="E231" s="19" t="s">
        <v>46</v>
      </c>
      <c r="F231" s="17" t="str">
        <f t="shared" si="3"/>
        <v>н/д</v>
      </c>
      <c r="G231" s="17" t="s">
        <v>46</v>
      </c>
      <c r="H231" s="17" t="s">
        <v>46</v>
      </c>
      <c r="I231" s="17" t="s">
        <v>46</v>
      </c>
      <c r="J231" s="17" t="s">
        <v>46</v>
      </c>
      <c r="K231" s="17" t="s">
        <v>46</v>
      </c>
      <c r="L231" s="16" t="s">
        <v>46</v>
      </c>
      <c r="M231" s="19" t="s">
        <v>46</v>
      </c>
      <c r="N231" s="16" t="s">
        <v>46</v>
      </c>
      <c r="O231" s="16" t="s">
        <v>46</v>
      </c>
      <c r="P231" s="17" t="s">
        <v>46</v>
      </c>
      <c r="Q231" s="19" t="s">
        <v>46</v>
      </c>
      <c r="R231" s="17" t="s">
        <v>46</v>
      </c>
      <c r="S231" s="19" t="s">
        <v>46</v>
      </c>
      <c r="T231" s="17" t="s">
        <v>46</v>
      </c>
      <c r="U231" s="19" t="s">
        <v>46</v>
      </c>
      <c r="V231" s="18" t="s">
        <v>46</v>
      </c>
      <c r="W231" s="18" t="s">
        <v>46</v>
      </c>
      <c r="X231" s="18" t="s">
        <v>46</v>
      </c>
      <c r="Y231" s="18" t="s">
        <v>46</v>
      </c>
      <c r="Z231" s="18" t="s">
        <v>46</v>
      </c>
      <c r="AA231" s="15" t="s">
        <v>100</v>
      </c>
      <c r="AB231" s="15" t="s">
        <v>101</v>
      </c>
      <c r="AC231" s="15" t="s">
        <v>198</v>
      </c>
      <c r="AD231" s="15" t="s">
        <v>103</v>
      </c>
      <c r="AE231" s="15" t="s">
        <v>104</v>
      </c>
      <c r="AF231" s="15" t="s">
        <v>105</v>
      </c>
      <c r="AG231" s="15" t="s">
        <v>106</v>
      </c>
      <c r="AH231" s="15" t="s">
        <v>1384</v>
      </c>
      <c r="AI231" s="15" t="s">
        <v>1385</v>
      </c>
      <c r="AJ231" s="8">
        <f>'Сводка НПЗ'!D231</f>
        <v>0</v>
      </c>
      <c r="AK231" s="8" t="str">
        <f>IF('Сводка НПЗ'!F231&gt;0,'Сводка НПЗ'!E231,"")</f>
        <v/>
      </c>
      <c r="AL231" s="8">
        <f>'Сводка НПЗ'!G231</f>
        <v>0</v>
      </c>
      <c r="AM231" s="6" t="s">
        <v>56</v>
      </c>
      <c r="AN231" s="12" t="s">
        <v>83</v>
      </c>
      <c r="AO231" s="20"/>
      <c r="AP231" s="20"/>
      <c r="AQ231" s="20"/>
      <c r="AR231" s="6" t="s">
        <v>58</v>
      </c>
    </row>
    <row r="232" spans="1:44" ht="42" customHeight="1" x14ac:dyDescent="0.2">
      <c r="A232" s="15">
        <v>231</v>
      </c>
      <c r="B232" s="15" t="s">
        <v>1386</v>
      </c>
      <c r="C232" s="15" t="s">
        <v>1387</v>
      </c>
      <c r="D232" s="16">
        <v>1482170.465383</v>
      </c>
      <c r="E232" s="19">
        <v>2024</v>
      </c>
      <c r="F232" s="17">
        <f t="shared" si="3"/>
        <v>542.47439033017804</v>
      </c>
      <c r="G232" s="17">
        <v>7.0987222291473664</v>
      </c>
      <c r="H232" s="17">
        <v>1.2332133453540914</v>
      </c>
      <c r="I232" s="17">
        <v>1.6268803463013985</v>
      </c>
      <c r="J232" s="17">
        <v>10.37231523570226</v>
      </c>
      <c r="K232" s="17">
        <v>60.39899583808478</v>
      </c>
      <c r="L232" s="16">
        <v>20538.084232827397</v>
      </c>
      <c r="M232" s="19">
        <v>2025</v>
      </c>
      <c r="N232" s="16">
        <v>0</v>
      </c>
      <c r="O232" s="16">
        <v>0</v>
      </c>
      <c r="P232" s="17">
        <v>603.86951699873805</v>
      </c>
      <c r="Q232" s="19">
        <v>2025</v>
      </c>
      <c r="R232" s="17">
        <v>5.02588199508003</v>
      </c>
      <c r="S232" s="19">
        <v>2025</v>
      </c>
      <c r="T232" s="17">
        <v>0.90299849500267604</v>
      </c>
      <c r="U232" s="19">
        <v>2025</v>
      </c>
      <c r="V232" s="18">
        <v>2.4020000000000001</v>
      </c>
      <c r="W232" s="18">
        <v>2.8079999999999998</v>
      </c>
      <c r="X232" s="18" t="s">
        <v>46</v>
      </c>
      <c r="Y232" s="18" t="s">
        <v>46</v>
      </c>
      <c r="Z232" s="18" t="s">
        <v>46</v>
      </c>
      <c r="AA232" s="15" t="s">
        <v>47</v>
      </c>
      <c r="AB232" s="15" t="s">
        <v>48</v>
      </c>
      <c r="AC232" s="15" t="s">
        <v>605</v>
      </c>
      <c r="AD232" s="15" t="s">
        <v>1388</v>
      </c>
      <c r="AE232" s="15" t="s">
        <v>1389</v>
      </c>
      <c r="AF232" s="15" t="s">
        <v>64</v>
      </c>
      <c r="AG232" s="15" t="s">
        <v>53</v>
      </c>
      <c r="AH232" s="15" t="s">
        <v>1390</v>
      </c>
      <c r="AI232" s="15" t="s">
        <v>1391</v>
      </c>
      <c r="AJ232" s="8">
        <f>'Сводка НПЗ'!D232</f>
        <v>3</v>
      </c>
      <c r="AK232" s="8">
        <f>IF('Сводка НПЗ'!F232&gt;0,'Сводка НПЗ'!E232,"")</f>
        <v>1348000</v>
      </c>
      <c r="AL232" s="8">
        <f>'Сводка НПЗ'!G232</f>
        <v>0</v>
      </c>
      <c r="AM232" s="6" t="s">
        <v>56</v>
      </c>
      <c r="AN232" s="12" t="s">
        <v>57</v>
      </c>
      <c r="AO232" s="20">
        <v>2024</v>
      </c>
      <c r="AP232" s="20">
        <v>2025</v>
      </c>
      <c r="AQ232" s="20">
        <v>2025</v>
      </c>
      <c r="AR232" s="6" t="s">
        <v>58</v>
      </c>
    </row>
    <row r="233" spans="1:44" ht="42" customHeight="1" x14ac:dyDescent="0.2">
      <c r="A233" s="15">
        <v>232</v>
      </c>
      <c r="B233" s="15" t="s">
        <v>1392</v>
      </c>
      <c r="C233" s="15" t="s">
        <v>1393</v>
      </c>
      <c r="D233" s="16" t="s">
        <v>46</v>
      </c>
      <c r="E233" s="19" t="s">
        <v>46</v>
      </c>
      <c r="F233" s="17" t="str">
        <f t="shared" si="3"/>
        <v>н/д</v>
      </c>
      <c r="G233" s="17" t="s">
        <v>46</v>
      </c>
      <c r="H233" s="17" t="s">
        <v>46</v>
      </c>
      <c r="I233" s="17" t="s">
        <v>46</v>
      </c>
      <c r="J233" s="17" t="s">
        <v>46</v>
      </c>
      <c r="K233" s="17" t="s">
        <v>46</v>
      </c>
      <c r="L233" s="16" t="s">
        <v>46</v>
      </c>
      <c r="M233" s="19" t="s">
        <v>46</v>
      </c>
      <c r="N233" s="16" t="s">
        <v>46</v>
      </c>
      <c r="O233" s="16" t="s">
        <v>46</v>
      </c>
      <c r="P233" s="17" t="s">
        <v>46</v>
      </c>
      <c r="Q233" s="19" t="s">
        <v>46</v>
      </c>
      <c r="R233" s="17" t="s">
        <v>46</v>
      </c>
      <c r="S233" s="19" t="s">
        <v>46</v>
      </c>
      <c r="T233" s="17" t="s">
        <v>46</v>
      </c>
      <c r="U233" s="19" t="s">
        <v>46</v>
      </c>
      <c r="V233" s="18" t="s">
        <v>46</v>
      </c>
      <c r="W233" s="18" t="s">
        <v>46</v>
      </c>
      <c r="X233" s="18" t="s">
        <v>46</v>
      </c>
      <c r="Y233" s="18" t="s">
        <v>46</v>
      </c>
      <c r="Z233" s="18" t="s">
        <v>46</v>
      </c>
      <c r="AA233" s="15" t="s">
        <v>100</v>
      </c>
      <c r="AB233" s="15" t="s">
        <v>101</v>
      </c>
      <c r="AC233" s="15" t="s">
        <v>198</v>
      </c>
      <c r="AD233" s="15" t="s">
        <v>103</v>
      </c>
      <c r="AE233" s="15" t="s">
        <v>104</v>
      </c>
      <c r="AF233" s="15" t="s">
        <v>105</v>
      </c>
      <c r="AG233" s="15" t="s">
        <v>106</v>
      </c>
      <c r="AH233" s="15" t="s">
        <v>1394</v>
      </c>
      <c r="AI233" s="15" t="s">
        <v>1395</v>
      </c>
      <c r="AJ233" s="8">
        <f>'Сводка НПЗ'!D233</f>
        <v>0</v>
      </c>
      <c r="AK233" s="8" t="str">
        <f>IF('Сводка НПЗ'!F233&gt;0,'Сводка НПЗ'!E233,"")</f>
        <v/>
      </c>
      <c r="AL233" s="8">
        <f>'Сводка НПЗ'!G233</f>
        <v>0</v>
      </c>
      <c r="AM233" s="6" t="s">
        <v>56</v>
      </c>
      <c r="AN233" s="12" t="s">
        <v>83</v>
      </c>
      <c r="AO233" s="20"/>
      <c r="AP233" s="20"/>
      <c r="AQ233" s="20"/>
      <c r="AR233" s="6" t="s">
        <v>58</v>
      </c>
    </row>
    <row r="234" spans="1:44" ht="42" customHeight="1" x14ac:dyDescent="0.2">
      <c r="A234" s="15">
        <v>233</v>
      </c>
      <c r="B234" s="15" t="s">
        <v>1396</v>
      </c>
      <c r="C234" s="15" t="s">
        <v>1397</v>
      </c>
      <c r="D234" s="16">
        <v>794.96393699999999</v>
      </c>
      <c r="E234" s="19">
        <v>2024</v>
      </c>
      <c r="F234" s="17">
        <f t="shared" si="3"/>
        <v>0.29095680094199999</v>
      </c>
      <c r="G234" s="17">
        <v>40.672887781574929</v>
      </c>
      <c r="H234" s="17">
        <v>20.872145549918198</v>
      </c>
      <c r="I234" s="17">
        <v>0</v>
      </c>
      <c r="J234" s="17">
        <v>27.425924479389309</v>
      </c>
      <c r="K234" s="17">
        <v>11.029042189117568</v>
      </c>
      <c r="L234" s="16">
        <v>0</v>
      </c>
      <c r="M234" s="19">
        <v>2025</v>
      </c>
      <c r="N234" s="16">
        <v>0</v>
      </c>
      <c r="O234" s="16">
        <v>0</v>
      </c>
      <c r="P234" s="17" t="s">
        <v>46</v>
      </c>
      <c r="Q234" s="19" t="s">
        <v>46</v>
      </c>
      <c r="R234" s="17" t="s">
        <v>46</v>
      </c>
      <c r="S234" s="19" t="s">
        <v>46</v>
      </c>
      <c r="T234" s="17" t="s">
        <v>46</v>
      </c>
      <c r="U234" s="19" t="s">
        <v>46</v>
      </c>
      <c r="V234" s="18" t="s">
        <v>46</v>
      </c>
      <c r="W234" s="18" t="s">
        <v>46</v>
      </c>
      <c r="X234" s="18" t="s">
        <v>46</v>
      </c>
      <c r="Y234" s="18" t="s">
        <v>46</v>
      </c>
      <c r="Z234" s="18" t="s">
        <v>46</v>
      </c>
      <c r="AA234" s="15" t="s">
        <v>100</v>
      </c>
      <c r="AB234" s="15" t="s">
        <v>101</v>
      </c>
      <c r="AC234" s="15" t="s">
        <v>421</v>
      </c>
      <c r="AD234" s="15" t="s">
        <v>103</v>
      </c>
      <c r="AE234" s="15" t="s">
        <v>104</v>
      </c>
      <c r="AF234" s="15" t="s">
        <v>64</v>
      </c>
      <c r="AG234" s="15" t="s">
        <v>106</v>
      </c>
      <c r="AH234" s="15" t="s">
        <v>1398</v>
      </c>
      <c r="AI234" s="15" t="s">
        <v>1399</v>
      </c>
      <c r="AJ234" s="8">
        <f>'Сводка НПЗ'!D234</f>
        <v>0</v>
      </c>
      <c r="AK234" s="8" t="str">
        <f>IF('Сводка НПЗ'!F234&gt;0,'Сводка НПЗ'!E234,"")</f>
        <v/>
      </c>
      <c r="AL234" s="8">
        <f>'Сводка НПЗ'!G234</f>
        <v>0</v>
      </c>
      <c r="AM234" s="6" t="s">
        <v>56</v>
      </c>
      <c r="AN234" s="12" t="s">
        <v>83</v>
      </c>
      <c r="AO234" s="20">
        <v>2024</v>
      </c>
      <c r="AP234" s="20">
        <v>2025</v>
      </c>
      <c r="AQ234" s="20">
        <v>2025</v>
      </c>
      <c r="AR234" s="6" t="s">
        <v>58</v>
      </c>
    </row>
    <row r="235" spans="1:44" ht="42" customHeight="1" x14ac:dyDescent="0.2">
      <c r="A235" s="15">
        <v>234</v>
      </c>
      <c r="B235" s="15" t="s">
        <v>1400</v>
      </c>
      <c r="C235" s="15" t="s">
        <v>1401</v>
      </c>
      <c r="D235" s="16">
        <v>1512.7240429999999</v>
      </c>
      <c r="E235" s="19">
        <v>2024</v>
      </c>
      <c r="F235" s="17">
        <f t="shared" si="3"/>
        <v>0.55365699973799998</v>
      </c>
      <c r="G235" s="17">
        <v>39.801666522464338</v>
      </c>
      <c r="H235" s="17">
        <v>32.072296348105311</v>
      </c>
      <c r="I235" s="17">
        <v>5.6545988275800809</v>
      </c>
      <c r="J235" s="17">
        <v>0.32317434383503085</v>
      </c>
      <c r="K235" s="17">
        <v>21.460929275386682</v>
      </c>
      <c r="L235" s="16">
        <v>0</v>
      </c>
      <c r="M235" s="19">
        <v>2025</v>
      </c>
      <c r="N235" s="16">
        <v>0</v>
      </c>
      <c r="O235" s="16">
        <v>0</v>
      </c>
      <c r="P235" s="17">
        <v>0.67921821857801701</v>
      </c>
      <c r="Q235" s="19">
        <v>2025</v>
      </c>
      <c r="R235" s="17">
        <v>2.7999999999999798</v>
      </c>
      <c r="S235" s="19">
        <v>2025</v>
      </c>
      <c r="T235" s="17">
        <v>5.5927664210102703</v>
      </c>
      <c r="U235" s="19">
        <v>2025</v>
      </c>
      <c r="V235" s="18" t="s">
        <v>46</v>
      </c>
      <c r="W235" s="18" t="s">
        <v>46</v>
      </c>
      <c r="X235" s="18" t="s">
        <v>46</v>
      </c>
      <c r="Y235" s="18" t="s">
        <v>46</v>
      </c>
      <c r="Z235" s="18" t="s">
        <v>46</v>
      </c>
      <c r="AA235" s="15" t="s">
        <v>100</v>
      </c>
      <c r="AB235" s="15" t="s">
        <v>101</v>
      </c>
      <c r="AC235" s="15" t="s">
        <v>421</v>
      </c>
      <c r="AD235" s="15" t="s">
        <v>1402</v>
      </c>
      <c r="AE235" s="15" t="s">
        <v>104</v>
      </c>
      <c r="AF235" s="15" t="s">
        <v>64</v>
      </c>
      <c r="AG235" s="15" t="s">
        <v>106</v>
      </c>
      <c r="AH235" s="15" t="s">
        <v>1403</v>
      </c>
      <c r="AI235" s="15" t="s">
        <v>1404</v>
      </c>
      <c r="AJ235" s="8">
        <f>'Сводка НПЗ'!D235</f>
        <v>0</v>
      </c>
      <c r="AK235" s="8" t="str">
        <f>IF('Сводка НПЗ'!F235&gt;0,'Сводка НПЗ'!E235,"")</f>
        <v/>
      </c>
      <c r="AL235" s="8">
        <f>'Сводка НПЗ'!G235</f>
        <v>0</v>
      </c>
      <c r="AM235" s="6" t="s">
        <v>56</v>
      </c>
      <c r="AN235" s="12" t="s">
        <v>83</v>
      </c>
      <c r="AO235" s="20">
        <v>2024</v>
      </c>
      <c r="AP235" s="20">
        <v>2025</v>
      </c>
      <c r="AQ235" s="20">
        <v>2025</v>
      </c>
      <c r="AR235" s="6" t="s">
        <v>58</v>
      </c>
    </row>
    <row r="236" spans="1:44" ht="42" customHeight="1" x14ac:dyDescent="0.2">
      <c r="A236" s="15">
        <v>235</v>
      </c>
      <c r="B236" s="15" t="s">
        <v>1405</v>
      </c>
      <c r="C236" s="15" t="s">
        <v>1406</v>
      </c>
      <c r="D236" s="16" t="s">
        <v>46</v>
      </c>
      <c r="E236" s="19" t="s">
        <v>46</v>
      </c>
      <c r="F236" s="17" t="str">
        <f t="shared" si="3"/>
        <v>н/д</v>
      </c>
      <c r="G236" s="17" t="s">
        <v>46</v>
      </c>
      <c r="H236" s="17" t="s">
        <v>46</v>
      </c>
      <c r="I236" s="17" t="s">
        <v>46</v>
      </c>
      <c r="J236" s="17" t="s">
        <v>46</v>
      </c>
      <c r="K236" s="17" t="s">
        <v>46</v>
      </c>
      <c r="L236" s="16" t="s">
        <v>46</v>
      </c>
      <c r="M236" s="19" t="s">
        <v>46</v>
      </c>
      <c r="N236" s="16" t="s">
        <v>46</v>
      </c>
      <c r="O236" s="16" t="s">
        <v>46</v>
      </c>
      <c r="P236" s="17" t="s">
        <v>46</v>
      </c>
      <c r="Q236" s="19" t="s">
        <v>46</v>
      </c>
      <c r="R236" s="17" t="s">
        <v>46</v>
      </c>
      <c r="S236" s="19" t="s">
        <v>46</v>
      </c>
      <c r="T236" s="17" t="s">
        <v>46</v>
      </c>
      <c r="U236" s="19" t="s">
        <v>46</v>
      </c>
      <c r="V236" s="18">
        <v>2.17</v>
      </c>
      <c r="W236" s="18">
        <v>2.2149999999999999</v>
      </c>
      <c r="X236" s="18" t="s">
        <v>46</v>
      </c>
      <c r="Y236" s="18" t="s">
        <v>46</v>
      </c>
      <c r="Z236" s="18" t="s">
        <v>46</v>
      </c>
      <c r="AA236" s="15" t="s">
        <v>47</v>
      </c>
      <c r="AB236" s="15" t="s">
        <v>48</v>
      </c>
      <c r="AC236" s="15" t="s">
        <v>198</v>
      </c>
      <c r="AD236" s="15" t="s">
        <v>103</v>
      </c>
      <c r="AE236" s="15" t="s">
        <v>1407</v>
      </c>
      <c r="AF236" s="15" t="s">
        <v>105</v>
      </c>
      <c r="AG236" s="15" t="s">
        <v>53</v>
      </c>
      <c r="AH236" s="15" t="s">
        <v>1408</v>
      </c>
      <c r="AI236" s="15" t="s">
        <v>1409</v>
      </c>
      <c r="AJ236" s="8">
        <f>'Сводка НПЗ'!D236</f>
        <v>0</v>
      </c>
      <c r="AK236" s="8" t="str">
        <f>IF('Сводка НПЗ'!F236&gt;0,'Сводка НПЗ'!E236,"")</f>
        <v/>
      </c>
      <c r="AL236" s="8">
        <f>'Сводка НПЗ'!G236</f>
        <v>0</v>
      </c>
      <c r="AM236" s="6" t="s">
        <v>56</v>
      </c>
      <c r="AN236" s="12" t="s">
        <v>83</v>
      </c>
      <c r="AO236" s="20"/>
      <c r="AP236" s="20"/>
      <c r="AQ236" s="20"/>
      <c r="AR236" s="6" t="s">
        <v>58</v>
      </c>
    </row>
    <row r="237" spans="1:44" ht="42" customHeight="1" x14ac:dyDescent="0.2">
      <c r="A237" s="15">
        <v>236</v>
      </c>
      <c r="B237" s="15" t="s">
        <v>1410</v>
      </c>
      <c r="C237" s="15" t="s">
        <v>1411</v>
      </c>
      <c r="D237" s="16">
        <v>2308.172556</v>
      </c>
      <c r="E237" s="19">
        <v>2024</v>
      </c>
      <c r="F237" s="17">
        <f t="shared" si="3"/>
        <v>0.84479115549599992</v>
      </c>
      <c r="G237" s="17">
        <v>44.038978687172289</v>
      </c>
      <c r="H237" s="17">
        <v>31.043944012650325</v>
      </c>
      <c r="I237" s="17">
        <v>4.2358048034949425</v>
      </c>
      <c r="J237" s="17">
        <v>18.125183358258418</v>
      </c>
      <c r="K237" s="17">
        <v>0</v>
      </c>
      <c r="L237" s="16">
        <v>0</v>
      </c>
      <c r="M237" s="19">
        <v>2025</v>
      </c>
      <c r="N237" s="16">
        <v>0</v>
      </c>
      <c r="O237" s="16">
        <v>0</v>
      </c>
      <c r="P237" s="17">
        <v>1.2879366216461898</v>
      </c>
      <c r="Q237" s="19">
        <v>2025</v>
      </c>
      <c r="R237" s="17">
        <v>4.2044065900622503</v>
      </c>
      <c r="S237" s="19">
        <v>2025</v>
      </c>
      <c r="T237" s="17">
        <v>2.2119620764675001</v>
      </c>
      <c r="U237" s="19">
        <v>2025</v>
      </c>
      <c r="V237" s="18" t="s">
        <v>46</v>
      </c>
      <c r="W237" s="18" t="s">
        <v>46</v>
      </c>
      <c r="X237" s="18" t="s">
        <v>46</v>
      </c>
      <c r="Y237" s="18" t="s">
        <v>46</v>
      </c>
      <c r="Z237" s="18" t="s">
        <v>46</v>
      </c>
      <c r="AA237" s="15" t="s">
        <v>100</v>
      </c>
      <c r="AB237" s="15" t="s">
        <v>101</v>
      </c>
      <c r="AC237" s="15" t="s">
        <v>421</v>
      </c>
      <c r="AD237" s="15" t="s">
        <v>1412</v>
      </c>
      <c r="AE237" s="15" t="s">
        <v>104</v>
      </c>
      <c r="AF237" s="15" t="s">
        <v>64</v>
      </c>
      <c r="AG237" s="15" t="s">
        <v>106</v>
      </c>
      <c r="AH237" s="15" t="s">
        <v>1413</v>
      </c>
      <c r="AI237" s="15" t="s">
        <v>1414</v>
      </c>
      <c r="AJ237" s="8">
        <f>'Сводка НПЗ'!D237</f>
        <v>0</v>
      </c>
      <c r="AK237" s="8" t="str">
        <f>IF('Сводка НПЗ'!F237&gt;0,'Сводка НПЗ'!E237,"")</f>
        <v/>
      </c>
      <c r="AL237" s="8">
        <f>'Сводка НПЗ'!G237</f>
        <v>0</v>
      </c>
      <c r="AM237" s="6" t="s">
        <v>56</v>
      </c>
      <c r="AN237" s="12" t="s">
        <v>83</v>
      </c>
      <c r="AO237" s="20">
        <v>2024</v>
      </c>
      <c r="AP237" s="20">
        <v>2025</v>
      </c>
      <c r="AQ237" s="20">
        <v>2025</v>
      </c>
      <c r="AR237" s="6" t="s">
        <v>58</v>
      </c>
    </row>
    <row r="238" spans="1:44" ht="42" customHeight="1" x14ac:dyDescent="0.2">
      <c r="A238" s="15">
        <v>237</v>
      </c>
      <c r="B238" s="15" t="s">
        <v>1415</v>
      </c>
      <c r="C238" s="15" t="s">
        <v>1416</v>
      </c>
      <c r="D238" s="16">
        <v>2189.4907639999997</v>
      </c>
      <c r="E238" s="19">
        <v>2024</v>
      </c>
      <c r="F238" s="17">
        <f t="shared" si="3"/>
        <v>0.80135361962399998</v>
      </c>
      <c r="G238" s="17">
        <v>69.243262357054647</v>
      </c>
      <c r="H238" s="17">
        <v>24.59476759866341</v>
      </c>
      <c r="I238" s="17">
        <v>0.43679115515099753</v>
      </c>
      <c r="J238" s="17">
        <v>2.6101338694662797</v>
      </c>
      <c r="K238" s="17">
        <v>0</v>
      </c>
      <c r="L238" s="16">
        <v>0</v>
      </c>
      <c r="M238" s="19">
        <v>2025</v>
      </c>
      <c r="N238" s="16">
        <v>0</v>
      </c>
      <c r="O238" s="16">
        <v>0</v>
      </c>
      <c r="P238" s="17">
        <v>1.74957244295016</v>
      </c>
      <c r="Q238" s="19">
        <v>2025</v>
      </c>
      <c r="R238" s="17">
        <v>3.6171508807238602</v>
      </c>
      <c r="S238" s="19">
        <v>2025</v>
      </c>
      <c r="T238" s="17">
        <v>3.3646218931782501</v>
      </c>
      <c r="U238" s="19">
        <v>2025</v>
      </c>
      <c r="V238" s="18" t="s">
        <v>46</v>
      </c>
      <c r="W238" s="18" t="s">
        <v>46</v>
      </c>
      <c r="X238" s="18" t="s">
        <v>46</v>
      </c>
      <c r="Y238" s="18" t="s">
        <v>46</v>
      </c>
      <c r="Z238" s="18" t="s">
        <v>46</v>
      </c>
      <c r="AA238" s="15" t="s">
        <v>100</v>
      </c>
      <c r="AB238" s="15" t="s">
        <v>101</v>
      </c>
      <c r="AC238" s="15" t="s">
        <v>421</v>
      </c>
      <c r="AD238" s="15" t="s">
        <v>1417</v>
      </c>
      <c r="AE238" s="15" t="s">
        <v>104</v>
      </c>
      <c r="AF238" s="15" t="s">
        <v>64</v>
      </c>
      <c r="AG238" s="15" t="s">
        <v>106</v>
      </c>
      <c r="AH238" s="15" t="s">
        <v>1418</v>
      </c>
      <c r="AI238" s="15" t="s">
        <v>1419</v>
      </c>
      <c r="AJ238" s="8">
        <f>'Сводка НПЗ'!D238</f>
        <v>0</v>
      </c>
      <c r="AK238" s="8" t="str">
        <f>IF('Сводка НПЗ'!F238&gt;0,'Сводка НПЗ'!E238,"")</f>
        <v/>
      </c>
      <c r="AL238" s="8">
        <f>'Сводка НПЗ'!G238</f>
        <v>0</v>
      </c>
      <c r="AM238" s="6" t="s">
        <v>56</v>
      </c>
      <c r="AN238" s="12" t="s">
        <v>83</v>
      </c>
      <c r="AO238" s="20">
        <v>2024</v>
      </c>
      <c r="AP238" s="20">
        <v>2025</v>
      </c>
      <c r="AQ238" s="20">
        <v>2025</v>
      </c>
      <c r="AR238" s="6" t="s">
        <v>58</v>
      </c>
    </row>
    <row r="239" spans="1:44" ht="42" customHeight="1" x14ac:dyDescent="0.2">
      <c r="A239" s="15">
        <v>238</v>
      </c>
      <c r="B239" s="15" t="s">
        <v>1420</v>
      </c>
      <c r="C239" s="15" t="s">
        <v>1421</v>
      </c>
      <c r="D239" s="16" t="s">
        <v>46</v>
      </c>
      <c r="E239" s="19" t="s">
        <v>46</v>
      </c>
      <c r="F239" s="17" t="str">
        <f t="shared" si="3"/>
        <v>н/д</v>
      </c>
      <c r="G239" s="17" t="s">
        <v>46</v>
      </c>
      <c r="H239" s="17" t="s">
        <v>46</v>
      </c>
      <c r="I239" s="17" t="s">
        <v>46</v>
      </c>
      <c r="J239" s="17" t="s">
        <v>46</v>
      </c>
      <c r="K239" s="17" t="s">
        <v>46</v>
      </c>
      <c r="L239" s="16" t="s">
        <v>46</v>
      </c>
      <c r="M239" s="19" t="s">
        <v>46</v>
      </c>
      <c r="N239" s="16" t="s">
        <v>46</v>
      </c>
      <c r="O239" s="16" t="s">
        <v>46</v>
      </c>
      <c r="P239" s="17">
        <v>5.7345434723498394E-2</v>
      </c>
      <c r="Q239" s="19">
        <v>2025</v>
      </c>
      <c r="R239" s="17">
        <v>1.63934426229508</v>
      </c>
      <c r="S239" s="19">
        <v>2025</v>
      </c>
      <c r="T239" s="17" t="s">
        <v>46</v>
      </c>
      <c r="U239" s="19" t="s">
        <v>46</v>
      </c>
      <c r="V239" s="18" t="s">
        <v>46</v>
      </c>
      <c r="W239" s="18" t="s">
        <v>46</v>
      </c>
      <c r="X239" s="18" t="s">
        <v>46</v>
      </c>
      <c r="Y239" s="18" t="s">
        <v>46</v>
      </c>
      <c r="Z239" s="18" t="s">
        <v>46</v>
      </c>
      <c r="AA239" s="15" t="s">
        <v>100</v>
      </c>
      <c r="AB239" s="15" t="s">
        <v>101</v>
      </c>
      <c r="AC239" s="15" t="s">
        <v>198</v>
      </c>
      <c r="AD239" s="15" t="s">
        <v>1422</v>
      </c>
      <c r="AE239" s="15" t="s">
        <v>104</v>
      </c>
      <c r="AF239" s="15" t="s">
        <v>105</v>
      </c>
      <c r="AG239" s="15" t="s">
        <v>106</v>
      </c>
      <c r="AH239" s="15" t="s">
        <v>1423</v>
      </c>
      <c r="AI239" s="15" t="s">
        <v>1424</v>
      </c>
      <c r="AJ239" s="8">
        <f>'Сводка НПЗ'!D239</f>
        <v>0</v>
      </c>
      <c r="AK239" s="8" t="str">
        <f>IF('Сводка НПЗ'!F239&gt;0,'Сводка НПЗ'!E239,"")</f>
        <v/>
      </c>
      <c r="AL239" s="8">
        <f>'Сводка НПЗ'!G239</f>
        <v>0</v>
      </c>
      <c r="AM239" s="6" t="s">
        <v>56</v>
      </c>
      <c r="AN239" s="12" t="s">
        <v>83</v>
      </c>
      <c r="AO239" s="20"/>
      <c r="AP239" s="20"/>
      <c r="AQ239" s="20"/>
      <c r="AR239" s="6" t="s">
        <v>58</v>
      </c>
    </row>
    <row r="240" spans="1:44" ht="42" customHeight="1" x14ac:dyDescent="0.2">
      <c r="A240" s="15">
        <v>239</v>
      </c>
      <c r="B240" s="15" t="s">
        <v>1425</v>
      </c>
      <c r="C240" s="15" t="s">
        <v>1426</v>
      </c>
      <c r="D240" s="16">
        <v>12786.506115</v>
      </c>
      <c r="E240" s="19">
        <v>2024</v>
      </c>
      <c r="F240" s="17">
        <f t="shared" si="3"/>
        <v>4.67986123809</v>
      </c>
      <c r="G240" s="17">
        <v>66.168997081029417</v>
      </c>
      <c r="H240" s="17">
        <v>19.59950717936993</v>
      </c>
      <c r="I240" s="17">
        <v>4.6165378148728164</v>
      </c>
      <c r="J240" s="17">
        <v>9.1714660240476498</v>
      </c>
      <c r="K240" s="17">
        <v>0.21965711154708192</v>
      </c>
      <c r="L240" s="16">
        <v>0</v>
      </c>
      <c r="M240" s="19">
        <v>2025</v>
      </c>
      <c r="N240" s="16">
        <v>0</v>
      </c>
      <c r="O240" s="16">
        <v>0</v>
      </c>
      <c r="P240" s="17">
        <v>7.7410668606337003</v>
      </c>
      <c r="Q240" s="19">
        <v>2025</v>
      </c>
      <c r="R240" s="17">
        <v>6.3109233500308104</v>
      </c>
      <c r="S240" s="19">
        <v>2025</v>
      </c>
      <c r="T240" s="17">
        <v>4.0057849411875202</v>
      </c>
      <c r="U240" s="19">
        <v>2025</v>
      </c>
      <c r="V240" s="18">
        <v>1.0389999999999999</v>
      </c>
      <c r="W240" s="18">
        <v>1.1379999999999999</v>
      </c>
      <c r="X240" s="18" t="s">
        <v>46</v>
      </c>
      <c r="Y240" s="18" t="s">
        <v>46</v>
      </c>
      <c r="Z240" s="18" t="s">
        <v>46</v>
      </c>
      <c r="AA240" s="15" t="s">
        <v>47</v>
      </c>
      <c r="AB240" s="15" t="s">
        <v>48</v>
      </c>
      <c r="AC240" s="15" t="s">
        <v>605</v>
      </c>
      <c r="AD240" s="15" t="s">
        <v>1427</v>
      </c>
      <c r="AE240" s="15" t="s">
        <v>1428</v>
      </c>
      <c r="AF240" s="15" t="s">
        <v>64</v>
      </c>
      <c r="AG240" s="15" t="s">
        <v>53</v>
      </c>
      <c r="AH240" s="15" t="s">
        <v>1429</v>
      </c>
      <c r="AI240" s="15" t="s">
        <v>1430</v>
      </c>
      <c r="AJ240" s="8">
        <f>'Сводка НПЗ'!D240</f>
        <v>0</v>
      </c>
      <c r="AK240" s="8" t="str">
        <f>IF('Сводка НПЗ'!F240&gt;0,'Сводка НПЗ'!E240,"")</f>
        <v/>
      </c>
      <c r="AL240" s="8">
        <f>'Сводка НПЗ'!G240</f>
        <v>0</v>
      </c>
      <c r="AM240" s="6" t="s">
        <v>56</v>
      </c>
      <c r="AN240" s="12" t="s">
        <v>83</v>
      </c>
      <c r="AO240" s="20">
        <v>2024</v>
      </c>
      <c r="AP240" s="20">
        <v>2025</v>
      </c>
      <c r="AQ240" s="20">
        <v>2025</v>
      </c>
      <c r="AR240" s="6" t="s">
        <v>58</v>
      </c>
    </row>
    <row r="241" spans="1:44" ht="42" customHeight="1" x14ac:dyDescent="0.2">
      <c r="A241" s="15">
        <v>240</v>
      </c>
      <c r="B241" s="15" t="s">
        <v>1431</v>
      </c>
      <c r="C241" s="15" t="s">
        <v>1432</v>
      </c>
      <c r="D241" s="16">
        <v>602.30978500000003</v>
      </c>
      <c r="E241" s="19">
        <v>2024</v>
      </c>
      <c r="F241" s="17">
        <f t="shared" si="3"/>
        <v>0.22044538131000002</v>
      </c>
      <c r="G241" s="17">
        <v>43.378950916429162</v>
      </c>
      <c r="H241" s="17">
        <v>13.052859335499589</v>
      </c>
      <c r="I241" s="17">
        <v>8.875283339452969E-2</v>
      </c>
      <c r="J241" s="17">
        <v>14.157175779569975</v>
      </c>
      <c r="K241" s="17">
        <v>29.215145491949794</v>
      </c>
      <c r="L241" s="16">
        <v>0</v>
      </c>
      <c r="M241" s="19">
        <v>2025</v>
      </c>
      <c r="N241" s="16">
        <v>0</v>
      </c>
      <c r="O241" s="16">
        <v>0</v>
      </c>
      <c r="P241" s="17">
        <v>0.17604004393234599</v>
      </c>
      <c r="Q241" s="19">
        <v>2025</v>
      </c>
      <c r="R241" s="17">
        <v>2.1428571428565601</v>
      </c>
      <c r="S241" s="19">
        <v>2025</v>
      </c>
      <c r="T241" s="17" t="s">
        <v>46</v>
      </c>
      <c r="U241" s="19" t="s">
        <v>46</v>
      </c>
      <c r="V241" s="18" t="s">
        <v>46</v>
      </c>
      <c r="W241" s="18" t="s">
        <v>46</v>
      </c>
      <c r="X241" s="18" t="s">
        <v>46</v>
      </c>
      <c r="Y241" s="18" t="s">
        <v>46</v>
      </c>
      <c r="Z241" s="18" t="s">
        <v>46</v>
      </c>
      <c r="AA241" s="15" t="s">
        <v>100</v>
      </c>
      <c r="AB241" s="15" t="s">
        <v>101</v>
      </c>
      <c r="AC241" s="15" t="s">
        <v>421</v>
      </c>
      <c r="AD241" s="15" t="s">
        <v>1433</v>
      </c>
      <c r="AE241" s="15" t="s">
        <v>104</v>
      </c>
      <c r="AF241" s="15" t="s">
        <v>64</v>
      </c>
      <c r="AG241" s="15" t="s">
        <v>106</v>
      </c>
      <c r="AH241" s="15" t="s">
        <v>1434</v>
      </c>
      <c r="AI241" s="15" t="s">
        <v>1435</v>
      </c>
      <c r="AJ241" s="8">
        <f>'Сводка НПЗ'!D241</f>
        <v>0</v>
      </c>
      <c r="AK241" s="8" t="str">
        <f>IF('Сводка НПЗ'!F241&gt;0,'Сводка НПЗ'!E241,"")</f>
        <v/>
      </c>
      <c r="AL241" s="8">
        <f>'Сводка НПЗ'!G241</f>
        <v>0</v>
      </c>
      <c r="AM241" s="6" t="s">
        <v>56</v>
      </c>
      <c r="AN241" s="12" t="s">
        <v>83</v>
      </c>
      <c r="AO241" s="20">
        <v>2024</v>
      </c>
      <c r="AP241" s="20">
        <v>2025</v>
      </c>
      <c r="AQ241" s="20">
        <v>2025</v>
      </c>
      <c r="AR241" s="6" t="s">
        <v>58</v>
      </c>
    </row>
    <row r="242" spans="1:44" ht="42" customHeight="1" x14ac:dyDescent="0.2">
      <c r="A242" s="15">
        <v>241</v>
      </c>
      <c r="B242" s="15" t="s">
        <v>1436</v>
      </c>
      <c r="C242" s="15" t="s">
        <v>1437</v>
      </c>
      <c r="D242" s="16">
        <v>1174.9969619999999</v>
      </c>
      <c r="E242" s="19">
        <v>2024</v>
      </c>
      <c r="F242" s="17">
        <f t="shared" si="3"/>
        <v>0.43004888809199998</v>
      </c>
      <c r="G242" s="17">
        <v>48.007167868745519</v>
      </c>
      <c r="H242" s="17">
        <v>37.193415824338103</v>
      </c>
      <c r="I242" s="17">
        <v>0</v>
      </c>
      <c r="J242" s="17">
        <v>14.331352969064104</v>
      </c>
      <c r="K242" s="17">
        <v>0</v>
      </c>
      <c r="L242" s="16" t="s">
        <v>46</v>
      </c>
      <c r="M242" s="19" t="s">
        <v>46</v>
      </c>
      <c r="N242" s="16" t="s">
        <v>46</v>
      </c>
      <c r="O242" s="16" t="s">
        <v>46</v>
      </c>
      <c r="P242" s="17">
        <v>0.50179759999999995</v>
      </c>
      <c r="Q242" s="19">
        <v>2025</v>
      </c>
      <c r="R242" s="17">
        <v>1.0626071425539001</v>
      </c>
      <c r="S242" s="19">
        <v>2025</v>
      </c>
      <c r="T242" s="17" t="s">
        <v>46</v>
      </c>
      <c r="U242" s="19" t="s">
        <v>46</v>
      </c>
      <c r="V242" s="18" t="s">
        <v>46</v>
      </c>
      <c r="W242" s="18" t="s">
        <v>46</v>
      </c>
      <c r="X242" s="18" t="s">
        <v>46</v>
      </c>
      <c r="Y242" s="18" t="s">
        <v>46</v>
      </c>
      <c r="Z242" s="18" t="s">
        <v>46</v>
      </c>
      <c r="AA242" s="15" t="s">
        <v>100</v>
      </c>
      <c r="AB242" s="15" t="s">
        <v>101</v>
      </c>
      <c r="AC242" s="15" t="s">
        <v>480</v>
      </c>
      <c r="AD242" s="15" t="s">
        <v>1438</v>
      </c>
      <c r="AE242" s="15" t="s">
        <v>104</v>
      </c>
      <c r="AF242" s="15" t="s">
        <v>64</v>
      </c>
      <c r="AG242" s="15" t="s">
        <v>106</v>
      </c>
      <c r="AH242" s="15" t="s">
        <v>1439</v>
      </c>
      <c r="AI242" s="15" t="s">
        <v>1440</v>
      </c>
      <c r="AJ242" s="8">
        <f>'Сводка НПЗ'!D242</f>
        <v>0</v>
      </c>
      <c r="AK242" s="8" t="str">
        <f>IF('Сводка НПЗ'!F242&gt;0,'Сводка НПЗ'!E242,"")</f>
        <v/>
      </c>
      <c r="AL242" s="8">
        <f>'Сводка НПЗ'!G242</f>
        <v>0</v>
      </c>
      <c r="AM242" s="6" t="s">
        <v>56</v>
      </c>
      <c r="AN242" s="12" t="s">
        <v>83</v>
      </c>
      <c r="AO242" s="20">
        <v>2024</v>
      </c>
      <c r="AP242" s="20"/>
      <c r="AQ242" s="20"/>
      <c r="AR242" s="6" t="s">
        <v>58</v>
      </c>
    </row>
    <row r="243" spans="1:44" ht="42" customHeight="1" x14ac:dyDescent="0.2">
      <c r="A243" s="15">
        <v>242</v>
      </c>
      <c r="B243" s="15" t="s">
        <v>1441</v>
      </c>
      <c r="C243" s="15" t="s">
        <v>1442</v>
      </c>
      <c r="D243" s="16" t="s">
        <v>46</v>
      </c>
      <c r="E243" s="19" t="s">
        <v>46</v>
      </c>
      <c r="F243" s="17" t="str">
        <f t="shared" si="3"/>
        <v>н/д</v>
      </c>
      <c r="G243" s="17" t="s">
        <v>46</v>
      </c>
      <c r="H243" s="17" t="s">
        <v>46</v>
      </c>
      <c r="I243" s="17" t="s">
        <v>46</v>
      </c>
      <c r="J243" s="17" t="s">
        <v>46</v>
      </c>
      <c r="K243" s="17" t="s">
        <v>46</v>
      </c>
      <c r="L243" s="16" t="s">
        <v>46</v>
      </c>
      <c r="M243" s="19" t="s">
        <v>46</v>
      </c>
      <c r="N243" s="16" t="s">
        <v>46</v>
      </c>
      <c r="O243" s="16" t="s">
        <v>46</v>
      </c>
      <c r="P243" s="17" t="s">
        <v>46</v>
      </c>
      <c r="Q243" s="19" t="s">
        <v>46</v>
      </c>
      <c r="R243" s="17" t="s">
        <v>46</v>
      </c>
      <c r="S243" s="19" t="s">
        <v>46</v>
      </c>
      <c r="T243" s="17" t="s">
        <v>46</v>
      </c>
      <c r="U243" s="19" t="s">
        <v>46</v>
      </c>
      <c r="V243" s="18" t="s">
        <v>46</v>
      </c>
      <c r="W243" s="18" t="s">
        <v>46</v>
      </c>
      <c r="X243" s="18" t="s">
        <v>46</v>
      </c>
      <c r="Y243" s="18" t="s">
        <v>46</v>
      </c>
      <c r="Z243" s="18" t="s">
        <v>46</v>
      </c>
      <c r="AA243" s="15" t="s">
        <v>100</v>
      </c>
      <c r="AB243" s="15" t="s">
        <v>101</v>
      </c>
      <c r="AC243" s="15" t="s">
        <v>198</v>
      </c>
      <c r="AD243" s="15" t="s">
        <v>103</v>
      </c>
      <c r="AE243" s="15" t="s">
        <v>104</v>
      </c>
      <c r="AF243" s="15" t="s">
        <v>105</v>
      </c>
      <c r="AG243" s="15" t="s">
        <v>106</v>
      </c>
      <c r="AH243" s="15" t="s">
        <v>1443</v>
      </c>
      <c r="AI243" s="15" t="s">
        <v>1444</v>
      </c>
      <c r="AJ243" s="8">
        <f>'Сводка НПЗ'!D243</f>
        <v>0</v>
      </c>
      <c r="AK243" s="8" t="str">
        <f>IF('Сводка НПЗ'!F243&gt;0,'Сводка НПЗ'!E243,"")</f>
        <v/>
      </c>
      <c r="AL243" s="8">
        <f>'Сводка НПЗ'!G243</f>
        <v>0</v>
      </c>
      <c r="AM243" s="6" t="s">
        <v>56</v>
      </c>
      <c r="AN243" s="12" t="s">
        <v>83</v>
      </c>
      <c r="AO243" s="20"/>
      <c r="AP243" s="20"/>
      <c r="AQ243" s="20"/>
      <c r="AR243" s="6" t="s">
        <v>58</v>
      </c>
    </row>
    <row r="244" spans="1:44" ht="42" customHeight="1" x14ac:dyDescent="0.2">
      <c r="A244" s="15">
        <v>243</v>
      </c>
      <c r="B244" s="15" t="s">
        <v>1445</v>
      </c>
      <c r="C244" s="15" t="s">
        <v>1446</v>
      </c>
      <c r="D244" s="16">
        <v>755.23182499999996</v>
      </c>
      <c r="E244" s="19">
        <v>2024</v>
      </c>
      <c r="F244" s="17">
        <f t="shared" si="3"/>
        <v>0.27641484794999999</v>
      </c>
      <c r="G244" s="17">
        <v>32.104768360364055</v>
      </c>
      <c r="H244" s="17">
        <v>0.41550142567151488</v>
      </c>
      <c r="I244" s="17">
        <v>0.32139972385300364</v>
      </c>
      <c r="J244" s="17">
        <v>10.438286813456255</v>
      </c>
      <c r="K244" s="17">
        <v>55.953617420717137</v>
      </c>
      <c r="L244" s="16">
        <v>0</v>
      </c>
      <c r="M244" s="19">
        <v>2025</v>
      </c>
      <c r="N244" s="16">
        <v>0</v>
      </c>
      <c r="O244" s="16">
        <v>0</v>
      </c>
      <c r="P244" s="17" t="s">
        <v>46</v>
      </c>
      <c r="Q244" s="19" t="s">
        <v>46</v>
      </c>
      <c r="R244" s="17" t="s">
        <v>46</v>
      </c>
      <c r="S244" s="19" t="s">
        <v>46</v>
      </c>
      <c r="T244" s="17" t="s">
        <v>46</v>
      </c>
      <c r="U244" s="19" t="s">
        <v>46</v>
      </c>
      <c r="V244" s="18" t="s">
        <v>46</v>
      </c>
      <c r="W244" s="18" t="s">
        <v>46</v>
      </c>
      <c r="X244" s="18" t="s">
        <v>46</v>
      </c>
      <c r="Y244" s="18" t="s">
        <v>46</v>
      </c>
      <c r="Z244" s="18" t="s">
        <v>46</v>
      </c>
      <c r="AA244" s="15" t="s">
        <v>100</v>
      </c>
      <c r="AB244" s="15" t="s">
        <v>101</v>
      </c>
      <c r="AC244" s="15" t="s">
        <v>421</v>
      </c>
      <c r="AD244" s="15" t="s">
        <v>103</v>
      </c>
      <c r="AE244" s="15" t="s">
        <v>104</v>
      </c>
      <c r="AF244" s="15" t="s">
        <v>64</v>
      </c>
      <c r="AG244" s="15" t="s">
        <v>106</v>
      </c>
      <c r="AH244" s="15" t="s">
        <v>1447</v>
      </c>
      <c r="AI244" s="15" t="s">
        <v>1448</v>
      </c>
      <c r="AJ244" s="8">
        <f>'Сводка НПЗ'!D244</f>
        <v>0</v>
      </c>
      <c r="AK244" s="8" t="str">
        <f>IF('Сводка НПЗ'!F244&gt;0,'Сводка НПЗ'!E244,"")</f>
        <v/>
      </c>
      <c r="AL244" s="8">
        <f>'Сводка НПЗ'!G244</f>
        <v>0</v>
      </c>
      <c r="AM244" s="6" t="s">
        <v>56</v>
      </c>
      <c r="AN244" s="12" t="s">
        <v>83</v>
      </c>
      <c r="AO244" s="20">
        <v>2024</v>
      </c>
      <c r="AP244" s="20">
        <v>2025</v>
      </c>
      <c r="AQ244" s="20">
        <v>2025</v>
      </c>
      <c r="AR244" s="6" t="s">
        <v>58</v>
      </c>
    </row>
    <row r="245" spans="1:44" ht="42" customHeight="1" x14ac:dyDescent="0.2">
      <c r="A245" s="15">
        <v>244</v>
      </c>
      <c r="B245" s="15" t="s">
        <v>1449</v>
      </c>
      <c r="C245" s="15" t="s">
        <v>1450</v>
      </c>
      <c r="D245" s="16">
        <v>2193.618336</v>
      </c>
      <c r="E245" s="19">
        <v>2024</v>
      </c>
      <c r="F245" s="17">
        <f t="shared" si="3"/>
        <v>0.80286431097600008</v>
      </c>
      <c r="G245" s="17">
        <v>59.996860228651919</v>
      </c>
      <c r="H245" s="17">
        <v>18.650830788825065</v>
      </c>
      <c r="I245" s="17">
        <v>2.9058382652031223</v>
      </c>
      <c r="J245" s="17">
        <v>12.703088884100211</v>
      </c>
      <c r="K245" s="17">
        <v>5.0050560846515459</v>
      </c>
      <c r="L245" s="16">
        <v>0</v>
      </c>
      <c r="M245" s="19">
        <v>2025</v>
      </c>
      <c r="N245" s="16">
        <v>0</v>
      </c>
      <c r="O245" s="16">
        <v>0</v>
      </c>
      <c r="P245" s="17">
        <v>1.3536588406399299</v>
      </c>
      <c r="Q245" s="19">
        <v>2025</v>
      </c>
      <c r="R245" s="17">
        <v>3.0535782402648302</v>
      </c>
      <c r="S245" s="19">
        <v>2025</v>
      </c>
      <c r="T245" s="17">
        <v>0.65645514223190504</v>
      </c>
      <c r="U245" s="19">
        <v>2025</v>
      </c>
      <c r="V245" s="18" t="s">
        <v>46</v>
      </c>
      <c r="W245" s="18" t="s">
        <v>46</v>
      </c>
      <c r="X245" s="18" t="s">
        <v>46</v>
      </c>
      <c r="Y245" s="18" t="s">
        <v>46</v>
      </c>
      <c r="Z245" s="18" t="s">
        <v>46</v>
      </c>
      <c r="AA245" s="15" t="s">
        <v>100</v>
      </c>
      <c r="AB245" s="15" t="s">
        <v>101</v>
      </c>
      <c r="AC245" s="15" t="s">
        <v>421</v>
      </c>
      <c r="AD245" s="15" t="s">
        <v>1451</v>
      </c>
      <c r="AE245" s="15" t="s">
        <v>104</v>
      </c>
      <c r="AF245" s="15" t="s">
        <v>64</v>
      </c>
      <c r="AG245" s="15" t="s">
        <v>106</v>
      </c>
      <c r="AH245" s="15" t="s">
        <v>1452</v>
      </c>
      <c r="AI245" s="15" t="s">
        <v>1453</v>
      </c>
      <c r="AJ245" s="8">
        <f>'Сводка НПЗ'!D245</f>
        <v>0</v>
      </c>
      <c r="AK245" s="8" t="str">
        <f>IF('Сводка НПЗ'!F245&gt;0,'Сводка НПЗ'!E245,"")</f>
        <v/>
      </c>
      <c r="AL245" s="8">
        <f>'Сводка НПЗ'!G245</f>
        <v>0</v>
      </c>
      <c r="AM245" s="6" t="s">
        <v>56</v>
      </c>
      <c r="AN245" s="12" t="s">
        <v>83</v>
      </c>
      <c r="AO245" s="20">
        <v>2024</v>
      </c>
      <c r="AP245" s="20">
        <v>2025</v>
      </c>
      <c r="AQ245" s="20">
        <v>2025</v>
      </c>
      <c r="AR245" s="6" t="s">
        <v>58</v>
      </c>
    </row>
    <row r="246" spans="1:44" ht="42" customHeight="1" x14ac:dyDescent="0.2">
      <c r="A246" s="15">
        <v>245</v>
      </c>
      <c r="B246" s="15" t="s">
        <v>1454</v>
      </c>
      <c r="C246" s="15" t="s">
        <v>1455</v>
      </c>
      <c r="D246" s="16">
        <v>57.751643000000001</v>
      </c>
      <c r="E246" s="19">
        <v>2024</v>
      </c>
      <c r="F246" s="17">
        <f t="shared" si="3"/>
        <v>2.1137101338000001E-2</v>
      </c>
      <c r="G246" s="17">
        <v>43.793612936691687</v>
      </c>
      <c r="H246" s="17">
        <v>33.189722411880126</v>
      </c>
      <c r="I246" s="17">
        <v>2.1439061049743637</v>
      </c>
      <c r="J246" s="17">
        <v>19.747308314674267</v>
      </c>
      <c r="K246" s="17">
        <v>0</v>
      </c>
      <c r="L246" s="16">
        <v>0</v>
      </c>
      <c r="M246" s="19">
        <v>2025</v>
      </c>
      <c r="N246" s="16">
        <v>0</v>
      </c>
      <c r="O246" s="16">
        <v>0</v>
      </c>
      <c r="P246" s="17" t="s">
        <v>46</v>
      </c>
      <c r="Q246" s="19" t="s">
        <v>46</v>
      </c>
      <c r="R246" s="17" t="s">
        <v>46</v>
      </c>
      <c r="S246" s="19" t="s">
        <v>46</v>
      </c>
      <c r="T246" s="17" t="s">
        <v>46</v>
      </c>
      <c r="U246" s="19" t="s">
        <v>46</v>
      </c>
      <c r="V246" s="18" t="s">
        <v>46</v>
      </c>
      <c r="W246" s="18" t="s">
        <v>46</v>
      </c>
      <c r="X246" s="18" t="s">
        <v>46</v>
      </c>
      <c r="Y246" s="18" t="s">
        <v>46</v>
      </c>
      <c r="Z246" s="18" t="s">
        <v>46</v>
      </c>
      <c r="AA246" s="15" t="s">
        <v>100</v>
      </c>
      <c r="AB246" s="15" t="s">
        <v>101</v>
      </c>
      <c r="AC246" s="15" t="s">
        <v>421</v>
      </c>
      <c r="AD246" s="15" t="s">
        <v>103</v>
      </c>
      <c r="AE246" s="15" t="s">
        <v>104</v>
      </c>
      <c r="AF246" s="15" t="s">
        <v>64</v>
      </c>
      <c r="AG246" s="15" t="s">
        <v>106</v>
      </c>
      <c r="AH246" s="15" t="s">
        <v>1456</v>
      </c>
      <c r="AI246" s="15" t="s">
        <v>1457</v>
      </c>
      <c r="AJ246" s="8">
        <f>'Сводка НПЗ'!D246</f>
        <v>0</v>
      </c>
      <c r="AK246" s="8" t="str">
        <f>IF('Сводка НПЗ'!F246&gt;0,'Сводка НПЗ'!E246,"")</f>
        <v/>
      </c>
      <c r="AL246" s="8">
        <f>'Сводка НПЗ'!G246</f>
        <v>0</v>
      </c>
      <c r="AM246" s="6" t="s">
        <v>56</v>
      </c>
      <c r="AN246" s="12" t="s">
        <v>83</v>
      </c>
      <c r="AO246" s="20">
        <v>2024</v>
      </c>
      <c r="AP246" s="20">
        <v>2025</v>
      </c>
      <c r="AQ246" s="20">
        <v>2025</v>
      </c>
      <c r="AR246" s="6" t="s">
        <v>58</v>
      </c>
    </row>
    <row r="247" spans="1:44" ht="42" customHeight="1" x14ac:dyDescent="0.2">
      <c r="A247" s="15">
        <v>246</v>
      </c>
      <c r="B247" s="15" t="s">
        <v>1458</v>
      </c>
      <c r="C247" s="15" t="s">
        <v>1459</v>
      </c>
      <c r="D247" s="16">
        <v>3864.9995650000001</v>
      </c>
      <c r="E247" s="19">
        <v>2024</v>
      </c>
      <c r="F247" s="17">
        <f t="shared" si="3"/>
        <v>1.4145898407899999</v>
      </c>
      <c r="G247" s="17">
        <v>59.692054480218282</v>
      </c>
      <c r="H247" s="17">
        <v>9.0682618744356827</v>
      </c>
      <c r="I247" s="17">
        <v>10.397493951593756</v>
      </c>
      <c r="J247" s="17">
        <v>10.397493951593756</v>
      </c>
      <c r="K247" s="17">
        <v>4.7201790564755208E-2</v>
      </c>
      <c r="L247" s="16">
        <v>0</v>
      </c>
      <c r="M247" s="19">
        <v>2025</v>
      </c>
      <c r="N247" s="16">
        <v>0</v>
      </c>
      <c r="O247" s="16">
        <v>0</v>
      </c>
      <c r="P247" s="17" t="s">
        <v>46</v>
      </c>
      <c r="Q247" s="19" t="s">
        <v>46</v>
      </c>
      <c r="R247" s="17" t="s">
        <v>46</v>
      </c>
      <c r="S247" s="19" t="s">
        <v>46</v>
      </c>
      <c r="T247" s="17" t="s">
        <v>46</v>
      </c>
      <c r="U247" s="19" t="s">
        <v>46</v>
      </c>
      <c r="V247" s="18" t="s">
        <v>46</v>
      </c>
      <c r="W247" s="18" t="s">
        <v>46</v>
      </c>
      <c r="X247" s="18" t="s">
        <v>46</v>
      </c>
      <c r="Y247" s="18" t="s">
        <v>46</v>
      </c>
      <c r="Z247" s="18" t="s">
        <v>46</v>
      </c>
      <c r="AA247" s="15" t="s">
        <v>100</v>
      </c>
      <c r="AB247" s="15" t="s">
        <v>101</v>
      </c>
      <c r="AC247" s="15" t="s">
        <v>421</v>
      </c>
      <c r="AD247" s="15" t="s">
        <v>103</v>
      </c>
      <c r="AE247" s="15" t="s">
        <v>104</v>
      </c>
      <c r="AF247" s="15" t="s">
        <v>64</v>
      </c>
      <c r="AG247" s="15" t="s">
        <v>106</v>
      </c>
      <c r="AH247" s="15" t="s">
        <v>1460</v>
      </c>
      <c r="AI247" s="15" t="s">
        <v>1461</v>
      </c>
      <c r="AJ247" s="8">
        <f>'Сводка НПЗ'!D247</f>
        <v>0</v>
      </c>
      <c r="AK247" s="8" t="str">
        <f>IF('Сводка НПЗ'!F247&gt;0,'Сводка НПЗ'!E247,"")</f>
        <v/>
      </c>
      <c r="AL247" s="8">
        <f>'Сводка НПЗ'!G247</f>
        <v>0</v>
      </c>
      <c r="AM247" s="6" t="s">
        <v>56</v>
      </c>
      <c r="AN247" s="12" t="s">
        <v>83</v>
      </c>
      <c r="AO247" s="20">
        <v>2024</v>
      </c>
      <c r="AP247" s="20">
        <v>2025</v>
      </c>
      <c r="AQ247" s="20">
        <v>2025</v>
      </c>
      <c r="AR247" s="6" t="s">
        <v>58</v>
      </c>
    </row>
    <row r="248" spans="1:44" ht="42" customHeight="1" x14ac:dyDescent="0.2">
      <c r="A248" s="15">
        <v>247</v>
      </c>
      <c r="B248" s="15" t="s">
        <v>1462</v>
      </c>
      <c r="C248" s="15" t="s">
        <v>1463</v>
      </c>
      <c r="D248" s="16" t="s">
        <v>46</v>
      </c>
      <c r="E248" s="19" t="s">
        <v>46</v>
      </c>
      <c r="F248" s="17" t="str">
        <f t="shared" si="3"/>
        <v>н/д</v>
      </c>
      <c r="G248" s="17" t="s">
        <v>46</v>
      </c>
      <c r="H248" s="17" t="s">
        <v>46</v>
      </c>
      <c r="I248" s="17" t="s">
        <v>46</v>
      </c>
      <c r="J248" s="17" t="s">
        <v>46</v>
      </c>
      <c r="K248" s="17" t="s">
        <v>46</v>
      </c>
      <c r="L248" s="16" t="s">
        <v>46</v>
      </c>
      <c r="M248" s="19" t="s">
        <v>46</v>
      </c>
      <c r="N248" s="16" t="s">
        <v>46</v>
      </c>
      <c r="O248" s="16" t="s">
        <v>46</v>
      </c>
      <c r="P248" s="17">
        <v>0.34499999999999997</v>
      </c>
      <c r="Q248" s="19">
        <v>2025</v>
      </c>
      <c r="R248" s="17">
        <v>6.2863765420273099</v>
      </c>
      <c r="S248" s="19">
        <v>2025</v>
      </c>
      <c r="T248" s="17">
        <v>-0.41841004184103903</v>
      </c>
      <c r="U248" s="19">
        <v>2025</v>
      </c>
      <c r="V248" s="18" t="s">
        <v>46</v>
      </c>
      <c r="W248" s="18" t="s">
        <v>46</v>
      </c>
      <c r="X248" s="18" t="s">
        <v>46</v>
      </c>
      <c r="Y248" s="18" t="s">
        <v>46</v>
      </c>
      <c r="Z248" s="18" t="s">
        <v>46</v>
      </c>
      <c r="AA248" s="15" t="s">
        <v>100</v>
      </c>
      <c r="AB248" s="15" t="s">
        <v>101</v>
      </c>
      <c r="AC248" s="15" t="s">
        <v>198</v>
      </c>
      <c r="AD248" s="15" t="s">
        <v>1464</v>
      </c>
      <c r="AE248" s="15" t="s">
        <v>104</v>
      </c>
      <c r="AF248" s="15" t="s">
        <v>105</v>
      </c>
      <c r="AG248" s="15" t="s">
        <v>106</v>
      </c>
      <c r="AH248" s="15" t="s">
        <v>1465</v>
      </c>
      <c r="AI248" s="15" t="s">
        <v>1466</v>
      </c>
      <c r="AJ248" s="8">
        <f>'Сводка НПЗ'!D248</f>
        <v>0</v>
      </c>
      <c r="AK248" s="8" t="str">
        <f>IF('Сводка НПЗ'!F248&gt;0,'Сводка НПЗ'!E248,"")</f>
        <v/>
      </c>
      <c r="AL248" s="8">
        <f>'Сводка НПЗ'!G248</f>
        <v>0</v>
      </c>
      <c r="AM248" s="6" t="s">
        <v>56</v>
      </c>
      <c r="AN248" s="12" t="s">
        <v>83</v>
      </c>
      <c r="AO248" s="20"/>
      <c r="AP248" s="20"/>
      <c r="AQ248" s="20"/>
      <c r="AR248" s="6" t="s">
        <v>58</v>
      </c>
    </row>
    <row r="249" spans="1:44" ht="42" customHeight="1" x14ac:dyDescent="0.2">
      <c r="A249" s="15">
        <v>248</v>
      </c>
      <c r="B249" s="15" t="s">
        <v>1467</v>
      </c>
      <c r="C249" s="15" t="s">
        <v>1468</v>
      </c>
      <c r="D249" s="16">
        <v>22006.408469999998</v>
      </c>
      <c r="E249" s="19">
        <v>2024</v>
      </c>
      <c r="F249" s="17">
        <f t="shared" si="3"/>
        <v>8.0543455000199984</v>
      </c>
      <c r="G249" s="17">
        <v>31.67259214288319</v>
      </c>
      <c r="H249" s="17">
        <v>21.522859927174657</v>
      </c>
      <c r="I249" s="17">
        <v>0.90882617339693506</v>
      </c>
      <c r="J249" s="17">
        <v>35.535103379820157</v>
      </c>
      <c r="K249" s="17">
        <v>10.360618376725061</v>
      </c>
      <c r="L249" s="16">
        <v>0</v>
      </c>
      <c r="M249" s="19">
        <v>2025</v>
      </c>
      <c r="N249" s="16">
        <v>0</v>
      </c>
      <c r="O249" s="16">
        <v>0</v>
      </c>
      <c r="P249" s="17" t="s">
        <v>46</v>
      </c>
      <c r="Q249" s="19" t="s">
        <v>46</v>
      </c>
      <c r="R249" s="17" t="s">
        <v>46</v>
      </c>
      <c r="S249" s="19" t="s">
        <v>46</v>
      </c>
      <c r="T249" s="17" t="s">
        <v>46</v>
      </c>
      <c r="U249" s="19" t="s">
        <v>46</v>
      </c>
      <c r="V249" s="18" t="s">
        <v>46</v>
      </c>
      <c r="W249" s="18" t="s">
        <v>46</v>
      </c>
      <c r="X249" s="18" t="s">
        <v>46</v>
      </c>
      <c r="Y249" s="18" t="s">
        <v>46</v>
      </c>
      <c r="Z249" s="18" t="s">
        <v>46</v>
      </c>
      <c r="AA249" s="15" t="s">
        <v>100</v>
      </c>
      <c r="AB249" s="15" t="s">
        <v>101</v>
      </c>
      <c r="AC249" s="15" t="s">
        <v>605</v>
      </c>
      <c r="AD249" s="15" t="s">
        <v>103</v>
      </c>
      <c r="AE249" s="15" t="s">
        <v>104</v>
      </c>
      <c r="AF249" s="15" t="s">
        <v>64</v>
      </c>
      <c r="AG249" s="15" t="s">
        <v>106</v>
      </c>
      <c r="AH249" s="15" t="s">
        <v>1469</v>
      </c>
      <c r="AI249" s="15" t="s">
        <v>1470</v>
      </c>
      <c r="AJ249" s="8">
        <f>'Сводка НПЗ'!D249</f>
        <v>0</v>
      </c>
      <c r="AK249" s="8" t="str">
        <f>IF('Сводка НПЗ'!F249&gt;0,'Сводка НПЗ'!E249,"")</f>
        <v/>
      </c>
      <c r="AL249" s="8">
        <f>'Сводка НПЗ'!G249</f>
        <v>0</v>
      </c>
      <c r="AM249" s="6" t="s">
        <v>56</v>
      </c>
      <c r="AN249" s="12" t="s">
        <v>83</v>
      </c>
      <c r="AO249" s="20">
        <v>2024</v>
      </c>
      <c r="AP249" s="20">
        <v>2025</v>
      </c>
      <c r="AQ249" s="20">
        <v>2025</v>
      </c>
      <c r="AR249" s="6" t="s">
        <v>58</v>
      </c>
    </row>
    <row r="250" spans="1:44" ht="42" customHeight="1" x14ac:dyDescent="0.2">
      <c r="A250" s="15">
        <v>249</v>
      </c>
      <c r="B250" s="15" t="s">
        <v>1471</v>
      </c>
      <c r="C250" s="15" t="s">
        <v>1472</v>
      </c>
      <c r="D250" s="16" t="s">
        <v>46</v>
      </c>
      <c r="E250" s="19" t="s">
        <v>46</v>
      </c>
      <c r="F250" s="17" t="str">
        <f t="shared" si="3"/>
        <v>н/д</v>
      </c>
      <c r="G250" s="17" t="s">
        <v>46</v>
      </c>
      <c r="H250" s="17" t="s">
        <v>46</v>
      </c>
      <c r="I250" s="17" t="s">
        <v>46</v>
      </c>
      <c r="J250" s="17" t="s">
        <v>46</v>
      </c>
      <c r="K250" s="17" t="s">
        <v>46</v>
      </c>
      <c r="L250" s="16" t="s">
        <v>46</v>
      </c>
      <c r="M250" s="19" t="s">
        <v>46</v>
      </c>
      <c r="N250" s="16" t="s">
        <v>46</v>
      </c>
      <c r="O250" s="16" t="s">
        <v>46</v>
      </c>
      <c r="P250" s="17" t="s">
        <v>46</v>
      </c>
      <c r="Q250" s="19" t="s">
        <v>46</v>
      </c>
      <c r="R250" s="17" t="s">
        <v>46</v>
      </c>
      <c r="S250" s="19" t="s">
        <v>46</v>
      </c>
      <c r="T250" s="17" t="s">
        <v>46</v>
      </c>
      <c r="U250" s="19" t="s">
        <v>46</v>
      </c>
      <c r="V250" s="18" t="s">
        <v>46</v>
      </c>
      <c r="W250" s="18" t="s">
        <v>46</v>
      </c>
      <c r="X250" s="18" t="s">
        <v>46</v>
      </c>
      <c r="Y250" s="18" t="s">
        <v>46</v>
      </c>
      <c r="Z250" s="18" t="s">
        <v>46</v>
      </c>
      <c r="AA250" s="15" t="s">
        <v>100</v>
      </c>
      <c r="AB250" s="15" t="s">
        <v>101</v>
      </c>
      <c r="AC250" s="15" t="s">
        <v>198</v>
      </c>
      <c r="AD250" s="15" t="s">
        <v>103</v>
      </c>
      <c r="AE250" s="15" t="s">
        <v>104</v>
      </c>
      <c r="AF250" s="15" t="s">
        <v>105</v>
      </c>
      <c r="AG250" s="15" t="s">
        <v>106</v>
      </c>
      <c r="AH250" s="15" t="s">
        <v>1473</v>
      </c>
      <c r="AI250" s="15" t="s">
        <v>1474</v>
      </c>
      <c r="AJ250" s="8">
        <f>'Сводка НПЗ'!D250</f>
        <v>0</v>
      </c>
      <c r="AK250" s="8" t="str">
        <f>IF('Сводка НПЗ'!F250&gt;0,'Сводка НПЗ'!E250,"")</f>
        <v/>
      </c>
      <c r="AL250" s="8">
        <f>'Сводка НПЗ'!G250</f>
        <v>0</v>
      </c>
      <c r="AM250" s="6" t="s">
        <v>56</v>
      </c>
      <c r="AN250" s="12" t="s">
        <v>83</v>
      </c>
      <c r="AO250" s="20"/>
      <c r="AP250" s="20"/>
      <c r="AQ250" s="20"/>
      <c r="AR250" s="6" t="s">
        <v>58</v>
      </c>
    </row>
    <row r="251" spans="1:44" ht="42" customHeight="1" x14ac:dyDescent="0.2">
      <c r="A251" s="15">
        <v>250</v>
      </c>
      <c r="B251" s="15" t="s">
        <v>1475</v>
      </c>
      <c r="C251" s="15" t="s">
        <v>1476</v>
      </c>
      <c r="D251" s="16">
        <v>52465.753424657538</v>
      </c>
      <c r="E251" s="19">
        <v>2025</v>
      </c>
      <c r="F251" s="17">
        <f t="shared" si="3"/>
        <v>19.149999999999999</v>
      </c>
      <c r="G251" s="17">
        <v>21.06005221932115</v>
      </c>
      <c r="H251" s="17">
        <v>45.229765013054831</v>
      </c>
      <c r="I251" s="17">
        <v>6.2997389033942559</v>
      </c>
      <c r="J251" s="17" t="s">
        <v>46</v>
      </c>
      <c r="K251" s="17" t="s">
        <v>46</v>
      </c>
      <c r="L251" s="16">
        <v>188628.9607520274</v>
      </c>
      <c r="M251" s="19">
        <v>2025</v>
      </c>
      <c r="N251" s="16">
        <v>175780.82191780824</v>
      </c>
      <c r="O251" s="16">
        <v>9628.8630136986303</v>
      </c>
      <c r="P251" s="17">
        <v>48.965725531914899</v>
      </c>
      <c r="Q251" s="19">
        <v>2025</v>
      </c>
      <c r="R251" s="17">
        <v>3.48137573668635</v>
      </c>
      <c r="S251" s="19">
        <v>2025</v>
      </c>
      <c r="T251" s="17">
        <v>-0.13770885544790201</v>
      </c>
      <c r="U251" s="19">
        <v>2025</v>
      </c>
      <c r="V251" s="18">
        <v>0.65500000000000003</v>
      </c>
      <c r="W251" s="18">
        <v>0.60699999999999998</v>
      </c>
      <c r="X251" s="18" t="s">
        <v>46</v>
      </c>
      <c r="Y251" s="18" t="s">
        <v>46</v>
      </c>
      <c r="Z251" s="18" t="s">
        <v>46</v>
      </c>
      <c r="AA251" s="15" t="s">
        <v>47</v>
      </c>
      <c r="AB251" s="15" t="s">
        <v>48</v>
      </c>
      <c r="AC251" s="15" t="s">
        <v>434</v>
      </c>
      <c r="AD251" s="15" t="s">
        <v>1477</v>
      </c>
      <c r="AE251" s="15" t="s">
        <v>1478</v>
      </c>
      <c r="AF251" s="15" t="s">
        <v>52</v>
      </c>
      <c r="AG251" s="15" t="s">
        <v>53</v>
      </c>
      <c r="AH251" s="15" t="s">
        <v>1479</v>
      </c>
      <c r="AI251" s="15" t="s">
        <v>1480</v>
      </c>
      <c r="AJ251" s="8">
        <f>'Сводка НПЗ'!D251</f>
        <v>1</v>
      </c>
      <c r="AK251" s="8">
        <f>IF('Сводка НПЗ'!F251&gt;0,'Сводка НПЗ'!E251,"")</f>
        <v>250000</v>
      </c>
      <c r="AL251" s="8">
        <f>'Сводка НПЗ'!G251</f>
        <v>0</v>
      </c>
      <c r="AM251" s="6" t="s">
        <v>56</v>
      </c>
      <c r="AN251" s="12" t="s">
        <v>57</v>
      </c>
      <c r="AO251" s="20">
        <v>2025</v>
      </c>
      <c r="AP251" s="20">
        <v>2025</v>
      </c>
      <c r="AQ251" s="20">
        <v>2025</v>
      </c>
      <c r="AR251" s="6" t="s">
        <v>58</v>
      </c>
    </row>
    <row r="252" spans="1:44" ht="42" customHeight="1" x14ac:dyDescent="0.2">
      <c r="A252" s="15">
        <v>251</v>
      </c>
      <c r="B252" s="15" t="s">
        <v>1481</v>
      </c>
      <c r="C252" s="15" t="s">
        <v>1482</v>
      </c>
      <c r="D252" s="16">
        <v>1107772.602739726</v>
      </c>
      <c r="E252" s="19">
        <v>2025</v>
      </c>
      <c r="F252" s="17">
        <f t="shared" si="3"/>
        <v>404.33699999999999</v>
      </c>
      <c r="G252" s="17">
        <v>52.006736954570073</v>
      </c>
      <c r="H252" s="17">
        <v>24.779671412707714</v>
      </c>
      <c r="I252" s="17">
        <v>2.2807707432166735</v>
      </c>
      <c r="J252" s="17">
        <v>31.422912075817944</v>
      </c>
      <c r="K252" s="17">
        <v>1.0442873147893958</v>
      </c>
      <c r="L252" s="16" t="s">
        <v>46</v>
      </c>
      <c r="M252" s="19" t="s">
        <v>46</v>
      </c>
      <c r="N252" s="16" t="s">
        <v>46</v>
      </c>
      <c r="O252" s="16" t="s">
        <v>46</v>
      </c>
      <c r="P252" s="17">
        <v>1798.5189336892099</v>
      </c>
      <c r="Q252" s="19">
        <v>2025</v>
      </c>
      <c r="R252" s="17">
        <v>1.3503978507663099</v>
      </c>
      <c r="S252" s="19">
        <v>2025</v>
      </c>
      <c r="T252" s="17">
        <v>2.87403791660173</v>
      </c>
      <c r="U252" s="19">
        <v>2025</v>
      </c>
      <c r="V252" s="18" t="s">
        <v>46</v>
      </c>
      <c r="W252" s="18" t="s">
        <v>46</v>
      </c>
      <c r="X252" s="18" t="s">
        <v>46</v>
      </c>
      <c r="Y252" s="18" t="s">
        <v>46</v>
      </c>
      <c r="Z252" s="18" t="s">
        <v>46</v>
      </c>
      <c r="AA252" s="15" t="s">
        <v>100</v>
      </c>
      <c r="AB252" s="15" t="s">
        <v>101</v>
      </c>
      <c r="AC252" s="15" t="s">
        <v>1381</v>
      </c>
      <c r="AD252" s="15" t="s">
        <v>1109</v>
      </c>
      <c r="AE252" s="15" t="s">
        <v>104</v>
      </c>
      <c r="AF252" s="15" t="s">
        <v>52</v>
      </c>
      <c r="AG252" s="15" t="s">
        <v>106</v>
      </c>
      <c r="AH252" s="15" t="s">
        <v>1111</v>
      </c>
      <c r="AI252" s="15" t="s">
        <v>1112</v>
      </c>
      <c r="AJ252" s="8">
        <f>'Сводка НПЗ'!D252</f>
        <v>0</v>
      </c>
      <c r="AK252" s="8" t="str">
        <f>IF('Сводка НПЗ'!F252&gt;0,'Сводка НПЗ'!E252,"")</f>
        <v/>
      </c>
      <c r="AL252" s="8">
        <f>'Сводка НПЗ'!G252</f>
        <v>0</v>
      </c>
      <c r="AM252" s="6" t="s">
        <v>56</v>
      </c>
      <c r="AN252" s="12" t="s">
        <v>83</v>
      </c>
      <c r="AO252" s="20">
        <v>2025</v>
      </c>
      <c r="AP252" s="20"/>
      <c r="AQ252" s="20"/>
      <c r="AR252" s="6" t="s">
        <v>58</v>
      </c>
    </row>
    <row r="253" spans="1:44" ht="42" customHeight="1" x14ac:dyDescent="0.2">
      <c r="A253" s="15">
        <v>252</v>
      </c>
      <c r="B253" s="15" t="s">
        <v>1483</v>
      </c>
      <c r="C253" s="15" t="s">
        <v>1484</v>
      </c>
      <c r="D253" s="16">
        <v>8303.5499999999993</v>
      </c>
      <c r="E253" s="19">
        <v>2024</v>
      </c>
      <c r="F253" s="17">
        <f t="shared" si="3"/>
        <v>3.0390992999999997</v>
      </c>
      <c r="G253" s="17">
        <v>5.9880412594613155</v>
      </c>
      <c r="H253" s="17">
        <v>0</v>
      </c>
      <c r="I253" s="17">
        <v>0</v>
      </c>
      <c r="J253" s="17">
        <v>94.011958740538688</v>
      </c>
      <c r="K253" s="17">
        <v>0</v>
      </c>
      <c r="L253" s="16">
        <v>0</v>
      </c>
      <c r="M253" s="19">
        <v>2025</v>
      </c>
      <c r="N253" s="16">
        <v>0</v>
      </c>
      <c r="O253" s="16">
        <v>0</v>
      </c>
      <c r="P253" s="17" t="s">
        <v>46</v>
      </c>
      <c r="Q253" s="19" t="s">
        <v>46</v>
      </c>
      <c r="R253" s="17" t="s">
        <v>46</v>
      </c>
      <c r="S253" s="19" t="s">
        <v>46</v>
      </c>
      <c r="T253" s="17" t="s">
        <v>46</v>
      </c>
      <c r="U253" s="19" t="s">
        <v>46</v>
      </c>
      <c r="V253" s="18" t="s">
        <v>46</v>
      </c>
      <c r="W253" s="18" t="s">
        <v>46</v>
      </c>
      <c r="X253" s="18" t="s">
        <v>46</v>
      </c>
      <c r="Y253" s="18" t="s">
        <v>46</v>
      </c>
      <c r="Z253" s="18" t="s">
        <v>46</v>
      </c>
      <c r="AA253" s="15" t="s">
        <v>100</v>
      </c>
      <c r="AB253" s="15" t="s">
        <v>101</v>
      </c>
      <c r="AC253" s="15" t="s">
        <v>421</v>
      </c>
      <c r="AD253" s="15" t="s">
        <v>103</v>
      </c>
      <c r="AE253" s="15" t="s">
        <v>104</v>
      </c>
      <c r="AF253" s="15" t="s">
        <v>64</v>
      </c>
      <c r="AG253" s="15" t="s">
        <v>106</v>
      </c>
      <c r="AH253" s="15" t="s">
        <v>46</v>
      </c>
      <c r="AI253" s="15" t="s">
        <v>46</v>
      </c>
      <c r="AJ253" s="8">
        <f>'Сводка НПЗ'!D253</f>
        <v>0</v>
      </c>
      <c r="AK253" s="8" t="str">
        <f>IF('Сводка НПЗ'!F253&gt;0,'Сводка НПЗ'!E253,"")</f>
        <v/>
      </c>
      <c r="AL253" s="8">
        <f>'Сводка НПЗ'!G253</f>
        <v>0</v>
      </c>
      <c r="AM253" s="6" t="s">
        <v>56</v>
      </c>
      <c r="AN253" s="12" t="s">
        <v>83</v>
      </c>
      <c r="AO253" s="20">
        <v>2024</v>
      </c>
      <c r="AP253" s="20">
        <v>2025</v>
      </c>
      <c r="AQ253" s="20">
        <v>2025</v>
      </c>
      <c r="AR253" s="6" t="s">
        <v>58</v>
      </c>
    </row>
    <row r="254" spans="1:44" ht="42" customHeight="1" x14ac:dyDescent="0.2">
      <c r="A254" s="15">
        <v>253</v>
      </c>
      <c r="B254" s="15" t="s">
        <v>1485</v>
      </c>
      <c r="C254" s="15" t="s">
        <v>1486</v>
      </c>
      <c r="D254" s="16">
        <v>1512298.6301369863</v>
      </c>
      <c r="E254" s="19">
        <v>2025</v>
      </c>
      <c r="F254" s="17">
        <f t="shared" si="3"/>
        <v>551.98900000000003</v>
      </c>
      <c r="G254" s="17">
        <v>49.173461789999436</v>
      </c>
      <c r="H254" s="17">
        <v>18.512298252320246</v>
      </c>
      <c r="I254" s="17">
        <v>6.438968892496046</v>
      </c>
      <c r="J254" s="17">
        <v>22.826759228897679</v>
      </c>
      <c r="K254" s="17">
        <v>1.519052010094404</v>
      </c>
      <c r="L254" s="16" t="s">
        <v>46</v>
      </c>
      <c r="M254" s="19" t="s">
        <v>46</v>
      </c>
      <c r="N254" s="16" t="s">
        <v>46</v>
      </c>
      <c r="O254" s="16" t="s">
        <v>46</v>
      </c>
      <c r="P254" s="17">
        <v>3366.3159274473301</v>
      </c>
      <c r="Q254" s="19">
        <v>2025</v>
      </c>
      <c r="R254" s="17">
        <v>0.84094995547958695</v>
      </c>
      <c r="S254" s="19">
        <v>2025</v>
      </c>
      <c r="T254" s="17">
        <v>0.94377021246997606</v>
      </c>
      <c r="U254" s="19">
        <v>2025</v>
      </c>
      <c r="V254" s="18" t="s">
        <v>46</v>
      </c>
      <c r="W254" s="18" t="s">
        <v>46</v>
      </c>
      <c r="X254" s="18" t="s">
        <v>46</v>
      </c>
      <c r="Y254" s="18" t="s">
        <v>46</v>
      </c>
      <c r="Z254" s="18" t="s">
        <v>46</v>
      </c>
      <c r="AA254" s="15" t="s">
        <v>100</v>
      </c>
      <c r="AB254" s="15" t="s">
        <v>101</v>
      </c>
      <c r="AC254" s="15" t="s">
        <v>1381</v>
      </c>
      <c r="AD254" s="15" t="s">
        <v>202</v>
      </c>
      <c r="AE254" s="15" t="s">
        <v>104</v>
      </c>
      <c r="AF254" s="15" t="s">
        <v>52</v>
      </c>
      <c r="AG254" s="15" t="s">
        <v>106</v>
      </c>
      <c r="AH254" s="15" t="s">
        <v>204</v>
      </c>
      <c r="AI254" s="15" t="s">
        <v>205</v>
      </c>
      <c r="AJ254" s="8">
        <f>'Сводка НПЗ'!D254</f>
        <v>0</v>
      </c>
      <c r="AK254" s="8" t="str">
        <f>IF('Сводка НПЗ'!F254&gt;0,'Сводка НПЗ'!E254,"")</f>
        <v/>
      </c>
      <c r="AL254" s="8">
        <f>'Сводка НПЗ'!G254</f>
        <v>0</v>
      </c>
      <c r="AM254" s="6" t="s">
        <v>56</v>
      </c>
      <c r="AN254" s="12" t="s">
        <v>83</v>
      </c>
      <c r="AO254" s="20">
        <v>2025</v>
      </c>
      <c r="AP254" s="20"/>
      <c r="AQ254" s="20"/>
      <c r="AR254" s="6" t="s">
        <v>58</v>
      </c>
    </row>
    <row r="255" spans="1:44" ht="42" customHeight="1" x14ac:dyDescent="0.2">
      <c r="A255" s="15">
        <v>254</v>
      </c>
      <c r="B255" s="15" t="s">
        <v>1487</v>
      </c>
      <c r="C255" s="15" t="s">
        <v>1488</v>
      </c>
      <c r="D255" s="16">
        <v>10870.289752000001</v>
      </c>
      <c r="E255" s="19">
        <v>2024</v>
      </c>
      <c r="F255" s="17">
        <f t="shared" si="3"/>
        <v>3.9785260492319998</v>
      </c>
      <c r="G255" s="17">
        <v>18.27602075312187</v>
      </c>
      <c r="H255" s="17">
        <v>15.680296191611578</v>
      </c>
      <c r="I255" s="17">
        <v>9.0137532241928042</v>
      </c>
      <c r="J255" s="17">
        <v>42.207601532938419</v>
      </c>
      <c r="K255" s="17">
        <v>2.2844048196076088</v>
      </c>
      <c r="L255" s="16">
        <v>0</v>
      </c>
      <c r="M255" s="19">
        <v>2025</v>
      </c>
      <c r="N255" s="16">
        <v>0</v>
      </c>
      <c r="O255" s="16">
        <v>0</v>
      </c>
      <c r="P255" s="17">
        <v>52.061007670168998</v>
      </c>
      <c r="Q255" s="19">
        <v>2025</v>
      </c>
      <c r="R255" s="17">
        <v>4.6710670568043602</v>
      </c>
      <c r="S255" s="19">
        <v>2025</v>
      </c>
      <c r="T255" s="17">
        <v>0.333311677308542</v>
      </c>
      <c r="U255" s="19">
        <v>2025</v>
      </c>
      <c r="V255" s="18" t="s">
        <v>46</v>
      </c>
      <c r="W255" s="18" t="s">
        <v>46</v>
      </c>
      <c r="X255" s="18" t="s">
        <v>46</v>
      </c>
      <c r="Y255" s="18" t="s">
        <v>46</v>
      </c>
      <c r="Z255" s="18" t="s">
        <v>46</v>
      </c>
      <c r="AA255" s="15" t="s">
        <v>100</v>
      </c>
      <c r="AB255" s="15" t="s">
        <v>101</v>
      </c>
      <c r="AC255" s="15" t="s">
        <v>421</v>
      </c>
      <c r="AD255" s="15" t="s">
        <v>1489</v>
      </c>
      <c r="AE255" s="15" t="s">
        <v>104</v>
      </c>
      <c r="AF255" s="15" t="s">
        <v>64</v>
      </c>
      <c r="AG255" s="15" t="s">
        <v>106</v>
      </c>
      <c r="AH255" s="15" t="s">
        <v>1490</v>
      </c>
      <c r="AI255" s="15" t="s">
        <v>1491</v>
      </c>
      <c r="AJ255" s="8">
        <f>'Сводка НПЗ'!D255</f>
        <v>0</v>
      </c>
      <c r="AK255" s="8" t="str">
        <f>IF('Сводка НПЗ'!F255&gt;0,'Сводка НПЗ'!E255,"")</f>
        <v/>
      </c>
      <c r="AL255" s="8">
        <f>'Сводка НПЗ'!G255</f>
        <v>0</v>
      </c>
      <c r="AM255" s="6" t="s">
        <v>56</v>
      </c>
      <c r="AN255" s="12" t="s">
        <v>83</v>
      </c>
      <c r="AO255" s="20">
        <v>2024</v>
      </c>
      <c r="AP255" s="20">
        <v>2025</v>
      </c>
      <c r="AQ255" s="20">
        <v>2025</v>
      </c>
      <c r="AR255" s="6" t="s">
        <v>58</v>
      </c>
    </row>
    <row r="256" spans="1:44" ht="42" customHeight="1" x14ac:dyDescent="0.2">
      <c r="A256" s="15">
        <v>255</v>
      </c>
      <c r="B256" s="15" t="s">
        <v>1492</v>
      </c>
      <c r="C256" s="15" t="s">
        <v>1493</v>
      </c>
      <c r="D256" s="16">
        <v>1107772.602739726</v>
      </c>
      <c r="E256" s="19">
        <v>2025</v>
      </c>
      <c r="F256" s="17">
        <f t="shared" si="3"/>
        <v>404.33699999999999</v>
      </c>
      <c r="G256" s="17">
        <v>52.006736954570073</v>
      </c>
      <c r="H256" s="17">
        <v>24.779671412707714</v>
      </c>
      <c r="I256" s="17">
        <v>2.2807707432166735</v>
      </c>
      <c r="J256" s="17">
        <v>31.422912075817944</v>
      </c>
      <c r="K256" s="17">
        <v>1.0442873147893958</v>
      </c>
      <c r="L256" s="16" t="s">
        <v>46</v>
      </c>
      <c r="M256" s="19" t="s">
        <v>46</v>
      </c>
      <c r="N256" s="16" t="s">
        <v>46</v>
      </c>
      <c r="O256" s="16" t="s">
        <v>46</v>
      </c>
      <c r="P256" s="17">
        <v>1798.5189336892099</v>
      </c>
      <c r="Q256" s="19">
        <v>2025</v>
      </c>
      <c r="R256" s="17">
        <v>1.3503978507663099</v>
      </c>
      <c r="S256" s="19">
        <v>2025</v>
      </c>
      <c r="T256" s="17">
        <v>2.87403791660173</v>
      </c>
      <c r="U256" s="19">
        <v>2025</v>
      </c>
      <c r="V256" s="18" t="s">
        <v>46</v>
      </c>
      <c r="W256" s="18" t="s">
        <v>46</v>
      </c>
      <c r="X256" s="18" t="s">
        <v>46</v>
      </c>
      <c r="Y256" s="18" t="s">
        <v>46</v>
      </c>
      <c r="Z256" s="18" t="s">
        <v>46</v>
      </c>
      <c r="AA256" s="15" t="s">
        <v>100</v>
      </c>
      <c r="AB256" s="15" t="s">
        <v>101</v>
      </c>
      <c r="AC256" s="15" t="s">
        <v>1381</v>
      </c>
      <c r="AD256" s="15" t="s">
        <v>1109</v>
      </c>
      <c r="AE256" s="15" t="s">
        <v>104</v>
      </c>
      <c r="AF256" s="15" t="s">
        <v>52</v>
      </c>
      <c r="AG256" s="15" t="s">
        <v>106</v>
      </c>
      <c r="AH256" s="15" t="s">
        <v>1111</v>
      </c>
      <c r="AI256" s="15" t="s">
        <v>1112</v>
      </c>
      <c r="AJ256" s="8">
        <f>'Сводка НПЗ'!D256</f>
        <v>0</v>
      </c>
      <c r="AK256" s="8" t="str">
        <f>IF('Сводка НПЗ'!F256&gt;0,'Сводка НПЗ'!E256,"")</f>
        <v/>
      </c>
      <c r="AL256" s="8">
        <f>'Сводка НПЗ'!G256</f>
        <v>0</v>
      </c>
      <c r="AM256" s="6" t="s">
        <v>56</v>
      </c>
      <c r="AN256" s="12" t="s">
        <v>83</v>
      </c>
      <c r="AO256" s="20">
        <v>2025</v>
      </c>
      <c r="AP256" s="20"/>
      <c r="AQ256" s="20"/>
      <c r="AR256" s="6" t="s">
        <v>58</v>
      </c>
    </row>
    <row r="257" spans="1:44" ht="42" customHeight="1" x14ac:dyDescent="0.2">
      <c r="A257" s="15">
        <v>256</v>
      </c>
      <c r="B257" s="15" t="s">
        <v>1494</v>
      </c>
      <c r="C257" s="15" t="s">
        <v>1495</v>
      </c>
      <c r="D257" s="16" t="s">
        <v>46</v>
      </c>
      <c r="E257" s="19" t="s">
        <v>46</v>
      </c>
      <c r="F257" s="17" t="str">
        <f t="shared" si="3"/>
        <v>н/д</v>
      </c>
      <c r="G257" s="17" t="s">
        <v>46</v>
      </c>
      <c r="H257" s="17" t="s">
        <v>46</v>
      </c>
      <c r="I257" s="17" t="s">
        <v>46</v>
      </c>
      <c r="J257" s="17" t="s">
        <v>46</v>
      </c>
      <c r="K257" s="17" t="s">
        <v>46</v>
      </c>
      <c r="L257" s="16" t="s">
        <v>46</v>
      </c>
      <c r="M257" s="19" t="s">
        <v>46</v>
      </c>
      <c r="N257" s="16" t="s">
        <v>46</v>
      </c>
      <c r="O257" s="16" t="s">
        <v>46</v>
      </c>
      <c r="P257" s="17" t="s">
        <v>46</v>
      </c>
      <c r="Q257" s="19" t="s">
        <v>46</v>
      </c>
      <c r="R257" s="17" t="s">
        <v>46</v>
      </c>
      <c r="S257" s="19" t="s">
        <v>46</v>
      </c>
      <c r="T257" s="17" t="s">
        <v>46</v>
      </c>
      <c r="U257" s="19" t="s">
        <v>46</v>
      </c>
      <c r="V257" s="18" t="s">
        <v>46</v>
      </c>
      <c r="W257" s="18" t="s">
        <v>46</v>
      </c>
      <c r="X257" s="18" t="s">
        <v>46</v>
      </c>
      <c r="Y257" s="18" t="s">
        <v>46</v>
      </c>
      <c r="Z257" s="18" t="s">
        <v>46</v>
      </c>
      <c r="AA257" s="15" t="s">
        <v>100</v>
      </c>
      <c r="AB257" s="15" t="s">
        <v>101</v>
      </c>
      <c r="AC257" s="15" t="s">
        <v>198</v>
      </c>
      <c r="AD257" s="15" t="s">
        <v>103</v>
      </c>
      <c r="AE257" s="15" t="s">
        <v>104</v>
      </c>
      <c r="AF257" s="15" t="s">
        <v>105</v>
      </c>
      <c r="AG257" s="15" t="s">
        <v>106</v>
      </c>
      <c r="AH257" s="15" t="s">
        <v>46</v>
      </c>
      <c r="AI257" s="15" t="s">
        <v>46</v>
      </c>
      <c r="AJ257" s="8">
        <f>'Сводка НПЗ'!D257</f>
        <v>0</v>
      </c>
      <c r="AK257" s="8" t="str">
        <f>IF('Сводка НПЗ'!F257&gt;0,'Сводка НПЗ'!E257,"")</f>
        <v/>
      </c>
      <c r="AL257" s="8">
        <f>'Сводка НПЗ'!G257</f>
        <v>0</v>
      </c>
      <c r="AM257" s="6" t="s">
        <v>56</v>
      </c>
      <c r="AN257" s="12" t="s">
        <v>83</v>
      </c>
      <c r="AO257" s="20"/>
      <c r="AP257" s="20"/>
      <c r="AQ257" s="20"/>
      <c r="AR257" s="6" t="s">
        <v>58</v>
      </c>
    </row>
    <row r="258" spans="1:44" ht="42" customHeight="1" x14ac:dyDescent="0.2">
      <c r="A258" s="15">
        <v>257</v>
      </c>
      <c r="B258" s="15" t="s">
        <v>1496</v>
      </c>
      <c r="C258" s="15" t="s">
        <v>1497</v>
      </c>
      <c r="D258" s="16" t="s">
        <v>46</v>
      </c>
      <c r="E258" s="19" t="s">
        <v>46</v>
      </c>
      <c r="F258" s="17" t="str">
        <f t="shared" ref="F258:F321" si="4">IF(AND(ISNUMBER(D258),ISNUMBER(E258)),D258*(DATE(E258+1,1,1)-DATE(E258,1,1))/1000000,"н/д")</f>
        <v>н/д</v>
      </c>
      <c r="G258" s="17" t="s">
        <v>46</v>
      </c>
      <c r="H258" s="17" t="s">
        <v>46</v>
      </c>
      <c r="I258" s="17" t="s">
        <v>46</v>
      </c>
      <c r="J258" s="17" t="s">
        <v>46</v>
      </c>
      <c r="K258" s="17" t="s">
        <v>46</v>
      </c>
      <c r="L258" s="16" t="s">
        <v>46</v>
      </c>
      <c r="M258" s="19" t="s">
        <v>46</v>
      </c>
      <c r="N258" s="16" t="s">
        <v>46</v>
      </c>
      <c r="O258" s="16" t="s">
        <v>46</v>
      </c>
      <c r="P258" s="17" t="s">
        <v>46</v>
      </c>
      <c r="Q258" s="19" t="s">
        <v>46</v>
      </c>
      <c r="R258" s="17" t="s">
        <v>46</v>
      </c>
      <c r="S258" s="19" t="s">
        <v>46</v>
      </c>
      <c r="T258" s="17" t="s">
        <v>46</v>
      </c>
      <c r="U258" s="19" t="s">
        <v>46</v>
      </c>
      <c r="V258" s="18" t="s">
        <v>46</v>
      </c>
      <c r="W258" s="18" t="s">
        <v>46</v>
      </c>
      <c r="X258" s="18" t="s">
        <v>46</v>
      </c>
      <c r="Y258" s="18" t="s">
        <v>46</v>
      </c>
      <c r="Z258" s="18" t="s">
        <v>46</v>
      </c>
      <c r="AA258" s="15" t="s">
        <v>100</v>
      </c>
      <c r="AB258" s="15" t="s">
        <v>101</v>
      </c>
      <c r="AC258" s="15" t="s">
        <v>198</v>
      </c>
      <c r="AD258" s="15" t="s">
        <v>103</v>
      </c>
      <c r="AE258" s="15" t="s">
        <v>104</v>
      </c>
      <c r="AF258" s="15" t="s">
        <v>105</v>
      </c>
      <c r="AG258" s="15" t="s">
        <v>106</v>
      </c>
      <c r="AH258" s="15" t="s">
        <v>46</v>
      </c>
      <c r="AI258" s="15" t="s">
        <v>46</v>
      </c>
      <c r="AJ258" s="8">
        <f>'Сводка НПЗ'!D258</f>
        <v>0</v>
      </c>
      <c r="AK258" s="8" t="str">
        <f>IF('Сводка НПЗ'!F258&gt;0,'Сводка НПЗ'!E258,"")</f>
        <v/>
      </c>
      <c r="AL258" s="8">
        <f>'Сводка НПЗ'!G258</f>
        <v>0</v>
      </c>
      <c r="AM258" s="6" t="s">
        <v>56</v>
      </c>
      <c r="AN258" s="12" t="s">
        <v>83</v>
      </c>
      <c r="AO258" s="20"/>
      <c r="AP258" s="20"/>
      <c r="AQ258" s="20"/>
      <c r="AR258" s="6" t="s">
        <v>58</v>
      </c>
    </row>
    <row r="259" spans="1:44" ht="42" customHeight="1" x14ac:dyDescent="0.2">
      <c r="A259" s="15">
        <v>258</v>
      </c>
      <c r="B259" s="15" t="s">
        <v>1498</v>
      </c>
      <c r="C259" s="15" t="s">
        <v>1499</v>
      </c>
      <c r="D259" s="16" t="s">
        <v>46</v>
      </c>
      <c r="E259" s="19" t="s">
        <v>46</v>
      </c>
      <c r="F259" s="17" t="str">
        <f t="shared" si="4"/>
        <v>н/д</v>
      </c>
      <c r="G259" s="17" t="s">
        <v>46</v>
      </c>
      <c r="H259" s="17" t="s">
        <v>46</v>
      </c>
      <c r="I259" s="17" t="s">
        <v>46</v>
      </c>
      <c r="J259" s="17" t="s">
        <v>46</v>
      </c>
      <c r="K259" s="17" t="s">
        <v>46</v>
      </c>
      <c r="L259" s="16" t="s">
        <v>46</v>
      </c>
      <c r="M259" s="19" t="s">
        <v>46</v>
      </c>
      <c r="N259" s="16" t="s">
        <v>46</v>
      </c>
      <c r="O259" s="16" t="s">
        <v>46</v>
      </c>
      <c r="P259" s="17" t="s">
        <v>46</v>
      </c>
      <c r="Q259" s="19" t="s">
        <v>46</v>
      </c>
      <c r="R259" s="17" t="s">
        <v>46</v>
      </c>
      <c r="S259" s="19" t="s">
        <v>46</v>
      </c>
      <c r="T259" s="17" t="s">
        <v>46</v>
      </c>
      <c r="U259" s="19" t="s">
        <v>46</v>
      </c>
      <c r="V259" s="18" t="s">
        <v>46</v>
      </c>
      <c r="W259" s="18" t="s">
        <v>46</v>
      </c>
      <c r="X259" s="18" t="s">
        <v>46</v>
      </c>
      <c r="Y259" s="18" t="s">
        <v>46</v>
      </c>
      <c r="Z259" s="18" t="s">
        <v>46</v>
      </c>
      <c r="AA259" s="15" t="s">
        <v>100</v>
      </c>
      <c r="AB259" s="15" t="s">
        <v>101</v>
      </c>
      <c r="AC259" s="15" t="s">
        <v>198</v>
      </c>
      <c r="AD259" s="15" t="s">
        <v>103</v>
      </c>
      <c r="AE259" s="15" t="s">
        <v>104</v>
      </c>
      <c r="AF259" s="15" t="s">
        <v>105</v>
      </c>
      <c r="AG259" s="15" t="s">
        <v>106</v>
      </c>
      <c r="AH259" s="15" t="s">
        <v>46</v>
      </c>
      <c r="AI259" s="15" t="s">
        <v>46</v>
      </c>
      <c r="AJ259" s="8">
        <f>'Сводка НПЗ'!D259</f>
        <v>0</v>
      </c>
      <c r="AK259" s="8" t="str">
        <f>IF('Сводка НПЗ'!F259&gt;0,'Сводка НПЗ'!E259,"")</f>
        <v/>
      </c>
      <c r="AL259" s="8">
        <f>'Сводка НПЗ'!G259</f>
        <v>0</v>
      </c>
      <c r="AM259" s="6" t="s">
        <v>56</v>
      </c>
      <c r="AN259" s="12" t="s">
        <v>83</v>
      </c>
      <c r="AO259" s="20"/>
      <c r="AP259" s="20"/>
      <c r="AQ259" s="20"/>
      <c r="AR259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78"/>
  <sheetViews>
    <sheetView workbookViewId="0"/>
  </sheetViews>
  <sheetFormatPr defaultRowHeight="12.75" x14ac:dyDescent="0.2"/>
  <cols>
    <col min="1" max="1" width="38" customWidth="1"/>
    <col min="2" max="6" width="24" customWidth="1"/>
    <col min="11" max="11" width="55" customWidth="1"/>
    <col min="13" max="14" width="38" customWidth="1"/>
    <col min="16" max="16" width="85" customWidth="1"/>
  </cols>
  <sheetData>
    <row r="1" spans="1:16" ht="45" customHeight="1" x14ac:dyDescent="0.2">
      <c r="A1" s="2" t="s">
        <v>1500</v>
      </c>
      <c r="B1" s="1" t="s">
        <v>1501</v>
      </c>
      <c r="C1" s="1" t="s">
        <v>46</v>
      </c>
      <c r="D1" s="1" t="s">
        <v>1502</v>
      </c>
      <c r="E1" s="1" t="s">
        <v>1503</v>
      </c>
      <c r="F1" s="1" t="s">
        <v>1504</v>
      </c>
      <c r="K1" s="4" t="s">
        <v>1505</v>
      </c>
      <c r="M1" s="5" t="s">
        <v>1506</v>
      </c>
      <c r="N1" s="5" t="s">
        <v>1507</v>
      </c>
      <c r="P1" s="21" t="s">
        <v>1508</v>
      </c>
    </row>
    <row r="2" spans="1:16" x14ac:dyDescent="0.2">
      <c r="A2" t="s">
        <v>0</v>
      </c>
      <c r="B2">
        <v>258</v>
      </c>
      <c r="C2">
        <v>0</v>
      </c>
      <c r="D2">
        <v>258</v>
      </c>
      <c r="E2" t="s">
        <v>1509</v>
      </c>
      <c r="F2">
        <v>1</v>
      </c>
      <c r="K2" s="4" t="s">
        <v>1510</v>
      </c>
      <c r="M2" t="s">
        <v>1511</v>
      </c>
      <c r="N2" t="s">
        <v>1512</v>
      </c>
    </row>
    <row r="3" spans="1:16" x14ac:dyDescent="0.2">
      <c r="A3" t="s">
        <v>1</v>
      </c>
      <c r="B3">
        <v>258</v>
      </c>
      <c r="C3">
        <v>0</v>
      </c>
      <c r="D3">
        <v>258</v>
      </c>
      <c r="E3" t="s">
        <v>44</v>
      </c>
      <c r="F3">
        <v>1</v>
      </c>
      <c r="K3" s="4" t="s">
        <v>1513</v>
      </c>
      <c r="M3" t="s">
        <v>1514</v>
      </c>
      <c r="N3" t="s">
        <v>1515</v>
      </c>
    </row>
    <row r="4" spans="1:16" ht="38.25" x14ac:dyDescent="0.2">
      <c r="A4" t="s">
        <v>2</v>
      </c>
      <c r="B4">
        <v>258</v>
      </c>
      <c r="C4">
        <v>0</v>
      </c>
      <c r="D4">
        <v>258</v>
      </c>
      <c r="E4" t="s">
        <v>45</v>
      </c>
      <c r="F4">
        <v>1</v>
      </c>
      <c r="K4" s="4" t="s">
        <v>1516</v>
      </c>
      <c r="M4" t="s">
        <v>1517</v>
      </c>
      <c r="N4" t="s">
        <v>1518</v>
      </c>
    </row>
    <row r="5" spans="1:16" ht="25.5" x14ac:dyDescent="0.2">
      <c r="A5" t="s">
        <v>3</v>
      </c>
      <c r="B5">
        <v>143</v>
      </c>
      <c r="C5">
        <v>115</v>
      </c>
      <c r="D5">
        <v>143</v>
      </c>
      <c r="E5" t="s">
        <v>1519</v>
      </c>
      <c r="F5">
        <v>1</v>
      </c>
      <c r="K5" s="4" t="s">
        <v>1520</v>
      </c>
      <c r="M5" t="s">
        <v>1521</v>
      </c>
      <c r="N5" t="s">
        <v>198</v>
      </c>
    </row>
    <row r="6" spans="1:16" ht="25.5" x14ac:dyDescent="0.2">
      <c r="A6" t="s">
        <v>4</v>
      </c>
      <c r="B6">
        <v>143</v>
      </c>
      <c r="C6">
        <v>115</v>
      </c>
      <c r="D6">
        <v>2</v>
      </c>
      <c r="E6" t="s">
        <v>1522</v>
      </c>
      <c r="F6">
        <v>119</v>
      </c>
      <c r="K6" s="4" t="s">
        <v>1523</v>
      </c>
      <c r="M6" t="s">
        <v>1524</v>
      </c>
      <c r="N6" t="s">
        <v>1525</v>
      </c>
    </row>
    <row r="7" spans="1:16" ht="25.5" x14ac:dyDescent="0.2">
      <c r="A7" t="s">
        <v>5</v>
      </c>
      <c r="B7">
        <v>143</v>
      </c>
      <c r="C7">
        <v>115</v>
      </c>
      <c r="D7">
        <v>143</v>
      </c>
      <c r="E7" t="s">
        <v>1526</v>
      </c>
      <c r="F7">
        <v>1</v>
      </c>
      <c r="K7" s="4" t="s">
        <v>1527</v>
      </c>
    </row>
    <row r="8" spans="1:16" ht="51" x14ac:dyDescent="0.2">
      <c r="A8" t="s">
        <v>6</v>
      </c>
      <c r="B8">
        <v>45</v>
      </c>
      <c r="C8">
        <v>213</v>
      </c>
      <c r="D8">
        <v>43</v>
      </c>
      <c r="E8" t="s">
        <v>1528</v>
      </c>
      <c r="F8">
        <v>2</v>
      </c>
      <c r="K8" s="4" t="s">
        <v>1529</v>
      </c>
    </row>
    <row r="9" spans="1:16" x14ac:dyDescent="0.2">
      <c r="A9" t="s">
        <v>7</v>
      </c>
      <c r="B9">
        <v>40</v>
      </c>
      <c r="C9">
        <v>218</v>
      </c>
      <c r="D9">
        <v>38</v>
      </c>
      <c r="E9" t="s">
        <v>1530</v>
      </c>
      <c r="F9">
        <v>2</v>
      </c>
      <c r="K9" s="4" t="s">
        <v>1531</v>
      </c>
    </row>
    <row r="10" spans="1:16" x14ac:dyDescent="0.2">
      <c r="A10" t="s">
        <v>8</v>
      </c>
      <c r="B10">
        <v>17</v>
      </c>
      <c r="C10">
        <v>241</v>
      </c>
      <c r="D10">
        <v>16</v>
      </c>
      <c r="E10" t="s">
        <v>1532</v>
      </c>
      <c r="F10">
        <v>2</v>
      </c>
      <c r="K10" s="4" t="s">
        <v>1533</v>
      </c>
    </row>
    <row r="11" spans="1:16" x14ac:dyDescent="0.2">
      <c r="A11" t="s">
        <v>9</v>
      </c>
      <c r="B11">
        <v>8</v>
      </c>
      <c r="C11">
        <v>250</v>
      </c>
      <c r="D11">
        <v>8</v>
      </c>
      <c r="E11" t="s">
        <v>1534</v>
      </c>
      <c r="F11">
        <v>1</v>
      </c>
    </row>
    <row r="12" spans="1:16" x14ac:dyDescent="0.2">
      <c r="A12" t="s">
        <v>10</v>
      </c>
      <c r="B12">
        <v>8</v>
      </c>
      <c r="C12">
        <v>250</v>
      </c>
      <c r="D12">
        <v>8</v>
      </c>
      <c r="E12" t="s">
        <v>1535</v>
      </c>
      <c r="F12">
        <v>1</v>
      </c>
    </row>
    <row r="13" spans="1:16" x14ac:dyDescent="0.2">
      <c r="A13" t="s">
        <v>11</v>
      </c>
      <c r="B13">
        <v>66</v>
      </c>
      <c r="C13">
        <v>192</v>
      </c>
      <c r="D13">
        <v>59</v>
      </c>
      <c r="E13" t="s">
        <v>1536</v>
      </c>
      <c r="F13">
        <v>8</v>
      </c>
    </row>
    <row r="14" spans="1:16" x14ac:dyDescent="0.2">
      <c r="A14" t="s">
        <v>12</v>
      </c>
      <c r="B14">
        <v>66</v>
      </c>
      <c r="C14">
        <v>192</v>
      </c>
      <c r="D14">
        <v>3</v>
      </c>
      <c r="E14" t="s">
        <v>1537</v>
      </c>
      <c r="F14">
        <v>44</v>
      </c>
    </row>
    <row r="15" spans="1:16" x14ac:dyDescent="0.2">
      <c r="A15" t="s">
        <v>13</v>
      </c>
      <c r="B15">
        <v>35</v>
      </c>
      <c r="C15">
        <v>223</v>
      </c>
      <c r="D15">
        <v>29</v>
      </c>
      <c r="E15" t="s">
        <v>1536</v>
      </c>
      <c r="F15">
        <v>5</v>
      </c>
    </row>
    <row r="16" spans="1:16" x14ac:dyDescent="0.2">
      <c r="A16" t="s">
        <v>14</v>
      </c>
      <c r="B16">
        <v>33</v>
      </c>
      <c r="C16">
        <v>225</v>
      </c>
      <c r="D16">
        <v>18</v>
      </c>
      <c r="E16" t="s">
        <v>1538</v>
      </c>
      <c r="F16">
        <v>15</v>
      </c>
    </row>
    <row r="17" spans="1:6" x14ac:dyDescent="0.2">
      <c r="A17" t="s">
        <v>15</v>
      </c>
      <c r="B17">
        <v>26</v>
      </c>
      <c r="C17">
        <v>232</v>
      </c>
      <c r="D17">
        <v>26</v>
      </c>
      <c r="E17" t="s">
        <v>1539</v>
      </c>
      <c r="F17">
        <v>1</v>
      </c>
    </row>
    <row r="18" spans="1:6" x14ac:dyDescent="0.2">
      <c r="A18" t="s">
        <v>16</v>
      </c>
      <c r="B18">
        <v>26</v>
      </c>
      <c r="C18">
        <v>232</v>
      </c>
      <c r="D18">
        <v>2</v>
      </c>
      <c r="E18" t="s">
        <v>1540</v>
      </c>
      <c r="F18">
        <v>18</v>
      </c>
    </row>
    <row r="19" spans="1:6" x14ac:dyDescent="0.2">
      <c r="A19" t="s">
        <v>17</v>
      </c>
      <c r="B19">
        <v>24</v>
      </c>
      <c r="C19">
        <v>234</v>
      </c>
      <c r="D19">
        <v>23</v>
      </c>
      <c r="E19" t="s">
        <v>1541</v>
      </c>
      <c r="F19">
        <v>2</v>
      </c>
    </row>
    <row r="20" spans="1:6" x14ac:dyDescent="0.2">
      <c r="A20" t="s">
        <v>18</v>
      </c>
      <c r="B20">
        <v>24</v>
      </c>
      <c r="C20">
        <v>234</v>
      </c>
      <c r="D20">
        <v>2</v>
      </c>
      <c r="E20" t="s">
        <v>1540</v>
      </c>
      <c r="F20">
        <v>18</v>
      </c>
    </row>
    <row r="21" spans="1:6" x14ac:dyDescent="0.2">
      <c r="A21" t="s">
        <v>19</v>
      </c>
      <c r="B21">
        <v>22</v>
      </c>
      <c r="C21">
        <v>236</v>
      </c>
      <c r="D21">
        <v>20</v>
      </c>
      <c r="E21" t="s">
        <v>1542</v>
      </c>
      <c r="F21">
        <v>2</v>
      </c>
    </row>
    <row r="22" spans="1:6" x14ac:dyDescent="0.2">
      <c r="A22" t="s">
        <v>20</v>
      </c>
      <c r="B22">
        <v>22</v>
      </c>
      <c r="C22">
        <v>236</v>
      </c>
      <c r="D22">
        <v>3</v>
      </c>
      <c r="E22" t="s">
        <v>1543</v>
      </c>
      <c r="F22">
        <v>16</v>
      </c>
    </row>
    <row r="23" spans="1:6" x14ac:dyDescent="0.2">
      <c r="A23" t="s">
        <v>21</v>
      </c>
      <c r="B23">
        <v>169</v>
      </c>
      <c r="C23">
        <v>89</v>
      </c>
      <c r="D23">
        <v>161</v>
      </c>
      <c r="E23" t="s">
        <v>1544</v>
      </c>
      <c r="F23">
        <v>2</v>
      </c>
    </row>
    <row r="24" spans="1:6" x14ac:dyDescent="0.2">
      <c r="A24" t="s">
        <v>22</v>
      </c>
      <c r="B24">
        <v>168</v>
      </c>
      <c r="C24">
        <v>90</v>
      </c>
      <c r="D24">
        <v>158</v>
      </c>
      <c r="E24" t="s">
        <v>1545</v>
      </c>
      <c r="F24">
        <v>3</v>
      </c>
    </row>
    <row r="25" spans="1:6" x14ac:dyDescent="0.2">
      <c r="A25" t="s">
        <v>23</v>
      </c>
      <c r="B25">
        <v>0</v>
      </c>
      <c r="C25">
        <v>258</v>
      </c>
      <c r="D25">
        <v>0</v>
      </c>
      <c r="F25">
        <v>0</v>
      </c>
    </row>
    <row r="26" spans="1:6" x14ac:dyDescent="0.2">
      <c r="A26" t="s">
        <v>24</v>
      </c>
      <c r="B26">
        <v>56</v>
      </c>
      <c r="C26">
        <v>202</v>
      </c>
      <c r="D26">
        <v>56</v>
      </c>
      <c r="E26" t="s">
        <v>1546</v>
      </c>
      <c r="F26">
        <v>1</v>
      </c>
    </row>
    <row r="27" spans="1:6" x14ac:dyDescent="0.2">
      <c r="A27" t="s">
        <v>25</v>
      </c>
      <c r="B27">
        <v>0</v>
      </c>
      <c r="C27">
        <v>258</v>
      </c>
      <c r="D27">
        <v>0</v>
      </c>
      <c r="F27">
        <v>0</v>
      </c>
    </row>
    <row r="28" spans="1:6" x14ac:dyDescent="0.2">
      <c r="A28" t="s">
        <v>26</v>
      </c>
      <c r="B28">
        <v>258</v>
      </c>
      <c r="C28">
        <v>0</v>
      </c>
      <c r="D28">
        <v>1</v>
      </c>
      <c r="E28" t="s">
        <v>100</v>
      </c>
      <c r="F28">
        <v>258</v>
      </c>
    </row>
    <row r="29" spans="1:6" x14ac:dyDescent="0.2">
      <c r="A29" t="s">
        <v>27</v>
      </c>
      <c r="B29">
        <v>258</v>
      </c>
      <c r="C29">
        <v>0</v>
      </c>
      <c r="D29">
        <v>1</v>
      </c>
      <c r="E29" t="s">
        <v>101</v>
      </c>
      <c r="F29">
        <v>258</v>
      </c>
    </row>
    <row r="30" spans="1:6" x14ac:dyDescent="0.2">
      <c r="A30" t="s">
        <v>28</v>
      </c>
      <c r="B30">
        <v>258</v>
      </c>
      <c r="C30">
        <v>0</v>
      </c>
      <c r="D30">
        <v>64</v>
      </c>
      <c r="E30" t="s">
        <v>198</v>
      </c>
      <c r="F30">
        <v>113</v>
      </c>
    </row>
    <row r="31" spans="1:6" x14ac:dyDescent="0.2">
      <c r="A31" t="s">
        <v>29</v>
      </c>
      <c r="B31">
        <v>258</v>
      </c>
      <c r="C31">
        <v>0</v>
      </c>
      <c r="D31">
        <v>1</v>
      </c>
      <c r="E31" t="s">
        <v>103</v>
      </c>
      <c r="F31">
        <v>258</v>
      </c>
    </row>
    <row r="32" spans="1:6" x14ac:dyDescent="0.2">
      <c r="A32" t="s">
        <v>30</v>
      </c>
      <c r="B32">
        <v>258</v>
      </c>
      <c r="C32">
        <v>0</v>
      </c>
      <c r="D32">
        <v>1</v>
      </c>
      <c r="E32" t="s">
        <v>104</v>
      </c>
      <c r="F32">
        <v>258</v>
      </c>
    </row>
    <row r="33" spans="1:6" x14ac:dyDescent="0.2">
      <c r="A33" t="s">
        <v>31</v>
      </c>
      <c r="B33">
        <v>258</v>
      </c>
      <c r="C33">
        <v>0</v>
      </c>
      <c r="D33">
        <v>1</v>
      </c>
      <c r="E33" t="s">
        <v>1547</v>
      </c>
      <c r="F33">
        <v>258</v>
      </c>
    </row>
    <row r="34" spans="1:6" x14ac:dyDescent="0.2">
      <c r="A34" t="s">
        <v>32</v>
      </c>
      <c r="B34">
        <v>258</v>
      </c>
      <c r="C34">
        <v>0</v>
      </c>
      <c r="D34">
        <v>4</v>
      </c>
      <c r="E34" t="s">
        <v>1548</v>
      </c>
      <c r="F34">
        <v>112</v>
      </c>
    </row>
    <row r="37" spans="1:6" x14ac:dyDescent="0.2">
      <c r="A37" s="3" t="s">
        <v>1549</v>
      </c>
      <c r="B37" s="3" t="s">
        <v>1550</v>
      </c>
      <c r="C37" s="3" t="s">
        <v>1551</v>
      </c>
      <c r="D37" s="3" t="s">
        <v>1552</v>
      </c>
    </row>
    <row r="38" spans="1:6" x14ac:dyDescent="0.2">
      <c r="A38" t="s">
        <v>44</v>
      </c>
      <c r="B38" t="s">
        <v>9</v>
      </c>
      <c r="C38" t="s">
        <v>1553</v>
      </c>
      <c r="D38" t="s">
        <v>1554</v>
      </c>
    </row>
    <row r="39" spans="1:6" x14ac:dyDescent="0.2">
      <c r="A39" t="s">
        <v>44</v>
      </c>
      <c r="B39" t="s">
        <v>10</v>
      </c>
      <c r="C39" t="s">
        <v>1555</v>
      </c>
      <c r="D39" t="s">
        <v>1554</v>
      </c>
    </row>
    <row r="40" spans="1:6" x14ac:dyDescent="0.2">
      <c r="A40" t="s">
        <v>44</v>
      </c>
      <c r="B40" t="s">
        <v>23</v>
      </c>
      <c r="C40" t="s">
        <v>1556</v>
      </c>
      <c r="D40" t="s">
        <v>1554</v>
      </c>
    </row>
    <row r="41" spans="1:6" x14ac:dyDescent="0.2">
      <c r="A41" t="s">
        <v>44</v>
      </c>
      <c r="B41" t="s">
        <v>25</v>
      </c>
      <c r="C41" t="s">
        <v>1557</v>
      </c>
      <c r="D41" t="s">
        <v>1554</v>
      </c>
    </row>
    <row r="42" spans="1:6" x14ac:dyDescent="0.2">
      <c r="A42" t="s">
        <v>44</v>
      </c>
      <c r="B42" t="s">
        <v>24</v>
      </c>
      <c r="C42" t="s">
        <v>1558</v>
      </c>
      <c r="D42" t="s">
        <v>1559</v>
      </c>
    </row>
    <row r="43" spans="1:6" x14ac:dyDescent="0.2">
      <c r="A43" t="s">
        <v>59</v>
      </c>
      <c r="B43" t="s">
        <v>9</v>
      </c>
      <c r="C43" t="s">
        <v>1553</v>
      </c>
      <c r="D43" t="s">
        <v>1554</v>
      </c>
    </row>
    <row r="44" spans="1:6" x14ac:dyDescent="0.2">
      <c r="A44" t="s">
        <v>59</v>
      </c>
      <c r="B44" t="s">
        <v>10</v>
      </c>
      <c r="C44" t="s">
        <v>1555</v>
      </c>
      <c r="D44" t="s">
        <v>1554</v>
      </c>
    </row>
    <row r="45" spans="1:6" x14ac:dyDescent="0.2">
      <c r="A45" t="s">
        <v>59</v>
      </c>
      <c r="B45" t="s">
        <v>23</v>
      </c>
      <c r="C45" t="s">
        <v>1556</v>
      </c>
      <c r="D45" t="s">
        <v>1554</v>
      </c>
    </row>
    <row r="46" spans="1:6" x14ac:dyDescent="0.2">
      <c r="A46" t="s">
        <v>59</v>
      </c>
      <c r="B46" t="s">
        <v>25</v>
      </c>
      <c r="C46" t="s">
        <v>1557</v>
      </c>
      <c r="D46" t="s">
        <v>1554</v>
      </c>
    </row>
    <row r="47" spans="1:6" x14ac:dyDescent="0.2">
      <c r="A47" t="s">
        <v>59</v>
      </c>
      <c r="B47" t="s">
        <v>24</v>
      </c>
      <c r="C47" t="s">
        <v>1558</v>
      </c>
      <c r="D47" t="s">
        <v>1559</v>
      </c>
    </row>
    <row r="48" spans="1:6" x14ac:dyDescent="0.2">
      <c r="A48" t="s">
        <v>67</v>
      </c>
      <c r="B48" t="s">
        <v>9</v>
      </c>
      <c r="C48" t="s">
        <v>1553</v>
      </c>
      <c r="D48" t="s">
        <v>1554</v>
      </c>
    </row>
    <row r="49" spans="1:4" x14ac:dyDescent="0.2">
      <c r="A49" t="s">
        <v>67</v>
      </c>
      <c r="B49" t="s">
        <v>10</v>
      </c>
      <c r="C49" t="s">
        <v>1555</v>
      </c>
      <c r="D49" t="s">
        <v>1554</v>
      </c>
    </row>
    <row r="50" spans="1:4" x14ac:dyDescent="0.2">
      <c r="A50" t="s">
        <v>67</v>
      </c>
      <c r="B50" t="s">
        <v>23</v>
      </c>
      <c r="C50" t="s">
        <v>1556</v>
      </c>
      <c r="D50" t="s">
        <v>1554</v>
      </c>
    </row>
    <row r="51" spans="1:4" x14ac:dyDescent="0.2">
      <c r="A51" t="s">
        <v>67</v>
      </c>
      <c r="B51" t="s">
        <v>25</v>
      </c>
      <c r="C51" t="s">
        <v>1557</v>
      </c>
      <c r="D51" t="s">
        <v>1554</v>
      </c>
    </row>
    <row r="52" spans="1:4" x14ac:dyDescent="0.2">
      <c r="A52" t="s">
        <v>76</v>
      </c>
      <c r="B52" t="s">
        <v>9</v>
      </c>
      <c r="C52" t="s">
        <v>1553</v>
      </c>
      <c r="D52" t="s">
        <v>1554</v>
      </c>
    </row>
    <row r="53" spans="1:4" x14ac:dyDescent="0.2">
      <c r="A53" t="s">
        <v>76</v>
      </c>
      <c r="B53" t="s">
        <v>10</v>
      </c>
      <c r="C53" t="s">
        <v>1555</v>
      </c>
      <c r="D53" t="s">
        <v>1554</v>
      </c>
    </row>
    <row r="54" spans="1:4" x14ac:dyDescent="0.2">
      <c r="A54" t="s">
        <v>76</v>
      </c>
      <c r="B54" t="s">
        <v>23</v>
      </c>
      <c r="C54" t="s">
        <v>1556</v>
      </c>
      <c r="D54" t="s">
        <v>1554</v>
      </c>
    </row>
    <row r="55" spans="1:4" x14ac:dyDescent="0.2">
      <c r="A55" t="s">
        <v>76</v>
      </c>
      <c r="B55" t="s">
        <v>25</v>
      </c>
      <c r="C55" t="s">
        <v>1557</v>
      </c>
      <c r="D55" t="s">
        <v>1554</v>
      </c>
    </row>
    <row r="56" spans="1:4" x14ac:dyDescent="0.2">
      <c r="A56" t="s">
        <v>76</v>
      </c>
      <c r="B56" t="s">
        <v>24</v>
      </c>
      <c r="C56" t="s">
        <v>1558</v>
      </c>
      <c r="D56" t="s">
        <v>1559</v>
      </c>
    </row>
    <row r="57" spans="1:4" x14ac:dyDescent="0.2">
      <c r="A57" t="s">
        <v>84</v>
      </c>
      <c r="B57" t="s">
        <v>9</v>
      </c>
      <c r="C57" t="s">
        <v>1553</v>
      </c>
      <c r="D57" t="s">
        <v>1554</v>
      </c>
    </row>
    <row r="58" spans="1:4" x14ac:dyDescent="0.2">
      <c r="A58" t="s">
        <v>84</v>
      </c>
      <c r="B58" t="s">
        <v>10</v>
      </c>
      <c r="C58" t="s">
        <v>1555</v>
      </c>
      <c r="D58" t="s">
        <v>1554</v>
      </c>
    </row>
    <row r="59" spans="1:4" x14ac:dyDescent="0.2">
      <c r="A59" t="s">
        <v>84</v>
      </c>
      <c r="B59" t="s">
        <v>17</v>
      </c>
      <c r="C59" t="s">
        <v>1560</v>
      </c>
      <c r="D59" t="s">
        <v>1554</v>
      </c>
    </row>
    <row r="60" spans="1:4" x14ac:dyDescent="0.2">
      <c r="A60" t="s">
        <v>84</v>
      </c>
      <c r="B60" t="s">
        <v>23</v>
      </c>
      <c r="C60" t="s">
        <v>1556</v>
      </c>
      <c r="D60" t="s">
        <v>1554</v>
      </c>
    </row>
    <row r="61" spans="1:4" x14ac:dyDescent="0.2">
      <c r="A61" t="s">
        <v>84</v>
      </c>
      <c r="B61" t="s">
        <v>25</v>
      </c>
      <c r="C61" t="s">
        <v>1557</v>
      </c>
      <c r="D61" t="s">
        <v>1554</v>
      </c>
    </row>
    <row r="62" spans="1:4" x14ac:dyDescent="0.2">
      <c r="A62" t="s">
        <v>91</v>
      </c>
      <c r="B62" t="s">
        <v>8</v>
      </c>
      <c r="C62" t="s">
        <v>1561</v>
      </c>
      <c r="D62" t="s">
        <v>1554</v>
      </c>
    </row>
    <row r="63" spans="1:4" x14ac:dyDescent="0.2">
      <c r="A63" t="s">
        <v>91</v>
      </c>
      <c r="B63" t="s">
        <v>9</v>
      </c>
      <c r="C63" t="s">
        <v>1553</v>
      </c>
      <c r="D63" t="s">
        <v>1554</v>
      </c>
    </row>
    <row r="64" spans="1:4" x14ac:dyDescent="0.2">
      <c r="A64" t="s">
        <v>91</v>
      </c>
      <c r="B64" t="s">
        <v>10</v>
      </c>
      <c r="C64" t="s">
        <v>1555</v>
      </c>
      <c r="D64" t="s">
        <v>1554</v>
      </c>
    </row>
    <row r="65" spans="1:4" x14ac:dyDescent="0.2">
      <c r="A65" t="s">
        <v>91</v>
      </c>
      <c r="B65" t="s">
        <v>23</v>
      </c>
      <c r="C65" t="s">
        <v>1556</v>
      </c>
      <c r="D65" t="s">
        <v>1554</v>
      </c>
    </row>
    <row r="66" spans="1:4" x14ac:dyDescent="0.2">
      <c r="A66" t="s">
        <v>91</v>
      </c>
      <c r="B66" t="s">
        <v>25</v>
      </c>
      <c r="C66" t="s">
        <v>1557</v>
      </c>
      <c r="D66" t="s">
        <v>1554</v>
      </c>
    </row>
    <row r="67" spans="1:4" x14ac:dyDescent="0.2">
      <c r="A67" t="s">
        <v>91</v>
      </c>
      <c r="B67" t="s">
        <v>24</v>
      </c>
      <c r="C67" t="s">
        <v>1558</v>
      </c>
      <c r="D67" t="s">
        <v>1559</v>
      </c>
    </row>
    <row r="68" spans="1:4" x14ac:dyDescent="0.2">
      <c r="A68" t="s">
        <v>98</v>
      </c>
      <c r="B68" t="s">
        <v>3</v>
      </c>
      <c r="C68" t="s">
        <v>1562</v>
      </c>
      <c r="D68" t="s">
        <v>1554</v>
      </c>
    </row>
    <row r="69" spans="1:4" x14ac:dyDescent="0.2">
      <c r="A69" t="s">
        <v>98</v>
      </c>
      <c r="B69" t="s">
        <v>5</v>
      </c>
      <c r="C69" t="s">
        <v>1563</v>
      </c>
      <c r="D69" t="s">
        <v>1554</v>
      </c>
    </row>
    <row r="70" spans="1:4" x14ac:dyDescent="0.2">
      <c r="A70" t="s">
        <v>98</v>
      </c>
      <c r="B70" t="s">
        <v>6</v>
      </c>
      <c r="C70" t="s">
        <v>1564</v>
      </c>
      <c r="D70" t="s">
        <v>1554</v>
      </c>
    </row>
    <row r="71" spans="1:4" x14ac:dyDescent="0.2">
      <c r="A71" t="s">
        <v>98</v>
      </c>
      <c r="B71" t="s">
        <v>7</v>
      </c>
      <c r="C71" t="s">
        <v>1565</v>
      </c>
      <c r="D71" t="s">
        <v>1554</v>
      </c>
    </row>
    <row r="72" spans="1:4" x14ac:dyDescent="0.2">
      <c r="A72" t="s">
        <v>98</v>
      </c>
      <c r="B72" t="s">
        <v>8</v>
      </c>
      <c r="C72" t="s">
        <v>1561</v>
      </c>
      <c r="D72" t="s">
        <v>1554</v>
      </c>
    </row>
    <row r="73" spans="1:4" x14ac:dyDescent="0.2">
      <c r="A73" t="s">
        <v>98</v>
      </c>
      <c r="B73" t="s">
        <v>9</v>
      </c>
      <c r="C73" t="s">
        <v>1553</v>
      </c>
      <c r="D73" t="s">
        <v>1554</v>
      </c>
    </row>
    <row r="74" spans="1:4" x14ac:dyDescent="0.2">
      <c r="A74" t="s">
        <v>98</v>
      </c>
      <c r="B74" t="s">
        <v>10</v>
      </c>
      <c r="C74" t="s">
        <v>1555</v>
      </c>
      <c r="D74" t="s">
        <v>1554</v>
      </c>
    </row>
    <row r="75" spans="1:4" x14ac:dyDescent="0.2">
      <c r="A75" t="s">
        <v>98</v>
      </c>
      <c r="B75" t="s">
        <v>11</v>
      </c>
      <c r="C75" t="s">
        <v>1566</v>
      </c>
      <c r="D75" t="s">
        <v>1554</v>
      </c>
    </row>
    <row r="76" spans="1:4" x14ac:dyDescent="0.2">
      <c r="A76" t="s">
        <v>98</v>
      </c>
      <c r="B76" t="s">
        <v>13</v>
      </c>
      <c r="C76" t="s">
        <v>1567</v>
      </c>
      <c r="D76" t="s">
        <v>1554</v>
      </c>
    </row>
    <row r="77" spans="1:4" x14ac:dyDescent="0.2">
      <c r="A77" t="s">
        <v>98</v>
      </c>
      <c r="B77" t="s">
        <v>14</v>
      </c>
      <c r="C77" t="s">
        <v>1568</v>
      </c>
      <c r="D77" t="s">
        <v>1554</v>
      </c>
    </row>
    <row r="78" spans="1:4" x14ac:dyDescent="0.2">
      <c r="A78" t="s">
        <v>98</v>
      </c>
      <c r="B78" t="s">
        <v>15</v>
      </c>
      <c r="C78" t="s">
        <v>1569</v>
      </c>
      <c r="D78" t="s">
        <v>1554</v>
      </c>
    </row>
    <row r="79" spans="1:4" x14ac:dyDescent="0.2">
      <c r="A79" t="s">
        <v>98</v>
      </c>
      <c r="B79" t="s">
        <v>17</v>
      </c>
      <c r="C79" t="s">
        <v>1560</v>
      </c>
      <c r="D79" t="s">
        <v>1554</v>
      </c>
    </row>
    <row r="80" spans="1:4" x14ac:dyDescent="0.2">
      <c r="A80" t="s">
        <v>98</v>
      </c>
      <c r="B80" t="s">
        <v>19</v>
      </c>
      <c r="C80" t="s">
        <v>1570</v>
      </c>
      <c r="D80" t="s">
        <v>1554</v>
      </c>
    </row>
    <row r="81" spans="1:4" x14ac:dyDescent="0.2">
      <c r="A81" t="s">
        <v>98</v>
      </c>
      <c r="B81" t="s">
        <v>23</v>
      </c>
      <c r="C81" t="s">
        <v>1556</v>
      </c>
      <c r="D81" t="s">
        <v>1554</v>
      </c>
    </row>
    <row r="82" spans="1:4" x14ac:dyDescent="0.2">
      <c r="A82" t="s">
        <v>98</v>
      </c>
      <c r="B82" t="s">
        <v>25</v>
      </c>
      <c r="C82" t="s">
        <v>1557</v>
      </c>
      <c r="D82" t="s">
        <v>1554</v>
      </c>
    </row>
    <row r="83" spans="1:4" x14ac:dyDescent="0.2">
      <c r="A83" t="s">
        <v>98</v>
      </c>
      <c r="B83" t="s">
        <v>21</v>
      </c>
      <c r="C83" t="s">
        <v>1571</v>
      </c>
      <c r="D83" t="s">
        <v>1559</v>
      </c>
    </row>
    <row r="84" spans="1:4" x14ac:dyDescent="0.2">
      <c r="A84" t="s">
        <v>98</v>
      </c>
      <c r="B84" t="s">
        <v>22</v>
      </c>
      <c r="C84" t="s">
        <v>1572</v>
      </c>
      <c r="D84" t="s">
        <v>1559</v>
      </c>
    </row>
    <row r="85" spans="1:4" x14ac:dyDescent="0.2">
      <c r="A85" t="s">
        <v>98</v>
      </c>
      <c r="B85" t="s">
        <v>24</v>
      </c>
      <c r="C85" t="s">
        <v>1558</v>
      </c>
      <c r="D85" t="s">
        <v>1559</v>
      </c>
    </row>
    <row r="86" spans="1:4" x14ac:dyDescent="0.2">
      <c r="A86" t="s">
        <v>107</v>
      </c>
      <c r="B86" t="s">
        <v>6</v>
      </c>
      <c r="C86" t="s">
        <v>1564</v>
      </c>
      <c r="D86" t="s">
        <v>1554</v>
      </c>
    </row>
    <row r="87" spans="1:4" x14ac:dyDescent="0.2">
      <c r="A87" t="s">
        <v>107</v>
      </c>
      <c r="B87" t="s">
        <v>7</v>
      </c>
      <c r="C87" t="s">
        <v>1565</v>
      </c>
      <c r="D87" t="s">
        <v>1554</v>
      </c>
    </row>
    <row r="88" spans="1:4" x14ac:dyDescent="0.2">
      <c r="A88" t="s">
        <v>107</v>
      </c>
      <c r="B88" t="s">
        <v>8</v>
      </c>
      <c r="C88" t="s">
        <v>1561</v>
      </c>
      <c r="D88" t="s">
        <v>1554</v>
      </c>
    </row>
    <row r="89" spans="1:4" x14ac:dyDescent="0.2">
      <c r="A89" t="s">
        <v>107</v>
      </c>
      <c r="B89" t="s">
        <v>9</v>
      </c>
      <c r="C89" t="s">
        <v>1553</v>
      </c>
      <c r="D89" t="s">
        <v>1554</v>
      </c>
    </row>
    <row r="90" spans="1:4" x14ac:dyDescent="0.2">
      <c r="A90" t="s">
        <v>107</v>
      </c>
      <c r="B90" t="s">
        <v>10</v>
      </c>
      <c r="C90" t="s">
        <v>1555</v>
      </c>
      <c r="D90" t="s">
        <v>1554</v>
      </c>
    </row>
    <row r="91" spans="1:4" x14ac:dyDescent="0.2">
      <c r="A91" t="s">
        <v>107</v>
      </c>
      <c r="B91" t="s">
        <v>13</v>
      </c>
      <c r="C91" t="s">
        <v>1567</v>
      </c>
      <c r="D91" t="s">
        <v>1554</v>
      </c>
    </row>
    <row r="92" spans="1:4" x14ac:dyDescent="0.2">
      <c r="A92" t="s">
        <v>107</v>
      </c>
      <c r="B92" t="s">
        <v>14</v>
      </c>
      <c r="C92" t="s">
        <v>1568</v>
      </c>
      <c r="D92" t="s">
        <v>1554</v>
      </c>
    </row>
    <row r="93" spans="1:4" x14ac:dyDescent="0.2">
      <c r="A93" t="s">
        <v>107</v>
      </c>
      <c r="B93" t="s">
        <v>23</v>
      </c>
      <c r="C93" t="s">
        <v>1556</v>
      </c>
      <c r="D93" t="s">
        <v>1554</v>
      </c>
    </row>
    <row r="94" spans="1:4" x14ac:dyDescent="0.2">
      <c r="A94" t="s">
        <v>107</v>
      </c>
      <c r="B94" t="s">
        <v>25</v>
      </c>
      <c r="C94" t="s">
        <v>1557</v>
      </c>
      <c r="D94" t="s">
        <v>1554</v>
      </c>
    </row>
    <row r="95" spans="1:4" x14ac:dyDescent="0.2">
      <c r="A95" t="s">
        <v>107</v>
      </c>
      <c r="B95" t="s">
        <v>24</v>
      </c>
      <c r="C95" t="s">
        <v>1558</v>
      </c>
      <c r="D95" t="s">
        <v>1559</v>
      </c>
    </row>
    <row r="96" spans="1:4" x14ac:dyDescent="0.2">
      <c r="A96" t="s">
        <v>114</v>
      </c>
      <c r="B96" t="s">
        <v>7</v>
      </c>
      <c r="C96" t="s">
        <v>1565</v>
      </c>
      <c r="D96" t="s">
        <v>1554</v>
      </c>
    </row>
    <row r="97" spans="1:4" x14ac:dyDescent="0.2">
      <c r="A97" t="s">
        <v>114</v>
      </c>
      <c r="B97" t="s">
        <v>9</v>
      </c>
      <c r="C97" t="s">
        <v>1553</v>
      </c>
      <c r="D97" t="s">
        <v>1554</v>
      </c>
    </row>
    <row r="98" spans="1:4" x14ac:dyDescent="0.2">
      <c r="A98" t="s">
        <v>114</v>
      </c>
      <c r="B98" t="s">
        <v>10</v>
      </c>
      <c r="C98" t="s">
        <v>1555</v>
      </c>
      <c r="D98" t="s">
        <v>1554</v>
      </c>
    </row>
    <row r="99" spans="1:4" x14ac:dyDescent="0.2">
      <c r="A99" t="s">
        <v>114</v>
      </c>
      <c r="B99" t="s">
        <v>23</v>
      </c>
      <c r="C99" t="s">
        <v>1556</v>
      </c>
      <c r="D99" t="s">
        <v>1554</v>
      </c>
    </row>
    <row r="100" spans="1:4" x14ac:dyDescent="0.2">
      <c r="A100" t="s">
        <v>114</v>
      </c>
      <c r="B100" t="s">
        <v>25</v>
      </c>
      <c r="C100" t="s">
        <v>1557</v>
      </c>
      <c r="D100" t="s">
        <v>1554</v>
      </c>
    </row>
    <row r="101" spans="1:4" x14ac:dyDescent="0.2">
      <c r="A101" t="s">
        <v>122</v>
      </c>
      <c r="B101" t="s">
        <v>8</v>
      </c>
      <c r="C101" t="s">
        <v>1561</v>
      </c>
      <c r="D101" t="s">
        <v>1554</v>
      </c>
    </row>
    <row r="102" spans="1:4" x14ac:dyDescent="0.2">
      <c r="A102" t="s">
        <v>122</v>
      </c>
      <c r="B102" t="s">
        <v>9</v>
      </c>
      <c r="C102" t="s">
        <v>1553</v>
      </c>
      <c r="D102" t="s">
        <v>1554</v>
      </c>
    </row>
    <row r="103" spans="1:4" x14ac:dyDescent="0.2">
      <c r="A103" t="s">
        <v>122</v>
      </c>
      <c r="B103" t="s">
        <v>10</v>
      </c>
      <c r="C103" t="s">
        <v>1555</v>
      </c>
      <c r="D103" t="s">
        <v>1554</v>
      </c>
    </row>
    <row r="104" spans="1:4" x14ac:dyDescent="0.2">
      <c r="A104" t="s">
        <v>122</v>
      </c>
      <c r="B104" t="s">
        <v>23</v>
      </c>
      <c r="C104" t="s">
        <v>1556</v>
      </c>
      <c r="D104" t="s">
        <v>1554</v>
      </c>
    </row>
    <row r="105" spans="1:4" x14ac:dyDescent="0.2">
      <c r="A105" t="s">
        <v>122</v>
      </c>
      <c r="B105" t="s">
        <v>25</v>
      </c>
      <c r="C105" t="s">
        <v>1557</v>
      </c>
      <c r="D105" t="s">
        <v>1554</v>
      </c>
    </row>
    <row r="106" spans="1:4" x14ac:dyDescent="0.2">
      <c r="A106" t="s">
        <v>122</v>
      </c>
      <c r="B106" t="s">
        <v>24</v>
      </c>
      <c r="C106" t="s">
        <v>1558</v>
      </c>
      <c r="D106" t="s">
        <v>1559</v>
      </c>
    </row>
    <row r="107" spans="1:4" x14ac:dyDescent="0.2">
      <c r="A107" t="s">
        <v>129</v>
      </c>
      <c r="B107" t="s">
        <v>6</v>
      </c>
      <c r="C107" t="s">
        <v>1564</v>
      </c>
      <c r="D107" t="s">
        <v>1554</v>
      </c>
    </row>
    <row r="108" spans="1:4" x14ac:dyDescent="0.2">
      <c r="A108" t="s">
        <v>129</v>
      </c>
      <c r="B108" t="s">
        <v>7</v>
      </c>
      <c r="C108" t="s">
        <v>1565</v>
      </c>
      <c r="D108" t="s">
        <v>1554</v>
      </c>
    </row>
    <row r="109" spans="1:4" x14ac:dyDescent="0.2">
      <c r="A109" t="s">
        <v>129</v>
      </c>
      <c r="B109" t="s">
        <v>8</v>
      </c>
      <c r="C109" t="s">
        <v>1561</v>
      </c>
      <c r="D109" t="s">
        <v>1554</v>
      </c>
    </row>
    <row r="110" spans="1:4" x14ac:dyDescent="0.2">
      <c r="A110" t="s">
        <v>129</v>
      </c>
      <c r="B110" t="s">
        <v>9</v>
      </c>
      <c r="C110" t="s">
        <v>1553</v>
      </c>
      <c r="D110" t="s">
        <v>1554</v>
      </c>
    </row>
    <row r="111" spans="1:4" x14ac:dyDescent="0.2">
      <c r="A111" t="s">
        <v>129</v>
      </c>
      <c r="B111" t="s">
        <v>10</v>
      </c>
      <c r="C111" t="s">
        <v>1555</v>
      </c>
      <c r="D111" t="s">
        <v>1554</v>
      </c>
    </row>
    <row r="112" spans="1:4" x14ac:dyDescent="0.2">
      <c r="A112" t="s">
        <v>129</v>
      </c>
      <c r="B112" t="s">
        <v>13</v>
      </c>
      <c r="C112" t="s">
        <v>1567</v>
      </c>
      <c r="D112" t="s">
        <v>1554</v>
      </c>
    </row>
    <row r="113" spans="1:4" x14ac:dyDescent="0.2">
      <c r="A113" t="s">
        <v>129</v>
      </c>
      <c r="B113" t="s">
        <v>14</v>
      </c>
      <c r="C113" t="s">
        <v>1568</v>
      </c>
      <c r="D113" t="s">
        <v>1554</v>
      </c>
    </row>
    <row r="114" spans="1:4" x14ac:dyDescent="0.2">
      <c r="A114" t="s">
        <v>129</v>
      </c>
      <c r="B114" t="s">
        <v>23</v>
      </c>
      <c r="C114" t="s">
        <v>1556</v>
      </c>
      <c r="D114" t="s">
        <v>1554</v>
      </c>
    </row>
    <row r="115" spans="1:4" x14ac:dyDescent="0.2">
      <c r="A115" t="s">
        <v>129</v>
      </c>
      <c r="B115" t="s">
        <v>25</v>
      </c>
      <c r="C115" t="s">
        <v>1557</v>
      </c>
      <c r="D115" t="s">
        <v>1554</v>
      </c>
    </row>
    <row r="116" spans="1:4" x14ac:dyDescent="0.2">
      <c r="A116" t="s">
        <v>137</v>
      </c>
      <c r="B116" t="s">
        <v>9</v>
      </c>
      <c r="C116" t="s">
        <v>1553</v>
      </c>
      <c r="D116" t="s">
        <v>1554</v>
      </c>
    </row>
    <row r="117" spans="1:4" x14ac:dyDescent="0.2">
      <c r="A117" t="s">
        <v>137</v>
      </c>
      <c r="B117" t="s">
        <v>10</v>
      </c>
      <c r="C117" t="s">
        <v>1555</v>
      </c>
      <c r="D117" t="s">
        <v>1554</v>
      </c>
    </row>
    <row r="118" spans="1:4" x14ac:dyDescent="0.2">
      <c r="A118" t="s">
        <v>137</v>
      </c>
      <c r="B118" t="s">
        <v>23</v>
      </c>
      <c r="C118" t="s">
        <v>1556</v>
      </c>
      <c r="D118" t="s">
        <v>1554</v>
      </c>
    </row>
    <row r="119" spans="1:4" x14ac:dyDescent="0.2">
      <c r="A119" t="s">
        <v>137</v>
      </c>
      <c r="B119" t="s">
        <v>25</v>
      </c>
      <c r="C119" t="s">
        <v>1557</v>
      </c>
      <c r="D119" t="s">
        <v>1554</v>
      </c>
    </row>
    <row r="120" spans="1:4" x14ac:dyDescent="0.2">
      <c r="A120" t="s">
        <v>137</v>
      </c>
      <c r="B120" t="s">
        <v>21</v>
      </c>
      <c r="C120" t="s">
        <v>1571</v>
      </c>
      <c r="D120" t="s">
        <v>1559</v>
      </c>
    </row>
    <row r="121" spans="1:4" x14ac:dyDescent="0.2">
      <c r="A121" t="s">
        <v>137</v>
      </c>
      <c r="B121" t="s">
        <v>22</v>
      </c>
      <c r="C121" t="s">
        <v>1572</v>
      </c>
      <c r="D121" t="s">
        <v>1559</v>
      </c>
    </row>
    <row r="122" spans="1:4" x14ac:dyDescent="0.2">
      <c r="A122" t="s">
        <v>137</v>
      </c>
      <c r="B122" t="s">
        <v>24</v>
      </c>
      <c r="C122" t="s">
        <v>1558</v>
      </c>
      <c r="D122" t="s">
        <v>1559</v>
      </c>
    </row>
    <row r="123" spans="1:4" x14ac:dyDescent="0.2">
      <c r="A123" t="s">
        <v>143</v>
      </c>
      <c r="B123" t="s">
        <v>6</v>
      </c>
      <c r="C123" t="s">
        <v>1564</v>
      </c>
      <c r="D123" t="s">
        <v>1554</v>
      </c>
    </row>
    <row r="124" spans="1:4" x14ac:dyDescent="0.2">
      <c r="A124" t="s">
        <v>143</v>
      </c>
      <c r="B124" t="s">
        <v>7</v>
      </c>
      <c r="C124" t="s">
        <v>1565</v>
      </c>
      <c r="D124" t="s">
        <v>1554</v>
      </c>
    </row>
    <row r="125" spans="1:4" x14ac:dyDescent="0.2">
      <c r="A125" t="s">
        <v>143</v>
      </c>
      <c r="B125" t="s">
        <v>8</v>
      </c>
      <c r="C125" t="s">
        <v>1561</v>
      </c>
      <c r="D125" t="s">
        <v>1554</v>
      </c>
    </row>
    <row r="126" spans="1:4" x14ac:dyDescent="0.2">
      <c r="A126" t="s">
        <v>143</v>
      </c>
      <c r="B126" t="s">
        <v>9</v>
      </c>
      <c r="C126" t="s">
        <v>1553</v>
      </c>
      <c r="D126" t="s">
        <v>1554</v>
      </c>
    </row>
    <row r="127" spans="1:4" x14ac:dyDescent="0.2">
      <c r="A127" t="s">
        <v>143</v>
      </c>
      <c r="B127" t="s">
        <v>10</v>
      </c>
      <c r="C127" t="s">
        <v>1555</v>
      </c>
      <c r="D127" t="s">
        <v>1554</v>
      </c>
    </row>
    <row r="128" spans="1:4" x14ac:dyDescent="0.2">
      <c r="A128" t="s">
        <v>143</v>
      </c>
      <c r="B128" t="s">
        <v>23</v>
      </c>
      <c r="C128" t="s">
        <v>1556</v>
      </c>
      <c r="D128" t="s">
        <v>1554</v>
      </c>
    </row>
    <row r="129" spans="1:4" x14ac:dyDescent="0.2">
      <c r="A129" t="s">
        <v>143</v>
      </c>
      <c r="B129" t="s">
        <v>25</v>
      </c>
      <c r="C129" t="s">
        <v>1557</v>
      </c>
      <c r="D129" t="s">
        <v>1554</v>
      </c>
    </row>
    <row r="130" spans="1:4" x14ac:dyDescent="0.2">
      <c r="A130" t="s">
        <v>150</v>
      </c>
      <c r="B130" t="s">
        <v>8</v>
      </c>
      <c r="C130" t="s">
        <v>1561</v>
      </c>
      <c r="D130" t="s">
        <v>1554</v>
      </c>
    </row>
    <row r="131" spans="1:4" x14ac:dyDescent="0.2">
      <c r="A131" t="s">
        <v>150</v>
      </c>
      <c r="B131" t="s">
        <v>10</v>
      </c>
      <c r="C131" t="s">
        <v>1555</v>
      </c>
      <c r="D131" t="s">
        <v>1554</v>
      </c>
    </row>
    <row r="132" spans="1:4" x14ac:dyDescent="0.2">
      <c r="A132" t="s">
        <v>150</v>
      </c>
      <c r="B132" t="s">
        <v>23</v>
      </c>
      <c r="C132" t="s">
        <v>1556</v>
      </c>
      <c r="D132" t="s">
        <v>1554</v>
      </c>
    </row>
    <row r="133" spans="1:4" x14ac:dyDescent="0.2">
      <c r="A133" t="s">
        <v>150</v>
      </c>
      <c r="B133" t="s">
        <v>25</v>
      </c>
      <c r="C133" t="s">
        <v>1557</v>
      </c>
      <c r="D133" t="s">
        <v>1554</v>
      </c>
    </row>
    <row r="134" spans="1:4" x14ac:dyDescent="0.2">
      <c r="A134" t="s">
        <v>150</v>
      </c>
      <c r="B134" t="s">
        <v>24</v>
      </c>
      <c r="C134" t="s">
        <v>1558</v>
      </c>
      <c r="D134" t="s">
        <v>1559</v>
      </c>
    </row>
    <row r="135" spans="1:4" x14ac:dyDescent="0.2">
      <c r="A135" t="s">
        <v>157</v>
      </c>
      <c r="B135" t="s">
        <v>8</v>
      </c>
      <c r="C135" t="s">
        <v>1561</v>
      </c>
      <c r="D135" t="s">
        <v>1554</v>
      </c>
    </row>
    <row r="136" spans="1:4" x14ac:dyDescent="0.2">
      <c r="A136" t="s">
        <v>157</v>
      </c>
      <c r="B136" t="s">
        <v>10</v>
      </c>
      <c r="C136" t="s">
        <v>1555</v>
      </c>
      <c r="D136" t="s">
        <v>1554</v>
      </c>
    </row>
    <row r="137" spans="1:4" x14ac:dyDescent="0.2">
      <c r="A137" t="s">
        <v>157</v>
      </c>
      <c r="B137" t="s">
        <v>23</v>
      </c>
      <c r="C137" t="s">
        <v>1556</v>
      </c>
      <c r="D137" t="s">
        <v>1554</v>
      </c>
    </row>
    <row r="138" spans="1:4" x14ac:dyDescent="0.2">
      <c r="A138" t="s">
        <v>157</v>
      </c>
      <c r="B138" t="s">
        <v>25</v>
      </c>
      <c r="C138" t="s">
        <v>1557</v>
      </c>
      <c r="D138" t="s">
        <v>1554</v>
      </c>
    </row>
    <row r="139" spans="1:4" x14ac:dyDescent="0.2">
      <c r="A139" t="s">
        <v>157</v>
      </c>
      <c r="B139" t="s">
        <v>21</v>
      </c>
      <c r="C139" t="s">
        <v>1571</v>
      </c>
      <c r="D139" t="s">
        <v>1559</v>
      </c>
    </row>
    <row r="140" spans="1:4" x14ac:dyDescent="0.2">
      <c r="A140" t="s">
        <v>157</v>
      </c>
      <c r="B140" t="s">
        <v>22</v>
      </c>
      <c r="C140" t="s">
        <v>1572</v>
      </c>
      <c r="D140" t="s">
        <v>1559</v>
      </c>
    </row>
    <row r="141" spans="1:4" x14ac:dyDescent="0.2">
      <c r="A141" t="s">
        <v>157</v>
      </c>
      <c r="B141" t="s">
        <v>24</v>
      </c>
      <c r="C141" t="s">
        <v>1558</v>
      </c>
      <c r="D141" t="s">
        <v>1559</v>
      </c>
    </row>
    <row r="142" spans="1:4" x14ac:dyDescent="0.2">
      <c r="A142" t="s">
        <v>163</v>
      </c>
      <c r="B142" t="s">
        <v>8</v>
      </c>
      <c r="C142" t="s">
        <v>1561</v>
      </c>
      <c r="D142" t="s">
        <v>1554</v>
      </c>
    </row>
    <row r="143" spans="1:4" x14ac:dyDescent="0.2">
      <c r="A143" t="s">
        <v>163</v>
      </c>
      <c r="B143" t="s">
        <v>10</v>
      </c>
      <c r="C143" t="s">
        <v>1555</v>
      </c>
      <c r="D143" t="s">
        <v>1554</v>
      </c>
    </row>
    <row r="144" spans="1:4" x14ac:dyDescent="0.2">
      <c r="A144" t="s">
        <v>163</v>
      </c>
      <c r="B144" t="s">
        <v>19</v>
      </c>
      <c r="C144" t="s">
        <v>1570</v>
      </c>
      <c r="D144" t="s">
        <v>1554</v>
      </c>
    </row>
    <row r="145" spans="1:4" x14ac:dyDescent="0.2">
      <c r="A145" t="s">
        <v>163</v>
      </c>
      <c r="B145" t="s">
        <v>23</v>
      </c>
      <c r="C145" t="s">
        <v>1556</v>
      </c>
      <c r="D145" t="s">
        <v>1554</v>
      </c>
    </row>
    <row r="146" spans="1:4" x14ac:dyDescent="0.2">
      <c r="A146" t="s">
        <v>163</v>
      </c>
      <c r="B146" t="s">
        <v>25</v>
      </c>
      <c r="C146" t="s">
        <v>1557</v>
      </c>
      <c r="D146" t="s">
        <v>1554</v>
      </c>
    </row>
    <row r="147" spans="1:4" x14ac:dyDescent="0.2">
      <c r="A147" t="s">
        <v>163</v>
      </c>
      <c r="B147" t="s">
        <v>21</v>
      </c>
      <c r="C147" t="s">
        <v>1571</v>
      </c>
      <c r="D147" t="s">
        <v>1559</v>
      </c>
    </row>
    <row r="148" spans="1:4" x14ac:dyDescent="0.2">
      <c r="A148" t="s">
        <v>163</v>
      </c>
      <c r="B148" t="s">
        <v>22</v>
      </c>
      <c r="C148" t="s">
        <v>1572</v>
      </c>
      <c r="D148" t="s">
        <v>1559</v>
      </c>
    </row>
    <row r="149" spans="1:4" x14ac:dyDescent="0.2">
      <c r="A149" t="s">
        <v>163</v>
      </c>
      <c r="B149" t="s">
        <v>24</v>
      </c>
      <c r="C149" t="s">
        <v>1558</v>
      </c>
      <c r="D149" t="s">
        <v>1559</v>
      </c>
    </row>
    <row r="150" spans="1:4" x14ac:dyDescent="0.2">
      <c r="A150" t="s">
        <v>169</v>
      </c>
      <c r="B150" t="s">
        <v>8</v>
      </c>
      <c r="C150" t="s">
        <v>1561</v>
      </c>
      <c r="D150" t="s">
        <v>1554</v>
      </c>
    </row>
    <row r="151" spans="1:4" x14ac:dyDescent="0.2">
      <c r="A151" t="s">
        <v>169</v>
      </c>
      <c r="B151" t="s">
        <v>10</v>
      </c>
      <c r="C151" t="s">
        <v>1555</v>
      </c>
      <c r="D151" t="s">
        <v>1554</v>
      </c>
    </row>
    <row r="152" spans="1:4" x14ac:dyDescent="0.2">
      <c r="A152" t="s">
        <v>169</v>
      </c>
      <c r="B152" t="s">
        <v>13</v>
      </c>
      <c r="C152" t="s">
        <v>1567</v>
      </c>
      <c r="D152" t="s">
        <v>1554</v>
      </c>
    </row>
    <row r="153" spans="1:4" x14ac:dyDescent="0.2">
      <c r="A153" t="s">
        <v>169</v>
      </c>
      <c r="B153" t="s">
        <v>14</v>
      </c>
      <c r="C153" t="s">
        <v>1568</v>
      </c>
      <c r="D153" t="s">
        <v>1554</v>
      </c>
    </row>
    <row r="154" spans="1:4" x14ac:dyDescent="0.2">
      <c r="A154" t="s">
        <v>169</v>
      </c>
      <c r="B154" t="s">
        <v>19</v>
      </c>
      <c r="C154" t="s">
        <v>1570</v>
      </c>
      <c r="D154" t="s">
        <v>1554</v>
      </c>
    </row>
    <row r="155" spans="1:4" x14ac:dyDescent="0.2">
      <c r="A155" t="s">
        <v>169</v>
      </c>
      <c r="B155" t="s">
        <v>23</v>
      </c>
      <c r="C155" t="s">
        <v>1556</v>
      </c>
      <c r="D155" t="s">
        <v>1554</v>
      </c>
    </row>
    <row r="156" spans="1:4" x14ac:dyDescent="0.2">
      <c r="A156" t="s">
        <v>169</v>
      </c>
      <c r="B156" t="s">
        <v>25</v>
      </c>
      <c r="C156" t="s">
        <v>1557</v>
      </c>
      <c r="D156" t="s">
        <v>1554</v>
      </c>
    </row>
    <row r="157" spans="1:4" x14ac:dyDescent="0.2">
      <c r="A157" t="s">
        <v>169</v>
      </c>
      <c r="B157" t="s">
        <v>24</v>
      </c>
      <c r="C157" t="s">
        <v>1558</v>
      </c>
      <c r="D157" t="s">
        <v>1559</v>
      </c>
    </row>
    <row r="158" spans="1:4" x14ac:dyDescent="0.2">
      <c r="A158" t="s">
        <v>176</v>
      </c>
      <c r="B158" t="s">
        <v>6</v>
      </c>
      <c r="C158" t="s">
        <v>1564</v>
      </c>
      <c r="D158" t="s">
        <v>1554</v>
      </c>
    </row>
    <row r="159" spans="1:4" x14ac:dyDescent="0.2">
      <c r="A159" t="s">
        <v>176</v>
      </c>
      <c r="B159" t="s">
        <v>7</v>
      </c>
      <c r="C159" t="s">
        <v>1565</v>
      </c>
      <c r="D159" t="s">
        <v>1554</v>
      </c>
    </row>
    <row r="160" spans="1:4" x14ac:dyDescent="0.2">
      <c r="A160" t="s">
        <v>176</v>
      </c>
      <c r="B160" t="s">
        <v>8</v>
      </c>
      <c r="C160" t="s">
        <v>1561</v>
      </c>
      <c r="D160" t="s">
        <v>1554</v>
      </c>
    </row>
    <row r="161" spans="1:4" x14ac:dyDescent="0.2">
      <c r="A161" t="s">
        <v>176</v>
      </c>
      <c r="B161" t="s">
        <v>9</v>
      </c>
      <c r="C161" t="s">
        <v>1553</v>
      </c>
      <c r="D161" t="s">
        <v>1554</v>
      </c>
    </row>
    <row r="162" spans="1:4" x14ac:dyDescent="0.2">
      <c r="A162" t="s">
        <v>176</v>
      </c>
      <c r="B162" t="s">
        <v>10</v>
      </c>
      <c r="C162" t="s">
        <v>1555</v>
      </c>
      <c r="D162" t="s">
        <v>1554</v>
      </c>
    </row>
    <row r="163" spans="1:4" x14ac:dyDescent="0.2">
      <c r="A163" t="s">
        <v>176</v>
      </c>
      <c r="B163" t="s">
        <v>13</v>
      </c>
      <c r="C163" t="s">
        <v>1567</v>
      </c>
      <c r="D163" t="s">
        <v>1554</v>
      </c>
    </row>
    <row r="164" spans="1:4" x14ac:dyDescent="0.2">
      <c r="A164" t="s">
        <v>176</v>
      </c>
      <c r="B164" t="s">
        <v>14</v>
      </c>
      <c r="C164" t="s">
        <v>1568</v>
      </c>
      <c r="D164" t="s">
        <v>1554</v>
      </c>
    </row>
    <row r="165" spans="1:4" x14ac:dyDescent="0.2">
      <c r="A165" t="s">
        <v>176</v>
      </c>
      <c r="B165" t="s">
        <v>23</v>
      </c>
      <c r="C165" t="s">
        <v>1556</v>
      </c>
      <c r="D165" t="s">
        <v>1554</v>
      </c>
    </row>
    <row r="166" spans="1:4" x14ac:dyDescent="0.2">
      <c r="A166" t="s">
        <v>176</v>
      </c>
      <c r="B166" t="s">
        <v>25</v>
      </c>
      <c r="C166" t="s">
        <v>1557</v>
      </c>
      <c r="D166" t="s">
        <v>1554</v>
      </c>
    </row>
    <row r="167" spans="1:4" x14ac:dyDescent="0.2">
      <c r="A167" t="s">
        <v>176</v>
      </c>
      <c r="B167" t="s">
        <v>24</v>
      </c>
      <c r="C167" t="s">
        <v>1558</v>
      </c>
      <c r="D167" t="s">
        <v>1559</v>
      </c>
    </row>
    <row r="168" spans="1:4" x14ac:dyDescent="0.2">
      <c r="A168" t="s">
        <v>183</v>
      </c>
      <c r="B168" t="s">
        <v>9</v>
      </c>
      <c r="C168" t="s">
        <v>1553</v>
      </c>
      <c r="D168" t="s">
        <v>1554</v>
      </c>
    </row>
    <row r="169" spans="1:4" x14ac:dyDescent="0.2">
      <c r="A169" t="s">
        <v>183</v>
      </c>
      <c r="B169" t="s">
        <v>10</v>
      </c>
      <c r="C169" t="s">
        <v>1555</v>
      </c>
      <c r="D169" t="s">
        <v>1554</v>
      </c>
    </row>
    <row r="170" spans="1:4" x14ac:dyDescent="0.2">
      <c r="A170" t="s">
        <v>183</v>
      </c>
      <c r="B170" t="s">
        <v>15</v>
      </c>
      <c r="C170" t="s">
        <v>1569</v>
      </c>
      <c r="D170" t="s">
        <v>1554</v>
      </c>
    </row>
    <row r="171" spans="1:4" x14ac:dyDescent="0.2">
      <c r="A171" t="s">
        <v>183</v>
      </c>
      <c r="B171" t="s">
        <v>23</v>
      </c>
      <c r="C171" t="s">
        <v>1556</v>
      </c>
      <c r="D171" t="s">
        <v>1554</v>
      </c>
    </row>
    <row r="172" spans="1:4" x14ac:dyDescent="0.2">
      <c r="A172" t="s">
        <v>183</v>
      </c>
      <c r="B172" t="s">
        <v>25</v>
      </c>
      <c r="C172" t="s">
        <v>1557</v>
      </c>
      <c r="D172" t="s">
        <v>1554</v>
      </c>
    </row>
    <row r="173" spans="1:4" x14ac:dyDescent="0.2">
      <c r="A173" t="s">
        <v>183</v>
      </c>
      <c r="B173" t="s">
        <v>24</v>
      </c>
      <c r="C173" t="s">
        <v>1558</v>
      </c>
      <c r="D173" t="s">
        <v>1559</v>
      </c>
    </row>
    <row r="174" spans="1:4" x14ac:dyDescent="0.2">
      <c r="A174" t="s">
        <v>190</v>
      </c>
      <c r="B174" t="s">
        <v>8</v>
      </c>
      <c r="C174" t="s">
        <v>1561</v>
      </c>
      <c r="D174" t="s">
        <v>1554</v>
      </c>
    </row>
    <row r="175" spans="1:4" x14ac:dyDescent="0.2">
      <c r="A175" t="s">
        <v>190</v>
      </c>
      <c r="B175" t="s">
        <v>9</v>
      </c>
      <c r="C175" t="s">
        <v>1553</v>
      </c>
      <c r="D175" t="s">
        <v>1554</v>
      </c>
    </row>
    <row r="176" spans="1:4" x14ac:dyDescent="0.2">
      <c r="A176" t="s">
        <v>190</v>
      </c>
      <c r="B176" t="s">
        <v>23</v>
      </c>
      <c r="C176" t="s">
        <v>1556</v>
      </c>
      <c r="D176" t="s">
        <v>1554</v>
      </c>
    </row>
    <row r="177" spans="1:4" x14ac:dyDescent="0.2">
      <c r="A177" t="s">
        <v>190</v>
      </c>
      <c r="B177" t="s">
        <v>25</v>
      </c>
      <c r="C177" t="s">
        <v>1557</v>
      </c>
      <c r="D177" t="s">
        <v>1554</v>
      </c>
    </row>
    <row r="178" spans="1:4" x14ac:dyDescent="0.2">
      <c r="A178" t="s">
        <v>190</v>
      </c>
      <c r="B178" t="s">
        <v>24</v>
      </c>
      <c r="C178" t="s">
        <v>1558</v>
      </c>
      <c r="D178" t="s">
        <v>1559</v>
      </c>
    </row>
    <row r="179" spans="1:4" x14ac:dyDescent="0.2">
      <c r="A179" t="s">
        <v>196</v>
      </c>
      <c r="B179" t="s">
        <v>3</v>
      </c>
      <c r="C179" t="s">
        <v>1562</v>
      </c>
      <c r="D179" t="s">
        <v>1554</v>
      </c>
    </row>
    <row r="180" spans="1:4" x14ac:dyDescent="0.2">
      <c r="A180" t="s">
        <v>196</v>
      </c>
      <c r="B180" t="s">
        <v>5</v>
      </c>
      <c r="C180" t="s">
        <v>1563</v>
      </c>
      <c r="D180" t="s">
        <v>1554</v>
      </c>
    </row>
    <row r="181" spans="1:4" x14ac:dyDescent="0.2">
      <c r="A181" t="s">
        <v>196</v>
      </c>
      <c r="B181" t="s">
        <v>6</v>
      </c>
      <c r="C181" t="s">
        <v>1564</v>
      </c>
      <c r="D181" t="s">
        <v>1554</v>
      </c>
    </row>
    <row r="182" spans="1:4" x14ac:dyDescent="0.2">
      <c r="A182" t="s">
        <v>196</v>
      </c>
      <c r="B182" t="s">
        <v>7</v>
      </c>
      <c r="C182" t="s">
        <v>1565</v>
      </c>
      <c r="D182" t="s">
        <v>1554</v>
      </c>
    </row>
    <row r="183" spans="1:4" x14ac:dyDescent="0.2">
      <c r="A183" t="s">
        <v>196</v>
      </c>
      <c r="B183" t="s">
        <v>8</v>
      </c>
      <c r="C183" t="s">
        <v>1561</v>
      </c>
      <c r="D183" t="s">
        <v>1554</v>
      </c>
    </row>
    <row r="184" spans="1:4" x14ac:dyDescent="0.2">
      <c r="A184" t="s">
        <v>196</v>
      </c>
      <c r="B184" t="s">
        <v>9</v>
      </c>
      <c r="C184" t="s">
        <v>1553</v>
      </c>
      <c r="D184" t="s">
        <v>1554</v>
      </c>
    </row>
    <row r="185" spans="1:4" x14ac:dyDescent="0.2">
      <c r="A185" t="s">
        <v>196</v>
      </c>
      <c r="B185" t="s">
        <v>10</v>
      </c>
      <c r="C185" t="s">
        <v>1555</v>
      </c>
      <c r="D185" t="s">
        <v>1554</v>
      </c>
    </row>
    <row r="186" spans="1:4" x14ac:dyDescent="0.2">
      <c r="A186" t="s">
        <v>196</v>
      </c>
      <c r="B186" t="s">
        <v>11</v>
      </c>
      <c r="C186" t="s">
        <v>1566</v>
      </c>
      <c r="D186" t="s">
        <v>1554</v>
      </c>
    </row>
    <row r="187" spans="1:4" x14ac:dyDescent="0.2">
      <c r="A187" t="s">
        <v>196</v>
      </c>
      <c r="B187" t="s">
        <v>13</v>
      </c>
      <c r="C187" t="s">
        <v>1567</v>
      </c>
      <c r="D187" t="s">
        <v>1554</v>
      </c>
    </row>
    <row r="188" spans="1:4" x14ac:dyDescent="0.2">
      <c r="A188" t="s">
        <v>196</v>
      </c>
      <c r="B188" t="s">
        <v>14</v>
      </c>
      <c r="C188" t="s">
        <v>1568</v>
      </c>
      <c r="D188" t="s">
        <v>1554</v>
      </c>
    </row>
    <row r="189" spans="1:4" x14ac:dyDescent="0.2">
      <c r="A189" t="s">
        <v>196</v>
      </c>
      <c r="B189" t="s">
        <v>15</v>
      </c>
      <c r="C189" t="s">
        <v>1569</v>
      </c>
      <c r="D189" t="s">
        <v>1554</v>
      </c>
    </row>
    <row r="190" spans="1:4" x14ac:dyDescent="0.2">
      <c r="A190" t="s">
        <v>196</v>
      </c>
      <c r="B190" t="s">
        <v>17</v>
      </c>
      <c r="C190" t="s">
        <v>1560</v>
      </c>
      <c r="D190" t="s">
        <v>1554</v>
      </c>
    </row>
    <row r="191" spans="1:4" x14ac:dyDescent="0.2">
      <c r="A191" t="s">
        <v>196</v>
      </c>
      <c r="B191" t="s">
        <v>19</v>
      </c>
      <c r="C191" t="s">
        <v>1570</v>
      </c>
      <c r="D191" t="s">
        <v>1554</v>
      </c>
    </row>
    <row r="192" spans="1:4" x14ac:dyDescent="0.2">
      <c r="A192" t="s">
        <v>196</v>
      </c>
      <c r="B192" t="s">
        <v>23</v>
      </c>
      <c r="C192" t="s">
        <v>1556</v>
      </c>
      <c r="D192" t="s">
        <v>1554</v>
      </c>
    </row>
    <row r="193" spans="1:4" x14ac:dyDescent="0.2">
      <c r="A193" t="s">
        <v>196</v>
      </c>
      <c r="B193" t="s">
        <v>25</v>
      </c>
      <c r="C193" t="s">
        <v>1557</v>
      </c>
      <c r="D193" t="s">
        <v>1554</v>
      </c>
    </row>
    <row r="194" spans="1:4" x14ac:dyDescent="0.2">
      <c r="A194" t="s">
        <v>196</v>
      </c>
      <c r="B194" t="s">
        <v>21</v>
      </c>
      <c r="C194" t="s">
        <v>1571</v>
      </c>
      <c r="D194" t="s">
        <v>1559</v>
      </c>
    </row>
    <row r="195" spans="1:4" x14ac:dyDescent="0.2">
      <c r="A195" t="s">
        <v>196</v>
      </c>
      <c r="B195" t="s">
        <v>22</v>
      </c>
      <c r="C195" t="s">
        <v>1572</v>
      </c>
      <c r="D195" t="s">
        <v>1559</v>
      </c>
    </row>
    <row r="196" spans="1:4" x14ac:dyDescent="0.2">
      <c r="A196" t="s">
        <v>196</v>
      </c>
      <c r="B196" t="s">
        <v>24</v>
      </c>
      <c r="C196" t="s">
        <v>1558</v>
      </c>
      <c r="D196" t="s">
        <v>1559</v>
      </c>
    </row>
    <row r="197" spans="1:4" x14ac:dyDescent="0.2">
      <c r="A197" t="s">
        <v>199</v>
      </c>
      <c r="B197" t="s">
        <v>8</v>
      </c>
      <c r="C197" t="s">
        <v>1561</v>
      </c>
      <c r="D197" t="s">
        <v>1554</v>
      </c>
    </row>
    <row r="198" spans="1:4" x14ac:dyDescent="0.2">
      <c r="A198" t="s">
        <v>199</v>
      </c>
      <c r="B198" t="s">
        <v>9</v>
      </c>
      <c r="C198" t="s">
        <v>1553</v>
      </c>
      <c r="D198" t="s">
        <v>1554</v>
      </c>
    </row>
    <row r="199" spans="1:4" x14ac:dyDescent="0.2">
      <c r="A199" t="s">
        <v>199</v>
      </c>
      <c r="B199" t="s">
        <v>10</v>
      </c>
      <c r="C199" t="s">
        <v>1555</v>
      </c>
      <c r="D199" t="s">
        <v>1554</v>
      </c>
    </row>
    <row r="200" spans="1:4" x14ac:dyDescent="0.2">
      <c r="A200" t="s">
        <v>199</v>
      </c>
      <c r="B200" t="s">
        <v>17</v>
      </c>
      <c r="C200" t="s">
        <v>1560</v>
      </c>
      <c r="D200" t="s">
        <v>1554</v>
      </c>
    </row>
    <row r="201" spans="1:4" x14ac:dyDescent="0.2">
      <c r="A201" t="s">
        <v>199</v>
      </c>
      <c r="B201" t="s">
        <v>19</v>
      </c>
      <c r="C201" t="s">
        <v>1570</v>
      </c>
      <c r="D201" t="s">
        <v>1554</v>
      </c>
    </row>
    <row r="202" spans="1:4" x14ac:dyDescent="0.2">
      <c r="A202" t="s">
        <v>199</v>
      </c>
      <c r="B202" t="s">
        <v>23</v>
      </c>
      <c r="C202" t="s">
        <v>1556</v>
      </c>
      <c r="D202" t="s">
        <v>1554</v>
      </c>
    </row>
    <row r="203" spans="1:4" x14ac:dyDescent="0.2">
      <c r="A203" t="s">
        <v>199</v>
      </c>
      <c r="B203" t="s">
        <v>25</v>
      </c>
      <c r="C203" t="s">
        <v>1557</v>
      </c>
      <c r="D203" t="s">
        <v>1554</v>
      </c>
    </row>
    <row r="204" spans="1:4" x14ac:dyDescent="0.2">
      <c r="A204" t="s">
        <v>206</v>
      </c>
      <c r="B204" t="s">
        <v>6</v>
      </c>
      <c r="C204" t="s">
        <v>1564</v>
      </c>
      <c r="D204" t="s">
        <v>1554</v>
      </c>
    </row>
    <row r="205" spans="1:4" x14ac:dyDescent="0.2">
      <c r="A205" t="s">
        <v>206</v>
      </c>
      <c r="B205" t="s">
        <v>7</v>
      </c>
      <c r="C205" t="s">
        <v>1565</v>
      </c>
      <c r="D205" t="s">
        <v>1554</v>
      </c>
    </row>
    <row r="206" spans="1:4" x14ac:dyDescent="0.2">
      <c r="A206" t="s">
        <v>206</v>
      </c>
      <c r="B206" t="s">
        <v>8</v>
      </c>
      <c r="C206" t="s">
        <v>1561</v>
      </c>
      <c r="D206" t="s">
        <v>1554</v>
      </c>
    </row>
    <row r="207" spans="1:4" x14ac:dyDescent="0.2">
      <c r="A207" t="s">
        <v>206</v>
      </c>
      <c r="B207" t="s">
        <v>9</v>
      </c>
      <c r="C207" t="s">
        <v>1553</v>
      </c>
      <c r="D207" t="s">
        <v>1554</v>
      </c>
    </row>
    <row r="208" spans="1:4" x14ac:dyDescent="0.2">
      <c r="A208" t="s">
        <v>206</v>
      </c>
      <c r="B208" t="s">
        <v>10</v>
      </c>
      <c r="C208" t="s">
        <v>1555</v>
      </c>
      <c r="D208" t="s">
        <v>1554</v>
      </c>
    </row>
    <row r="209" spans="1:4" x14ac:dyDescent="0.2">
      <c r="A209" t="s">
        <v>206</v>
      </c>
      <c r="B209" t="s">
        <v>14</v>
      </c>
      <c r="C209" t="s">
        <v>1568</v>
      </c>
      <c r="D209" t="s">
        <v>1554</v>
      </c>
    </row>
    <row r="210" spans="1:4" x14ac:dyDescent="0.2">
      <c r="A210" t="s">
        <v>206</v>
      </c>
      <c r="B210" t="s">
        <v>23</v>
      </c>
      <c r="C210" t="s">
        <v>1556</v>
      </c>
      <c r="D210" t="s">
        <v>1554</v>
      </c>
    </row>
    <row r="211" spans="1:4" x14ac:dyDescent="0.2">
      <c r="A211" t="s">
        <v>206</v>
      </c>
      <c r="B211" t="s">
        <v>25</v>
      </c>
      <c r="C211" t="s">
        <v>1557</v>
      </c>
      <c r="D211" t="s">
        <v>1554</v>
      </c>
    </row>
    <row r="212" spans="1:4" x14ac:dyDescent="0.2">
      <c r="A212" t="s">
        <v>206</v>
      </c>
      <c r="B212" t="s">
        <v>24</v>
      </c>
      <c r="C212" t="s">
        <v>1558</v>
      </c>
      <c r="D212" t="s">
        <v>1559</v>
      </c>
    </row>
    <row r="213" spans="1:4" x14ac:dyDescent="0.2">
      <c r="A213" t="s">
        <v>213</v>
      </c>
      <c r="B213" t="s">
        <v>8</v>
      </c>
      <c r="C213" t="s">
        <v>1561</v>
      </c>
      <c r="D213" t="s">
        <v>1554</v>
      </c>
    </row>
    <row r="214" spans="1:4" x14ac:dyDescent="0.2">
      <c r="A214" t="s">
        <v>213</v>
      </c>
      <c r="B214" t="s">
        <v>9</v>
      </c>
      <c r="C214" t="s">
        <v>1553</v>
      </c>
      <c r="D214" t="s">
        <v>1554</v>
      </c>
    </row>
    <row r="215" spans="1:4" x14ac:dyDescent="0.2">
      <c r="A215" t="s">
        <v>213</v>
      </c>
      <c r="B215" t="s">
        <v>13</v>
      </c>
      <c r="C215" t="s">
        <v>1567</v>
      </c>
      <c r="D215" t="s">
        <v>1554</v>
      </c>
    </row>
    <row r="216" spans="1:4" x14ac:dyDescent="0.2">
      <c r="A216" t="s">
        <v>213</v>
      </c>
      <c r="B216" t="s">
        <v>14</v>
      </c>
      <c r="C216" t="s">
        <v>1568</v>
      </c>
      <c r="D216" t="s">
        <v>1554</v>
      </c>
    </row>
    <row r="217" spans="1:4" x14ac:dyDescent="0.2">
      <c r="A217" t="s">
        <v>213</v>
      </c>
      <c r="B217" t="s">
        <v>23</v>
      </c>
      <c r="C217" t="s">
        <v>1556</v>
      </c>
      <c r="D217" t="s">
        <v>1554</v>
      </c>
    </row>
    <row r="218" spans="1:4" x14ac:dyDescent="0.2">
      <c r="A218" t="s">
        <v>213</v>
      </c>
      <c r="B218" t="s">
        <v>25</v>
      </c>
      <c r="C218" t="s">
        <v>1557</v>
      </c>
      <c r="D218" t="s">
        <v>1554</v>
      </c>
    </row>
    <row r="219" spans="1:4" x14ac:dyDescent="0.2">
      <c r="A219" t="s">
        <v>213</v>
      </c>
      <c r="B219" t="s">
        <v>24</v>
      </c>
      <c r="C219" t="s">
        <v>1558</v>
      </c>
      <c r="D219" t="s">
        <v>1559</v>
      </c>
    </row>
    <row r="220" spans="1:4" x14ac:dyDescent="0.2">
      <c r="A220" t="s">
        <v>220</v>
      </c>
      <c r="B220" t="s">
        <v>7</v>
      </c>
      <c r="C220" t="s">
        <v>1565</v>
      </c>
      <c r="D220" t="s">
        <v>1554</v>
      </c>
    </row>
    <row r="221" spans="1:4" x14ac:dyDescent="0.2">
      <c r="A221" t="s">
        <v>220</v>
      </c>
      <c r="B221" t="s">
        <v>9</v>
      </c>
      <c r="C221" t="s">
        <v>1553</v>
      </c>
      <c r="D221" t="s">
        <v>1554</v>
      </c>
    </row>
    <row r="222" spans="1:4" x14ac:dyDescent="0.2">
      <c r="A222" t="s">
        <v>220</v>
      </c>
      <c r="B222" t="s">
        <v>10</v>
      </c>
      <c r="C222" t="s">
        <v>1555</v>
      </c>
      <c r="D222" t="s">
        <v>1554</v>
      </c>
    </row>
    <row r="223" spans="1:4" x14ac:dyDescent="0.2">
      <c r="A223" t="s">
        <v>220</v>
      </c>
      <c r="B223" t="s">
        <v>15</v>
      </c>
      <c r="C223" t="s">
        <v>1569</v>
      </c>
      <c r="D223" t="s">
        <v>1554</v>
      </c>
    </row>
    <row r="224" spans="1:4" x14ac:dyDescent="0.2">
      <c r="A224" t="s">
        <v>220</v>
      </c>
      <c r="B224" t="s">
        <v>17</v>
      </c>
      <c r="C224" t="s">
        <v>1560</v>
      </c>
      <c r="D224" t="s">
        <v>1554</v>
      </c>
    </row>
    <row r="225" spans="1:4" x14ac:dyDescent="0.2">
      <c r="A225" t="s">
        <v>220</v>
      </c>
      <c r="B225" t="s">
        <v>19</v>
      </c>
      <c r="C225" t="s">
        <v>1570</v>
      </c>
      <c r="D225" t="s">
        <v>1554</v>
      </c>
    </row>
    <row r="226" spans="1:4" x14ac:dyDescent="0.2">
      <c r="A226" t="s">
        <v>220</v>
      </c>
      <c r="B226" t="s">
        <v>23</v>
      </c>
      <c r="C226" t="s">
        <v>1556</v>
      </c>
      <c r="D226" t="s">
        <v>1554</v>
      </c>
    </row>
    <row r="227" spans="1:4" x14ac:dyDescent="0.2">
      <c r="A227" t="s">
        <v>220</v>
      </c>
      <c r="B227" t="s">
        <v>25</v>
      </c>
      <c r="C227" t="s">
        <v>1557</v>
      </c>
      <c r="D227" t="s">
        <v>1554</v>
      </c>
    </row>
    <row r="228" spans="1:4" x14ac:dyDescent="0.2">
      <c r="A228" t="s">
        <v>227</v>
      </c>
      <c r="B228" t="s">
        <v>8</v>
      </c>
      <c r="C228" t="s">
        <v>1561</v>
      </c>
      <c r="D228" t="s">
        <v>1554</v>
      </c>
    </row>
    <row r="229" spans="1:4" x14ac:dyDescent="0.2">
      <c r="A229" t="s">
        <v>227</v>
      </c>
      <c r="B229" t="s">
        <v>9</v>
      </c>
      <c r="C229" t="s">
        <v>1553</v>
      </c>
      <c r="D229" t="s">
        <v>1554</v>
      </c>
    </row>
    <row r="230" spans="1:4" x14ac:dyDescent="0.2">
      <c r="A230" t="s">
        <v>227</v>
      </c>
      <c r="B230" t="s">
        <v>15</v>
      </c>
      <c r="C230" t="s">
        <v>1569</v>
      </c>
      <c r="D230" t="s">
        <v>1554</v>
      </c>
    </row>
    <row r="231" spans="1:4" x14ac:dyDescent="0.2">
      <c r="A231" t="s">
        <v>227</v>
      </c>
      <c r="B231" t="s">
        <v>17</v>
      </c>
      <c r="C231" t="s">
        <v>1560</v>
      </c>
      <c r="D231" t="s">
        <v>1554</v>
      </c>
    </row>
    <row r="232" spans="1:4" x14ac:dyDescent="0.2">
      <c r="A232" t="s">
        <v>227</v>
      </c>
      <c r="B232" t="s">
        <v>19</v>
      </c>
      <c r="C232" t="s">
        <v>1570</v>
      </c>
      <c r="D232" t="s">
        <v>1554</v>
      </c>
    </row>
    <row r="233" spans="1:4" x14ac:dyDescent="0.2">
      <c r="A233" t="s">
        <v>227</v>
      </c>
      <c r="B233" t="s">
        <v>23</v>
      </c>
      <c r="C233" t="s">
        <v>1556</v>
      </c>
      <c r="D233" t="s">
        <v>1554</v>
      </c>
    </row>
    <row r="234" spans="1:4" x14ac:dyDescent="0.2">
      <c r="A234" t="s">
        <v>227</v>
      </c>
      <c r="B234" t="s">
        <v>25</v>
      </c>
      <c r="C234" t="s">
        <v>1557</v>
      </c>
      <c r="D234" t="s">
        <v>1554</v>
      </c>
    </row>
    <row r="235" spans="1:4" x14ac:dyDescent="0.2">
      <c r="A235" t="s">
        <v>227</v>
      </c>
      <c r="B235" t="s">
        <v>21</v>
      </c>
      <c r="C235" t="s">
        <v>1571</v>
      </c>
      <c r="D235" t="s">
        <v>1559</v>
      </c>
    </row>
    <row r="236" spans="1:4" x14ac:dyDescent="0.2">
      <c r="A236" t="s">
        <v>227</v>
      </c>
      <c r="B236" t="s">
        <v>22</v>
      </c>
      <c r="C236" t="s">
        <v>1572</v>
      </c>
      <c r="D236" t="s">
        <v>1559</v>
      </c>
    </row>
    <row r="237" spans="1:4" x14ac:dyDescent="0.2">
      <c r="A237" t="s">
        <v>227</v>
      </c>
      <c r="B237" t="s">
        <v>24</v>
      </c>
      <c r="C237" t="s">
        <v>1558</v>
      </c>
      <c r="D237" t="s">
        <v>1559</v>
      </c>
    </row>
    <row r="238" spans="1:4" x14ac:dyDescent="0.2">
      <c r="A238" t="s">
        <v>232</v>
      </c>
      <c r="B238" t="s">
        <v>7</v>
      </c>
      <c r="C238" t="s">
        <v>1565</v>
      </c>
      <c r="D238" t="s">
        <v>1554</v>
      </c>
    </row>
    <row r="239" spans="1:4" x14ac:dyDescent="0.2">
      <c r="A239" t="s">
        <v>232</v>
      </c>
      <c r="B239" t="s">
        <v>9</v>
      </c>
      <c r="C239" t="s">
        <v>1553</v>
      </c>
      <c r="D239" t="s">
        <v>1554</v>
      </c>
    </row>
    <row r="240" spans="1:4" x14ac:dyDescent="0.2">
      <c r="A240" t="s">
        <v>232</v>
      </c>
      <c r="B240" t="s">
        <v>10</v>
      </c>
      <c r="C240" t="s">
        <v>1555</v>
      </c>
      <c r="D240" t="s">
        <v>1554</v>
      </c>
    </row>
    <row r="241" spans="1:4" x14ac:dyDescent="0.2">
      <c r="A241" t="s">
        <v>232</v>
      </c>
      <c r="B241" t="s">
        <v>19</v>
      </c>
      <c r="C241" t="s">
        <v>1570</v>
      </c>
      <c r="D241" t="s">
        <v>1554</v>
      </c>
    </row>
    <row r="242" spans="1:4" x14ac:dyDescent="0.2">
      <c r="A242" t="s">
        <v>232</v>
      </c>
      <c r="B242" t="s">
        <v>23</v>
      </c>
      <c r="C242" t="s">
        <v>1556</v>
      </c>
      <c r="D242" t="s">
        <v>1554</v>
      </c>
    </row>
    <row r="243" spans="1:4" x14ac:dyDescent="0.2">
      <c r="A243" t="s">
        <v>232</v>
      </c>
      <c r="B243" t="s">
        <v>25</v>
      </c>
      <c r="C243" t="s">
        <v>1557</v>
      </c>
      <c r="D243" t="s">
        <v>1554</v>
      </c>
    </row>
    <row r="244" spans="1:4" x14ac:dyDescent="0.2">
      <c r="A244" t="s">
        <v>232</v>
      </c>
      <c r="B244" t="s">
        <v>24</v>
      </c>
      <c r="C244" t="s">
        <v>1558</v>
      </c>
      <c r="D244" t="s">
        <v>1559</v>
      </c>
    </row>
    <row r="245" spans="1:4" x14ac:dyDescent="0.2">
      <c r="A245" t="s">
        <v>239</v>
      </c>
      <c r="B245" t="s">
        <v>6</v>
      </c>
      <c r="C245" t="s">
        <v>1564</v>
      </c>
      <c r="D245" t="s">
        <v>1554</v>
      </c>
    </row>
    <row r="246" spans="1:4" x14ac:dyDescent="0.2">
      <c r="A246" t="s">
        <v>239</v>
      </c>
      <c r="B246" t="s">
        <v>7</v>
      </c>
      <c r="C246" t="s">
        <v>1565</v>
      </c>
      <c r="D246" t="s">
        <v>1554</v>
      </c>
    </row>
    <row r="247" spans="1:4" x14ac:dyDescent="0.2">
      <c r="A247" t="s">
        <v>239</v>
      </c>
      <c r="B247" t="s">
        <v>8</v>
      </c>
      <c r="C247" t="s">
        <v>1561</v>
      </c>
      <c r="D247" t="s">
        <v>1554</v>
      </c>
    </row>
    <row r="248" spans="1:4" x14ac:dyDescent="0.2">
      <c r="A248" t="s">
        <v>239</v>
      </c>
      <c r="B248" t="s">
        <v>9</v>
      </c>
      <c r="C248" t="s">
        <v>1553</v>
      </c>
      <c r="D248" t="s">
        <v>1554</v>
      </c>
    </row>
    <row r="249" spans="1:4" x14ac:dyDescent="0.2">
      <c r="A249" t="s">
        <v>239</v>
      </c>
      <c r="B249" t="s">
        <v>10</v>
      </c>
      <c r="C249" t="s">
        <v>1555</v>
      </c>
      <c r="D249" t="s">
        <v>1554</v>
      </c>
    </row>
    <row r="250" spans="1:4" x14ac:dyDescent="0.2">
      <c r="A250" t="s">
        <v>239</v>
      </c>
      <c r="B250" t="s">
        <v>11</v>
      </c>
      <c r="C250" t="s">
        <v>1566</v>
      </c>
      <c r="D250" t="s">
        <v>1554</v>
      </c>
    </row>
    <row r="251" spans="1:4" x14ac:dyDescent="0.2">
      <c r="A251" t="s">
        <v>239</v>
      </c>
      <c r="B251" t="s">
        <v>13</v>
      </c>
      <c r="C251" t="s">
        <v>1567</v>
      </c>
      <c r="D251" t="s">
        <v>1554</v>
      </c>
    </row>
    <row r="252" spans="1:4" x14ac:dyDescent="0.2">
      <c r="A252" t="s">
        <v>239</v>
      </c>
      <c r="B252" t="s">
        <v>14</v>
      </c>
      <c r="C252" t="s">
        <v>1568</v>
      </c>
      <c r="D252" t="s">
        <v>1554</v>
      </c>
    </row>
    <row r="253" spans="1:4" x14ac:dyDescent="0.2">
      <c r="A253" t="s">
        <v>239</v>
      </c>
      <c r="B253" t="s">
        <v>15</v>
      </c>
      <c r="C253" t="s">
        <v>1569</v>
      </c>
      <c r="D253" t="s">
        <v>1554</v>
      </c>
    </row>
    <row r="254" spans="1:4" x14ac:dyDescent="0.2">
      <c r="A254" t="s">
        <v>239</v>
      </c>
      <c r="B254" t="s">
        <v>17</v>
      </c>
      <c r="C254" t="s">
        <v>1560</v>
      </c>
      <c r="D254" t="s">
        <v>1554</v>
      </c>
    </row>
    <row r="255" spans="1:4" x14ac:dyDescent="0.2">
      <c r="A255" t="s">
        <v>239</v>
      </c>
      <c r="B255" t="s">
        <v>19</v>
      </c>
      <c r="C255" t="s">
        <v>1570</v>
      </c>
      <c r="D255" t="s">
        <v>1554</v>
      </c>
    </row>
    <row r="256" spans="1:4" x14ac:dyDescent="0.2">
      <c r="A256" t="s">
        <v>239</v>
      </c>
      <c r="B256" t="s">
        <v>23</v>
      </c>
      <c r="C256" t="s">
        <v>1556</v>
      </c>
      <c r="D256" t="s">
        <v>1554</v>
      </c>
    </row>
    <row r="257" spans="1:4" x14ac:dyDescent="0.2">
      <c r="A257" t="s">
        <v>239</v>
      </c>
      <c r="B257" t="s">
        <v>25</v>
      </c>
      <c r="C257" t="s">
        <v>1557</v>
      </c>
      <c r="D257" t="s">
        <v>1554</v>
      </c>
    </row>
    <row r="258" spans="1:4" x14ac:dyDescent="0.2">
      <c r="A258" t="s">
        <v>239</v>
      </c>
      <c r="B258" t="s">
        <v>21</v>
      </c>
      <c r="C258" t="s">
        <v>1571</v>
      </c>
      <c r="D258" t="s">
        <v>1559</v>
      </c>
    </row>
    <row r="259" spans="1:4" x14ac:dyDescent="0.2">
      <c r="A259" t="s">
        <v>239</v>
      </c>
      <c r="B259" t="s">
        <v>22</v>
      </c>
      <c r="C259" t="s">
        <v>1572</v>
      </c>
      <c r="D259" t="s">
        <v>1559</v>
      </c>
    </row>
    <row r="260" spans="1:4" x14ac:dyDescent="0.2">
      <c r="A260" t="s">
        <v>239</v>
      </c>
      <c r="B260" t="s">
        <v>24</v>
      </c>
      <c r="C260" t="s">
        <v>1558</v>
      </c>
      <c r="D260" t="s">
        <v>1559</v>
      </c>
    </row>
    <row r="261" spans="1:4" x14ac:dyDescent="0.2">
      <c r="A261" t="s">
        <v>244</v>
      </c>
      <c r="B261" t="s">
        <v>6</v>
      </c>
      <c r="C261" t="s">
        <v>1564</v>
      </c>
      <c r="D261" t="s">
        <v>1554</v>
      </c>
    </row>
    <row r="262" spans="1:4" x14ac:dyDescent="0.2">
      <c r="A262" t="s">
        <v>244</v>
      </c>
      <c r="B262" t="s">
        <v>7</v>
      </c>
      <c r="C262" t="s">
        <v>1565</v>
      </c>
      <c r="D262" t="s">
        <v>1554</v>
      </c>
    </row>
    <row r="263" spans="1:4" x14ac:dyDescent="0.2">
      <c r="A263" t="s">
        <v>244</v>
      </c>
      <c r="B263" t="s">
        <v>8</v>
      </c>
      <c r="C263" t="s">
        <v>1561</v>
      </c>
      <c r="D263" t="s">
        <v>1554</v>
      </c>
    </row>
    <row r="264" spans="1:4" x14ac:dyDescent="0.2">
      <c r="A264" t="s">
        <v>244</v>
      </c>
      <c r="B264" t="s">
        <v>9</v>
      </c>
      <c r="C264" t="s">
        <v>1553</v>
      </c>
      <c r="D264" t="s">
        <v>1554</v>
      </c>
    </row>
    <row r="265" spans="1:4" x14ac:dyDescent="0.2">
      <c r="A265" t="s">
        <v>244</v>
      </c>
      <c r="B265" t="s">
        <v>10</v>
      </c>
      <c r="C265" t="s">
        <v>1555</v>
      </c>
      <c r="D265" t="s">
        <v>1554</v>
      </c>
    </row>
    <row r="266" spans="1:4" x14ac:dyDescent="0.2">
      <c r="A266" t="s">
        <v>244</v>
      </c>
      <c r="B266" t="s">
        <v>13</v>
      </c>
      <c r="C266" t="s">
        <v>1567</v>
      </c>
      <c r="D266" t="s">
        <v>1554</v>
      </c>
    </row>
    <row r="267" spans="1:4" x14ac:dyDescent="0.2">
      <c r="A267" t="s">
        <v>244</v>
      </c>
      <c r="B267" t="s">
        <v>14</v>
      </c>
      <c r="C267" t="s">
        <v>1568</v>
      </c>
      <c r="D267" t="s">
        <v>1554</v>
      </c>
    </row>
    <row r="268" spans="1:4" x14ac:dyDescent="0.2">
      <c r="A268" t="s">
        <v>244</v>
      </c>
      <c r="B268" t="s">
        <v>15</v>
      </c>
      <c r="C268" t="s">
        <v>1569</v>
      </c>
      <c r="D268" t="s">
        <v>1554</v>
      </c>
    </row>
    <row r="269" spans="1:4" x14ac:dyDescent="0.2">
      <c r="A269" t="s">
        <v>244</v>
      </c>
      <c r="B269" t="s">
        <v>17</v>
      </c>
      <c r="C269" t="s">
        <v>1560</v>
      </c>
      <c r="D269" t="s">
        <v>1554</v>
      </c>
    </row>
    <row r="270" spans="1:4" x14ac:dyDescent="0.2">
      <c r="A270" t="s">
        <v>244</v>
      </c>
      <c r="B270" t="s">
        <v>19</v>
      </c>
      <c r="C270" t="s">
        <v>1570</v>
      </c>
      <c r="D270" t="s">
        <v>1554</v>
      </c>
    </row>
    <row r="271" spans="1:4" x14ac:dyDescent="0.2">
      <c r="A271" t="s">
        <v>244</v>
      </c>
      <c r="B271" t="s">
        <v>23</v>
      </c>
      <c r="C271" t="s">
        <v>1556</v>
      </c>
      <c r="D271" t="s">
        <v>1554</v>
      </c>
    </row>
    <row r="272" spans="1:4" x14ac:dyDescent="0.2">
      <c r="A272" t="s">
        <v>244</v>
      </c>
      <c r="B272" t="s">
        <v>25</v>
      </c>
      <c r="C272" t="s">
        <v>1557</v>
      </c>
      <c r="D272" t="s">
        <v>1554</v>
      </c>
    </row>
    <row r="273" spans="1:4" x14ac:dyDescent="0.2">
      <c r="A273" t="s">
        <v>244</v>
      </c>
      <c r="B273" t="s">
        <v>24</v>
      </c>
      <c r="C273" t="s">
        <v>1558</v>
      </c>
      <c r="D273" t="s">
        <v>1559</v>
      </c>
    </row>
    <row r="274" spans="1:4" x14ac:dyDescent="0.2">
      <c r="A274" t="s">
        <v>251</v>
      </c>
      <c r="B274" t="s">
        <v>8</v>
      </c>
      <c r="C274" t="s">
        <v>1561</v>
      </c>
      <c r="D274" t="s">
        <v>1554</v>
      </c>
    </row>
    <row r="275" spans="1:4" x14ac:dyDescent="0.2">
      <c r="A275" t="s">
        <v>251</v>
      </c>
      <c r="B275" t="s">
        <v>9</v>
      </c>
      <c r="C275" t="s">
        <v>1553</v>
      </c>
      <c r="D275" t="s">
        <v>1554</v>
      </c>
    </row>
    <row r="276" spans="1:4" x14ac:dyDescent="0.2">
      <c r="A276" t="s">
        <v>251</v>
      </c>
      <c r="B276" t="s">
        <v>11</v>
      </c>
      <c r="C276" t="s">
        <v>1566</v>
      </c>
      <c r="D276" t="s">
        <v>1554</v>
      </c>
    </row>
    <row r="277" spans="1:4" x14ac:dyDescent="0.2">
      <c r="A277" t="s">
        <v>251</v>
      </c>
      <c r="B277" t="s">
        <v>13</v>
      </c>
      <c r="C277" t="s">
        <v>1567</v>
      </c>
      <c r="D277" t="s">
        <v>1554</v>
      </c>
    </row>
    <row r="278" spans="1:4" x14ac:dyDescent="0.2">
      <c r="A278" t="s">
        <v>251</v>
      </c>
      <c r="B278" t="s">
        <v>14</v>
      </c>
      <c r="C278" t="s">
        <v>1568</v>
      </c>
      <c r="D278" t="s">
        <v>1554</v>
      </c>
    </row>
    <row r="279" spans="1:4" x14ac:dyDescent="0.2">
      <c r="A279" t="s">
        <v>251</v>
      </c>
      <c r="B279" t="s">
        <v>23</v>
      </c>
      <c r="C279" t="s">
        <v>1556</v>
      </c>
      <c r="D279" t="s">
        <v>1554</v>
      </c>
    </row>
    <row r="280" spans="1:4" x14ac:dyDescent="0.2">
      <c r="A280" t="s">
        <v>251</v>
      </c>
      <c r="B280" t="s">
        <v>25</v>
      </c>
      <c r="C280" t="s">
        <v>1557</v>
      </c>
      <c r="D280" t="s">
        <v>1554</v>
      </c>
    </row>
    <row r="281" spans="1:4" x14ac:dyDescent="0.2">
      <c r="A281" t="s">
        <v>251</v>
      </c>
      <c r="B281" t="s">
        <v>24</v>
      </c>
      <c r="C281" t="s">
        <v>1558</v>
      </c>
      <c r="D281" t="s">
        <v>1559</v>
      </c>
    </row>
    <row r="282" spans="1:4" x14ac:dyDescent="0.2">
      <c r="A282" t="s">
        <v>258</v>
      </c>
      <c r="B282" t="s">
        <v>8</v>
      </c>
      <c r="C282" t="s">
        <v>1561</v>
      </c>
      <c r="D282" t="s">
        <v>1554</v>
      </c>
    </row>
    <row r="283" spans="1:4" x14ac:dyDescent="0.2">
      <c r="A283" t="s">
        <v>258</v>
      </c>
      <c r="B283" t="s">
        <v>10</v>
      </c>
      <c r="C283" t="s">
        <v>1555</v>
      </c>
      <c r="D283" t="s">
        <v>1554</v>
      </c>
    </row>
    <row r="284" spans="1:4" x14ac:dyDescent="0.2">
      <c r="A284" t="s">
        <v>258</v>
      </c>
      <c r="B284" t="s">
        <v>23</v>
      </c>
      <c r="C284" t="s">
        <v>1556</v>
      </c>
      <c r="D284" t="s">
        <v>1554</v>
      </c>
    </row>
    <row r="285" spans="1:4" x14ac:dyDescent="0.2">
      <c r="A285" t="s">
        <v>258</v>
      </c>
      <c r="B285" t="s">
        <v>25</v>
      </c>
      <c r="C285" t="s">
        <v>1557</v>
      </c>
      <c r="D285" t="s">
        <v>1554</v>
      </c>
    </row>
    <row r="286" spans="1:4" x14ac:dyDescent="0.2">
      <c r="A286" t="s">
        <v>258</v>
      </c>
      <c r="B286" t="s">
        <v>21</v>
      </c>
      <c r="C286" t="s">
        <v>1571</v>
      </c>
      <c r="D286" t="s">
        <v>1559</v>
      </c>
    </row>
    <row r="287" spans="1:4" x14ac:dyDescent="0.2">
      <c r="A287" t="s">
        <v>258</v>
      </c>
      <c r="B287" t="s">
        <v>22</v>
      </c>
      <c r="C287" t="s">
        <v>1572</v>
      </c>
      <c r="D287" t="s">
        <v>1559</v>
      </c>
    </row>
    <row r="288" spans="1:4" x14ac:dyDescent="0.2">
      <c r="A288" t="s">
        <v>258</v>
      </c>
      <c r="B288" t="s">
        <v>24</v>
      </c>
      <c r="C288" t="s">
        <v>1558</v>
      </c>
      <c r="D288" t="s">
        <v>1559</v>
      </c>
    </row>
    <row r="289" spans="1:4" x14ac:dyDescent="0.2">
      <c r="A289" t="s">
        <v>264</v>
      </c>
      <c r="B289" t="s">
        <v>8</v>
      </c>
      <c r="C289" t="s">
        <v>1561</v>
      </c>
      <c r="D289" t="s">
        <v>1554</v>
      </c>
    </row>
    <row r="290" spans="1:4" x14ac:dyDescent="0.2">
      <c r="A290" t="s">
        <v>264</v>
      </c>
      <c r="B290" t="s">
        <v>10</v>
      </c>
      <c r="C290" t="s">
        <v>1555</v>
      </c>
      <c r="D290" t="s">
        <v>1554</v>
      </c>
    </row>
    <row r="291" spans="1:4" x14ac:dyDescent="0.2">
      <c r="A291" t="s">
        <v>264</v>
      </c>
      <c r="B291" t="s">
        <v>15</v>
      </c>
      <c r="C291" t="s">
        <v>1569</v>
      </c>
      <c r="D291" t="s">
        <v>1554</v>
      </c>
    </row>
    <row r="292" spans="1:4" x14ac:dyDescent="0.2">
      <c r="A292" t="s">
        <v>264</v>
      </c>
      <c r="B292" t="s">
        <v>17</v>
      </c>
      <c r="C292" t="s">
        <v>1560</v>
      </c>
      <c r="D292" t="s">
        <v>1554</v>
      </c>
    </row>
    <row r="293" spans="1:4" x14ac:dyDescent="0.2">
      <c r="A293" t="s">
        <v>264</v>
      </c>
      <c r="B293" t="s">
        <v>19</v>
      </c>
      <c r="C293" t="s">
        <v>1570</v>
      </c>
      <c r="D293" t="s">
        <v>1554</v>
      </c>
    </row>
    <row r="294" spans="1:4" x14ac:dyDescent="0.2">
      <c r="A294" t="s">
        <v>264</v>
      </c>
      <c r="B294" t="s">
        <v>23</v>
      </c>
      <c r="C294" t="s">
        <v>1556</v>
      </c>
      <c r="D294" t="s">
        <v>1554</v>
      </c>
    </row>
    <row r="295" spans="1:4" x14ac:dyDescent="0.2">
      <c r="A295" t="s">
        <v>264</v>
      </c>
      <c r="B295" t="s">
        <v>25</v>
      </c>
      <c r="C295" t="s">
        <v>1557</v>
      </c>
      <c r="D295" t="s">
        <v>1554</v>
      </c>
    </row>
    <row r="296" spans="1:4" x14ac:dyDescent="0.2">
      <c r="A296" t="s">
        <v>264</v>
      </c>
      <c r="B296" t="s">
        <v>24</v>
      </c>
      <c r="C296" t="s">
        <v>1558</v>
      </c>
      <c r="D296" t="s">
        <v>1559</v>
      </c>
    </row>
    <row r="297" spans="1:4" x14ac:dyDescent="0.2">
      <c r="A297" t="s">
        <v>271</v>
      </c>
      <c r="B297" t="s">
        <v>6</v>
      </c>
      <c r="C297" t="s">
        <v>1564</v>
      </c>
      <c r="D297" t="s">
        <v>1554</v>
      </c>
    </row>
    <row r="298" spans="1:4" x14ac:dyDescent="0.2">
      <c r="A298" t="s">
        <v>271</v>
      </c>
      <c r="B298" t="s">
        <v>7</v>
      </c>
      <c r="C298" t="s">
        <v>1565</v>
      </c>
      <c r="D298" t="s">
        <v>1554</v>
      </c>
    </row>
    <row r="299" spans="1:4" x14ac:dyDescent="0.2">
      <c r="A299" t="s">
        <v>271</v>
      </c>
      <c r="B299" t="s">
        <v>8</v>
      </c>
      <c r="C299" t="s">
        <v>1561</v>
      </c>
      <c r="D299" t="s">
        <v>1554</v>
      </c>
    </row>
    <row r="300" spans="1:4" x14ac:dyDescent="0.2">
      <c r="A300" t="s">
        <v>271</v>
      </c>
      <c r="B300" t="s">
        <v>9</v>
      </c>
      <c r="C300" t="s">
        <v>1553</v>
      </c>
      <c r="D300" t="s">
        <v>1554</v>
      </c>
    </row>
    <row r="301" spans="1:4" x14ac:dyDescent="0.2">
      <c r="A301" t="s">
        <v>271</v>
      </c>
      <c r="B301" t="s">
        <v>10</v>
      </c>
      <c r="C301" t="s">
        <v>1555</v>
      </c>
      <c r="D301" t="s">
        <v>1554</v>
      </c>
    </row>
    <row r="302" spans="1:4" x14ac:dyDescent="0.2">
      <c r="A302" t="s">
        <v>271</v>
      </c>
      <c r="B302" t="s">
        <v>11</v>
      </c>
      <c r="C302" t="s">
        <v>1566</v>
      </c>
      <c r="D302" t="s">
        <v>1554</v>
      </c>
    </row>
    <row r="303" spans="1:4" x14ac:dyDescent="0.2">
      <c r="A303" t="s">
        <v>271</v>
      </c>
      <c r="B303" t="s">
        <v>13</v>
      </c>
      <c r="C303" t="s">
        <v>1567</v>
      </c>
      <c r="D303" t="s">
        <v>1554</v>
      </c>
    </row>
    <row r="304" spans="1:4" x14ac:dyDescent="0.2">
      <c r="A304" t="s">
        <v>271</v>
      </c>
      <c r="B304" t="s">
        <v>14</v>
      </c>
      <c r="C304" t="s">
        <v>1568</v>
      </c>
      <c r="D304" t="s">
        <v>1554</v>
      </c>
    </row>
    <row r="305" spans="1:4" x14ac:dyDescent="0.2">
      <c r="A305" t="s">
        <v>271</v>
      </c>
      <c r="B305" t="s">
        <v>23</v>
      </c>
      <c r="C305" t="s">
        <v>1556</v>
      </c>
      <c r="D305" t="s">
        <v>1554</v>
      </c>
    </row>
    <row r="306" spans="1:4" x14ac:dyDescent="0.2">
      <c r="A306" t="s">
        <v>271</v>
      </c>
      <c r="B306" t="s">
        <v>25</v>
      </c>
      <c r="C306" t="s">
        <v>1557</v>
      </c>
      <c r="D306" t="s">
        <v>1554</v>
      </c>
    </row>
    <row r="307" spans="1:4" x14ac:dyDescent="0.2">
      <c r="A307" t="s">
        <v>271</v>
      </c>
      <c r="B307" t="s">
        <v>24</v>
      </c>
      <c r="C307" t="s">
        <v>1558</v>
      </c>
      <c r="D307" t="s">
        <v>1559</v>
      </c>
    </row>
    <row r="308" spans="1:4" x14ac:dyDescent="0.2">
      <c r="A308" t="s">
        <v>278</v>
      </c>
      <c r="B308" t="s">
        <v>9</v>
      </c>
      <c r="C308" t="s">
        <v>1553</v>
      </c>
      <c r="D308" t="s">
        <v>1554</v>
      </c>
    </row>
    <row r="309" spans="1:4" x14ac:dyDescent="0.2">
      <c r="A309" t="s">
        <v>278</v>
      </c>
      <c r="B309" t="s">
        <v>10</v>
      </c>
      <c r="C309" t="s">
        <v>1555</v>
      </c>
      <c r="D309" t="s">
        <v>1554</v>
      </c>
    </row>
    <row r="310" spans="1:4" x14ac:dyDescent="0.2">
      <c r="A310" t="s">
        <v>278</v>
      </c>
      <c r="B310" t="s">
        <v>13</v>
      </c>
      <c r="C310" t="s">
        <v>1567</v>
      </c>
      <c r="D310" t="s">
        <v>1554</v>
      </c>
    </row>
    <row r="311" spans="1:4" x14ac:dyDescent="0.2">
      <c r="A311" t="s">
        <v>278</v>
      </c>
      <c r="B311" t="s">
        <v>14</v>
      </c>
      <c r="C311" t="s">
        <v>1568</v>
      </c>
      <c r="D311" t="s">
        <v>1554</v>
      </c>
    </row>
    <row r="312" spans="1:4" x14ac:dyDescent="0.2">
      <c r="A312" t="s">
        <v>278</v>
      </c>
      <c r="B312" t="s">
        <v>17</v>
      </c>
      <c r="C312" t="s">
        <v>1560</v>
      </c>
      <c r="D312" t="s">
        <v>1554</v>
      </c>
    </row>
    <row r="313" spans="1:4" x14ac:dyDescent="0.2">
      <c r="A313" t="s">
        <v>278</v>
      </c>
      <c r="B313" t="s">
        <v>19</v>
      </c>
      <c r="C313" t="s">
        <v>1570</v>
      </c>
      <c r="D313" t="s">
        <v>1554</v>
      </c>
    </row>
    <row r="314" spans="1:4" x14ac:dyDescent="0.2">
      <c r="A314" t="s">
        <v>278</v>
      </c>
      <c r="B314" t="s">
        <v>23</v>
      </c>
      <c r="C314" t="s">
        <v>1556</v>
      </c>
      <c r="D314" t="s">
        <v>1554</v>
      </c>
    </row>
    <row r="315" spans="1:4" x14ac:dyDescent="0.2">
      <c r="A315" t="s">
        <v>278</v>
      </c>
      <c r="B315" t="s">
        <v>25</v>
      </c>
      <c r="C315" t="s">
        <v>1557</v>
      </c>
      <c r="D315" t="s">
        <v>1554</v>
      </c>
    </row>
    <row r="316" spans="1:4" x14ac:dyDescent="0.2">
      <c r="A316" t="s">
        <v>285</v>
      </c>
      <c r="B316" t="s">
        <v>8</v>
      </c>
      <c r="C316" t="s">
        <v>1561</v>
      </c>
      <c r="D316" t="s">
        <v>1554</v>
      </c>
    </row>
    <row r="317" spans="1:4" x14ac:dyDescent="0.2">
      <c r="A317" t="s">
        <v>285</v>
      </c>
      <c r="B317" t="s">
        <v>9</v>
      </c>
      <c r="C317" t="s">
        <v>1553</v>
      </c>
      <c r="D317" t="s">
        <v>1554</v>
      </c>
    </row>
    <row r="318" spans="1:4" x14ac:dyDescent="0.2">
      <c r="A318" t="s">
        <v>285</v>
      </c>
      <c r="B318" t="s">
        <v>10</v>
      </c>
      <c r="C318" t="s">
        <v>1555</v>
      </c>
      <c r="D318" t="s">
        <v>1554</v>
      </c>
    </row>
    <row r="319" spans="1:4" x14ac:dyDescent="0.2">
      <c r="A319" t="s">
        <v>285</v>
      </c>
      <c r="B319" t="s">
        <v>13</v>
      </c>
      <c r="C319" t="s">
        <v>1567</v>
      </c>
      <c r="D319" t="s">
        <v>1554</v>
      </c>
    </row>
    <row r="320" spans="1:4" x14ac:dyDescent="0.2">
      <c r="A320" t="s">
        <v>285</v>
      </c>
      <c r="B320" t="s">
        <v>14</v>
      </c>
      <c r="C320" t="s">
        <v>1568</v>
      </c>
      <c r="D320" t="s">
        <v>1554</v>
      </c>
    </row>
    <row r="321" spans="1:4" x14ac:dyDescent="0.2">
      <c r="A321" t="s">
        <v>285</v>
      </c>
      <c r="B321" t="s">
        <v>15</v>
      </c>
      <c r="C321" t="s">
        <v>1569</v>
      </c>
      <c r="D321" t="s">
        <v>1554</v>
      </c>
    </row>
    <row r="322" spans="1:4" x14ac:dyDescent="0.2">
      <c r="A322" t="s">
        <v>285</v>
      </c>
      <c r="B322" t="s">
        <v>17</v>
      </c>
      <c r="C322" t="s">
        <v>1560</v>
      </c>
      <c r="D322" t="s">
        <v>1554</v>
      </c>
    </row>
    <row r="323" spans="1:4" x14ac:dyDescent="0.2">
      <c r="A323" t="s">
        <v>285</v>
      </c>
      <c r="B323" t="s">
        <v>19</v>
      </c>
      <c r="C323" t="s">
        <v>1570</v>
      </c>
      <c r="D323" t="s">
        <v>1554</v>
      </c>
    </row>
    <row r="324" spans="1:4" x14ac:dyDescent="0.2">
      <c r="A324" t="s">
        <v>285</v>
      </c>
      <c r="B324" t="s">
        <v>23</v>
      </c>
      <c r="C324" t="s">
        <v>1556</v>
      </c>
      <c r="D324" t="s">
        <v>1554</v>
      </c>
    </row>
    <row r="325" spans="1:4" x14ac:dyDescent="0.2">
      <c r="A325" t="s">
        <v>285</v>
      </c>
      <c r="B325" t="s">
        <v>25</v>
      </c>
      <c r="C325" t="s">
        <v>1557</v>
      </c>
      <c r="D325" t="s">
        <v>1554</v>
      </c>
    </row>
    <row r="326" spans="1:4" x14ac:dyDescent="0.2">
      <c r="A326" t="s">
        <v>292</v>
      </c>
      <c r="B326" t="s">
        <v>8</v>
      </c>
      <c r="C326" t="s">
        <v>1561</v>
      </c>
      <c r="D326" t="s">
        <v>1554</v>
      </c>
    </row>
    <row r="327" spans="1:4" x14ac:dyDescent="0.2">
      <c r="A327" t="s">
        <v>292</v>
      </c>
      <c r="B327" t="s">
        <v>10</v>
      </c>
      <c r="C327" t="s">
        <v>1555</v>
      </c>
      <c r="D327" t="s">
        <v>1554</v>
      </c>
    </row>
    <row r="328" spans="1:4" x14ac:dyDescent="0.2">
      <c r="A328" t="s">
        <v>292</v>
      </c>
      <c r="B328" t="s">
        <v>15</v>
      </c>
      <c r="C328" t="s">
        <v>1569</v>
      </c>
      <c r="D328" t="s">
        <v>1554</v>
      </c>
    </row>
    <row r="329" spans="1:4" x14ac:dyDescent="0.2">
      <c r="A329" t="s">
        <v>292</v>
      </c>
      <c r="B329" t="s">
        <v>17</v>
      </c>
      <c r="C329" t="s">
        <v>1560</v>
      </c>
      <c r="D329" t="s">
        <v>1554</v>
      </c>
    </row>
    <row r="330" spans="1:4" x14ac:dyDescent="0.2">
      <c r="A330" t="s">
        <v>292</v>
      </c>
      <c r="B330" t="s">
        <v>19</v>
      </c>
      <c r="C330" t="s">
        <v>1570</v>
      </c>
      <c r="D330" t="s">
        <v>1554</v>
      </c>
    </row>
    <row r="331" spans="1:4" x14ac:dyDescent="0.2">
      <c r="A331" t="s">
        <v>292</v>
      </c>
      <c r="B331" t="s">
        <v>23</v>
      </c>
      <c r="C331" t="s">
        <v>1556</v>
      </c>
      <c r="D331" t="s">
        <v>1554</v>
      </c>
    </row>
    <row r="332" spans="1:4" x14ac:dyDescent="0.2">
      <c r="A332" t="s">
        <v>292</v>
      </c>
      <c r="B332" t="s">
        <v>25</v>
      </c>
      <c r="C332" t="s">
        <v>1557</v>
      </c>
      <c r="D332" t="s">
        <v>1554</v>
      </c>
    </row>
    <row r="333" spans="1:4" x14ac:dyDescent="0.2">
      <c r="A333" t="s">
        <v>292</v>
      </c>
      <c r="B333" t="s">
        <v>24</v>
      </c>
      <c r="C333" t="s">
        <v>1558</v>
      </c>
      <c r="D333" t="s">
        <v>1559</v>
      </c>
    </row>
    <row r="334" spans="1:4" x14ac:dyDescent="0.2">
      <c r="A334" t="s">
        <v>299</v>
      </c>
      <c r="B334" t="s">
        <v>8</v>
      </c>
      <c r="C334" t="s">
        <v>1561</v>
      </c>
      <c r="D334" t="s">
        <v>1554</v>
      </c>
    </row>
    <row r="335" spans="1:4" x14ac:dyDescent="0.2">
      <c r="A335" t="s">
        <v>299</v>
      </c>
      <c r="B335" t="s">
        <v>9</v>
      </c>
      <c r="C335" t="s">
        <v>1553</v>
      </c>
      <c r="D335" t="s">
        <v>1554</v>
      </c>
    </row>
    <row r="336" spans="1:4" x14ac:dyDescent="0.2">
      <c r="A336" t="s">
        <v>299</v>
      </c>
      <c r="B336" t="s">
        <v>10</v>
      </c>
      <c r="C336" t="s">
        <v>1555</v>
      </c>
      <c r="D336" t="s">
        <v>1554</v>
      </c>
    </row>
    <row r="337" spans="1:4" x14ac:dyDescent="0.2">
      <c r="A337" t="s">
        <v>299</v>
      </c>
      <c r="B337" t="s">
        <v>15</v>
      </c>
      <c r="C337" t="s">
        <v>1569</v>
      </c>
      <c r="D337" t="s">
        <v>1554</v>
      </c>
    </row>
    <row r="338" spans="1:4" x14ac:dyDescent="0.2">
      <c r="A338" t="s">
        <v>299</v>
      </c>
      <c r="B338" t="s">
        <v>17</v>
      </c>
      <c r="C338" t="s">
        <v>1560</v>
      </c>
      <c r="D338" t="s">
        <v>1554</v>
      </c>
    </row>
    <row r="339" spans="1:4" x14ac:dyDescent="0.2">
      <c r="A339" t="s">
        <v>299</v>
      </c>
      <c r="B339" t="s">
        <v>19</v>
      </c>
      <c r="C339" t="s">
        <v>1570</v>
      </c>
      <c r="D339" t="s">
        <v>1554</v>
      </c>
    </row>
    <row r="340" spans="1:4" x14ac:dyDescent="0.2">
      <c r="A340" t="s">
        <v>299</v>
      </c>
      <c r="B340" t="s">
        <v>23</v>
      </c>
      <c r="C340" t="s">
        <v>1556</v>
      </c>
      <c r="D340" t="s">
        <v>1554</v>
      </c>
    </row>
    <row r="341" spans="1:4" x14ac:dyDescent="0.2">
      <c r="A341" t="s">
        <v>299</v>
      </c>
      <c r="B341" t="s">
        <v>25</v>
      </c>
      <c r="C341" t="s">
        <v>1557</v>
      </c>
      <c r="D341" t="s">
        <v>1554</v>
      </c>
    </row>
    <row r="342" spans="1:4" x14ac:dyDescent="0.2">
      <c r="A342" t="s">
        <v>299</v>
      </c>
      <c r="B342" t="s">
        <v>24</v>
      </c>
      <c r="C342" t="s">
        <v>1558</v>
      </c>
      <c r="D342" t="s">
        <v>1559</v>
      </c>
    </row>
    <row r="343" spans="1:4" x14ac:dyDescent="0.2">
      <c r="A343" t="s">
        <v>306</v>
      </c>
      <c r="B343" t="s">
        <v>3</v>
      </c>
      <c r="C343" t="s">
        <v>1562</v>
      </c>
      <c r="D343" t="s">
        <v>1554</v>
      </c>
    </row>
    <row r="344" spans="1:4" x14ac:dyDescent="0.2">
      <c r="A344" t="s">
        <v>306</v>
      </c>
      <c r="B344" t="s">
        <v>5</v>
      </c>
      <c r="C344" t="s">
        <v>1563</v>
      </c>
      <c r="D344" t="s">
        <v>1554</v>
      </c>
    </row>
    <row r="345" spans="1:4" x14ac:dyDescent="0.2">
      <c r="A345" t="s">
        <v>306</v>
      </c>
      <c r="B345" t="s">
        <v>6</v>
      </c>
      <c r="C345" t="s">
        <v>1564</v>
      </c>
      <c r="D345" t="s">
        <v>1554</v>
      </c>
    </row>
    <row r="346" spans="1:4" x14ac:dyDescent="0.2">
      <c r="A346" t="s">
        <v>306</v>
      </c>
      <c r="B346" t="s">
        <v>7</v>
      </c>
      <c r="C346" t="s">
        <v>1565</v>
      </c>
      <c r="D346" t="s">
        <v>1554</v>
      </c>
    </row>
    <row r="347" spans="1:4" x14ac:dyDescent="0.2">
      <c r="A347" t="s">
        <v>306</v>
      </c>
      <c r="B347" t="s">
        <v>8</v>
      </c>
      <c r="C347" t="s">
        <v>1561</v>
      </c>
      <c r="D347" t="s">
        <v>1554</v>
      </c>
    </row>
    <row r="348" spans="1:4" x14ac:dyDescent="0.2">
      <c r="A348" t="s">
        <v>306</v>
      </c>
      <c r="B348" t="s">
        <v>9</v>
      </c>
      <c r="C348" t="s">
        <v>1553</v>
      </c>
      <c r="D348" t="s">
        <v>1554</v>
      </c>
    </row>
    <row r="349" spans="1:4" x14ac:dyDescent="0.2">
      <c r="A349" t="s">
        <v>306</v>
      </c>
      <c r="B349" t="s">
        <v>10</v>
      </c>
      <c r="C349" t="s">
        <v>1555</v>
      </c>
      <c r="D349" t="s">
        <v>1554</v>
      </c>
    </row>
    <row r="350" spans="1:4" x14ac:dyDescent="0.2">
      <c r="A350" t="s">
        <v>306</v>
      </c>
      <c r="B350" t="s">
        <v>11</v>
      </c>
      <c r="C350" t="s">
        <v>1566</v>
      </c>
      <c r="D350" t="s">
        <v>1554</v>
      </c>
    </row>
    <row r="351" spans="1:4" x14ac:dyDescent="0.2">
      <c r="A351" t="s">
        <v>306</v>
      </c>
      <c r="B351" t="s">
        <v>13</v>
      </c>
      <c r="C351" t="s">
        <v>1567</v>
      </c>
      <c r="D351" t="s">
        <v>1554</v>
      </c>
    </row>
    <row r="352" spans="1:4" x14ac:dyDescent="0.2">
      <c r="A352" t="s">
        <v>306</v>
      </c>
      <c r="B352" t="s">
        <v>14</v>
      </c>
      <c r="C352" t="s">
        <v>1568</v>
      </c>
      <c r="D352" t="s">
        <v>1554</v>
      </c>
    </row>
    <row r="353" spans="1:4" x14ac:dyDescent="0.2">
      <c r="A353" t="s">
        <v>306</v>
      </c>
      <c r="B353" t="s">
        <v>15</v>
      </c>
      <c r="C353" t="s">
        <v>1569</v>
      </c>
      <c r="D353" t="s">
        <v>1554</v>
      </c>
    </row>
    <row r="354" spans="1:4" x14ac:dyDescent="0.2">
      <c r="A354" t="s">
        <v>306</v>
      </c>
      <c r="B354" t="s">
        <v>17</v>
      </c>
      <c r="C354" t="s">
        <v>1560</v>
      </c>
      <c r="D354" t="s">
        <v>1554</v>
      </c>
    </row>
    <row r="355" spans="1:4" x14ac:dyDescent="0.2">
      <c r="A355" t="s">
        <v>306</v>
      </c>
      <c r="B355" t="s">
        <v>19</v>
      </c>
      <c r="C355" t="s">
        <v>1570</v>
      </c>
      <c r="D355" t="s">
        <v>1554</v>
      </c>
    </row>
    <row r="356" spans="1:4" x14ac:dyDescent="0.2">
      <c r="A356" t="s">
        <v>306</v>
      </c>
      <c r="B356" t="s">
        <v>23</v>
      </c>
      <c r="C356" t="s">
        <v>1556</v>
      </c>
      <c r="D356" t="s">
        <v>1554</v>
      </c>
    </row>
    <row r="357" spans="1:4" x14ac:dyDescent="0.2">
      <c r="A357" t="s">
        <v>306</v>
      </c>
      <c r="B357" t="s">
        <v>25</v>
      </c>
      <c r="C357" t="s">
        <v>1557</v>
      </c>
      <c r="D357" t="s">
        <v>1554</v>
      </c>
    </row>
    <row r="358" spans="1:4" x14ac:dyDescent="0.2">
      <c r="A358" t="s">
        <v>306</v>
      </c>
      <c r="B358" t="s">
        <v>21</v>
      </c>
      <c r="C358" t="s">
        <v>1571</v>
      </c>
      <c r="D358" t="s">
        <v>1559</v>
      </c>
    </row>
    <row r="359" spans="1:4" x14ac:dyDescent="0.2">
      <c r="A359" t="s">
        <v>306</v>
      </c>
      <c r="B359" t="s">
        <v>22</v>
      </c>
      <c r="C359" t="s">
        <v>1572</v>
      </c>
      <c r="D359" t="s">
        <v>1559</v>
      </c>
    </row>
    <row r="360" spans="1:4" x14ac:dyDescent="0.2">
      <c r="A360" t="s">
        <v>306</v>
      </c>
      <c r="B360" t="s">
        <v>24</v>
      </c>
      <c r="C360" t="s">
        <v>1558</v>
      </c>
      <c r="D360" t="s">
        <v>1559</v>
      </c>
    </row>
    <row r="361" spans="1:4" x14ac:dyDescent="0.2">
      <c r="A361" t="s">
        <v>310</v>
      </c>
      <c r="B361" t="s">
        <v>3</v>
      </c>
      <c r="C361" t="s">
        <v>1562</v>
      </c>
      <c r="D361" t="s">
        <v>1554</v>
      </c>
    </row>
    <row r="362" spans="1:4" x14ac:dyDescent="0.2">
      <c r="A362" t="s">
        <v>310</v>
      </c>
      <c r="B362" t="s">
        <v>5</v>
      </c>
      <c r="C362" t="s">
        <v>1563</v>
      </c>
      <c r="D362" t="s">
        <v>1554</v>
      </c>
    </row>
    <row r="363" spans="1:4" x14ac:dyDescent="0.2">
      <c r="A363" t="s">
        <v>310</v>
      </c>
      <c r="B363" t="s">
        <v>6</v>
      </c>
      <c r="C363" t="s">
        <v>1564</v>
      </c>
      <c r="D363" t="s">
        <v>1554</v>
      </c>
    </row>
    <row r="364" spans="1:4" x14ac:dyDescent="0.2">
      <c r="A364" t="s">
        <v>310</v>
      </c>
      <c r="B364" t="s">
        <v>7</v>
      </c>
      <c r="C364" t="s">
        <v>1565</v>
      </c>
      <c r="D364" t="s">
        <v>1554</v>
      </c>
    </row>
    <row r="365" spans="1:4" x14ac:dyDescent="0.2">
      <c r="A365" t="s">
        <v>310</v>
      </c>
      <c r="B365" t="s">
        <v>8</v>
      </c>
      <c r="C365" t="s">
        <v>1561</v>
      </c>
      <c r="D365" t="s">
        <v>1554</v>
      </c>
    </row>
    <row r="366" spans="1:4" x14ac:dyDescent="0.2">
      <c r="A366" t="s">
        <v>310</v>
      </c>
      <c r="B366" t="s">
        <v>9</v>
      </c>
      <c r="C366" t="s">
        <v>1553</v>
      </c>
      <c r="D366" t="s">
        <v>1554</v>
      </c>
    </row>
    <row r="367" spans="1:4" x14ac:dyDescent="0.2">
      <c r="A367" t="s">
        <v>310</v>
      </c>
      <c r="B367" t="s">
        <v>10</v>
      </c>
      <c r="C367" t="s">
        <v>1555</v>
      </c>
      <c r="D367" t="s">
        <v>1554</v>
      </c>
    </row>
    <row r="368" spans="1:4" x14ac:dyDescent="0.2">
      <c r="A368" t="s">
        <v>310</v>
      </c>
      <c r="B368" t="s">
        <v>11</v>
      </c>
      <c r="C368" t="s">
        <v>1566</v>
      </c>
      <c r="D368" t="s">
        <v>1554</v>
      </c>
    </row>
    <row r="369" spans="1:4" x14ac:dyDescent="0.2">
      <c r="A369" t="s">
        <v>310</v>
      </c>
      <c r="B369" t="s">
        <v>13</v>
      </c>
      <c r="C369" t="s">
        <v>1567</v>
      </c>
      <c r="D369" t="s">
        <v>1554</v>
      </c>
    </row>
    <row r="370" spans="1:4" x14ac:dyDescent="0.2">
      <c r="A370" t="s">
        <v>310</v>
      </c>
      <c r="B370" t="s">
        <v>14</v>
      </c>
      <c r="C370" t="s">
        <v>1568</v>
      </c>
      <c r="D370" t="s">
        <v>1554</v>
      </c>
    </row>
    <row r="371" spans="1:4" x14ac:dyDescent="0.2">
      <c r="A371" t="s">
        <v>310</v>
      </c>
      <c r="B371" t="s">
        <v>15</v>
      </c>
      <c r="C371" t="s">
        <v>1569</v>
      </c>
      <c r="D371" t="s">
        <v>1554</v>
      </c>
    </row>
    <row r="372" spans="1:4" x14ac:dyDescent="0.2">
      <c r="A372" t="s">
        <v>310</v>
      </c>
      <c r="B372" t="s">
        <v>17</v>
      </c>
      <c r="C372" t="s">
        <v>1560</v>
      </c>
      <c r="D372" t="s">
        <v>1554</v>
      </c>
    </row>
    <row r="373" spans="1:4" x14ac:dyDescent="0.2">
      <c r="A373" t="s">
        <v>310</v>
      </c>
      <c r="B373" t="s">
        <v>19</v>
      </c>
      <c r="C373" t="s">
        <v>1570</v>
      </c>
      <c r="D373" t="s">
        <v>1554</v>
      </c>
    </row>
    <row r="374" spans="1:4" x14ac:dyDescent="0.2">
      <c r="A374" t="s">
        <v>310</v>
      </c>
      <c r="B374" t="s">
        <v>23</v>
      </c>
      <c r="C374" t="s">
        <v>1556</v>
      </c>
      <c r="D374" t="s">
        <v>1554</v>
      </c>
    </row>
    <row r="375" spans="1:4" x14ac:dyDescent="0.2">
      <c r="A375" t="s">
        <v>310</v>
      </c>
      <c r="B375" t="s">
        <v>25</v>
      </c>
      <c r="C375" t="s">
        <v>1557</v>
      </c>
      <c r="D375" t="s">
        <v>1554</v>
      </c>
    </row>
    <row r="376" spans="1:4" x14ac:dyDescent="0.2">
      <c r="A376" t="s">
        <v>310</v>
      </c>
      <c r="B376" t="s">
        <v>21</v>
      </c>
      <c r="C376" t="s">
        <v>1571</v>
      </c>
      <c r="D376" t="s">
        <v>1559</v>
      </c>
    </row>
    <row r="377" spans="1:4" x14ac:dyDescent="0.2">
      <c r="A377" t="s">
        <v>310</v>
      </c>
      <c r="B377" t="s">
        <v>22</v>
      </c>
      <c r="C377" t="s">
        <v>1572</v>
      </c>
      <c r="D377" t="s">
        <v>1559</v>
      </c>
    </row>
    <row r="378" spans="1:4" x14ac:dyDescent="0.2">
      <c r="A378" t="s">
        <v>310</v>
      </c>
      <c r="B378" t="s">
        <v>24</v>
      </c>
      <c r="C378" t="s">
        <v>1558</v>
      </c>
      <c r="D378" t="s">
        <v>1559</v>
      </c>
    </row>
    <row r="379" spans="1:4" x14ac:dyDescent="0.2">
      <c r="A379" t="s">
        <v>315</v>
      </c>
      <c r="B379" t="s">
        <v>8</v>
      </c>
      <c r="C379" t="s">
        <v>1561</v>
      </c>
      <c r="D379" t="s">
        <v>1554</v>
      </c>
    </row>
    <row r="380" spans="1:4" x14ac:dyDescent="0.2">
      <c r="A380" t="s">
        <v>315</v>
      </c>
      <c r="B380" t="s">
        <v>9</v>
      </c>
      <c r="C380" t="s">
        <v>1553</v>
      </c>
      <c r="D380" t="s">
        <v>1554</v>
      </c>
    </row>
    <row r="381" spans="1:4" x14ac:dyDescent="0.2">
      <c r="A381" t="s">
        <v>315</v>
      </c>
      <c r="B381" t="s">
        <v>10</v>
      </c>
      <c r="C381" t="s">
        <v>1555</v>
      </c>
      <c r="D381" t="s">
        <v>1554</v>
      </c>
    </row>
    <row r="382" spans="1:4" x14ac:dyDescent="0.2">
      <c r="A382" t="s">
        <v>315</v>
      </c>
      <c r="B382" t="s">
        <v>15</v>
      </c>
      <c r="C382" t="s">
        <v>1569</v>
      </c>
      <c r="D382" t="s">
        <v>1554</v>
      </c>
    </row>
    <row r="383" spans="1:4" x14ac:dyDescent="0.2">
      <c r="A383" t="s">
        <v>315</v>
      </c>
      <c r="B383" t="s">
        <v>17</v>
      </c>
      <c r="C383" t="s">
        <v>1560</v>
      </c>
      <c r="D383" t="s">
        <v>1554</v>
      </c>
    </row>
    <row r="384" spans="1:4" x14ac:dyDescent="0.2">
      <c r="A384" t="s">
        <v>315</v>
      </c>
      <c r="B384" t="s">
        <v>19</v>
      </c>
      <c r="C384" t="s">
        <v>1570</v>
      </c>
      <c r="D384" t="s">
        <v>1554</v>
      </c>
    </row>
    <row r="385" spans="1:4" x14ac:dyDescent="0.2">
      <c r="A385" t="s">
        <v>315</v>
      </c>
      <c r="B385" t="s">
        <v>23</v>
      </c>
      <c r="C385" t="s">
        <v>1556</v>
      </c>
      <c r="D385" t="s">
        <v>1554</v>
      </c>
    </row>
    <row r="386" spans="1:4" x14ac:dyDescent="0.2">
      <c r="A386" t="s">
        <v>315</v>
      </c>
      <c r="B386" t="s">
        <v>25</v>
      </c>
      <c r="C386" t="s">
        <v>1557</v>
      </c>
      <c r="D386" t="s">
        <v>1554</v>
      </c>
    </row>
    <row r="387" spans="1:4" x14ac:dyDescent="0.2">
      <c r="A387" t="s">
        <v>315</v>
      </c>
      <c r="B387" t="s">
        <v>24</v>
      </c>
      <c r="C387" t="s">
        <v>1558</v>
      </c>
      <c r="D387" t="s">
        <v>1559</v>
      </c>
    </row>
    <row r="388" spans="1:4" x14ac:dyDescent="0.2">
      <c r="A388" t="s">
        <v>322</v>
      </c>
      <c r="B388" t="s">
        <v>9</v>
      </c>
      <c r="C388" t="s">
        <v>1553</v>
      </c>
      <c r="D388" t="s">
        <v>1554</v>
      </c>
    </row>
    <row r="389" spans="1:4" x14ac:dyDescent="0.2">
      <c r="A389" t="s">
        <v>322</v>
      </c>
      <c r="B389" t="s">
        <v>10</v>
      </c>
      <c r="C389" t="s">
        <v>1555</v>
      </c>
      <c r="D389" t="s">
        <v>1554</v>
      </c>
    </row>
    <row r="390" spans="1:4" x14ac:dyDescent="0.2">
      <c r="A390" t="s">
        <v>322</v>
      </c>
      <c r="B390" t="s">
        <v>13</v>
      </c>
      <c r="C390" t="s">
        <v>1567</v>
      </c>
      <c r="D390" t="s">
        <v>1554</v>
      </c>
    </row>
    <row r="391" spans="1:4" x14ac:dyDescent="0.2">
      <c r="A391" t="s">
        <v>322</v>
      </c>
      <c r="B391" t="s">
        <v>14</v>
      </c>
      <c r="C391" t="s">
        <v>1568</v>
      </c>
      <c r="D391" t="s">
        <v>1554</v>
      </c>
    </row>
    <row r="392" spans="1:4" x14ac:dyDescent="0.2">
      <c r="A392" t="s">
        <v>322</v>
      </c>
      <c r="B392" t="s">
        <v>15</v>
      </c>
      <c r="C392" t="s">
        <v>1569</v>
      </c>
      <c r="D392" t="s">
        <v>1554</v>
      </c>
    </row>
    <row r="393" spans="1:4" x14ac:dyDescent="0.2">
      <c r="A393" t="s">
        <v>322</v>
      </c>
      <c r="B393" t="s">
        <v>17</v>
      </c>
      <c r="C393" t="s">
        <v>1560</v>
      </c>
      <c r="D393" t="s">
        <v>1554</v>
      </c>
    </row>
    <row r="394" spans="1:4" x14ac:dyDescent="0.2">
      <c r="A394" t="s">
        <v>322</v>
      </c>
      <c r="B394" t="s">
        <v>19</v>
      </c>
      <c r="C394" t="s">
        <v>1570</v>
      </c>
      <c r="D394" t="s">
        <v>1554</v>
      </c>
    </row>
    <row r="395" spans="1:4" x14ac:dyDescent="0.2">
      <c r="A395" t="s">
        <v>322</v>
      </c>
      <c r="B395" t="s">
        <v>23</v>
      </c>
      <c r="C395" t="s">
        <v>1556</v>
      </c>
      <c r="D395" t="s">
        <v>1554</v>
      </c>
    </row>
    <row r="396" spans="1:4" x14ac:dyDescent="0.2">
      <c r="A396" t="s">
        <v>322</v>
      </c>
      <c r="B396" t="s">
        <v>25</v>
      </c>
      <c r="C396" t="s">
        <v>1557</v>
      </c>
      <c r="D396" t="s">
        <v>1554</v>
      </c>
    </row>
    <row r="397" spans="1:4" x14ac:dyDescent="0.2">
      <c r="A397" t="s">
        <v>322</v>
      </c>
      <c r="B397" t="s">
        <v>24</v>
      </c>
      <c r="C397" t="s">
        <v>1558</v>
      </c>
      <c r="D397" t="s">
        <v>1559</v>
      </c>
    </row>
    <row r="398" spans="1:4" x14ac:dyDescent="0.2">
      <c r="A398" t="s">
        <v>329</v>
      </c>
      <c r="B398" t="s">
        <v>8</v>
      </c>
      <c r="C398" t="s">
        <v>1561</v>
      </c>
      <c r="D398" t="s">
        <v>1554</v>
      </c>
    </row>
    <row r="399" spans="1:4" x14ac:dyDescent="0.2">
      <c r="A399" t="s">
        <v>329</v>
      </c>
      <c r="B399" t="s">
        <v>9</v>
      </c>
      <c r="C399" t="s">
        <v>1553</v>
      </c>
      <c r="D399" t="s">
        <v>1554</v>
      </c>
    </row>
    <row r="400" spans="1:4" x14ac:dyDescent="0.2">
      <c r="A400" t="s">
        <v>329</v>
      </c>
      <c r="B400" t="s">
        <v>10</v>
      </c>
      <c r="C400" t="s">
        <v>1555</v>
      </c>
      <c r="D400" t="s">
        <v>1554</v>
      </c>
    </row>
    <row r="401" spans="1:4" x14ac:dyDescent="0.2">
      <c r="A401" t="s">
        <v>329</v>
      </c>
      <c r="B401" t="s">
        <v>15</v>
      </c>
      <c r="C401" t="s">
        <v>1569</v>
      </c>
      <c r="D401" t="s">
        <v>1554</v>
      </c>
    </row>
    <row r="402" spans="1:4" x14ac:dyDescent="0.2">
      <c r="A402" t="s">
        <v>329</v>
      </c>
      <c r="B402" t="s">
        <v>17</v>
      </c>
      <c r="C402" t="s">
        <v>1560</v>
      </c>
      <c r="D402" t="s">
        <v>1554</v>
      </c>
    </row>
    <row r="403" spans="1:4" x14ac:dyDescent="0.2">
      <c r="A403" t="s">
        <v>329</v>
      </c>
      <c r="B403" t="s">
        <v>19</v>
      </c>
      <c r="C403" t="s">
        <v>1570</v>
      </c>
      <c r="D403" t="s">
        <v>1554</v>
      </c>
    </row>
    <row r="404" spans="1:4" x14ac:dyDescent="0.2">
      <c r="A404" t="s">
        <v>329</v>
      </c>
      <c r="B404" t="s">
        <v>23</v>
      </c>
      <c r="C404" t="s">
        <v>1556</v>
      </c>
      <c r="D404" t="s">
        <v>1554</v>
      </c>
    </row>
    <row r="405" spans="1:4" x14ac:dyDescent="0.2">
      <c r="A405" t="s">
        <v>329</v>
      </c>
      <c r="B405" t="s">
        <v>25</v>
      </c>
      <c r="C405" t="s">
        <v>1557</v>
      </c>
      <c r="D405" t="s">
        <v>1554</v>
      </c>
    </row>
    <row r="406" spans="1:4" x14ac:dyDescent="0.2">
      <c r="A406" t="s">
        <v>336</v>
      </c>
      <c r="B406" t="s">
        <v>9</v>
      </c>
      <c r="C406" t="s">
        <v>1553</v>
      </c>
      <c r="D406" t="s">
        <v>1554</v>
      </c>
    </row>
    <row r="407" spans="1:4" x14ac:dyDescent="0.2">
      <c r="A407" t="s">
        <v>336</v>
      </c>
      <c r="B407" t="s">
        <v>10</v>
      </c>
      <c r="C407" t="s">
        <v>1555</v>
      </c>
      <c r="D407" t="s">
        <v>1554</v>
      </c>
    </row>
    <row r="408" spans="1:4" x14ac:dyDescent="0.2">
      <c r="A408" t="s">
        <v>336</v>
      </c>
      <c r="B408" t="s">
        <v>15</v>
      </c>
      <c r="C408" t="s">
        <v>1569</v>
      </c>
      <c r="D408" t="s">
        <v>1554</v>
      </c>
    </row>
    <row r="409" spans="1:4" x14ac:dyDescent="0.2">
      <c r="A409" t="s">
        <v>336</v>
      </c>
      <c r="B409" t="s">
        <v>17</v>
      </c>
      <c r="C409" t="s">
        <v>1560</v>
      </c>
      <c r="D409" t="s">
        <v>1554</v>
      </c>
    </row>
    <row r="410" spans="1:4" x14ac:dyDescent="0.2">
      <c r="A410" t="s">
        <v>336</v>
      </c>
      <c r="B410" t="s">
        <v>19</v>
      </c>
      <c r="C410" t="s">
        <v>1570</v>
      </c>
      <c r="D410" t="s">
        <v>1554</v>
      </c>
    </row>
    <row r="411" spans="1:4" x14ac:dyDescent="0.2">
      <c r="A411" t="s">
        <v>336</v>
      </c>
      <c r="B411" t="s">
        <v>23</v>
      </c>
      <c r="C411" t="s">
        <v>1556</v>
      </c>
      <c r="D411" t="s">
        <v>1554</v>
      </c>
    </row>
    <row r="412" spans="1:4" x14ac:dyDescent="0.2">
      <c r="A412" t="s">
        <v>336</v>
      </c>
      <c r="B412" t="s">
        <v>25</v>
      </c>
      <c r="C412" t="s">
        <v>1557</v>
      </c>
      <c r="D412" t="s">
        <v>1554</v>
      </c>
    </row>
    <row r="413" spans="1:4" x14ac:dyDescent="0.2">
      <c r="A413" t="s">
        <v>336</v>
      </c>
      <c r="B413" t="s">
        <v>21</v>
      </c>
      <c r="C413" t="s">
        <v>1571</v>
      </c>
      <c r="D413" t="s">
        <v>1559</v>
      </c>
    </row>
    <row r="414" spans="1:4" x14ac:dyDescent="0.2">
      <c r="A414" t="s">
        <v>336</v>
      </c>
      <c r="B414" t="s">
        <v>22</v>
      </c>
      <c r="C414" t="s">
        <v>1572</v>
      </c>
      <c r="D414" t="s">
        <v>1559</v>
      </c>
    </row>
    <row r="415" spans="1:4" x14ac:dyDescent="0.2">
      <c r="A415" t="s">
        <v>336</v>
      </c>
      <c r="B415" t="s">
        <v>24</v>
      </c>
      <c r="C415" t="s">
        <v>1558</v>
      </c>
      <c r="D415" t="s">
        <v>1559</v>
      </c>
    </row>
    <row r="416" spans="1:4" x14ac:dyDescent="0.2">
      <c r="A416" t="s">
        <v>342</v>
      </c>
      <c r="B416" t="s">
        <v>6</v>
      </c>
      <c r="C416" t="s">
        <v>1564</v>
      </c>
      <c r="D416" t="s">
        <v>1554</v>
      </c>
    </row>
    <row r="417" spans="1:4" x14ac:dyDescent="0.2">
      <c r="A417" t="s">
        <v>342</v>
      </c>
      <c r="B417" t="s">
        <v>7</v>
      </c>
      <c r="C417" t="s">
        <v>1565</v>
      </c>
      <c r="D417" t="s">
        <v>1554</v>
      </c>
    </row>
    <row r="418" spans="1:4" x14ac:dyDescent="0.2">
      <c r="A418" t="s">
        <v>342</v>
      </c>
      <c r="B418" t="s">
        <v>8</v>
      </c>
      <c r="C418" t="s">
        <v>1561</v>
      </c>
      <c r="D418" t="s">
        <v>1554</v>
      </c>
    </row>
    <row r="419" spans="1:4" x14ac:dyDescent="0.2">
      <c r="A419" t="s">
        <v>342</v>
      </c>
      <c r="B419" t="s">
        <v>9</v>
      </c>
      <c r="C419" t="s">
        <v>1553</v>
      </c>
      <c r="D419" t="s">
        <v>1554</v>
      </c>
    </row>
    <row r="420" spans="1:4" x14ac:dyDescent="0.2">
      <c r="A420" t="s">
        <v>342</v>
      </c>
      <c r="B420" t="s">
        <v>10</v>
      </c>
      <c r="C420" t="s">
        <v>1555</v>
      </c>
      <c r="D420" t="s">
        <v>1554</v>
      </c>
    </row>
    <row r="421" spans="1:4" x14ac:dyDescent="0.2">
      <c r="A421" t="s">
        <v>342</v>
      </c>
      <c r="B421" t="s">
        <v>13</v>
      </c>
      <c r="C421" t="s">
        <v>1567</v>
      </c>
      <c r="D421" t="s">
        <v>1554</v>
      </c>
    </row>
    <row r="422" spans="1:4" x14ac:dyDescent="0.2">
      <c r="A422" t="s">
        <v>342</v>
      </c>
      <c r="B422" t="s">
        <v>14</v>
      </c>
      <c r="C422" t="s">
        <v>1568</v>
      </c>
      <c r="D422" t="s">
        <v>1554</v>
      </c>
    </row>
    <row r="423" spans="1:4" x14ac:dyDescent="0.2">
      <c r="A423" t="s">
        <v>342</v>
      </c>
      <c r="B423" t="s">
        <v>15</v>
      </c>
      <c r="C423" t="s">
        <v>1569</v>
      </c>
      <c r="D423" t="s">
        <v>1554</v>
      </c>
    </row>
    <row r="424" spans="1:4" x14ac:dyDescent="0.2">
      <c r="A424" t="s">
        <v>342</v>
      </c>
      <c r="B424" t="s">
        <v>17</v>
      </c>
      <c r="C424" t="s">
        <v>1560</v>
      </c>
      <c r="D424" t="s">
        <v>1554</v>
      </c>
    </row>
    <row r="425" spans="1:4" x14ac:dyDescent="0.2">
      <c r="A425" t="s">
        <v>342</v>
      </c>
      <c r="B425" t="s">
        <v>19</v>
      </c>
      <c r="C425" t="s">
        <v>1570</v>
      </c>
      <c r="D425" t="s">
        <v>1554</v>
      </c>
    </row>
    <row r="426" spans="1:4" x14ac:dyDescent="0.2">
      <c r="A426" t="s">
        <v>342</v>
      </c>
      <c r="B426" t="s">
        <v>23</v>
      </c>
      <c r="C426" t="s">
        <v>1556</v>
      </c>
      <c r="D426" t="s">
        <v>1554</v>
      </c>
    </row>
    <row r="427" spans="1:4" x14ac:dyDescent="0.2">
      <c r="A427" t="s">
        <v>342</v>
      </c>
      <c r="B427" t="s">
        <v>25</v>
      </c>
      <c r="C427" t="s">
        <v>1557</v>
      </c>
      <c r="D427" t="s">
        <v>1554</v>
      </c>
    </row>
    <row r="428" spans="1:4" x14ac:dyDescent="0.2">
      <c r="A428" t="s">
        <v>349</v>
      </c>
      <c r="B428" t="s">
        <v>6</v>
      </c>
      <c r="C428" t="s">
        <v>1564</v>
      </c>
      <c r="D428" t="s">
        <v>1554</v>
      </c>
    </row>
    <row r="429" spans="1:4" x14ac:dyDescent="0.2">
      <c r="A429" t="s">
        <v>349</v>
      </c>
      <c r="B429" t="s">
        <v>7</v>
      </c>
      <c r="C429" t="s">
        <v>1565</v>
      </c>
      <c r="D429" t="s">
        <v>1554</v>
      </c>
    </row>
    <row r="430" spans="1:4" x14ac:dyDescent="0.2">
      <c r="A430" t="s">
        <v>349</v>
      </c>
      <c r="B430" t="s">
        <v>8</v>
      </c>
      <c r="C430" t="s">
        <v>1561</v>
      </c>
      <c r="D430" t="s">
        <v>1554</v>
      </c>
    </row>
    <row r="431" spans="1:4" x14ac:dyDescent="0.2">
      <c r="A431" t="s">
        <v>349</v>
      </c>
      <c r="B431" t="s">
        <v>9</v>
      </c>
      <c r="C431" t="s">
        <v>1553</v>
      </c>
      <c r="D431" t="s">
        <v>1554</v>
      </c>
    </row>
    <row r="432" spans="1:4" x14ac:dyDescent="0.2">
      <c r="A432" t="s">
        <v>349</v>
      </c>
      <c r="B432" t="s">
        <v>10</v>
      </c>
      <c r="C432" t="s">
        <v>1555</v>
      </c>
      <c r="D432" t="s">
        <v>1554</v>
      </c>
    </row>
    <row r="433" spans="1:4" x14ac:dyDescent="0.2">
      <c r="A433" t="s">
        <v>349</v>
      </c>
      <c r="B433" t="s">
        <v>13</v>
      </c>
      <c r="C433" t="s">
        <v>1567</v>
      </c>
      <c r="D433" t="s">
        <v>1554</v>
      </c>
    </row>
    <row r="434" spans="1:4" x14ac:dyDescent="0.2">
      <c r="A434" t="s">
        <v>349</v>
      </c>
      <c r="B434" t="s">
        <v>14</v>
      </c>
      <c r="C434" t="s">
        <v>1568</v>
      </c>
      <c r="D434" t="s">
        <v>1554</v>
      </c>
    </row>
    <row r="435" spans="1:4" x14ac:dyDescent="0.2">
      <c r="A435" t="s">
        <v>349</v>
      </c>
      <c r="B435" t="s">
        <v>15</v>
      </c>
      <c r="C435" t="s">
        <v>1569</v>
      </c>
      <c r="D435" t="s">
        <v>1554</v>
      </c>
    </row>
    <row r="436" spans="1:4" x14ac:dyDescent="0.2">
      <c r="A436" t="s">
        <v>349</v>
      </c>
      <c r="B436" t="s">
        <v>17</v>
      </c>
      <c r="C436" t="s">
        <v>1560</v>
      </c>
      <c r="D436" t="s">
        <v>1554</v>
      </c>
    </row>
    <row r="437" spans="1:4" x14ac:dyDescent="0.2">
      <c r="A437" t="s">
        <v>349</v>
      </c>
      <c r="B437" t="s">
        <v>19</v>
      </c>
      <c r="C437" t="s">
        <v>1570</v>
      </c>
      <c r="D437" t="s">
        <v>1554</v>
      </c>
    </row>
    <row r="438" spans="1:4" x14ac:dyDescent="0.2">
      <c r="A438" t="s">
        <v>349</v>
      </c>
      <c r="B438" t="s">
        <v>23</v>
      </c>
      <c r="C438" t="s">
        <v>1556</v>
      </c>
      <c r="D438" t="s">
        <v>1554</v>
      </c>
    </row>
    <row r="439" spans="1:4" x14ac:dyDescent="0.2">
      <c r="A439" t="s">
        <v>349</v>
      </c>
      <c r="B439" t="s">
        <v>25</v>
      </c>
      <c r="C439" t="s">
        <v>1557</v>
      </c>
      <c r="D439" t="s">
        <v>1554</v>
      </c>
    </row>
    <row r="440" spans="1:4" x14ac:dyDescent="0.2">
      <c r="A440" t="s">
        <v>349</v>
      </c>
      <c r="B440" t="s">
        <v>24</v>
      </c>
      <c r="C440" t="s">
        <v>1558</v>
      </c>
      <c r="D440" t="s">
        <v>1559</v>
      </c>
    </row>
    <row r="441" spans="1:4" x14ac:dyDescent="0.2">
      <c r="A441" t="s">
        <v>356</v>
      </c>
      <c r="B441" t="s">
        <v>6</v>
      </c>
      <c r="C441" t="s">
        <v>1564</v>
      </c>
      <c r="D441" t="s">
        <v>1554</v>
      </c>
    </row>
    <row r="442" spans="1:4" x14ac:dyDescent="0.2">
      <c r="A442" t="s">
        <v>356</v>
      </c>
      <c r="B442" t="s">
        <v>7</v>
      </c>
      <c r="C442" t="s">
        <v>1565</v>
      </c>
      <c r="D442" t="s">
        <v>1554</v>
      </c>
    </row>
    <row r="443" spans="1:4" x14ac:dyDescent="0.2">
      <c r="A443" t="s">
        <v>356</v>
      </c>
      <c r="B443" t="s">
        <v>8</v>
      </c>
      <c r="C443" t="s">
        <v>1561</v>
      </c>
      <c r="D443" t="s">
        <v>1554</v>
      </c>
    </row>
    <row r="444" spans="1:4" x14ac:dyDescent="0.2">
      <c r="A444" t="s">
        <v>356</v>
      </c>
      <c r="B444" t="s">
        <v>9</v>
      </c>
      <c r="C444" t="s">
        <v>1553</v>
      </c>
      <c r="D444" t="s">
        <v>1554</v>
      </c>
    </row>
    <row r="445" spans="1:4" x14ac:dyDescent="0.2">
      <c r="A445" t="s">
        <v>356</v>
      </c>
      <c r="B445" t="s">
        <v>10</v>
      </c>
      <c r="C445" t="s">
        <v>1555</v>
      </c>
      <c r="D445" t="s">
        <v>1554</v>
      </c>
    </row>
    <row r="446" spans="1:4" x14ac:dyDescent="0.2">
      <c r="A446" t="s">
        <v>356</v>
      </c>
      <c r="B446" t="s">
        <v>13</v>
      </c>
      <c r="C446" t="s">
        <v>1567</v>
      </c>
      <c r="D446" t="s">
        <v>1554</v>
      </c>
    </row>
    <row r="447" spans="1:4" x14ac:dyDescent="0.2">
      <c r="A447" t="s">
        <v>356</v>
      </c>
      <c r="B447" t="s">
        <v>14</v>
      </c>
      <c r="C447" t="s">
        <v>1568</v>
      </c>
      <c r="D447" t="s">
        <v>1554</v>
      </c>
    </row>
    <row r="448" spans="1:4" x14ac:dyDescent="0.2">
      <c r="A448" t="s">
        <v>356</v>
      </c>
      <c r="B448" t="s">
        <v>15</v>
      </c>
      <c r="C448" t="s">
        <v>1569</v>
      </c>
      <c r="D448" t="s">
        <v>1554</v>
      </c>
    </row>
    <row r="449" spans="1:4" x14ac:dyDescent="0.2">
      <c r="A449" t="s">
        <v>356</v>
      </c>
      <c r="B449" t="s">
        <v>17</v>
      </c>
      <c r="C449" t="s">
        <v>1560</v>
      </c>
      <c r="D449" t="s">
        <v>1554</v>
      </c>
    </row>
    <row r="450" spans="1:4" x14ac:dyDescent="0.2">
      <c r="A450" t="s">
        <v>356</v>
      </c>
      <c r="B450" t="s">
        <v>19</v>
      </c>
      <c r="C450" t="s">
        <v>1570</v>
      </c>
      <c r="D450" t="s">
        <v>1554</v>
      </c>
    </row>
    <row r="451" spans="1:4" x14ac:dyDescent="0.2">
      <c r="A451" t="s">
        <v>356</v>
      </c>
      <c r="B451" t="s">
        <v>23</v>
      </c>
      <c r="C451" t="s">
        <v>1556</v>
      </c>
      <c r="D451" t="s">
        <v>1554</v>
      </c>
    </row>
    <row r="452" spans="1:4" x14ac:dyDescent="0.2">
      <c r="A452" t="s">
        <v>356</v>
      </c>
      <c r="B452" t="s">
        <v>25</v>
      </c>
      <c r="C452" t="s">
        <v>1557</v>
      </c>
      <c r="D452" t="s">
        <v>1554</v>
      </c>
    </row>
    <row r="453" spans="1:4" x14ac:dyDescent="0.2">
      <c r="A453" t="s">
        <v>356</v>
      </c>
      <c r="B453" t="s">
        <v>24</v>
      </c>
      <c r="C453" t="s">
        <v>1558</v>
      </c>
      <c r="D453" t="s">
        <v>1559</v>
      </c>
    </row>
    <row r="454" spans="1:4" x14ac:dyDescent="0.2">
      <c r="A454" t="s">
        <v>362</v>
      </c>
      <c r="B454" t="s">
        <v>6</v>
      </c>
      <c r="C454" t="s">
        <v>1564</v>
      </c>
      <c r="D454" t="s">
        <v>1554</v>
      </c>
    </row>
    <row r="455" spans="1:4" x14ac:dyDescent="0.2">
      <c r="A455" t="s">
        <v>362</v>
      </c>
      <c r="B455" t="s">
        <v>7</v>
      </c>
      <c r="C455" t="s">
        <v>1565</v>
      </c>
      <c r="D455" t="s">
        <v>1554</v>
      </c>
    </row>
    <row r="456" spans="1:4" x14ac:dyDescent="0.2">
      <c r="A456" t="s">
        <v>362</v>
      </c>
      <c r="B456" t="s">
        <v>8</v>
      </c>
      <c r="C456" t="s">
        <v>1561</v>
      </c>
      <c r="D456" t="s">
        <v>1554</v>
      </c>
    </row>
    <row r="457" spans="1:4" x14ac:dyDescent="0.2">
      <c r="A457" t="s">
        <v>362</v>
      </c>
      <c r="B457" t="s">
        <v>9</v>
      </c>
      <c r="C457" t="s">
        <v>1553</v>
      </c>
      <c r="D457" t="s">
        <v>1554</v>
      </c>
    </row>
    <row r="458" spans="1:4" x14ac:dyDescent="0.2">
      <c r="A458" t="s">
        <v>362</v>
      </c>
      <c r="B458" t="s">
        <v>10</v>
      </c>
      <c r="C458" t="s">
        <v>1555</v>
      </c>
      <c r="D458" t="s">
        <v>1554</v>
      </c>
    </row>
    <row r="459" spans="1:4" x14ac:dyDescent="0.2">
      <c r="A459" t="s">
        <v>362</v>
      </c>
      <c r="B459" t="s">
        <v>13</v>
      </c>
      <c r="C459" t="s">
        <v>1567</v>
      </c>
      <c r="D459" t="s">
        <v>1554</v>
      </c>
    </row>
    <row r="460" spans="1:4" x14ac:dyDescent="0.2">
      <c r="A460" t="s">
        <v>362</v>
      </c>
      <c r="B460" t="s">
        <v>14</v>
      </c>
      <c r="C460" t="s">
        <v>1568</v>
      </c>
      <c r="D460" t="s">
        <v>1554</v>
      </c>
    </row>
    <row r="461" spans="1:4" x14ac:dyDescent="0.2">
      <c r="A461" t="s">
        <v>362</v>
      </c>
      <c r="B461" t="s">
        <v>15</v>
      </c>
      <c r="C461" t="s">
        <v>1569</v>
      </c>
      <c r="D461" t="s">
        <v>1554</v>
      </c>
    </row>
    <row r="462" spans="1:4" x14ac:dyDescent="0.2">
      <c r="A462" t="s">
        <v>362</v>
      </c>
      <c r="B462" t="s">
        <v>17</v>
      </c>
      <c r="C462" t="s">
        <v>1560</v>
      </c>
      <c r="D462" t="s">
        <v>1554</v>
      </c>
    </row>
    <row r="463" spans="1:4" x14ac:dyDescent="0.2">
      <c r="A463" t="s">
        <v>362</v>
      </c>
      <c r="B463" t="s">
        <v>19</v>
      </c>
      <c r="C463" t="s">
        <v>1570</v>
      </c>
      <c r="D463" t="s">
        <v>1554</v>
      </c>
    </row>
    <row r="464" spans="1:4" x14ac:dyDescent="0.2">
      <c r="A464" t="s">
        <v>362</v>
      </c>
      <c r="B464" t="s">
        <v>23</v>
      </c>
      <c r="C464" t="s">
        <v>1556</v>
      </c>
      <c r="D464" t="s">
        <v>1554</v>
      </c>
    </row>
    <row r="465" spans="1:4" x14ac:dyDescent="0.2">
      <c r="A465" t="s">
        <v>362</v>
      </c>
      <c r="B465" t="s">
        <v>25</v>
      </c>
      <c r="C465" t="s">
        <v>1557</v>
      </c>
      <c r="D465" t="s">
        <v>1554</v>
      </c>
    </row>
    <row r="466" spans="1:4" x14ac:dyDescent="0.2">
      <c r="A466" t="s">
        <v>368</v>
      </c>
      <c r="B466" t="s">
        <v>6</v>
      </c>
      <c r="C466" t="s">
        <v>1564</v>
      </c>
      <c r="D466" t="s">
        <v>1554</v>
      </c>
    </row>
    <row r="467" spans="1:4" x14ac:dyDescent="0.2">
      <c r="A467" t="s">
        <v>368</v>
      </c>
      <c r="B467" t="s">
        <v>7</v>
      </c>
      <c r="C467" t="s">
        <v>1565</v>
      </c>
      <c r="D467" t="s">
        <v>1554</v>
      </c>
    </row>
    <row r="468" spans="1:4" x14ac:dyDescent="0.2">
      <c r="A468" t="s">
        <v>368</v>
      </c>
      <c r="B468" t="s">
        <v>8</v>
      </c>
      <c r="C468" t="s">
        <v>1561</v>
      </c>
      <c r="D468" t="s">
        <v>1554</v>
      </c>
    </row>
    <row r="469" spans="1:4" x14ac:dyDescent="0.2">
      <c r="A469" t="s">
        <v>368</v>
      </c>
      <c r="B469" t="s">
        <v>9</v>
      </c>
      <c r="C469" t="s">
        <v>1553</v>
      </c>
      <c r="D469" t="s">
        <v>1554</v>
      </c>
    </row>
    <row r="470" spans="1:4" x14ac:dyDescent="0.2">
      <c r="A470" t="s">
        <v>368</v>
      </c>
      <c r="B470" t="s">
        <v>10</v>
      </c>
      <c r="C470" t="s">
        <v>1555</v>
      </c>
      <c r="D470" t="s">
        <v>1554</v>
      </c>
    </row>
    <row r="471" spans="1:4" x14ac:dyDescent="0.2">
      <c r="A471" t="s">
        <v>368</v>
      </c>
      <c r="B471" t="s">
        <v>13</v>
      </c>
      <c r="C471" t="s">
        <v>1567</v>
      </c>
      <c r="D471" t="s">
        <v>1554</v>
      </c>
    </row>
    <row r="472" spans="1:4" x14ac:dyDescent="0.2">
      <c r="A472" t="s">
        <v>368</v>
      </c>
      <c r="B472" t="s">
        <v>14</v>
      </c>
      <c r="C472" t="s">
        <v>1568</v>
      </c>
      <c r="D472" t="s">
        <v>1554</v>
      </c>
    </row>
    <row r="473" spans="1:4" x14ac:dyDescent="0.2">
      <c r="A473" t="s">
        <v>368</v>
      </c>
      <c r="B473" t="s">
        <v>15</v>
      </c>
      <c r="C473" t="s">
        <v>1569</v>
      </c>
      <c r="D473" t="s">
        <v>1554</v>
      </c>
    </row>
    <row r="474" spans="1:4" x14ac:dyDescent="0.2">
      <c r="A474" t="s">
        <v>368</v>
      </c>
      <c r="B474" t="s">
        <v>17</v>
      </c>
      <c r="C474" t="s">
        <v>1560</v>
      </c>
      <c r="D474" t="s">
        <v>1554</v>
      </c>
    </row>
    <row r="475" spans="1:4" x14ac:dyDescent="0.2">
      <c r="A475" t="s">
        <v>368</v>
      </c>
      <c r="B475" t="s">
        <v>19</v>
      </c>
      <c r="C475" t="s">
        <v>1570</v>
      </c>
      <c r="D475" t="s">
        <v>1554</v>
      </c>
    </row>
    <row r="476" spans="1:4" x14ac:dyDescent="0.2">
      <c r="A476" t="s">
        <v>368</v>
      </c>
      <c r="B476" t="s">
        <v>23</v>
      </c>
      <c r="C476" t="s">
        <v>1556</v>
      </c>
      <c r="D476" t="s">
        <v>1554</v>
      </c>
    </row>
    <row r="477" spans="1:4" x14ac:dyDescent="0.2">
      <c r="A477" t="s">
        <v>368</v>
      </c>
      <c r="B477" t="s">
        <v>25</v>
      </c>
      <c r="C477" t="s">
        <v>1557</v>
      </c>
      <c r="D477" t="s">
        <v>1554</v>
      </c>
    </row>
    <row r="478" spans="1:4" x14ac:dyDescent="0.2">
      <c r="A478" t="s">
        <v>374</v>
      </c>
      <c r="B478" t="s">
        <v>6</v>
      </c>
      <c r="C478" t="s">
        <v>1564</v>
      </c>
      <c r="D478" t="s">
        <v>1554</v>
      </c>
    </row>
    <row r="479" spans="1:4" x14ac:dyDescent="0.2">
      <c r="A479" t="s">
        <v>374</v>
      </c>
      <c r="B479" t="s">
        <v>7</v>
      </c>
      <c r="C479" t="s">
        <v>1565</v>
      </c>
      <c r="D479" t="s">
        <v>1554</v>
      </c>
    </row>
    <row r="480" spans="1:4" x14ac:dyDescent="0.2">
      <c r="A480" t="s">
        <v>374</v>
      </c>
      <c r="B480" t="s">
        <v>8</v>
      </c>
      <c r="C480" t="s">
        <v>1561</v>
      </c>
      <c r="D480" t="s">
        <v>1554</v>
      </c>
    </row>
    <row r="481" spans="1:4" x14ac:dyDescent="0.2">
      <c r="A481" t="s">
        <v>374</v>
      </c>
      <c r="B481" t="s">
        <v>9</v>
      </c>
      <c r="C481" t="s">
        <v>1553</v>
      </c>
      <c r="D481" t="s">
        <v>1554</v>
      </c>
    </row>
    <row r="482" spans="1:4" x14ac:dyDescent="0.2">
      <c r="A482" t="s">
        <v>374</v>
      </c>
      <c r="B482" t="s">
        <v>10</v>
      </c>
      <c r="C482" t="s">
        <v>1555</v>
      </c>
      <c r="D482" t="s">
        <v>1554</v>
      </c>
    </row>
    <row r="483" spans="1:4" x14ac:dyDescent="0.2">
      <c r="A483" t="s">
        <v>374</v>
      </c>
      <c r="B483" t="s">
        <v>13</v>
      </c>
      <c r="C483" t="s">
        <v>1567</v>
      </c>
      <c r="D483" t="s">
        <v>1554</v>
      </c>
    </row>
    <row r="484" spans="1:4" x14ac:dyDescent="0.2">
      <c r="A484" t="s">
        <v>374</v>
      </c>
      <c r="B484" t="s">
        <v>14</v>
      </c>
      <c r="C484" t="s">
        <v>1568</v>
      </c>
      <c r="D484" t="s">
        <v>1554</v>
      </c>
    </row>
    <row r="485" spans="1:4" x14ac:dyDescent="0.2">
      <c r="A485" t="s">
        <v>374</v>
      </c>
      <c r="B485" t="s">
        <v>15</v>
      </c>
      <c r="C485" t="s">
        <v>1569</v>
      </c>
      <c r="D485" t="s">
        <v>1554</v>
      </c>
    </row>
    <row r="486" spans="1:4" x14ac:dyDescent="0.2">
      <c r="A486" t="s">
        <v>374</v>
      </c>
      <c r="B486" t="s">
        <v>17</v>
      </c>
      <c r="C486" t="s">
        <v>1560</v>
      </c>
      <c r="D486" t="s">
        <v>1554</v>
      </c>
    </row>
    <row r="487" spans="1:4" x14ac:dyDescent="0.2">
      <c r="A487" t="s">
        <v>374</v>
      </c>
      <c r="B487" t="s">
        <v>19</v>
      </c>
      <c r="C487" t="s">
        <v>1570</v>
      </c>
      <c r="D487" t="s">
        <v>1554</v>
      </c>
    </row>
    <row r="488" spans="1:4" x14ac:dyDescent="0.2">
      <c r="A488" t="s">
        <v>374</v>
      </c>
      <c r="B488" t="s">
        <v>23</v>
      </c>
      <c r="C488" t="s">
        <v>1556</v>
      </c>
      <c r="D488" t="s">
        <v>1554</v>
      </c>
    </row>
    <row r="489" spans="1:4" x14ac:dyDescent="0.2">
      <c r="A489" t="s">
        <v>374</v>
      </c>
      <c r="B489" t="s">
        <v>25</v>
      </c>
      <c r="C489" t="s">
        <v>1557</v>
      </c>
      <c r="D489" t="s">
        <v>1554</v>
      </c>
    </row>
    <row r="490" spans="1:4" x14ac:dyDescent="0.2">
      <c r="A490" t="s">
        <v>381</v>
      </c>
      <c r="B490" t="s">
        <v>8</v>
      </c>
      <c r="C490" t="s">
        <v>1561</v>
      </c>
      <c r="D490" t="s">
        <v>1554</v>
      </c>
    </row>
    <row r="491" spans="1:4" x14ac:dyDescent="0.2">
      <c r="A491" t="s">
        <v>381</v>
      </c>
      <c r="B491" t="s">
        <v>9</v>
      </c>
      <c r="C491" t="s">
        <v>1553</v>
      </c>
      <c r="D491" t="s">
        <v>1554</v>
      </c>
    </row>
    <row r="492" spans="1:4" x14ac:dyDescent="0.2">
      <c r="A492" t="s">
        <v>381</v>
      </c>
      <c r="B492" t="s">
        <v>10</v>
      </c>
      <c r="C492" t="s">
        <v>1555</v>
      </c>
      <c r="D492" t="s">
        <v>1554</v>
      </c>
    </row>
    <row r="493" spans="1:4" x14ac:dyDescent="0.2">
      <c r="A493" t="s">
        <v>381</v>
      </c>
      <c r="B493" t="s">
        <v>13</v>
      </c>
      <c r="C493" t="s">
        <v>1567</v>
      </c>
      <c r="D493" t="s">
        <v>1554</v>
      </c>
    </row>
    <row r="494" spans="1:4" x14ac:dyDescent="0.2">
      <c r="A494" t="s">
        <v>381</v>
      </c>
      <c r="B494" t="s">
        <v>14</v>
      </c>
      <c r="C494" t="s">
        <v>1568</v>
      </c>
      <c r="D494" t="s">
        <v>1554</v>
      </c>
    </row>
    <row r="495" spans="1:4" x14ac:dyDescent="0.2">
      <c r="A495" t="s">
        <v>381</v>
      </c>
      <c r="B495" t="s">
        <v>15</v>
      </c>
      <c r="C495" t="s">
        <v>1569</v>
      </c>
      <c r="D495" t="s">
        <v>1554</v>
      </c>
    </row>
    <row r="496" spans="1:4" x14ac:dyDescent="0.2">
      <c r="A496" t="s">
        <v>381</v>
      </c>
      <c r="B496" t="s">
        <v>17</v>
      </c>
      <c r="C496" t="s">
        <v>1560</v>
      </c>
      <c r="D496" t="s">
        <v>1554</v>
      </c>
    </row>
    <row r="497" spans="1:4" x14ac:dyDescent="0.2">
      <c r="A497" t="s">
        <v>381</v>
      </c>
      <c r="B497" t="s">
        <v>19</v>
      </c>
      <c r="C497" t="s">
        <v>1570</v>
      </c>
      <c r="D497" t="s">
        <v>1554</v>
      </c>
    </row>
    <row r="498" spans="1:4" x14ac:dyDescent="0.2">
      <c r="A498" t="s">
        <v>381</v>
      </c>
      <c r="B498" t="s">
        <v>23</v>
      </c>
      <c r="C498" t="s">
        <v>1556</v>
      </c>
      <c r="D498" t="s">
        <v>1554</v>
      </c>
    </row>
    <row r="499" spans="1:4" x14ac:dyDescent="0.2">
      <c r="A499" t="s">
        <v>381</v>
      </c>
      <c r="B499" t="s">
        <v>25</v>
      </c>
      <c r="C499" t="s">
        <v>1557</v>
      </c>
      <c r="D499" t="s">
        <v>1554</v>
      </c>
    </row>
    <row r="500" spans="1:4" x14ac:dyDescent="0.2">
      <c r="A500" t="s">
        <v>388</v>
      </c>
      <c r="B500" t="s">
        <v>3</v>
      </c>
      <c r="C500" t="s">
        <v>1562</v>
      </c>
      <c r="D500" t="s">
        <v>1554</v>
      </c>
    </row>
    <row r="501" spans="1:4" x14ac:dyDescent="0.2">
      <c r="A501" t="s">
        <v>388</v>
      </c>
      <c r="B501" t="s">
        <v>5</v>
      </c>
      <c r="C501" t="s">
        <v>1563</v>
      </c>
      <c r="D501" t="s">
        <v>1554</v>
      </c>
    </row>
    <row r="502" spans="1:4" x14ac:dyDescent="0.2">
      <c r="A502" t="s">
        <v>388</v>
      </c>
      <c r="B502" t="s">
        <v>6</v>
      </c>
      <c r="C502" t="s">
        <v>1564</v>
      </c>
      <c r="D502" t="s">
        <v>1554</v>
      </c>
    </row>
    <row r="503" spans="1:4" x14ac:dyDescent="0.2">
      <c r="A503" t="s">
        <v>388</v>
      </c>
      <c r="B503" t="s">
        <v>7</v>
      </c>
      <c r="C503" t="s">
        <v>1565</v>
      </c>
      <c r="D503" t="s">
        <v>1554</v>
      </c>
    </row>
    <row r="504" spans="1:4" x14ac:dyDescent="0.2">
      <c r="A504" t="s">
        <v>388</v>
      </c>
      <c r="B504" t="s">
        <v>8</v>
      </c>
      <c r="C504" t="s">
        <v>1561</v>
      </c>
      <c r="D504" t="s">
        <v>1554</v>
      </c>
    </row>
    <row r="505" spans="1:4" x14ac:dyDescent="0.2">
      <c r="A505" t="s">
        <v>388</v>
      </c>
      <c r="B505" t="s">
        <v>9</v>
      </c>
      <c r="C505" t="s">
        <v>1553</v>
      </c>
      <c r="D505" t="s">
        <v>1554</v>
      </c>
    </row>
    <row r="506" spans="1:4" x14ac:dyDescent="0.2">
      <c r="A506" t="s">
        <v>388</v>
      </c>
      <c r="B506" t="s">
        <v>10</v>
      </c>
      <c r="C506" t="s">
        <v>1555</v>
      </c>
      <c r="D506" t="s">
        <v>1554</v>
      </c>
    </row>
    <row r="507" spans="1:4" x14ac:dyDescent="0.2">
      <c r="A507" t="s">
        <v>388</v>
      </c>
      <c r="B507" t="s">
        <v>11</v>
      </c>
      <c r="C507" t="s">
        <v>1566</v>
      </c>
      <c r="D507" t="s">
        <v>1554</v>
      </c>
    </row>
    <row r="508" spans="1:4" x14ac:dyDescent="0.2">
      <c r="A508" t="s">
        <v>388</v>
      </c>
      <c r="B508" t="s">
        <v>13</v>
      </c>
      <c r="C508" t="s">
        <v>1567</v>
      </c>
      <c r="D508" t="s">
        <v>1554</v>
      </c>
    </row>
    <row r="509" spans="1:4" x14ac:dyDescent="0.2">
      <c r="A509" t="s">
        <v>388</v>
      </c>
      <c r="B509" t="s">
        <v>14</v>
      </c>
      <c r="C509" t="s">
        <v>1568</v>
      </c>
      <c r="D509" t="s">
        <v>1554</v>
      </c>
    </row>
    <row r="510" spans="1:4" x14ac:dyDescent="0.2">
      <c r="A510" t="s">
        <v>388</v>
      </c>
      <c r="B510" t="s">
        <v>15</v>
      </c>
      <c r="C510" t="s">
        <v>1569</v>
      </c>
      <c r="D510" t="s">
        <v>1554</v>
      </c>
    </row>
    <row r="511" spans="1:4" x14ac:dyDescent="0.2">
      <c r="A511" t="s">
        <v>388</v>
      </c>
      <c r="B511" t="s">
        <v>17</v>
      </c>
      <c r="C511" t="s">
        <v>1560</v>
      </c>
      <c r="D511" t="s">
        <v>1554</v>
      </c>
    </row>
    <row r="512" spans="1:4" x14ac:dyDescent="0.2">
      <c r="A512" t="s">
        <v>388</v>
      </c>
      <c r="B512" t="s">
        <v>19</v>
      </c>
      <c r="C512" t="s">
        <v>1570</v>
      </c>
      <c r="D512" t="s">
        <v>1554</v>
      </c>
    </row>
    <row r="513" spans="1:4" x14ac:dyDescent="0.2">
      <c r="A513" t="s">
        <v>388</v>
      </c>
      <c r="B513" t="s">
        <v>23</v>
      </c>
      <c r="C513" t="s">
        <v>1556</v>
      </c>
      <c r="D513" t="s">
        <v>1554</v>
      </c>
    </row>
    <row r="514" spans="1:4" x14ac:dyDescent="0.2">
      <c r="A514" t="s">
        <v>388</v>
      </c>
      <c r="B514" t="s">
        <v>25</v>
      </c>
      <c r="C514" t="s">
        <v>1557</v>
      </c>
      <c r="D514" t="s">
        <v>1554</v>
      </c>
    </row>
    <row r="515" spans="1:4" x14ac:dyDescent="0.2">
      <c r="A515" t="s">
        <v>395</v>
      </c>
      <c r="B515" t="s">
        <v>6</v>
      </c>
      <c r="C515" t="s">
        <v>1564</v>
      </c>
      <c r="D515" t="s">
        <v>1554</v>
      </c>
    </row>
    <row r="516" spans="1:4" x14ac:dyDescent="0.2">
      <c r="A516" t="s">
        <v>395</v>
      </c>
      <c r="B516" t="s">
        <v>7</v>
      </c>
      <c r="C516" t="s">
        <v>1565</v>
      </c>
      <c r="D516" t="s">
        <v>1554</v>
      </c>
    </row>
    <row r="517" spans="1:4" x14ac:dyDescent="0.2">
      <c r="A517" t="s">
        <v>395</v>
      </c>
      <c r="B517" t="s">
        <v>8</v>
      </c>
      <c r="C517" t="s">
        <v>1561</v>
      </c>
      <c r="D517" t="s">
        <v>1554</v>
      </c>
    </row>
    <row r="518" spans="1:4" x14ac:dyDescent="0.2">
      <c r="A518" t="s">
        <v>395</v>
      </c>
      <c r="B518" t="s">
        <v>9</v>
      </c>
      <c r="C518" t="s">
        <v>1553</v>
      </c>
      <c r="D518" t="s">
        <v>1554</v>
      </c>
    </row>
    <row r="519" spans="1:4" x14ac:dyDescent="0.2">
      <c r="A519" t="s">
        <v>395</v>
      </c>
      <c r="B519" t="s">
        <v>10</v>
      </c>
      <c r="C519" t="s">
        <v>1555</v>
      </c>
      <c r="D519" t="s">
        <v>1554</v>
      </c>
    </row>
    <row r="520" spans="1:4" x14ac:dyDescent="0.2">
      <c r="A520" t="s">
        <v>395</v>
      </c>
      <c r="B520" t="s">
        <v>13</v>
      </c>
      <c r="C520" t="s">
        <v>1567</v>
      </c>
      <c r="D520" t="s">
        <v>1554</v>
      </c>
    </row>
    <row r="521" spans="1:4" x14ac:dyDescent="0.2">
      <c r="A521" t="s">
        <v>395</v>
      </c>
      <c r="B521" t="s">
        <v>14</v>
      </c>
      <c r="C521" t="s">
        <v>1568</v>
      </c>
      <c r="D521" t="s">
        <v>1554</v>
      </c>
    </row>
    <row r="522" spans="1:4" x14ac:dyDescent="0.2">
      <c r="A522" t="s">
        <v>395</v>
      </c>
      <c r="B522" t="s">
        <v>15</v>
      </c>
      <c r="C522" t="s">
        <v>1569</v>
      </c>
      <c r="D522" t="s">
        <v>1554</v>
      </c>
    </row>
    <row r="523" spans="1:4" x14ac:dyDescent="0.2">
      <c r="A523" t="s">
        <v>395</v>
      </c>
      <c r="B523" t="s">
        <v>17</v>
      </c>
      <c r="C523" t="s">
        <v>1560</v>
      </c>
      <c r="D523" t="s">
        <v>1554</v>
      </c>
    </row>
    <row r="524" spans="1:4" x14ac:dyDescent="0.2">
      <c r="A524" t="s">
        <v>395</v>
      </c>
      <c r="B524" t="s">
        <v>19</v>
      </c>
      <c r="C524" t="s">
        <v>1570</v>
      </c>
      <c r="D524" t="s">
        <v>1554</v>
      </c>
    </row>
    <row r="525" spans="1:4" x14ac:dyDescent="0.2">
      <c r="A525" t="s">
        <v>395</v>
      </c>
      <c r="B525" t="s">
        <v>23</v>
      </c>
      <c r="C525" t="s">
        <v>1556</v>
      </c>
      <c r="D525" t="s">
        <v>1554</v>
      </c>
    </row>
    <row r="526" spans="1:4" x14ac:dyDescent="0.2">
      <c r="A526" t="s">
        <v>395</v>
      </c>
      <c r="B526" t="s">
        <v>25</v>
      </c>
      <c r="C526" t="s">
        <v>1557</v>
      </c>
      <c r="D526" t="s">
        <v>1554</v>
      </c>
    </row>
    <row r="527" spans="1:4" x14ac:dyDescent="0.2">
      <c r="A527" t="s">
        <v>401</v>
      </c>
      <c r="B527" t="s">
        <v>6</v>
      </c>
      <c r="C527" t="s">
        <v>1564</v>
      </c>
      <c r="D527" t="s">
        <v>1554</v>
      </c>
    </row>
    <row r="528" spans="1:4" x14ac:dyDescent="0.2">
      <c r="A528" t="s">
        <v>401</v>
      </c>
      <c r="B528" t="s">
        <v>7</v>
      </c>
      <c r="C528" t="s">
        <v>1565</v>
      </c>
      <c r="D528" t="s">
        <v>1554</v>
      </c>
    </row>
    <row r="529" spans="1:4" x14ac:dyDescent="0.2">
      <c r="A529" t="s">
        <v>401</v>
      </c>
      <c r="B529" t="s">
        <v>8</v>
      </c>
      <c r="C529" t="s">
        <v>1561</v>
      </c>
      <c r="D529" t="s">
        <v>1554</v>
      </c>
    </row>
    <row r="530" spans="1:4" x14ac:dyDescent="0.2">
      <c r="A530" t="s">
        <v>401</v>
      </c>
      <c r="B530" t="s">
        <v>9</v>
      </c>
      <c r="C530" t="s">
        <v>1553</v>
      </c>
      <c r="D530" t="s">
        <v>1554</v>
      </c>
    </row>
    <row r="531" spans="1:4" x14ac:dyDescent="0.2">
      <c r="A531" t="s">
        <v>401</v>
      </c>
      <c r="B531" t="s">
        <v>10</v>
      </c>
      <c r="C531" t="s">
        <v>1555</v>
      </c>
      <c r="D531" t="s">
        <v>1554</v>
      </c>
    </row>
    <row r="532" spans="1:4" x14ac:dyDescent="0.2">
      <c r="A532" t="s">
        <v>401</v>
      </c>
      <c r="B532" t="s">
        <v>13</v>
      </c>
      <c r="C532" t="s">
        <v>1567</v>
      </c>
      <c r="D532" t="s">
        <v>1554</v>
      </c>
    </row>
    <row r="533" spans="1:4" x14ac:dyDescent="0.2">
      <c r="A533" t="s">
        <v>401</v>
      </c>
      <c r="B533" t="s">
        <v>14</v>
      </c>
      <c r="C533" t="s">
        <v>1568</v>
      </c>
      <c r="D533" t="s">
        <v>1554</v>
      </c>
    </row>
    <row r="534" spans="1:4" x14ac:dyDescent="0.2">
      <c r="A534" t="s">
        <v>401</v>
      </c>
      <c r="B534" t="s">
        <v>15</v>
      </c>
      <c r="C534" t="s">
        <v>1569</v>
      </c>
      <c r="D534" t="s">
        <v>1554</v>
      </c>
    </row>
    <row r="535" spans="1:4" x14ac:dyDescent="0.2">
      <c r="A535" t="s">
        <v>401</v>
      </c>
      <c r="B535" t="s">
        <v>17</v>
      </c>
      <c r="C535" t="s">
        <v>1560</v>
      </c>
      <c r="D535" t="s">
        <v>1554</v>
      </c>
    </row>
    <row r="536" spans="1:4" x14ac:dyDescent="0.2">
      <c r="A536" t="s">
        <v>401</v>
      </c>
      <c r="B536" t="s">
        <v>19</v>
      </c>
      <c r="C536" t="s">
        <v>1570</v>
      </c>
      <c r="D536" t="s">
        <v>1554</v>
      </c>
    </row>
    <row r="537" spans="1:4" x14ac:dyDescent="0.2">
      <c r="A537" t="s">
        <v>401</v>
      </c>
      <c r="B537" t="s">
        <v>23</v>
      </c>
      <c r="C537" t="s">
        <v>1556</v>
      </c>
      <c r="D537" t="s">
        <v>1554</v>
      </c>
    </row>
    <row r="538" spans="1:4" x14ac:dyDescent="0.2">
      <c r="A538" t="s">
        <v>401</v>
      </c>
      <c r="B538" t="s">
        <v>25</v>
      </c>
      <c r="C538" t="s">
        <v>1557</v>
      </c>
      <c r="D538" t="s">
        <v>1554</v>
      </c>
    </row>
    <row r="539" spans="1:4" x14ac:dyDescent="0.2">
      <c r="A539" t="s">
        <v>401</v>
      </c>
      <c r="B539" t="s">
        <v>24</v>
      </c>
      <c r="C539" t="s">
        <v>1558</v>
      </c>
      <c r="D539" t="s">
        <v>1559</v>
      </c>
    </row>
    <row r="540" spans="1:4" x14ac:dyDescent="0.2">
      <c r="A540" t="s">
        <v>407</v>
      </c>
      <c r="B540" t="s">
        <v>6</v>
      </c>
      <c r="C540" t="s">
        <v>1564</v>
      </c>
      <c r="D540" t="s">
        <v>1554</v>
      </c>
    </row>
    <row r="541" spans="1:4" x14ac:dyDescent="0.2">
      <c r="A541" t="s">
        <v>407</v>
      </c>
      <c r="B541" t="s">
        <v>7</v>
      </c>
      <c r="C541" t="s">
        <v>1565</v>
      </c>
      <c r="D541" t="s">
        <v>1554</v>
      </c>
    </row>
    <row r="542" spans="1:4" x14ac:dyDescent="0.2">
      <c r="A542" t="s">
        <v>407</v>
      </c>
      <c r="B542" t="s">
        <v>8</v>
      </c>
      <c r="C542" t="s">
        <v>1561</v>
      </c>
      <c r="D542" t="s">
        <v>1554</v>
      </c>
    </row>
    <row r="543" spans="1:4" x14ac:dyDescent="0.2">
      <c r="A543" t="s">
        <v>407</v>
      </c>
      <c r="B543" t="s">
        <v>9</v>
      </c>
      <c r="C543" t="s">
        <v>1553</v>
      </c>
      <c r="D543" t="s">
        <v>1554</v>
      </c>
    </row>
    <row r="544" spans="1:4" x14ac:dyDescent="0.2">
      <c r="A544" t="s">
        <v>407</v>
      </c>
      <c r="B544" t="s">
        <v>10</v>
      </c>
      <c r="C544" t="s">
        <v>1555</v>
      </c>
      <c r="D544" t="s">
        <v>1554</v>
      </c>
    </row>
    <row r="545" spans="1:4" x14ac:dyDescent="0.2">
      <c r="A545" t="s">
        <v>407</v>
      </c>
      <c r="B545" t="s">
        <v>13</v>
      </c>
      <c r="C545" t="s">
        <v>1567</v>
      </c>
      <c r="D545" t="s">
        <v>1554</v>
      </c>
    </row>
    <row r="546" spans="1:4" x14ac:dyDescent="0.2">
      <c r="A546" t="s">
        <v>407</v>
      </c>
      <c r="B546" t="s">
        <v>14</v>
      </c>
      <c r="C546" t="s">
        <v>1568</v>
      </c>
      <c r="D546" t="s">
        <v>1554</v>
      </c>
    </row>
    <row r="547" spans="1:4" x14ac:dyDescent="0.2">
      <c r="A547" t="s">
        <v>407</v>
      </c>
      <c r="B547" t="s">
        <v>15</v>
      </c>
      <c r="C547" t="s">
        <v>1569</v>
      </c>
      <c r="D547" t="s">
        <v>1554</v>
      </c>
    </row>
    <row r="548" spans="1:4" x14ac:dyDescent="0.2">
      <c r="A548" t="s">
        <v>407</v>
      </c>
      <c r="B548" t="s">
        <v>17</v>
      </c>
      <c r="C548" t="s">
        <v>1560</v>
      </c>
      <c r="D548" t="s">
        <v>1554</v>
      </c>
    </row>
    <row r="549" spans="1:4" x14ac:dyDescent="0.2">
      <c r="A549" t="s">
        <v>407</v>
      </c>
      <c r="B549" t="s">
        <v>19</v>
      </c>
      <c r="C549" t="s">
        <v>1570</v>
      </c>
      <c r="D549" t="s">
        <v>1554</v>
      </c>
    </row>
    <row r="550" spans="1:4" x14ac:dyDescent="0.2">
      <c r="A550" t="s">
        <v>407</v>
      </c>
      <c r="B550" t="s">
        <v>23</v>
      </c>
      <c r="C550" t="s">
        <v>1556</v>
      </c>
      <c r="D550" t="s">
        <v>1554</v>
      </c>
    </row>
    <row r="551" spans="1:4" x14ac:dyDescent="0.2">
      <c r="A551" t="s">
        <v>407</v>
      </c>
      <c r="B551" t="s">
        <v>25</v>
      </c>
      <c r="C551" t="s">
        <v>1557</v>
      </c>
      <c r="D551" t="s">
        <v>1554</v>
      </c>
    </row>
    <row r="552" spans="1:4" x14ac:dyDescent="0.2">
      <c r="A552" t="s">
        <v>407</v>
      </c>
      <c r="B552" t="s">
        <v>24</v>
      </c>
      <c r="C552" t="s">
        <v>1558</v>
      </c>
      <c r="D552" t="s">
        <v>1559</v>
      </c>
    </row>
    <row r="553" spans="1:4" x14ac:dyDescent="0.2">
      <c r="A553" t="s">
        <v>413</v>
      </c>
      <c r="B553" t="s">
        <v>3</v>
      </c>
      <c r="C553" t="s">
        <v>1562</v>
      </c>
      <c r="D553" t="s">
        <v>1554</v>
      </c>
    </row>
    <row r="554" spans="1:4" x14ac:dyDescent="0.2">
      <c r="A554" t="s">
        <v>413</v>
      </c>
      <c r="B554" t="s">
        <v>5</v>
      </c>
      <c r="C554" t="s">
        <v>1563</v>
      </c>
      <c r="D554" t="s">
        <v>1554</v>
      </c>
    </row>
    <row r="555" spans="1:4" x14ac:dyDescent="0.2">
      <c r="A555" t="s">
        <v>413</v>
      </c>
      <c r="B555" t="s">
        <v>6</v>
      </c>
      <c r="C555" t="s">
        <v>1564</v>
      </c>
      <c r="D555" t="s">
        <v>1554</v>
      </c>
    </row>
    <row r="556" spans="1:4" x14ac:dyDescent="0.2">
      <c r="A556" t="s">
        <v>413</v>
      </c>
      <c r="B556" t="s">
        <v>7</v>
      </c>
      <c r="C556" t="s">
        <v>1565</v>
      </c>
      <c r="D556" t="s">
        <v>1554</v>
      </c>
    </row>
    <row r="557" spans="1:4" x14ac:dyDescent="0.2">
      <c r="A557" t="s">
        <v>413</v>
      </c>
      <c r="B557" t="s">
        <v>8</v>
      </c>
      <c r="C557" t="s">
        <v>1561</v>
      </c>
      <c r="D557" t="s">
        <v>1554</v>
      </c>
    </row>
    <row r="558" spans="1:4" x14ac:dyDescent="0.2">
      <c r="A558" t="s">
        <v>413</v>
      </c>
      <c r="B558" t="s">
        <v>9</v>
      </c>
      <c r="C558" t="s">
        <v>1553</v>
      </c>
      <c r="D558" t="s">
        <v>1554</v>
      </c>
    </row>
    <row r="559" spans="1:4" x14ac:dyDescent="0.2">
      <c r="A559" t="s">
        <v>413</v>
      </c>
      <c r="B559" t="s">
        <v>10</v>
      </c>
      <c r="C559" t="s">
        <v>1555</v>
      </c>
      <c r="D559" t="s">
        <v>1554</v>
      </c>
    </row>
    <row r="560" spans="1:4" x14ac:dyDescent="0.2">
      <c r="A560" t="s">
        <v>413</v>
      </c>
      <c r="B560" t="s">
        <v>11</v>
      </c>
      <c r="C560" t="s">
        <v>1566</v>
      </c>
      <c r="D560" t="s">
        <v>1554</v>
      </c>
    </row>
    <row r="561" spans="1:4" x14ac:dyDescent="0.2">
      <c r="A561" t="s">
        <v>413</v>
      </c>
      <c r="B561" t="s">
        <v>13</v>
      </c>
      <c r="C561" t="s">
        <v>1567</v>
      </c>
      <c r="D561" t="s">
        <v>1554</v>
      </c>
    </row>
    <row r="562" spans="1:4" x14ac:dyDescent="0.2">
      <c r="A562" t="s">
        <v>413</v>
      </c>
      <c r="B562" t="s">
        <v>14</v>
      </c>
      <c r="C562" t="s">
        <v>1568</v>
      </c>
      <c r="D562" t="s">
        <v>1554</v>
      </c>
    </row>
    <row r="563" spans="1:4" x14ac:dyDescent="0.2">
      <c r="A563" t="s">
        <v>413</v>
      </c>
      <c r="B563" t="s">
        <v>15</v>
      </c>
      <c r="C563" t="s">
        <v>1569</v>
      </c>
      <c r="D563" t="s">
        <v>1554</v>
      </c>
    </row>
    <row r="564" spans="1:4" x14ac:dyDescent="0.2">
      <c r="A564" t="s">
        <v>413</v>
      </c>
      <c r="B564" t="s">
        <v>17</v>
      </c>
      <c r="C564" t="s">
        <v>1560</v>
      </c>
      <c r="D564" t="s">
        <v>1554</v>
      </c>
    </row>
    <row r="565" spans="1:4" x14ac:dyDescent="0.2">
      <c r="A565" t="s">
        <v>413</v>
      </c>
      <c r="B565" t="s">
        <v>19</v>
      </c>
      <c r="C565" t="s">
        <v>1570</v>
      </c>
      <c r="D565" t="s">
        <v>1554</v>
      </c>
    </row>
    <row r="566" spans="1:4" x14ac:dyDescent="0.2">
      <c r="A566" t="s">
        <v>413</v>
      </c>
      <c r="B566" t="s">
        <v>23</v>
      </c>
      <c r="C566" t="s">
        <v>1556</v>
      </c>
      <c r="D566" t="s">
        <v>1554</v>
      </c>
    </row>
    <row r="567" spans="1:4" x14ac:dyDescent="0.2">
      <c r="A567" t="s">
        <v>413</v>
      </c>
      <c r="B567" t="s">
        <v>25</v>
      </c>
      <c r="C567" t="s">
        <v>1557</v>
      </c>
      <c r="D567" t="s">
        <v>1554</v>
      </c>
    </row>
    <row r="568" spans="1:4" x14ac:dyDescent="0.2">
      <c r="A568" t="s">
        <v>413</v>
      </c>
      <c r="B568" t="s">
        <v>24</v>
      </c>
      <c r="C568" t="s">
        <v>1558</v>
      </c>
      <c r="D568" t="s">
        <v>1559</v>
      </c>
    </row>
    <row r="569" spans="1:4" x14ac:dyDescent="0.2">
      <c r="A569" t="s">
        <v>419</v>
      </c>
      <c r="B569" t="s">
        <v>3</v>
      </c>
      <c r="C569" t="s">
        <v>1562</v>
      </c>
      <c r="D569" t="s">
        <v>1554</v>
      </c>
    </row>
    <row r="570" spans="1:4" x14ac:dyDescent="0.2">
      <c r="A570" t="s">
        <v>419</v>
      </c>
      <c r="B570" t="s">
        <v>5</v>
      </c>
      <c r="C570" t="s">
        <v>1563</v>
      </c>
      <c r="D570" t="s">
        <v>1554</v>
      </c>
    </row>
    <row r="571" spans="1:4" x14ac:dyDescent="0.2">
      <c r="A571" t="s">
        <v>419</v>
      </c>
      <c r="B571" t="s">
        <v>6</v>
      </c>
      <c r="C571" t="s">
        <v>1564</v>
      </c>
      <c r="D571" t="s">
        <v>1554</v>
      </c>
    </row>
    <row r="572" spans="1:4" x14ac:dyDescent="0.2">
      <c r="A572" t="s">
        <v>419</v>
      </c>
      <c r="B572" t="s">
        <v>7</v>
      </c>
      <c r="C572" t="s">
        <v>1565</v>
      </c>
      <c r="D572" t="s">
        <v>1554</v>
      </c>
    </row>
    <row r="573" spans="1:4" x14ac:dyDescent="0.2">
      <c r="A573" t="s">
        <v>419</v>
      </c>
      <c r="B573" t="s">
        <v>8</v>
      </c>
      <c r="C573" t="s">
        <v>1561</v>
      </c>
      <c r="D573" t="s">
        <v>1554</v>
      </c>
    </row>
    <row r="574" spans="1:4" x14ac:dyDescent="0.2">
      <c r="A574" t="s">
        <v>419</v>
      </c>
      <c r="B574" t="s">
        <v>9</v>
      </c>
      <c r="C574" t="s">
        <v>1553</v>
      </c>
      <c r="D574" t="s">
        <v>1554</v>
      </c>
    </row>
    <row r="575" spans="1:4" x14ac:dyDescent="0.2">
      <c r="A575" t="s">
        <v>419</v>
      </c>
      <c r="B575" t="s">
        <v>10</v>
      </c>
      <c r="C575" t="s">
        <v>1555</v>
      </c>
      <c r="D575" t="s">
        <v>1554</v>
      </c>
    </row>
    <row r="576" spans="1:4" x14ac:dyDescent="0.2">
      <c r="A576" t="s">
        <v>419</v>
      </c>
      <c r="B576" t="s">
        <v>11</v>
      </c>
      <c r="C576" t="s">
        <v>1566</v>
      </c>
      <c r="D576" t="s">
        <v>1554</v>
      </c>
    </row>
    <row r="577" spans="1:4" x14ac:dyDescent="0.2">
      <c r="A577" t="s">
        <v>419</v>
      </c>
      <c r="B577" t="s">
        <v>13</v>
      </c>
      <c r="C577" t="s">
        <v>1567</v>
      </c>
      <c r="D577" t="s">
        <v>1554</v>
      </c>
    </row>
    <row r="578" spans="1:4" x14ac:dyDescent="0.2">
      <c r="A578" t="s">
        <v>419</v>
      </c>
      <c r="B578" t="s">
        <v>14</v>
      </c>
      <c r="C578" t="s">
        <v>1568</v>
      </c>
      <c r="D578" t="s">
        <v>1554</v>
      </c>
    </row>
    <row r="579" spans="1:4" x14ac:dyDescent="0.2">
      <c r="A579" t="s">
        <v>419</v>
      </c>
      <c r="B579" t="s">
        <v>15</v>
      </c>
      <c r="C579" t="s">
        <v>1569</v>
      </c>
      <c r="D579" t="s">
        <v>1554</v>
      </c>
    </row>
    <row r="580" spans="1:4" x14ac:dyDescent="0.2">
      <c r="A580" t="s">
        <v>419</v>
      </c>
      <c r="B580" t="s">
        <v>17</v>
      </c>
      <c r="C580" t="s">
        <v>1560</v>
      </c>
      <c r="D580" t="s">
        <v>1554</v>
      </c>
    </row>
    <row r="581" spans="1:4" x14ac:dyDescent="0.2">
      <c r="A581" t="s">
        <v>419</v>
      </c>
      <c r="B581" t="s">
        <v>19</v>
      </c>
      <c r="C581" t="s">
        <v>1570</v>
      </c>
      <c r="D581" t="s">
        <v>1554</v>
      </c>
    </row>
    <row r="582" spans="1:4" x14ac:dyDescent="0.2">
      <c r="A582" t="s">
        <v>419</v>
      </c>
      <c r="B582" t="s">
        <v>23</v>
      </c>
      <c r="C582" t="s">
        <v>1556</v>
      </c>
      <c r="D582" t="s">
        <v>1554</v>
      </c>
    </row>
    <row r="583" spans="1:4" x14ac:dyDescent="0.2">
      <c r="A583" t="s">
        <v>419</v>
      </c>
      <c r="B583" t="s">
        <v>25</v>
      </c>
      <c r="C583" t="s">
        <v>1557</v>
      </c>
      <c r="D583" t="s">
        <v>1554</v>
      </c>
    </row>
    <row r="584" spans="1:4" x14ac:dyDescent="0.2">
      <c r="A584" t="s">
        <v>419</v>
      </c>
      <c r="B584" t="s">
        <v>24</v>
      </c>
      <c r="C584" t="s">
        <v>1558</v>
      </c>
      <c r="D584" t="s">
        <v>1559</v>
      </c>
    </row>
    <row r="585" spans="1:4" x14ac:dyDescent="0.2">
      <c r="A585" t="s">
        <v>426</v>
      </c>
      <c r="B585" t="s">
        <v>3</v>
      </c>
      <c r="C585" t="s">
        <v>1562</v>
      </c>
      <c r="D585" t="s">
        <v>1554</v>
      </c>
    </row>
    <row r="586" spans="1:4" x14ac:dyDescent="0.2">
      <c r="A586" t="s">
        <v>426</v>
      </c>
      <c r="B586" t="s">
        <v>5</v>
      </c>
      <c r="C586" t="s">
        <v>1563</v>
      </c>
      <c r="D586" t="s">
        <v>1554</v>
      </c>
    </row>
    <row r="587" spans="1:4" x14ac:dyDescent="0.2">
      <c r="A587" t="s">
        <v>426</v>
      </c>
      <c r="B587" t="s">
        <v>6</v>
      </c>
      <c r="C587" t="s">
        <v>1564</v>
      </c>
      <c r="D587" t="s">
        <v>1554</v>
      </c>
    </row>
    <row r="588" spans="1:4" x14ac:dyDescent="0.2">
      <c r="A588" t="s">
        <v>426</v>
      </c>
      <c r="B588" t="s">
        <v>7</v>
      </c>
      <c r="C588" t="s">
        <v>1565</v>
      </c>
      <c r="D588" t="s">
        <v>1554</v>
      </c>
    </row>
    <row r="589" spans="1:4" x14ac:dyDescent="0.2">
      <c r="A589" t="s">
        <v>426</v>
      </c>
      <c r="B589" t="s">
        <v>8</v>
      </c>
      <c r="C589" t="s">
        <v>1561</v>
      </c>
      <c r="D589" t="s">
        <v>1554</v>
      </c>
    </row>
    <row r="590" spans="1:4" x14ac:dyDescent="0.2">
      <c r="A590" t="s">
        <v>426</v>
      </c>
      <c r="B590" t="s">
        <v>9</v>
      </c>
      <c r="C590" t="s">
        <v>1553</v>
      </c>
      <c r="D590" t="s">
        <v>1554</v>
      </c>
    </row>
    <row r="591" spans="1:4" x14ac:dyDescent="0.2">
      <c r="A591" t="s">
        <v>426</v>
      </c>
      <c r="B591" t="s">
        <v>10</v>
      </c>
      <c r="C591" t="s">
        <v>1555</v>
      </c>
      <c r="D591" t="s">
        <v>1554</v>
      </c>
    </row>
    <row r="592" spans="1:4" x14ac:dyDescent="0.2">
      <c r="A592" t="s">
        <v>426</v>
      </c>
      <c r="B592" t="s">
        <v>11</v>
      </c>
      <c r="C592" t="s">
        <v>1566</v>
      </c>
      <c r="D592" t="s">
        <v>1554</v>
      </c>
    </row>
    <row r="593" spans="1:4" x14ac:dyDescent="0.2">
      <c r="A593" t="s">
        <v>426</v>
      </c>
      <c r="B593" t="s">
        <v>13</v>
      </c>
      <c r="C593" t="s">
        <v>1567</v>
      </c>
      <c r="D593" t="s">
        <v>1554</v>
      </c>
    </row>
    <row r="594" spans="1:4" x14ac:dyDescent="0.2">
      <c r="A594" t="s">
        <v>426</v>
      </c>
      <c r="B594" t="s">
        <v>14</v>
      </c>
      <c r="C594" t="s">
        <v>1568</v>
      </c>
      <c r="D594" t="s">
        <v>1554</v>
      </c>
    </row>
    <row r="595" spans="1:4" x14ac:dyDescent="0.2">
      <c r="A595" t="s">
        <v>426</v>
      </c>
      <c r="B595" t="s">
        <v>15</v>
      </c>
      <c r="C595" t="s">
        <v>1569</v>
      </c>
      <c r="D595" t="s">
        <v>1554</v>
      </c>
    </row>
    <row r="596" spans="1:4" x14ac:dyDescent="0.2">
      <c r="A596" t="s">
        <v>426</v>
      </c>
      <c r="B596" t="s">
        <v>17</v>
      </c>
      <c r="C596" t="s">
        <v>1560</v>
      </c>
      <c r="D596" t="s">
        <v>1554</v>
      </c>
    </row>
    <row r="597" spans="1:4" x14ac:dyDescent="0.2">
      <c r="A597" t="s">
        <v>426</v>
      </c>
      <c r="B597" t="s">
        <v>19</v>
      </c>
      <c r="C597" t="s">
        <v>1570</v>
      </c>
      <c r="D597" t="s">
        <v>1554</v>
      </c>
    </row>
    <row r="598" spans="1:4" x14ac:dyDescent="0.2">
      <c r="A598" t="s">
        <v>426</v>
      </c>
      <c r="B598" t="s">
        <v>23</v>
      </c>
      <c r="C598" t="s">
        <v>1556</v>
      </c>
      <c r="D598" t="s">
        <v>1554</v>
      </c>
    </row>
    <row r="599" spans="1:4" x14ac:dyDescent="0.2">
      <c r="A599" t="s">
        <v>426</v>
      </c>
      <c r="B599" t="s">
        <v>25</v>
      </c>
      <c r="C599" t="s">
        <v>1557</v>
      </c>
      <c r="D599" t="s">
        <v>1554</v>
      </c>
    </row>
    <row r="600" spans="1:4" x14ac:dyDescent="0.2">
      <c r="A600" t="s">
        <v>426</v>
      </c>
      <c r="B600" t="s">
        <v>24</v>
      </c>
      <c r="C600" t="s">
        <v>1558</v>
      </c>
      <c r="D600" t="s">
        <v>1559</v>
      </c>
    </row>
    <row r="601" spans="1:4" x14ac:dyDescent="0.2">
      <c r="A601" t="s">
        <v>432</v>
      </c>
      <c r="B601" t="s">
        <v>6</v>
      </c>
      <c r="C601" t="s">
        <v>1564</v>
      </c>
      <c r="D601" t="s">
        <v>1554</v>
      </c>
    </row>
    <row r="602" spans="1:4" x14ac:dyDescent="0.2">
      <c r="A602" t="s">
        <v>432</v>
      </c>
      <c r="B602" t="s">
        <v>7</v>
      </c>
      <c r="C602" t="s">
        <v>1565</v>
      </c>
      <c r="D602" t="s">
        <v>1554</v>
      </c>
    </row>
    <row r="603" spans="1:4" x14ac:dyDescent="0.2">
      <c r="A603" t="s">
        <v>432</v>
      </c>
      <c r="B603" t="s">
        <v>8</v>
      </c>
      <c r="C603" t="s">
        <v>1561</v>
      </c>
      <c r="D603" t="s">
        <v>1554</v>
      </c>
    </row>
    <row r="604" spans="1:4" x14ac:dyDescent="0.2">
      <c r="A604" t="s">
        <v>432</v>
      </c>
      <c r="B604" t="s">
        <v>9</v>
      </c>
      <c r="C604" t="s">
        <v>1553</v>
      </c>
      <c r="D604" t="s">
        <v>1554</v>
      </c>
    </row>
    <row r="605" spans="1:4" x14ac:dyDescent="0.2">
      <c r="A605" t="s">
        <v>432</v>
      </c>
      <c r="B605" t="s">
        <v>10</v>
      </c>
      <c r="C605" t="s">
        <v>1555</v>
      </c>
      <c r="D605" t="s">
        <v>1554</v>
      </c>
    </row>
    <row r="606" spans="1:4" x14ac:dyDescent="0.2">
      <c r="A606" t="s">
        <v>432</v>
      </c>
      <c r="B606" t="s">
        <v>11</v>
      </c>
      <c r="C606" t="s">
        <v>1566</v>
      </c>
      <c r="D606" t="s">
        <v>1554</v>
      </c>
    </row>
    <row r="607" spans="1:4" x14ac:dyDescent="0.2">
      <c r="A607" t="s">
        <v>432</v>
      </c>
      <c r="B607" t="s">
        <v>13</v>
      </c>
      <c r="C607" t="s">
        <v>1567</v>
      </c>
      <c r="D607" t="s">
        <v>1554</v>
      </c>
    </row>
    <row r="608" spans="1:4" x14ac:dyDescent="0.2">
      <c r="A608" t="s">
        <v>432</v>
      </c>
      <c r="B608" t="s">
        <v>14</v>
      </c>
      <c r="C608" t="s">
        <v>1568</v>
      </c>
      <c r="D608" t="s">
        <v>1554</v>
      </c>
    </row>
    <row r="609" spans="1:4" x14ac:dyDescent="0.2">
      <c r="A609" t="s">
        <v>432</v>
      </c>
      <c r="B609" t="s">
        <v>15</v>
      </c>
      <c r="C609" t="s">
        <v>1569</v>
      </c>
      <c r="D609" t="s">
        <v>1554</v>
      </c>
    </row>
    <row r="610" spans="1:4" x14ac:dyDescent="0.2">
      <c r="A610" t="s">
        <v>432</v>
      </c>
      <c r="B610" t="s">
        <v>17</v>
      </c>
      <c r="C610" t="s">
        <v>1560</v>
      </c>
      <c r="D610" t="s">
        <v>1554</v>
      </c>
    </row>
    <row r="611" spans="1:4" x14ac:dyDescent="0.2">
      <c r="A611" t="s">
        <v>432</v>
      </c>
      <c r="B611" t="s">
        <v>19</v>
      </c>
      <c r="C611" t="s">
        <v>1570</v>
      </c>
      <c r="D611" t="s">
        <v>1554</v>
      </c>
    </row>
    <row r="612" spans="1:4" x14ac:dyDescent="0.2">
      <c r="A612" t="s">
        <v>432</v>
      </c>
      <c r="B612" t="s">
        <v>23</v>
      </c>
      <c r="C612" t="s">
        <v>1556</v>
      </c>
      <c r="D612" t="s">
        <v>1554</v>
      </c>
    </row>
    <row r="613" spans="1:4" x14ac:dyDescent="0.2">
      <c r="A613" t="s">
        <v>432</v>
      </c>
      <c r="B613" t="s">
        <v>25</v>
      </c>
      <c r="C613" t="s">
        <v>1557</v>
      </c>
      <c r="D613" t="s">
        <v>1554</v>
      </c>
    </row>
    <row r="614" spans="1:4" x14ac:dyDescent="0.2">
      <c r="A614" t="s">
        <v>439</v>
      </c>
      <c r="B614" t="s">
        <v>6</v>
      </c>
      <c r="C614" t="s">
        <v>1564</v>
      </c>
      <c r="D614" t="s">
        <v>1554</v>
      </c>
    </row>
    <row r="615" spans="1:4" x14ac:dyDescent="0.2">
      <c r="A615" t="s">
        <v>439</v>
      </c>
      <c r="B615" t="s">
        <v>7</v>
      </c>
      <c r="C615" t="s">
        <v>1565</v>
      </c>
      <c r="D615" t="s">
        <v>1554</v>
      </c>
    </row>
    <row r="616" spans="1:4" x14ac:dyDescent="0.2">
      <c r="A616" t="s">
        <v>439</v>
      </c>
      <c r="B616" t="s">
        <v>8</v>
      </c>
      <c r="C616" t="s">
        <v>1561</v>
      </c>
      <c r="D616" t="s">
        <v>1554</v>
      </c>
    </row>
    <row r="617" spans="1:4" x14ac:dyDescent="0.2">
      <c r="A617" t="s">
        <v>439</v>
      </c>
      <c r="B617" t="s">
        <v>9</v>
      </c>
      <c r="C617" t="s">
        <v>1553</v>
      </c>
      <c r="D617" t="s">
        <v>1554</v>
      </c>
    </row>
    <row r="618" spans="1:4" x14ac:dyDescent="0.2">
      <c r="A618" t="s">
        <v>439</v>
      </c>
      <c r="B618" t="s">
        <v>10</v>
      </c>
      <c r="C618" t="s">
        <v>1555</v>
      </c>
      <c r="D618" t="s">
        <v>1554</v>
      </c>
    </row>
    <row r="619" spans="1:4" x14ac:dyDescent="0.2">
      <c r="A619" t="s">
        <v>439</v>
      </c>
      <c r="B619" t="s">
        <v>13</v>
      </c>
      <c r="C619" t="s">
        <v>1567</v>
      </c>
      <c r="D619" t="s">
        <v>1554</v>
      </c>
    </row>
    <row r="620" spans="1:4" x14ac:dyDescent="0.2">
      <c r="A620" t="s">
        <v>439</v>
      </c>
      <c r="B620" t="s">
        <v>14</v>
      </c>
      <c r="C620" t="s">
        <v>1568</v>
      </c>
      <c r="D620" t="s">
        <v>1554</v>
      </c>
    </row>
    <row r="621" spans="1:4" x14ac:dyDescent="0.2">
      <c r="A621" t="s">
        <v>439</v>
      </c>
      <c r="B621" t="s">
        <v>15</v>
      </c>
      <c r="C621" t="s">
        <v>1569</v>
      </c>
      <c r="D621" t="s">
        <v>1554</v>
      </c>
    </row>
    <row r="622" spans="1:4" x14ac:dyDescent="0.2">
      <c r="A622" t="s">
        <v>439</v>
      </c>
      <c r="B622" t="s">
        <v>17</v>
      </c>
      <c r="C622" t="s">
        <v>1560</v>
      </c>
      <c r="D622" t="s">
        <v>1554</v>
      </c>
    </row>
    <row r="623" spans="1:4" x14ac:dyDescent="0.2">
      <c r="A623" t="s">
        <v>439</v>
      </c>
      <c r="B623" t="s">
        <v>19</v>
      </c>
      <c r="C623" t="s">
        <v>1570</v>
      </c>
      <c r="D623" t="s">
        <v>1554</v>
      </c>
    </row>
    <row r="624" spans="1:4" x14ac:dyDescent="0.2">
      <c r="A624" t="s">
        <v>439</v>
      </c>
      <c r="B624" t="s">
        <v>23</v>
      </c>
      <c r="C624" t="s">
        <v>1556</v>
      </c>
      <c r="D624" t="s">
        <v>1554</v>
      </c>
    </row>
    <row r="625" spans="1:4" x14ac:dyDescent="0.2">
      <c r="A625" t="s">
        <v>439</v>
      </c>
      <c r="B625" t="s">
        <v>25</v>
      </c>
      <c r="C625" t="s">
        <v>1557</v>
      </c>
      <c r="D625" t="s">
        <v>1554</v>
      </c>
    </row>
    <row r="626" spans="1:4" x14ac:dyDescent="0.2">
      <c r="A626" t="s">
        <v>439</v>
      </c>
      <c r="B626" t="s">
        <v>24</v>
      </c>
      <c r="C626" t="s">
        <v>1558</v>
      </c>
      <c r="D626" t="s">
        <v>1559</v>
      </c>
    </row>
    <row r="627" spans="1:4" x14ac:dyDescent="0.2">
      <c r="A627" t="s">
        <v>445</v>
      </c>
      <c r="B627" t="s">
        <v>3</v>
      </c>
      <c r="C627" t="s">
        <v>1562</v>
      </c>
      <c r="D627" t="s">
        <v>1554</v>
      </c>
    </row>
    <row r="628" spans="1:4" x14ac:dyDescent="0.2">
      <c r="A628" t="s">
        <v>445</v>
      </c>
      <c r="B628" t="s">
        <v>5</v>
      </c>
      <c r="C628" t="s">
        <v>1563</v>
      </c>
      <c r="D628" t="s">
        <v>1554</v>
      </c>
    </row>
    <row r="629" spans="1:4" x14ac:dyDescent="0.2">
      <c r="A629" t="s">
        <v>445</v>
      </c>
      <c r="B629" t="s">
        <v>6</v>
      </c>
      <c r="C629" t="s">
        <v>1564</v>
      </c>
      <c r="D629" t="s">
        <v>1554</v>
      </c>
    </row>
    <row r="630" spans="1:4" x14ac:dyDescent="0.2">
      <c r="A630" t="s">
        <v>445</v>
      </c>
      <c r="B630" t="s">
        <v>7</v>
      </c>
      <c r="C630" t="s">
        <v>1565</v>
      </c>
      <c r="D630" t="s">
        <v>1554</v>
      </c>
    </row>
    <row r="631" spans="1:4" x14ac:dyDescent="0.2">
      <c r="A631" t="s">
        <v>445</v>
      </c>
      <c r="B631" t="s">
        <v>8</v>
      </c>
      <c r="C631" t="s">
        <v>1561</v>
      </c>
      <c r="D631" t="s">
        <v>1554</v>
      </c>
    </row>
    <row r="632" spans="1:4" x14ac:dyDescent="0.2">
      <c r="A632" t="s">
        <v>445</v>
      </c>
      <c r="B632" t="s">
        <v>9</v>
      </c>
      <c r="C632" t="s">
        <v>1553</v>
      </c>
      <c r="D632" t="s">
        <v>1554</v>
      </c>
    </row>
    <row r="633" spans="1:4" x14ac:dyDescent="0.2">
      <c r="A633" t="s">
        <v>445</v>
      </c>
      <c r="B633" t="s">
        <v>10</v>
      </c>
      <c r="C633" t="s">
        <v>1555</v>
      </c>
      <c r="D633" t="s">
        <v>1554</v>
      </c>
    </row>
    <row r="634" spans="1:4" x14ac:dyDescent="0.2">
      <c r="A634" t="s">
        <v>445</v>
      </c>
      <c r="B634" t="s">
        <v>11</v>
      </c>
      <c r="C634" t="s">
        <v>1566</v>
      </c>
      <c r="D634" t="s">
        <v>1554</v>
      </c>
    </row>
    <row r="635" spans="1:4" x14ac:dyDescent="0.2">
      <c r="A635" t="s">
        <v>445</v>
      </c>
      <c r="B635" t="s">
        <v>13</v>
      </c>
      <c r="C635" t="s">
        <v>1567</v>
      </c>
      <c r="D635" t="s">
        <v>1554</v>
      </c>
    </row>
    <row r="636" spans="1:4" x14ac:dyDescent="0.2">
      <c r="A636" t="s">
        <v>445</v>
      </c>
      <c r="B636" t="s">
        <v>14</v>
      </c>
      <c r="C636" t="s">
        <v>1568</v>
      </c>
      <c r="D636" t="s">
        <v>1554</v>
      </c>
    </row>
    <row r="637" spans="1:4" x14ac:dyDescent="0.2">
      <c r="A637" t="s">
        <v>445</v>
      </c>
      <c r="B637" t="s">
        <v>15</v>
      </c>
      <c r="C637" t="s">
        <v>1569</v>
      </c>
      <c r="D637" t="s">
        <v>1554</v>
      </c>
    </row>
    <row r="638" spans="1:4" x14ac:dyDescent="0.2">
      <c r="A638" t="s">
        <v>445</v>
      </c>
      <c r="B638" t="s">
        <v>17</v>
      </c>
      <c r="C638" t="s">
        <v>1560</v>
      </c>
      <c r="D638" t="s">
        <v>1554</v>
      </c>
    </row>
    <row r="639" spans="1:4" x14ac:dyDescent="0.2">
      <c r="A639" t="s">
        <v>445</v>
      </c>
      <c r="B639" t="s">
        <v>19</v>
      </c>
      <c r="C639" t="s">
        <v>1570</v>
      </c>
      <c r="D639" t="s">
        <v>1554</v>
      </c>
    </row>
    <row r="640" spans="1:4" x14ac:dyDescent="0.2">
      <c r="A640" t="s">
        <v>445</v>
      </c>
      <c r="B640" t="s">
        <v>23</v>
      </c>
      <c r="C640" t="s">
        <v>1556</v>
      </c>
      <c r="D640" t="s">
        <v>1554</v>
      </c>
    </row>
    <row r="641" spans="1:4" x14ac:dyDescent="0.2">
      <c r="A641" t="s">
        <v>445</v>
      </c>
      <c r="B641" t="s">
        <v>25</v>
      </c>
      <c r="C641" t="s">
        <v>1557</v>
      </c>
      <c r="D641" t="s">
        <v>1554</v>
      </c>
    </row>
    <row r="642" spans="1:4" x14ac:dyDescent="0.2">
      <c r="A642" t="s">
        <v>451</v>
      </c>
      <c r="B642" t="s">
        <v>6</v>
      </c>
      <c r="C642" t="s">
        <v>1564</v>
      </c>
      <c r="D642" t="s">
        <v>1554</v>
      </c>
    </row>
    <row r="643" spans="1:4" x14ac:dyDescent="0.2">
      <c r="A643" t="s">
        <v>451</v>
      </c>
      <c r="B643" t="s">
        <v>7</v>
      </c>
      <c r="C643" t="s">
        <v>1565</v>
      </c>
      <c r="D643" t="s">
        <v>1554</v>
      </c>
    </row>
    <row r="644" spans="1:4" x14ac:dyDescent="0.2">
      <c r="A644" t="s">
        <v>451</v>
      </c>
      <c r="B644" t="s">
        <v>8</v>
      </c>
      <c r="C644" t="s">
        <v>1561</v>
      </c>
      <c r="D644" t="s">
        <v>1554</v>
      </c>
    </row>
    <row r="645" spans="1:4" x14ac:dyDescent="0.2">
      <c r="A645" t="s">
        <v>451</v>
      </c>
      <c r="B645" t="s">
        <v>9</v>
      </c>
      <c r="C645" t="s">
        <v>1553</v>
      </c>
      <c r="D645" t="s">
        <v>1554</v>
      </c>
    </row>
    <row r="646" spans="1:4" x14ac:dyDescent="0.2">
      <c r="A646" t="s">
        <v>451</v>
      </c>
      <c r="B646" t="s">
        <v>10</v>
      </c>
      <c r="C646" t="s">
        <v>1555</v>
      </c>
      <c r="D646" t="s">
        <v>1554</v>
      </c>
    </row>
    <row r="647" spans="1:4" x14ac:dyDescent="0.2">
      <c r="A647" t="s">
        <v>451</v>
      </c>
      <c r="B647" t="s">
        <v>14</v>
      </c>
      <c r="C647" t="s">
        <v>1568</v>
      </c>
      <c r="D647" t="s">
        <v>1554</v>
      </c>
    </row>
    <row r="648" spans="1:4" x14ac:dyDescent="0.2">
      <c r="A648" t="s">
        <v>451</v>
      </c>
      <c r="B648" t="s">
        <v>15</v>
      </c>
      <c r="C648" t="s">
        <v>1569</v>
      </c>
      <c r="D648" t="s">
        <v>1554</v>
      </c>
    </row>
    <row r="649" spans="1:4" x14ac:dyDescent="0.2">
      <c r="A649" t="s">
        <v>451</v>
      </c>
      <c r="B649" t="s">
        <v>17</v>
      </c>
      <c r="C649" t="s">
        <v>1560</v>
      </c>
      <c r="D649" t="s">
        <v>1554</v>
      </c>
    </row>
    <row r="650" spans="1:4" x14ac:dyDescent="0.2">
      <c r="A650" t="s">
        <v>451</v>
      </c>
      <c r="B650" t="s">
        <v>19</v>
      </c>
      <c r="C650" t="s">
        <v>1570</v>
      </c>
      <c r="D650" t="s">
        <v>1554</v>
      </c>
    </row>
    <row r="651" spans="1:4" x14ac:dyDescent="0.2">
      <c r="A651" t="s">
        <v>451</v>
      </c>
      <c r="B651" t="s">
        <v>23</v>
      </c>
      <c r="C651" t="s">
        <v>1556</v>
      </c>
      <c r="D651" t="s">
        <v>1554</v>
      </c>
    </row>
    <row r="652" spans="1:4" x14ac:dyDescent="0.2">
      <c r="A652" t="s">
        <v>451</v>
      </c>
      <c r="B652" t="s">
        <v>25</v>
      </c>
      <c r="C652" t="s">
        <v>1557</v>
      </c>
      <c r="D652" t="s">
        <v>1554</v>
      </c>
    </row>
    <row r="653" spans="1:4" x14ac:dyDescent="0.2">
      <c r="A653" t="s">
        <v>451</v>
      </c>
      <c r="B653" t="s">
        <v>24</v>
      </c>
      <c r="C653" t="s">
        <v>1558</v>
      </c>
      <c r="D653" t="s">
        <v>1559</v>
      </c>
    </row>
    <row r="654" spans="1:4" x14ac:dyDescent="0.2">
      <c r="A654" t="s">
        <v>458</v>
      </c>
      <c r="B654" t="s">
        <v>3</v>
      </c>
      <c r="C654" t="s">
        <v>1562</v>
      </c>
      <c r="D654" t="s">
        <v>1554</v>
      </c>
    </row>
    <row r="655" spans="1:4" x14ac:dyDescent="0.2">
      <c r="A655" t="s">
        <v>458</v>
      </c>
      <c r="B655" t="s">
        <v>5</v>
      </c>
      <c r="C655" t="s">
        <v>1563</v>
      </c>
      <c r="D655" t="s">
        <v>1554</v>
      </c>
    </row>
    <row r="656" spans="1:4" x14ac:dyDescent="0.2">
      <c r="A656" t="s">
        <v>458</v>
      </c>
      <c r="B656" t="s">
        <v>6</v>
      </c>
      <c r="C656" t="s">
        <v>1564</v>
      </c>
      <c r="D656" t="s">
        <v>1554</v>
      </c>
    </row>
    <row r="657" spans="1:4" x14ac:dyDescent="0.2">
      <c r="A657" t="s">
        <v>458</v>
      </c>
      <c r="B657" t="s">
        <v>7</v>
      </c>
      <c r="C657" t="s">
        <v>1565</v>
      </c>
      <c r="D657" t="s">
        <v>1554</v>
      </c>
    </row>
    <row r="658" spans="1:4" x14ac:dyDescent="0.2">
      <c r="A658" t="s">
        <v>458</v>
      </c>
      <c r="B658" t="s">
        <v>8</v>
      </c>
      <c r="C658" t="s">
        <v>1561</v>
      </c>
      <c r="D658" t="s">
        <v>1554</v>
      </c>
    </row>
    <row r="659" spans="1:4" x14ac:dyDescent="0.2">
      <c r="A659" t="s">
        <v>458</v>
      </c>
      <c r="B659" t="s">
        <v>9</v>
      </c>
      <c r="C659" t="s">
        <v>1553</v>
      </c>
      <c r="D659" t="s">
        <v>1554</v>
      </c>
    </row>
    <row r="660" spans="1:4" x14ac:dyDescent="0.2">
      <c r="A660" t="s">
        <v>458</v>
      </c>
      <c r="B660" t="s">
        <v>10</v>
      </c>
      <c r="C660" t="s">
        <v>1555</v>
      </c>
      <c r="D660" t="s">
        <v>1554</v>
      </c>
    </row>
    <row r="661" spans="1:4" x14ac:dyDescent="0.2">
      <c r="A661" t="s">
        <v>458</v>
      </c>
      <c r="B661" t="s">
        <v>11</v>
      </c>
      <c r="C661" t="s">
        <v>1566</v>
      </c>
      <c r="D661" t="s">
        <v>1554</v>
      </c>
    </row>
    <row r="662" spans="1:4" x14ac:dyDescent="0.2">
      <c r="A662" t="s">
        <v>458</v>
      </c>
      <c r="B662" t="s">
        <v>13</v>
      </c>
      <c r="C662" t="s">
        <v>1567</v>
      </c>
      <c r="D662" t="s">
        <v>1554</v>
      </c>
    </row>
    <row r="663" spans="1:4" x14ac:dyDescent="0.2">
      <c r="A663" t="s">
        <v>458</v>
      </c>
      <c r="B663" t="s">
        <v>14</v>
      </c>
      <c r="C663" t="s">
        <v>1568</v>
      </c>
      <c r="D663" t="s">
        <v>1554</v>
      </c>
    </row>
    <row r="664" spans="1:4" x14ac:dyDescent="0.2">
      <c r="A664" t="s">
        <v>458</v>
      </c>
      <c r="B664" t="s">
        <v>15</v>
      </c>
      <c r="C664" t="s">
        <v>1569</v>
      </c>
      <c r="D664" t="s">
        <v>1554</v>
      </c>
    </row>
    <row r="665" spans="1:4" x14ac:dyDescent="0.2">
      <c r="A665" t="s">
        <v>458</v>
      </c>
      <c r="B665" t="s">
        <v>17</v>
      </c>
      <c r="C665" t="s">
        <v>1560</v>
      </c>
      <c r="D665" t="s">
        <v>1554</v>
      </c>
    </row>
    <row r="666" spans="1:4" x14ac:dyDescent="0.2">
      <c r="A666" t="s">
        <v>458</v>
      </c>
      <c r="B666" t="s">
        <v>19</v>
      </c>
      <c r="C666" t="s">
        <v>1570</v>
      </c>
      <c r="D666" t="s">
        <v>1554</v>
      </c>
    </row>
    <row r="667" spans="1:4" x14ac:dyDescent="0.2">
      <c r="A667" t="s">
        <v>458</v>
      </c>
      <c r="B667" t="s">
        <v>23</v>
      </c>
      <c r="C667" t="s">
        <v>1556</v>
      </c>
      <c r="D667" t="s">
        <v>1554</v>
      </c>
    </row>
    <row r="668" spans="1:4" x14ac:dyDescent="0.2">
      <c r="A668" t="s">
        <v>458</v>
      </c>
      <c r="B668" t="s">
        <v>25</v>
      </c>
      <c r="C668" t="s">
        <v>1557</v>
      </c>
      <c r="D668" t="s">
        <v>1554</v>
      </c>
    </row>
    <row r="669" spans="1:4" x14ac:dyDescent="0.2">
      <c r="A669" t="s">
        <v>464</v>
      </c>
      <c r="B669" t="s">
        <v>3</v>
      </c>
      <c r="C669" t="s">
        <v>1562</v>
      </c>
      <c r="D669" t="s">
        <v>1554</v>
      </c>
    </row>
    <row r="670" spans="1:4" x14ac:dyDescent="0.2">
      <c r="A670" t="s">
        <v>464</v>
      </c>
      <c r="B670" t="s">
        <v>5</v>
      </c>
      <c r="C670" t="s">
        <v>1563</v>
      </c>
      <c r="D670" t="s">
        <v>1554</v>
      </c>
    </row>
    <row r="671" spans="1:4" x14ac:dyDescent="0.2">
      <c r="A671" t="s">
        <v>464</v>
      </c>
      <c r="B671" t="s">
        <v>6</v>
      </c>
      <c r="C671" t="s">
        <v>1564</v>
      </c>
      <c r="D671" t="s">
        <v>1554</v>
      </c>
    </row>
    <row r="672" spans="1:4" x14ac:dyDescent="0.2">
      <c r="A672" t="s">
        <v>464</v>
      </c>
      <c r="B672" t="s">
        <v>7</v>
      </c>
      <c r="C672" t="s">
        <v>1565</v>
      </c>
      <c r="D672" t="s">
        <v>1554</v>
      </c>
    </row>
    <row r="673" spans="1:4" x14ac:dyDescent="0.2">
      <c r="A673" t="s">
        <v>464</v>
      </c>
      <c r="B673" t="s">
        <v>8</v>
      </c>
      <c r="C673" t="s">
        <v>1561</v>
      </c>
      <c r="D673" t="s">
        <v>1554</v>
      </c>
    </row>
    <row r="674" spans="1:4" x14ac:dyDescent="0.2">
      <c r="A674" t="s">
        <v>464</v>
      </c>
      <c r="B674" t="s">
        <v>9</v>
      </c>
      <c r="C674" t="s">
        <v>1553</v>
      </c>
      <c r="D674" t="s">
        <v>1554</v>
      </c>
    </row>
    <row r="675" spans="1:4" x14ac:dyDescent="0.2">
      <c r="A675" t="s">
        <v>464</v>
      </c>
      <c r="B675" t="s">
        <v>10</v>
      </c>
      <c r="C675" t="s">
        <v>1555</v>
      </c>
      <c r="D675" t="s">
        <v>1554</v>
      </c>
    </row>
    <row r="676" spans="1:4" x14ac:dyDescent="0.2">
      <c r="A676" t="s">
        <v>464</v>
      </c>
      <c r="B676" t="s">
        <v>11</v>
      </c>
      <c r="C676" t="s">
        <v>1566</v>
      </c>
      <c r="D676" t="s">
        <v>1554</v>
      </c>
    </row>
    <row r="677" spans="1:4" x14ac:dyDescent="0.2">
      <c r="A677" t="s">
        <v>464</v>
      </c>
      <c r="B677" t="s">
        <v>13</v>
      </c>
      <c r="C677" t="s">
        <v>1567</v>
      </c>
      <c r="D677" t="s">
        <v>1554</v>
      </c>
    </row>
    <row r="678" spans="1:4" x14ac:dyDescent="0.2">
      <c r="A678" t="s">
        <v>464</v>
      </c>
      <c r="B678" t="s">
        <v>14</v>
      </c>
      <c r="C678" t="s">
        <v>1568</v>
      </c>
      <c r="D678" t="s">
        <v>1554</v>
      </c>
    </row>
    <row r="679" spans="1:4" x14ac:dyDescent="0.2">
      <c r="A679" t="s">
        <v>464</v>
      </c>
      <c r="B679" t="s">
        <v>15</v>
      </c>
      <c r="C679" t="s">
        <v>1569</v>
      </c>
      <c r="D679" t="s">
        <v>1554</v>
      </c>
    </row>
    <row r="680" spans="1:4" x14ac:dyDescent="0.2">
      <c r="A680" t="s">
        <v>464</v>
      </c>
      <c r="B680" t="s">
        <v>17</v>
      </c>
      <c r="C680" t="s">
        <v>1560</v>
      </c>
      <c r="D680" t="s">
        <v>1554</v>
      </c>
    </row>
    <row r="681" spans="1:4" x14ac:dyDescent="0.2">
      <c r="A681" t="s">
        <v>464</v>
      </c>
      <c r="B681" t="s">
        <v>19</v>
      </c>
      <c r="C681" t="s">
        <v>1570</v>
      </c>
      <c r="D681" t="s">
        <v>1554</v>
      </c>
    </row>
    <row r="682" spans="1:4" x14ac:dyDescent="0.2">
      <c r="A682" t="s">
        <v>464</v>
      </c>
      <c r="B682" t="s">
        <v>23</v>
      </c>
      <c r="C682" t="s">
        <v>1556</v>
      </c>
      <c r="D682" t="s">
        <v>1554</v>
      </c>
    </row>
    <row r="683" spans="1:4" x14ac:dyDescent="0.2">
      <c r="A683" t="s">
        <v>464</v>
      </c>
      <c r="B683" t="s">
        <v>25</v>
      </c>
      <c r="C683" t="s">
        <v>1557</v>
      </c>
      <c r="D683" t="s">
        <v>1554</v>
      </c>
    </row>
    <row r="684" spans="1:4" x14ac:dyDescent="0.2">
      <c r="A684" t="s">
        <v>471</v>
      </c>
      <c r="B684" t="s">
        <v>6</v>
      </c>
      <c r="C684" t="s">
        <v>1564</v>
      </c>
      <c r="D684" t="s">
        <v>1554</v>
      </c>
    </row>
    <row r="685" spans="1:4" x14ac:dyDescent="0.2">
      <c r="A685" t="s">
        <v>471</v>
      </c>
      <c r="B685" t="s">
        <v>7</v>
      </c>
      <c r="C685" t="s">
        <v>1565</v>
      </c>
      <c r="D685" t="s">
        <v>1554</v>
      </c>
    </row>
    <row r="686" spans="1:4" x14ac:dyDescent="0.2">
      <c r="A686" t="s">
        <v>471</v>
      </c>
      <c r="B686" t="s">
        <v>8</v>
      </c>
      <c r="C686" t="s">
        <v>1561</v>
      </c>
      <c r="D686" t="s">
        <v>1554</v>
      </c>
    </row>
    <row r="687" spans="1:4" x14ac:dyDescent="0.2">
      <c r="A687" t="s">
        <v>471</v>
      </c>
      <c r="B687" t="s">
        <v>9</v>
      </c>
      <c r="C687" t="s">
        <v>1553</v>
      </c>
      <c r="D687" t="s">
        <v>1554</v>
      </c>
    </row>
    <row r="688" spans="1:4" x14ac:dyDescent="0.2">
      <c r="A688" t="s">
        <v>471</v>
      </c>
      <c r="B688" t="s">
        <v>10</v>
      </c>
      <c r="C688" t="s">
        <v>1555</v>
      </c>
      <c r="D688" t="s">
        <v>1554</v>
      </c>
    </row>
    <row r="689" spans="1:4" x14ac:dyDescent="0.2">
      <c r="A689" t="s">
        <v>471</v>
      </c>
      <c r="B689" t="s">
        <v>13</v>
      </c>
      <c r="C689" t="s">
        <v>1567</v>
      </c>
      <c r="D689" t="s">
        <v>1554</v>
      </c>
    </row>
    <row r="690" spans="1:4" x14ac:dyDescent="0.2">
      <c r="A690" t="s">
        <v>471</v>
      </c>
      <c r="B690" t="s">
        <v>14</v>
      </c>
      <c r="C690" t="s">
        <v>1568</v>
      </c>
      <c r="D690" t="s">
        <v>1554</v>
      </c>
    </row>
    <row r="691" spans="1:4" x14ac:dyDescent="0.2">
      <c r="A691" t="s">
        <v>471</v>
      </c>
      <c r="B691" t="s">
        <v>15</v>
      </c>
      <c r="C691" t="s">
        <v>1569</v>
      </c>
      <c r="D691" t="s">
        <v>1554</v>
      </c>
    </row>
    <row r="692" spans="1:4" x14ac:dyDescent="0.2">
      <c r="A692" t="s">
        <v>471</v>
      </c>
      <c r="B692" t="s">
        <v>17</v>
      </c>
      <c r="C692" t="s">
        <v>1560</v>
      </c>
      <c r="D692" t="s">
        <v>1554</v>
      </c>
    </row>
    <row r="693" spans="1:4" x14ac:dyDescent="0.2">
      <c r="A693" t="s">
        <v>471</v>
      </c>
      <c r="B693" t="s">
        <v>19</v>
      </c>
      <c r="C693" t="s">
        <v>1570</v>
      </c>
      <c r="D693" t="s">
        <v>1554</v>
      </c>
    </row>
    <row r="694" spans="1:4" x14ac:dyDescent="0.2">
      <c r="A694" t="s">
        <v>471</v>
      </c>
      <c r="B694" t="s">
        <v>23</v>
      </c>
      <c r="C694" t="s">
        <v>1556</v>
      </c>
      <c r="D694" t="s">
        <v>1554</v>
      </c>
    </row>
    <row r="695" spans="1:4" x14ac:dyDescent="0.2">
      <c r="A695" t="s">
        <v>471</v>
      </c>
      <c r="B695" t="s">
        <v>25</v>
      </c>
      <c r="C695" t="s">
        <v>1557</v>
      </c>
      <c r="D695" t="s">
        <v>1554</v>
      </c>
    </row>
    <row r="696" spans="1:4" x14ac:dyDescent="0.2">
      <c r="A696" t="s">
        <v>478</v>
      </c>
      <c r="B696" t="s">
        <v>3</v>
      </c>
      <c r="C696" t="s">
        <v>1562</v>
      </c>
      <c r="D696" t="s">
        <v>1554</v>
      </c>
    </row>
    <row r="697" spans="1:4" x14ac:dyDescent="0.2">
      <c r="A697" t="s">
        <v>478</v>
      </c>
      <c r="B697" t="s">
        <v>5</v>
      </c>
      <c r="C697" t="s">
        <v>1563</v>
      </c>
      <c r="D697" t="s">
        <v>1554</v>
      </c>
    </row>
    <row r="698" spans="1:4" x14ac:dyDescent="0.2">
      <c r="A698" t="s">
        <v>478</v>
      </c>
      <c r="B698" t="s">
        <v>6</v>
      </c>
      <c r="C698" t="s">
        <v>1564</v>
      </c>
      <c r="D698" t="s">
        <v>1554</v>
      </c>
    </row>
    <row r="699" spans="1:4" x14ac:dyDescent="0.2">
      <c r="A699" t="s">
        <v>478</v>
      </c>
      <c r="B699" t="s">
        <v>7</v>
      </c>
      <c r="C699" t="s">
        <v>1565</v>
      </c>
      <c r="D699" t="s">
        <v>1554</v>
      </c>
    </row>
    <row r="700" spans="1:4" x14ac:dyDescent="0.2">
      <c r="A700" t="s">
        <v>478</v>
      </c>
      <c r="B700" t="s">
        <v>8</v>
      </c>
      <c r="C700" t="s">
        <v>1561</v>
      </c>
      <c r="D700" t="s">
        <v>1554</v>
      </c>
    </row>
    <row r="701" spans="1:4" x14ac:dyDescent="0.2">
      <c r="A701" t="s">
        <v>478</v>
      </c>
      <c r="B701" t="s">
        <v>9</v>
      </c>
      <c r="C701" t="s">
        <v>1553</v>
      </c>
      <c r="D701" t="s">
        <v>1554</v>
      </c>
    </row>
    <row r="702" spans="1:4" x14ac:dyDescent="0.2">
      <c r="A702" t="s">
        <v>478</v>
      </c>
      <c r="B702" t="s">
        <v>10</v>
      </c>
      <c r="C702" t="s">
        <v>1555</v>
      </c>
      <c r="D702" t="s">
        <v>1554</v>
      </c>
    </row>
    <row r="703" spans="1:4" x14ac:dyDescent="0.2">
      <c r="A703" t="s">
        <v>478</v>
      </c>
      <c r="B703" t="s">
        <v>11</v>
      </c>
      <c r="C703" t="s">
        <v>1566</v>
      </c>
      <c r="D703" t="s">
        <v>1554</v>
      </c>
    </row>
    <row r="704" spans="1:4" x14ac:dyDescent="0.2">
      <c r="A704" t="s">
        <v>478</v>
      </c>
      <c r="B704" t="s">
        <v>13</v>
      </c>
      <c r="C704" t="s">
        <v>1567</v>
      </c>
      <c r="D704" t="s">
        <v>1554</v>
      </c>
    </row>
    <row r="705" spans="1:4" x14ac:dyDescent="0.2">
      <c r="A705" t="s">
        <v>478</v>
      </c>
      <c r="B705" t="s">
        <v>14</v>
      </c>
      <c r="C705" t="s">
        <v>1568</v>
      </c>
      <c r="D705" t="s">
        <v>1554</v>
      </c>
    </row>
    <row r="706" spans="1:4" x14ac:dyDescent="0.2">
      <c r="A706" t="s">
        <v>478</v>
      </c>
      <c r="B706" t="s">
        <v>15</v>
      </c>
      <c r="C706" t="s">
        <v>1569</v>
      </c>
      <c r="D706" t="s">
        <v>1554</v>
      </c>
    </row>
    <row r="707" spans="1:4" x14ac:dyDescent="0.2">
      <c r="A707" t="s">
        <v>478</v>
      </c>
      <c r="B707" t="s">
        <v>17</v>
      </c>
      <c r="C707" t="s">
        <v>1560</v>
      </c>
      <c r="D707" t="s">
        <v>1554</v>
      </c>
    </row>
    <row r="708" spans="1:4" x14ac:dyDescent="0.2">
      <c r="A708" t="s">
        <v>478</v>
      </c>
      <c r="B708" t="s">
        <v>19</v>
      </c>
      <c r="C708" t="s">
        <v>1570</v>
      </c>
      <c r="D708" t="s">
        <v>1554</v>
      </c>
    </row>
    <row r="709" spans="1:4" x14ac:dyDescent="0.2">
      <c r="A709" t="s">
        <v>478</v>
      </c>
      <c r="B709" t="s">
        <v>23</v>
      </c>
      <c r="C709" t="s">
        <v>1556</v>
      </c>
      <c r="D709" t="s">
        <v>1554</v>
      </c>
    </row>
    <row r="710" spans="1:4" x14ac:dyDescent="0.2">
      <c r="A710" t="s">
        <v>478</v>
      </c>
      <c r="B710" t="s">
        <v>25</v>
      </c>
      <c r="C710" t="s">
        <v>1557</v>
      </c>
      <c r="D710" t="s">
        <v>1554</v>
      </c>
    </row>
    <row r="711" spans="1:4" x14ac:dyDescent="0.2">
      <c r="A711" t="s">
        <v>478</v>
      </c>
      <c r="B711" t="s">
        <v>21</v>
      </c>
      <c r="C711" t="s">
        <v>1571</v>
      </c>
      <c r="D711" t="s">
        <v>1559</v>
      </c>
    </row>
    <row r="712" spans="1:4" x14ac:dyDescent="0.2">
      <c r="A712" t="s">
        <v>478</v>
      </c>
      <c r="B712" t="s">
        <v>22</v>
      </c>
      <c r="C712" t="s">
        <v>1572</v>
      </c>
      <c r="D712" t="s">
        <v>1559</v>
      </c>
    </row>
    <row r="713" spans="1:4" x14ac:dyDescent="0.2">
      <c r="A713" t="s">
        <v>478</v>
      </c>
      <c r="B713" t="s">
        <v>24</v>
      </c>
      <c r="C713" t="s">
        <v>1558</v>
      </c>
      <c r="D713" t="s">
        <v>1559</v>
      </c>
    </row>
    <row r="714" spans="1:4" x14ac:dyDescent="0.2">
      <c r="A714" t="s">
        <v>482</v>
      </c>
      <c r="B714" t="s">
        <v>3</v>
      </c>
      <c r="C714" t="s">
        <v>1562</v>
      </c>
      <c r="D714" t="s">
        <v>1554</v>
      </c>
    </row>
    <row r="715" spans="1:4" x14ac:dyDescent="0.2">
      <c r="A715" t="s">
        <v>482</v>
      </c>
      <c r="B715" t="s">
        <v>5</v>
      </c>
      <c r="C715" t="s">
        <v>1563</v>
      </c>
      <c r="D715" t="s">
        <v>1554</v>
      </c>
    </row>
    <row r="716" spans="1:4" x14ac:dyDescent="0.2">
      <c r="A716" t="s">
        <v>482</v>
      </c>
      <c r="B716" t="s">
        <v>6</v>
      </c>
      <c r="C716" t="s">
        <v>1564</v>
      </c>
      <c r="D716" t="s">
        <v>1554</v>
      </c>
    </row>
    <row r="717" spans="1:4" x14ac:dyDescent="0.2">
      <c r="A717" t="s">
        <v>482</v>
      </c>
      <c r="B717" t="s">
        <v>7</v>
      </c>
      <c r="C717" t="s">
        <v>1565</v>
      </c>
      <c r="D717" t="s">
        <v>1554</v>
      </c>
    </row>
    <row r="718" spans="1:4" x14ac:dyDescent="0.2">
      <c r="A718" t="s">
        <v>482</v>
      </c>
      <c r="B718" t="s">
        <v>8</v>
      </c>
      <c r="C718" t="s">
        <v>1561</v>
      </c>
      <c r="D718" t="s">
        <v>1554</v>
      </c>
    </row>
    <row r="719" spans="1:4" x14ac:dyDescent="0.2">
      <c r="A719" t="s">
        <v>482</v>
      </c>
      <c r="B719" t="s">
        <v>9</v>
      </c>
      <c r="C719" t="s">
        <v>1553</v>
      </c>
      <c r="D719" t="s">
        <v>1554</v>
      </c>
    </row>
    <row r="720" spans="1:4" x14ac:dyDescent="0.2">
      <c r="A720" t="s">
        <v>482</v>
      </c>
      <c r="B720" t="s">
        <v>10</v>
      </c>
      <c r="C720" t="s">
        <v>1555</v>
      </c>
      <c r="D720" t="s">
        <v>1554</v>
      </c>
    </row>
    <row r="721" spans="1:4" x14ac:dyDescent="0.2">
      <c r="A721" t="s">
        <v>482</v>
      </c>
      <c r="B721" t="s">
        <v>11</v>
      </c>
      <c r="C721" t="s">
        <v>1566</v>
      </c>
      <c r="D721" t="s">
        <v>1554</v>
      </c>
    </row>
    <row r="722" spans="1:4" x14ac:dyDescent="0.2">
      <c r="A722" t="s">
        <v>482</v>
      </c>
      <c r="B722" t="s">
        <v>13</v>
      </c>
      <c r="C722" t="s">
        <v>1567</v>
      </c>
      <c r="D722" t="s">
        <v>1554</v>
      </c>
    </row>
    <row r="723" spans="1:4" x14ac:dyDescent="0.2">
      <c r="A723" t="s">
        <v>482</v>
      </c>
      <c r="B723" t="s">
        <v>14</v>
      </c>
      <c r="C723" t="s">
        <v>1568</v>
      </c>
      <c r="D723" t="s">
        <v>1554</v>
      </c>
    </row>
    <row r="724" spans="1:4" x14ac:dyDescent="0.2">
      <c r="A724" t="s">
        <v>482</v>
      </c>
      <c r="B724" t="s">
        <v>15</v>
      </c>
      <c r="C724" t="s">
        <v>1569</v>
      </c>
      <c r="D724" t="s">
        <v>1554</v>
      </c>
    </row>
    <row r="725" spans="1:4" x14ac:dyDescent="0.2">
      <c r="A725" t="s">
        <v>482</v>
      </c>
      <c r="B725" t="s">
        <v>17</v>
      </c>
      <c r="C725" t="s">
        <v>1560</v>
      </c>
      <c r="D725" t="s">
        <v>1554</v>
      </c>
    </row>
    <row r="726" spans="1:4" x14ac:dyDescent="0.2">
      <c r="A726" t="s">
        <v>482</v>
      </c>
      <c r="B726" t="s">
        <v>19</v>
      </c>
      <c r="C726" t="s">
        <v>1570</v>
      </c>
      <c r="D726" t="s">
        <v>1554</v>
      </c>
    </row>
    <row r="727" spans="1:4" x14ac:dyDescent="0.2">
      <c r="A727" t="s">
        <v>482</v>
      </c>
      <c r="B727" t="s">
        <v>23</v>
      </c>
      <c r="C727" t="s">
        <v>1556</v>
      </c>
      <c r="D727" t="s">
        <v>1554</v>
      </c>
    </row>
    <row r="728" spans="1:4" x14ac:dyDescent="0.2">
      <c r="A728" t="s">
        <v>482</v>
      </c>
      <c r="B728" t="s">
        <v>25</v>
      </c>
      <c r="C728" t="s">
        <v>1557</v>
      </c>
      <c r="D728" t="s">
        <v>1554</v>
      </c>
    </row>
    <row r="729" spans="1:4" x14ac:dyDescent="0.2">
      <c r="A729" t="s">
        <v>488</v>
      </c>
      <c r="B729" t="s">
        <v>3</v>
      </c>
      <c r="C729" t="s">
        <v>1562</v>
      </c>
      <c r="D729" t="s">
        <v>1554</v>
      </c>
    </row>
    <row r="730" spans="1:4" x14ac:dyDescent="0.2">
      <c r="A730" t="s">
        <v>488</v>
      </c>
      <c r="B730" t="s">
        <v>5</v>
      </c>
      <c r="C730" t="s">
        <v>1563</v>
      </c>
      <c r="D730" t="s">
        <v>1554</v>
      </c>
    </row>
    <row r="731" spans="1:4" x14ac:dyDescent="0.2">
      <c r="A731" t="s">
        <v>488</v>
      </c>
      <c r="B731" t="s">
        <v>6</v>
      </c>
      <c r="C731" t="s">
        <v>1564</v>
      </c>
      <c r="D731" t="s">
        <v>1554</v>
      </c>
    </row>
    <row r="732" spans="1:4" x14ac:dyDescent="0.2">
      <c r="A732" t="s">
        <v>488</v>
      </c>
      <c r="B732" t="s">
        <v>7</v>
      </c>
      <c r="C732" t="s">
        <v>1565</v>
      </c>
      <c r="D732" t="s">
        <v>1554</v>
      </c>
    </row>
    <row r="733" spans="1:4" x14ac:dyDescent="0.2">
      <c r="A733" t="s">
        <v>488</v>
      </c>
      <c r="B733" t="s">
        <v>8</v>
      </c>
      <c r="C733" t="s">
        <v>1561</v>
      </c>
      <c r="D733" t="s">
        <v>1554</v>
      </c>
    </row>
    <row r="734" spans="1:4" x14ac:dyDescent="0.2">
      <c r="A734" t="s">
        <v>488</v>
      </c>
      <c r="B734" t="s">
        <v>9</v>
      </c>
      <c r="C734" t="s">
        <v>1553</v>
      </c>
      <c r="D734" t="s">
        <v>1554</v>
      </c>
    </row>
    <row r="735" spans="1:4" x14ac:dyDescent="0.2">
      <c r="A735" t="s">
        <v>488</v>
      </c>
      <c r="B735" t="s">
        <v>10</v>
      </c>
      <c r="C735" t="s">
        <v>1555</v>
      </c>
      <c r="D735" t="s">
        <v>1554</v>
      </c>
    </row>
    <row r="736" spans="1:4" x14ac:dyDescent="0.2">
      <c r="A736" t="s">
        <v>488</v>
      </c>
      <c r="B736" t="s">
        <v>11</v>
      </c>
      <c r="C736" t="s">
        <v>1566</v>
      </c>
      <c r="D736" t="s">
        <v>1554</v>
      </c>
    </row>
    <row r="737" spans="1:4" x14ac:dyDescent="0.2">
      <c r="A737" t="s">
        <v>488</v>
      </c>
      <c r="B737" t="s">
        <v>13</v>
      </c>
      <c r="C737" t="s">
        <v>1567</v>
      </c>
      <c r="D737" t="s">
        <v>1554</v>
      </c>
    </row>
    <row r="738" spans="1:4" x14ac:dyDescent="0.2">
      <c r="A738" t="s">
        <v>488</v>
      </c>
      <c r="B738" t="s">
        <v>14</v>
      </c>
      <c r="C738" t="s">
        <v>1568</v>
      </c>
      <c r="D738" t="s">
        <v>1554</v>
      </c>
    </row>
    <row r="739" spans="1:4" x14ac:dyDescent="0.2">
      <c r="A739" t="s">
        <v>488</v>
      </c>
      <c r="B739" t="s">
        <v>15</v>
      </c>
      <c r="C739" t="s">
        <v>1569</v>
      </c>
      <c r="D739" t="s">
        <v>1554</v>
      </c>
    </row>
    <row r="740" spans="1:4" x14ac:dyDescent="0.2">
      <c r="A740" t="s">
        <v>488</v>
      </c>
      <c r="B740" t="s">
        <v>17</v>
      </c>
      <c r="C740" t="s">
        <v>1560</v>
      </c>
      <c r="D740" t="s">
        <v>1554</v>
      </c>
    </row>
    <row r="741" spans="1:4" x14ac:dyDescent="0.2">
      <c r="A741" t="s">
        <v>488</v>
      </c>
      <c r="B741" t="s">
        <v>19</v>
      </c>
      <c r="C741" t="s">
        <v>1570</v>
      </c>
      <c r="D741" t="s">
        <v>1554</v>
      </c>
    </row>
    <row r="742" spans="1:4" x14ac:dyDescent="0.2">
      <c r="A742" t="s">
        <v>488</v>
      </c>
      <c r="B742" t="s">
        <v>23</v>
      </c>
      <c r="C742" t="s">
        <v>1556</v>
      </c>
      <c r="D742" t="s">
        <v>1554</v>
      </c>
    </row>
    <row r="743" spans="1:4" x14ac:dyDescent="0.2">
      <c r="A743" t="s">
        <v>488</v>
      </c>
      <c r="B743" t="s">
        <v>25</v>
      </c>
      <c r="C743" t="s">
        <v>1557</v>
      </c>
      <c r="D743" t="s">
        <v>1554</v>
      </c>
    </row>
    <row r="744" spans="1:4" x14ac:dyDescent="0.2">
      <c r="A744" t="s">
        <v>494</v>
      </c>
      <c r="B744" t="s">
        <v>3</v>
      </c>
      <c r="C744" t="s">
        <v>1562</v>
      </c>
      <c r="D744" t="s">
        <v>1554</v>
      </c>
    </row>
    <row r="745" spans="1:4" x14ac:dyDescent="0.2">
      <c r="A745" t="s">
        <v>494</v>
      </c>
      <c r="B745" t="s">
        <v>5</v>
      </c>
      <c r="C745" t="s">
        <v>1563</v>
      </c>
      <c r="D745" t="s">
        <v>1554</v>
      </c>
    </row>
    <row r="746" spans="1:4" x14ac:dyDescent="0.2">
      <c r="A746" t="s">
        <v>494</v>
      </c>
      <c r="B746" t="s">
        <v>6</v>
      </c>
      <c r="C746" t="s">
        <v>1564</v>
      </c>
      <c r="D746" t="s">
        <v>1554</v>
      </c>
    </row>
    <row r="747" spans="1:4" x14ac:dyDescent="0.2">
      <c r="A747" t="s">
        <v>494</v>
      </c>
      <c r="B747" t="s">
        <v>7</v>
      </c>
      <c r="C747" t="s">
        <v>1565</v>
      </c>
      <c r="D747" t="s">
        <v>1554</v>
      </c>
    </row>
    <row r="748" spans="1:4" x14ac:dyDescent="0.2">
      <c r="A748" t="s">
        <v>494</v>
      </c>
      <c r="B748" t="s">
        <v>8</v>
      </c>
      <c r="C748" t="s">
        <v>1561</v>
      </c>
      <c r="D748" t="s">
        <v>1554</v>
      </c>
    </row>
    <row r="749" spans="1:4" x14ac:dyDescent="0.2">
      <c r="A749" t="s">
        <v>494</v>
      </c>
      <c r="B749" t="s">
        <v>9</v>
      </c>
      <c r="C749" t="s">
        <v>1553</v>
      </c>
      <c r="D749" t="s">
        <v>1554</v>
      </c>
    </row>
    <row r="750" spans="1:4" x14ac:dyDescent="0.2">
      <c r="A750" t="s">
        <v>494</v>
      </c>
      <c r="B750" t="s">
        <v>10</v>
      </c>
      <c r="C750" t="s">
        <v>1555</v>
      </c>
      <c r="D750" t="s">
        <v>1554</v>
      </c>
    </row>
    <row r="751" spans="1:4" x14ac:dyDescent="0.2">
      <c r="A751" t="s">
        <v>494</v>
      </c>
      <c r="B751" t="s">
        <v>11</v>
      </c>
      <c r="C751" t="s">
        <v>1566</v>
      </c>
      <c r="D751" t="s">
        <v>1554</v>
      </c>
    </row>
    <row r="752" spans="1:4" x14ac:dyDescent="0.2">
      <c r="A752" t="s">
        <v>494</v>
      </c>
      <c r="B752" t="s">
        <v>13</v>
      </c>
      <c r="C752" t="s">
        <v>1567</v>
      </c>
      <c r="D752" t="s">
        <v>1554</v>
      </c>
    </row>
    <row r="753" spans="1:4" x14ac:dyDescent="0.2">
      <c r="A753" t="s">
        <v>494</v>
      </c>
      <c r="B753" t="s">
        <v>14</v>
      </c>
      <c r="C753" t="s">
        <v>1568</v>
      </c>
      <c r="D753" t="s">
        <v>1554</v>
      </c>
    </row>
    <row r="754" spans="1:4" x14ac:dyDescent="0.2">
      <c r="A754" t="s">
        <v>494</v>
      </c>
      <c r="B754" t="s">
        <v>15</v>
      </c>
      <c r="C754" t="s">
        <v>1569</v>
      </c>
      <c r="D754" t="s">
        <v>1554</v>
      </c>
    </row>
    <row r="755" spans="1:4" x14ac:dyDescent="0.2">
      <c r="A755" t="s">
        <v>494</v>
      </c>
      <c r="B755" t="s">
        <v>17</v>
      </c>
      <c r="C755" t="s">
        <v>1560</v>
      </c>
      <c r="D755" t="s">
        <v>1554</v>
      </c>
    </row>
    <row r="756" spans="1:4" x14ac:dyDescent="0.2">
      <c r="A756" t="s">
        <v>494</v>
      </c>
      <c r="B756" t="s">
        <v>19</v>
      </c>
      <c r="C756" t="s">
        <v>1570</v>
      </c>
      <c r="D756" t="s">
        <v>1554</v>
      </c>
    </row>
    <row r="757" spans="1:4" x14ac:dyDescent="0.2">
      <c r="A757" t="s">
        <v>494</v>
      </c>
      <c r="B757" t="s">
        <v>23</v>
      </c>
      <c r="C757" t="s">
        <v>1556</v>
      </c>
      <c r="D757" t="s">
        <v>1554</v>
      </c>
    </row>
    <row r="758" spans="1:4" x14ac:dyDescent="0.2">
      <c r="A758" t="s">
        <v>494</v>
      </c>
      <c r="B758" t="s">
        <v>25</v>
      </c>
      <c r="C758" t="s">
        <v>1557</v>
      </c>
      <c r="D758" t="s">
        <v>1554</v>
      </c>
    </row>
    <row r="759" spans="1:4" x14ac:dyDescent="0.2">
      <c r="A759" t="s">
        <v>494</v>
      </c>
      <c r="B759" t="s">
        <v>24</v>
      </c>
      <c r="C759" t="s">
        <v>1558</v>
      </c>
      <c r="D759" t="s">
        <v>1559</v>
      </c>
    </row>
    <row r="760" spans="1:4" x14ac:dyDescent="0.2">
      <c r="A760" t="s">
        <v>500</v>
      </c>
      <c r="B760" t="s">
        <v>6</v>
      </c>
      <c r="C760" t="s">
        <v>1564</v>
      </c>
      <c r="D760" t="s">
        <v>1554</v>
      </c>
    </row>
    <row r="761" spans="1:4" x14ac:dyDescent="0.2">
      <c r="A761" t="s">
        <v>500</v>
      </c>
      <c r="B761" t="s">
        <v>7</v>
      </c>
      <c r="C761" t="s">
        <v>1565</v>
      </c>
      <c r="D761" t="s">
        <v>1554</v>
      </c>
    </row>
    <row r="762" spans="1:4" x14ac:dyDescent="0.2">
      <c r="A762" t="s">
        <v>500</v>
      </c>
      <c r="B762" t="s">
        <v>8</v>
      </c>
      <c r="C762" t="s">
        <v>1561</v>
      </c>
      <c r="D762" t="s">
        <v>1554</v>
      </c>
    </row>
    <row r="763" spans="1:4" x14ac:dyDescent="0.2">
      <c r="A763" t="s">
        <v>500</v>
      </c>
      <c r="B763" t="s">
        <v>9</v>
      </c>
      <c r="C763" t="s">
        <v>1553</v>
      </c>
      <c r="D763" t="s">
        <v>1554</v>
      </c>
    </row>
    <row r="764" spans="1:4" x14ac:dyDescent="0.2">
      <c r="A764" t="s">
        <v>500</v>
      </c>
      <c r="B764" t="s">
        <v>10</v>
      </c>
      <c r="C764" t="s">
        <v>1555</v>
      </c>
      <c r="D764" t="s">
        <v>1554</v>
      </c>
    </row>
    <row r="765" spans="1:4" x14ac:dyDescent="0.2">
      <c r="A765" t="s">
        <v>500</v>
      </c>
      <c r="B765" t="s">
        <v>13</v>
      </c>
      <c r="C765" t="s">
        <v>1567</v>
      </c>
      <c r="D765" t="s">
        <v>1554</v>
      </c>
    </row>
    <row r="766" spans="1:4" x14ac:dyDescent="0.2">
      <c r="A766" t="s">
        <v>500</v>
      </c>
      <c r="B766" t="s">
        <v>14</v>
      </c>
      <c r="C766" t="s">
        <v>1568</v>
      </c>
      <c r="D766" t="s">
        <v>1554</v>
      </c>
    </row>
    <row r="767" spans="1:4" x14ac:dyDescent="0.2">
      <c r="A767" t="s">
        <v>500</v>
      </c>
      <c r="B767" t="s">
        <v>15</v>
      </c>
      <c r="C767" t="s">
        <v>1569</v>
      </c>
      <c r="D767" t="s">
        <v>1554</v>
      </c>
    </row>
    <row r="768" spans="1:4" x14ac:dyDescent="0.2">
      <c r="A768" t="s">
        <v>500</v>
      </c>
      <c r="B768" t="s">
        <v>17</v>
      </c>
      <c r="C768" t="s">
        <v>1560</v>
      </c>
      <c r="D768" t="s">
        <v>1554</v>
      </c>
    </row>
    <row r="769" spans="1:4" x14ac:dyDescent="0.2">
      <c r="A769" t="s">
        <v>500</v>
      </c>
      <c r="B769" t="s">
        <v>19</v>
      </c>
      <c r="C769" t="s">
        <v>1570</v>
      </c>
      <c r="D769" t="s">
        <v>1554</v>
      </c>
    </row>
    <row r="770" spans="1:4" x14ac:dyDescent="0.2">
      <c r="A770" t="s">
        <v>500</v>
      </c>
      <c r="B770" t="s">
        <v>23</v>
      </c>
      <c r="C770" t="s">
        <v>1556</v>
      </c>
      <c r="D770" t="s">
        <v>1554</v>
      </c>
    </row>
    <row r="771" spans="1:4" x14ac:dyDescent="0.2">
      <c r="A771" t="s">
        <v>500</v>
      </c>
      <c r="B771" t="s">
        <v>25</v>
      </c>
      <c r="C771" t="s">
        <v>1557</v>
      </c>
      <c r="D771" t="s">
        <v>1554</v>
      </c>
    </row>
    <row r="772" spans="1:4" x14ac:dyDescent="0.2">
      <c r="A772" t="s">
        <v>500</v>
      </c>
      <c r="B772" t="s">
        <v>24</v>
      </c>
      <c r="C772" t="s">
        <v>1558</v>
      </c>
      <c r="D772" t="s">
        <v>1559</v>
      </c>
    </row>
    <row r="773" spans="1:4" x14ac:dyDescent="0.2">
      <c r="A773" t="s">
        <v>506</v>
      </c>
      <c r="B773" t="s">
        <v>3</v>
      </c>
      <c r="C773" t="s">
        <v>1562</v>
      </c>
      <c r="D773" t="s">
        <v>1554</v>
      </c>
    </row>
    <row r="774" spans="1:4" x14ac:dyDescent="0.2">
      <c r="A774" t="s">
        <v>506</v>
      </c>
      <c r="B774" t="s">
        <v>5</v>
      </c>
      <c r="C774" t="s">
        <v>1563</v>
      </c>
      <c r="D774" t="s">
        <v>1554</v>
      </c>
    </row>
    <row r="775" spans="1:4" x14ac:dyDescent="0.2">
      <c r="A775" t="s">
        <v>506</v>
      </c>
      <c r="B775" t="s">
        <v>6</v>
      </c>
      <c r="C775" t="s">
        <v>1564</v>
      </c>
      <c r="D775" t="s">
        <v>1554</v>
      </c>
    </row>
    <row r="776" spans="1:4" x14ac:dyDescent="0.2">
      <c r="A776" t="s">
        <v>506</v>
      </c>
      <c r="B776" t="s">
        <v>7</v>
      </c>
      <c r="C776" t="s">
        <v>1565</v>
      </c>
      <c r="D776" t="s">
        <v>1554</v>
      </c>
    </row>
    <row r="777" spans="1:4" x14ac:dyDescent="0.2">
      <c r="A777" t="s">
        <v>506</v>
      </c>
      <c r="B777" t="s">
        <v>8</v>
      </c>
      <c r="C777" t="s">
        <v>1561</v>
      </c>
      <c r="D777" t="s">
        <v>1554</v>
      </c>
    </row>
    <row r="778" spans="1:4" x14ac:dyDescent="0.2">
      <c r="A778" t="s">
        <v>506</v>
      </c>
      <c r="B778" t="s">
        <v>9</v>
      </c>
      <c r="C778" t="s">
        <v>1553</v>
      </c>
      <c r="D778" t="s">
        <v>1554</v>
      </c>
    </row>
    <row r="779" spans="1:4" x14ac:dyDescent="0.2">
      <c r="A779" t="s">
        <v>506</v>
      </c>
      <c r="B779" t="s">
        <v>10</v>
      </c>
      <c r="C779" t="s">
        <v>1555</v>
      </c>
      <c r="D779" t="s">
        <v>1554</v>
      </c>
    </row>
    <row r="780" spans="1:4" x14ac:dyDescent="0.2">
      <c r="A780" t="s">
        <v>506</v>
      </c>
      <c r="B780" t="s">
        <v>11</v>
      </c>
      <c r="C780" t="s">
        <v>1566</v>
      </c>
      <c r="D780" t="s">
        <v>1554</v>
      </c>
    </row>
    <row r="781" spans="1:4" x14ac:dyDescent="0.2">
      <c r="A781" t="s">
        <v>506</v>
      </c>
      <c r="B781" t="s">
        <v>13</v>
      </c>
      <c r="C781" t="s">
        <v>1567</v>
      </c>
      <c r="D781" t="s">
        <v>1554</v>
      </c>
    </row>
    <row r="782" spans="1:4" x14ac:dyDescent="0.2">
      <c r="A782" t="s">
        <v>506</v>
      </c>
      <c r="B782" t="s">
        <v>14</v>
      </c>
      <c r="C782" t="s">
        <v>1568</v>
      </c>
      <c r="D782" t="s">
        <v>1554</v>
      </c>
    </row>
    <row r="783" spans="1:4" x14ac:dyDescent="0.2">
      <c r="A783" t="s">
        <v>506</v>
      </c>
      <c r="B783" t="s">
        <v>15</v>
      </c>
      <c r="C783" t="s">
        <v>1569</v>
      </c>
      <c r="D783" t="s">
        <v>1554</v>
      </c>
    </row>
    <row r="784" spans="1:4" x14ac:dyDescent="0.2">
      <c r="A784" t="s">
        <v>506</v>
      </c>
      <c r="B784" t="s">
        <v>17</v>
      </c>
      <c r="C784" t="s">
        <v>1560</v>
      </c>
      <c r="D784" t="s">
        <v>1554</v>
      </c>
    </row>
    <row r="785" spans="1:4" x14ac:dyDescent="0.2">
      <c r="A785" t="s">
        <v>506</v>
      </c>
      <c r="B785" t="s">
        <v>19</v>
      </c>
      <c r="C785" t="s">
        <v>1570</v>
      </c>
      <c r="D785" t="s">
        <v>1554</v>
      </c>
    </row>
    <row r="786" spans="1:4" x14ac:dyDescent="0.2">
      <c r="A786" t="s">
        <v>506</v>
      </c>
      <c r="B786" t="s">
        <v>23</v>
      </c>
      <c r="C786" t="s">
        <v>1556</v>
      </c>
      <c r="D786" t="s">
        <v>1554</v>
      </c>
    </row>
    <row r="787" spans="1:4" x14ac:dyDescent="0.2">
      <c r="A787" t="s">
        <v>506</v>
      </c>
      <c r="B787" t="s">
        <v>25</v>
      </c>
      <c r="C787" t="s">
        <v>1557</v>
      </c>
      <c r="D787" t="s">
        <v>1554</v>
      </c>
    </row>
    <row r="788" spans="1:4" x14ac:dyDescent="0.2">
      <c r="A788" t="s">
        <v>512</v>
      </c>
      <c r="B788" t="s">
        <v>3</v>
      </c>
      <c r="C788" t="s">
        <v>1562</v>
      </c>
      <c r="D788" t="s">
        <v>1554</v>
      </c>
    </row>
    <row r="789" spans="1:4" x14ac:dyDescent="0.2">
      <c r="A789" t="s">
        <v>512</v>
      </c>
      <c r="B789" t="s">
        <v>5</v>
      </c>
      <c r="C789" t="s">
        <v>1563</v>
      </c>
      <c r="D789" t="s">
        <v>1554</v>
      </c>
    </row>
    <row r="790" spans="1:4" x14ac:dyDescent="0.2">
      <c r="A790" t="s">
        <v>512</v>
      </c>
      <c r="B790" t="s">
        <v>6</v>
      </c>
      <c r="C790" t="s">
        <v>1564</v>
      </c>
      <c r="D790" t="s">
        <v>1554</v>
      </c>
    </row>
    <row r="791" spans="1:4" x14ac:dyDescent="0.2">
      <c r="A791" t="s">
        <v>512</v>
      </c>
      <c r="B791" t="s">
        <v>7</v>
      </c>
      <c r="C791" t="s">
        <v>1565</v>
      </c>
      <c r="D791" t="s">
        <v>1554</v>
      </c>
    </row>
    <row r="792" spans="1:4" x14ac:dyDescent="0.2">
      <c r="A792" t="s">
        <v>512</v>
      </c>
      <c r="B792" t="s">
        <v>8</v>
      </c>
      <c r="C792" t="s">
        <v>1561</v>
      </c>
      <c r="D792" t="s">
        <v>1554</v>
      </c>
    </row>
    <row r="793" spans="1:4" x14ac:dyDescent="0.2">
      <c r="A793" t="s">
        <v>512</v>
      </c>
      <c r="B793" t="s">
        <v>9</v>
      </c>
      <c r="C793" t="s">
        <v>1553</v>
      </c>
      <c r="D793" t="s">
        <v>1554</v>
      </c>
    </row>
    <row r="794" spans="1:4" x14ac:dyDescent="0.2">
      <c r="A794" t="s">
        <v>512</v>
      </c>
      <c r="B794" t="s">
        <v>10</v>
      </c>
      <c r="C794" t="s">
        <v>1555</v>
      </c>
      <c r="D794" t="s">
        <v>1554</v>
      </c>
    </row>
    <row r="795" spans="1:4" x14ac:dyDescent="0.2">
      <c r="A795" t="s">
        <v>512</v>
      </c>
      <c r="B795" t="s">
        <v>11</v>
      </c>
      <c r="C795" t="s">
        <v>1566</v>
      </c>
      <c r="D795" t="s">
        <v>1554</v>
      </c>
    </row>
    <row r="796" spans="1:4" x14ac:dyDescent="0.2">
      <c r="A796" t="s">
        <v>512</v>
      </c>
      <c r="B796" t="s">
        <v>13</v>
      </c>
      <c r="C796" t="s">
        <v>1567</v>
      </c>
      <c r="D796" t="s">
        <v>1554</v>
      </c>
    </row>
    <row r="797" spans="1:4" x14ac:dyDescent="0.2">
      <c r="A797" t="s">
        <v>512</v>
      </c>
      <c r="B797" t="s">
        <v>14</v>
      </c>
      <c r="C797" t="s">
        <v>1568</v>
      </c>
      <c r="D797" t="s">
        <v>1554</v>
      </c>
    </row>
    <row r="798" spans="1:4" x14ac:dyDescent="0.2">
      <c r="A798" t="s">
        <v>512</v>
      </c>
      <c r="B798" t="s">
        <v>15</v>
      </c>
      <c r="C798" t="s">
        <v>1569</v>
      </c>
      <c r="D798" t="s">
        <v>1554</v>
      </c>
    </row>
    <row r="799" spans="1:4" x14ac:dyDescent="0.2">
      <c r="A799" t="s">
        <v>512</v>
      </c>
      <c r="B799" t="s">
        <v>17</v>
      </c>
      <c r="C799" t="s">
        <v>1560</v>
      </c>
      <c r="D799" t="s">
        <v>1554</v>
      </c>
    </row>
    <row r="800" spans="1:4" x14ac:dyDescent="0.2">
      <c r="A800" t="s">
        <v>512</v>
      </c>
      <c r="B800" t="s">
        <v>19</v>
      </c>
      <c r="C800" t="s">
        <v>1570</v>
      </c>
      <c r="D800" t="s">
        <v>1554</v>
      </c>
    </row>
    <row r="801" spans="1:4" x14ac:dyDescent="0.2">
      <c r="A801" t="s">
        <v>512</v>
      </c>
      <c r="B801" t="s">
        <v>23</v>
      </c>
      <c r="C801" t="s">
        <v>1556</v>
      </c>
      <c r="D801" t="s">
        <v>1554</v>
      </c>
    </row>
    <row r="802" spans="1:4" x14ac:dyDescent="0.2">
      <c r="A802" t="s">
        <v>512</v>
      </c>
      <c r="B802" t="s">
        <v>25</v>
      </c>
      <c r="C802" t="s">
        <v>1557</v>
      </c>
      <c r="D802" t="s">
        <v>1554</v>
      </c>
    </row>
    <row r="803" spans="1:4" x14ac:dyDescent="0.2">
      <c r="A803" t="s">
        <v>512</v>
      </c>
      <c r="B803" t="s">
        <v>24</v>
      </c>
      <c r="C803" t="s">
        <v>1558</v>
      </c>
      <c r="D803" t="s">
        <v>1559</v>
      </c>
    </row>
    <row r="804" spans="1:4" x14ac:dyDescent="0.2">
      <c r="A804" t="s">
        <v>518</v>
      </c>
      <c r="B804" t="s">
        <v>3</v>
      </c>
      <c r="C804" t="s">
        <v>1562</v>
      </c>
      <c r="D804" t="s">
        <v>1554</v>
      </c>
    </row>
    <row r="805" spans="1:4" x14ac:dyDescent="0.2">
      <c r="A805" t="s">
        <v>518</v>
      </c>
      <c r="B805" t="s">
        <v>5</v>
      </c>
      <c r="C805" t="s">
        <v>1563</v>
      </c>
      <c r="D805" t="s">
        <v>1554</v>
      </c>
    </row>
    <row r="806" spans="1:4" x14ac:dyDescent="0.2">
      <c r="A806" t="s">
        <v>518</v>
      </c>
      <c r="B806" t="s">
        <v>6</v>
      </c>
      <c r="C806" t="s">
        <v>1564</v>
      </c>
      <c r="D806" t="s">
        <v>1554</v>
      </c>
    </row>
    <row r="807" spans="1:4" x14ac:dyDescent="0.2">
      <c r="A807" t="s">
        <v>518</v>
      </c>
      <c r="B807" t="s">
        <v>7</v>
      </c>
      <c r="C807" t="s">
        <v>1565</v>
      </c>
      <c r="D807" t="s">
        <v>1554</v>
      </c>
    </row>
    <row r="808" spans="1:4" x14ac:dyDescent="0.2">
      <c r="A808" t="s">
        <v>518</v>
      </c>
      <c r="B808" t="s">
        <v>8</v>
      </c>
      <c r="C808" t="s">
        <v>1561</v>
      </c>
      <c r="D808" t="s">
        <v>1554</v>
      </c>
    </row>
    <row r="809" spans="1:4" x14ac:dyDescent="0.2">
      <c r="A809" t="s">
        <v>518</v>
      </c>
      <c r="B809" t="s">
        <v>9</v>
      </c>
      <c r="C809" t="s">
        <v>1553</v>
      </c>
      <c r="D809" t="s">
        <v>1554</v>
      </c>
    </row>
    <row r="810" spans="1:4" x14ac:dyDescent="0.2">
      <c r="A810" t="s">
        <v>518</v>
      </c>
      <c r="B810" t="s">
        <v>10</v>
      </c>
      <c r="C810" t="s">
        <v>1555</v>
      </c>
      <c r="D810" t="s">
        <v>1554</v>
      </c>
    </row>
    <row r="811" spans="1:4" x14ac:dyDescent="0.2">
      <c r="A811" t="s">
        <v>518</v>
      </c>
      <c r="B811" t="s">
        <v>11</v>
      </c>
      <c r="C811" t="s">
        <v>1566</v>
      </c>
      <c r="D811" t="s">
        <v>1554</v>
      </c>
    </row>
    <row r="812" spans="1:4" x14ac:dyDescent="0.2">
      <c r="A812" t="s">
        <v>518</v>
      </c>
      <c r="B812" t="s">
        <v>13</v>
      </c>
      <c r="C812" t="s">
        <v>1567</v>
      </c>
      <c r="D812" t="s">
        <v>1554</v>
      </c>
    </row>
    <row r="813" spans="1:4" x14ac:dyDescent="0.2">
      <c r="A813" t="s">
        <v>518</v>
      </c>
      <c r="B813" t="s">
        <v>14</v>
      </c>
      <c r="C813" t="s">
        <v>1568</v>
      </c>
      <c r="D813" t="s">
        <v>1554</v>
      </c>
    </row>
    <row r="814" spans="1:4" x14ac:dyDescent="0.2">
      <c r="A814" t="s">
        <v>518</v>
      </c>
      <c r="B814" t="s">
        <v>15</v>
      </c>
      <c r="C814" t="s">
        <v>1569</v>
      </c>
      <c r="D814" t="s">
        <v>1554</v>
      </c>
    </row>
    <row r="815" spans="1:4" x14ac:dyDescent="0.2">
      <c r="A815" t="s">
        <v>518</v>
      </c>
      <c r="B815" t="s">
        <v>17</v>
      </c>
      <c r="C815" t="s">
        <v>1560</v>
      </c>
      <c r="D815" t="s">
        <v>1554</v>
      </c>
    </row>
    <row r="816" spans="1:4" x14ac:dyDescent="0.2">
      <c r="A816" t="s">
        <v>518</v>
      </c>
      <c r="B816" t="s">
        <v>19</v>
      </c>
      <c r="C816" t="s">
        <v>1570</v>
      </c>
      <c r="D816" t="s">
        <v>1554</v>
      </c>
    </row>
    <row r="817" spans="1:4" x14ac:dyDescent="0.2">
      <c r="A817" t="s">
        <v>518</v>
      </c>
      <c r="B817" t="s">
        <v>23</v>
      </c>
      <c r="C817" t="s">
        <v>1556</v>
      </c>
      <c r="D817" t="s">
        <v>1554</v>
      </c>
    </row>
    <row r="818" spans="1:4" x14ac:dyDescent="0.2">
      <c r="A818" t="s">
        <v>518</v>
      </c>
      <c r="B818" t="s">
        <v>25</v>
      </c>
      <c r="C818" t="s">
        <v>1557</v>
      </c>
      <c r="D818" t="s">
        <v>1554</v>
      </c>
    </row>
    <row r="819" spans="1:4" x14ac:dyDescent="0.2">
      <c r="A819" t="s">
        <v>518</v>
      </c>
      <c r="B819" t="s">
        <v>24</v>
      </c>
      <c r="C819" t="s">
        <v>1558</v>
      </c>
      <c r="D819" t="s">
        <v>1559</v>
      </c>
    </row>
    <row r="820" spans="1:4" x14ac:dyDescent="0.2">
      <c r="A820" t="s">
        <v>524</v>
      </c>
      <c r="B820" t="s">
        <v>3</v>
      </c>
      <c r="C820" t="s">
        <v>1562</v>
      </c>
      <c r="D820" t="s">
        <v>1554</v>
      </c>
    </row>
    <row r="821" spans="1:4" x14ac:dyDescent="0.2">
      <c r="A821" t="s">
        <v>524</v>
      </c>
      <c r="B821" t="s">
        <v>5</v>
      </c>
      <c r="C821" t="s">
        <v>1563</v>
      </c>
      <c r="D821" t="s">
        <v>1554</v>
      </c>
    </row>
    <row r="822" spans="1:4" x14ac:dyDescent="0.2">
      <c r="A822" t="s">
        <v>524</v>
      </c>
      <c r="B822" t="s">
        <v>6</v>
      </c>
      <c r="C822" t="s">
        <v>1564</v>
      </c>
      <c r="D822" t="s">
        <v>1554</v>
      </c>
    </row>
    <row r="823" spans="1:4" x14ac:dyDescent="0.2">
      <c r="A823" t="s">
        <v>524</v>
      </c>
      <c r="B823" t="s">
        <v>7</v>
      </c>
      <c r="C823" t="s">
        <v>1565</v>
      </c>
      <c r="D823" t="s">
        <v>1554</v>
      </c>
    </row>
    <row r="824" spans="1:4" x14ac:dyDescent="0.2">
      <c r="A824" t="s">
        <v>524</v>
      </c>
      <c r="B824" t="s">
        <v>8</v>
      </c>
      <c r="C824" t="s">
        <v>1561</v>
      </c>
      <c r="D824" t="s">
        <v>1554</v>
      </c>
    </row>
    <row r="825" spans="1:4" x14ac:dyDescent="0.2">
      <c r="A825" t="s">
        <v>524</v>
      </c>
      <c r="B825" t="s">
        <v>9</v>
      </c>
      <c r="C825" t="s">
        <v>1553</v>
      </c>
      <c r="D825" t="s">
        <v>1554</v>
      </c>
    </row>
    <row r="826" spans="1:4" x14ac:dyDescent="0.2">
      <c r="A826" t="s">
        <v>524</v>
      </c>
      <c r="B826" t="s">
        <v>10</v>
      </c>
      <c r="C826" t="s">
        <v>1555</v>
      </c>
      <c r="D826" t="s">
        <v>1554</v>
      </c>
    </row>
    <row r="827" spans="1:4" x14ac:dyDescent="0.2">
      <c r="A827" t="s">
        <v>524</v>
      </c>
      <c r="B827" t="s">
        <v>11</v>
      </c>
      <c r="C827" t="s">
        <v>1566</v>
      </c>
      <c r="D827" t="s">
        <v>1554</v>
      </c>
    </row>
    <row r="828" spans="1:4" x14ac:dyDescent="0.2">
      <c r="A828" t="s">
        <v>524</v>
      </c>
      <c r="B828" t="s">
        <v>13</v>
      </c>
      <c r="C828" t="s">
        <v>1567</v>
      </c>
      <c r="D828" t="s">
        <v>1554</v>
      </c>
    </row>
    <row r="829" spans="1:4" x14ac:dyDescent="0.2">
      <c r="A829" t="s">
        <v>524</v>
      </c>
      <c r="B829" t="s">
        <v>14</v>
      </c>
      <c r="C829" t="s">
        <v>1568</v>
      </c>
      <c r="D829" t="s">
        <v>1554</v>
      </c>
    </row>
    <row r="830" spans="1:4" x14ac:dyDescent="0.2">
      <c r="A830" t="s">
        <v>524</v>
      </c>
      <c r="B830" t="s">
        <v>15</v>
      </c>
      <c r="C830" t="s">
        <v>1569</v>
      </c>
      <c r="D830" t="s">
        <v>1554</v>
      </c>
    </row>
    <row r="831" spans="1:4" x14ac:dyDescent="0.2">
      <c r="A831" t="s">
        <v>524</v>
      </c>
      <c r="B831" t="s">
        <v>17</v>
      </c>
      <c r="C831" t="s">
        <v>1560</v>
      </c>
      <c r="D831" t="s">
        <v>1554</v>
      </c>
    </row>
    <row r="832" spans="1:4" x14ac:dyDescent="0.2">
      <c r="A832" t="s">
        <v>524</v>
      </c>
      <c r="B832" t="s">
        <v>19</v>
      </c>
      <c r="C832" t="s">
        <v>1570</v>
      </c>
      <c r="D832" t="s">
        <v>1554</v>
      </c>
    </row>
    <row r="833" spans="1:4" x14ac:dyDescent="0.2">
      <c r="A833" t="s">
        <v>524</v>
      </c>
      <c r="B833" t="s">
        <v>23</v>
      </c>
      <c r="C833" t="s">
        <v>1556</v>
      </c>
      <c r="D833" t="s">
        <v>1554</v>
      </c>
    </row>
    <row r="834" spans="1:4" x14ac:dyDescent="0.2">
      <c r="A834" t="s">
        <v>524</v>
      </c>
      <c r="B834" t="s">
        <v>25</v>
      </c>
      <c r="C834" t="s">
        <v>1557</v>
      </c>
      <c r="D834" t="s">
        <v>1554</v>
      </c>
    </row>
    <row r="835" spans="1:4" x14ac:dyDescent="0.2">
      <c r="A835" t="s">
        <v>524</v>
      </c>
      <c r="B835" t="s">
        <v>24</v>
      </c>
      <c r="C835" t="s">
        <v>1558</v>
      </c>
      <c r="D835" t="s">
        <v>1559</v>
      </c>
    </row>
    <row r="836" spans="1:4" x14ac:dyDescent="0.2">
      <c r="A836" t="s">
        <v>530</v>
      </c>
      <c r="B836" t="s">
        <v>8</v>
      </c>
      <c r="C836" t="s">
        <v>1561</v>
      </c>
      <c r="D836" t="s">
        <v>1554</v>
      </c>
    </row>
    <row r="837" spans="1:4" x14ac:dyDescent="0.2">
      <c r="A837" t="s">
        <v>530</v>
      </c>
      <c r="B837" t="s">
        <v>9</v>
      </c>
      <c r="C837" t="s">
        <v>1553</v>
      </c>
      <c r="D837" t="s">
        <v>1554</v>
      </c>
    </row>
    <row r="838" spans="1:4" x14ac:dyDescent="0.2">
      <c r="A838" t="s">
        <v>530</v>
      </c>
      <c r="B838" t="s">
        <v>10</v>
      </c>
      <c r="C838" t="s">
        <v>1555</v>
      </c>
      <c r="D838" t="s">
        <v>1554</v>
      </c>
    </row>
    <row r="839" spans="1:4" x14ac:dyDescent="0.2">
      <c r="A839" t="s">
        <v>530</v>
      </c>
      <c r="B839" t="s">
        <v>15</v>
      </c>
      <c r="C839" t="s">
        <v>1569</v>
      </c>
      <c r="D839" t="s">
        <v>1554</v>
      </c>
    </row>
    <row r="840" spans="1:4" x14ac:dyDescent="0.2">
      <c r="A840" t="s">
        <v>530</v>
      </c>
      <c r="B840" t="s">
        <v>17</v>
      </c>
      <c r="C840" t="s">
        <v>1560</v>
      </c>
      <c r="D840" t="s">
        <v>1554</v>
      </c>
    </row>
    <row r="841" spans="1:4" x14ac:dyDescent="0.2">
      <c r="A841" t="s">
        <v>530</v>
      </c>
      <c r="B841" t="s">
        <v>19</v>
      </c>
      <c r="C841" t="s">
        <v>1570</v>
      </c>
      <c r="D841" t="s">
        <v>1554</v>
      </c>
    </row>
    <row r="842" spans="1:4" x14ac:dyDescent="0.2">
      <c r="A842" t="s">
        <v>530</v>
      </c>
      <c r="B842" t="s">
        <v>23</v>
      </c>
      <c r="C842" t="s">
        <v>1556</v>
      </c>
      <c r="D842" t="s">
        <v>1554</v>
      </c>
    </row>
    <row r="843" spans="1:4" x14ac:dyDescent="0.2">
      <c r="A843" t="s">
        <v>530</v>
      </c>
      <c r="B843" t="s">
        <v>25</v>
      </c>
      <c r="C843" t="s">
        <v>1557</v>
      </c>
      <c r="D843" t="s">
        <v>1554</v>
      </c>
    </row>
    <row r="844" spans="1:4" x14ac:dyDescent="0.2">
      <c r="A844" t="s">
        <v>537</v>
      </c>
      <c r="B844" t="s">
        <v>3</v>
      </c>
      <c r="C844" t="s">
        <v>1562</v>
      </c>
      <c r="D844" t="s">
        <v>1554</v>
      </c>
    </row>
    <row r="845" spans="1:4" x14ac:dyDescent="0.2">
      <c r="A845" t="s">
        <v>537</v>
      </c>
      <c r="B845" t="s">
        <v>5</v>
      </c>
      <c r="C845" t="s">
        <v>1563</v>
      </c>
      <c r="D845" t="s">
        <v>1554</v>
      </c>
    </row>
    <row r="846" spans="1:4" x14ac:dyDescent="0.2">
      <c r="A846" t="s">
        <v>537</v>
      </c>
      <c r="B846" t="s">
        <v>6</v>
      </c>
      <c r="C846" t="s">
        <v>1564</v>
      </c>
      <c r="D846" t="s">
        <v>1554</v>
      </c>
    </row>
    <row r="847" spans="1:4" x14ac:dyDescent="0.2">
      <c r="A847" t="s">
        <v>537</v>
      </c>
      <c r="B847" t="s">
        <v>7</v>
      </c>
      <c r="C847" t="s">
        <v>1565</v>
      </c>
      <c r="D847" t="s">
        <v>1554</v>
      </c>
    </row>
    <row r="848" spans="1:4" x14ac:dyDescent="0.2">
      <c r="A848" t="s">
        <v>537</v>
      </c>
      <c r="B848" t="s">
        <v>8</v>
      </c>
      <c r="C848" t="s">
        <v>1561</v>
      </c>
      <c r="D848" t="s">
        <v>1554</v>
      </c>
    </row>
    <row r="849" spans="1:4" x14ac:dyDescent="0.2">
      <c r="A849" t="s">
        <v>537</v>
      </c>
      <c r="B849" t="s">
        <v>9</v>
      </c>
      <c r="C849" t="s">
        <v>1553</v>
      </c>
      <c r="D849" t="s">
        <v>1554</v>
      </c>
    </row>
    <row r="850" spans="1:4" x14ac:dyDescent="0.2">
      <c r="A850" t="s">
        <v>537</v>
      </c>
      <c r="B850" t="s">
        <v>10</v>
      </c>
      <c r="C850" t="s">
        <v>1555</v>
      </c>
      <c r="D850" t="s">
        <v>1554</v>
      </c>
    </row>
    <row r="851" spans="1:4" x14ac:dyDescent="0.2">
      <c r="A851" t="s">
        <v>537</v>
      </c>
      <c r="B851" t="s">
        <v>11</v>
      </c>
      <c r="C851" t="s">
        <v>1566</v>
      </c>
      <c r="D851" t="s">
        <v>1554</v>
      </c>
    </row>
    <row r="852" spans="1:4" x14ac:dyDescent="0.2">
      <c r="A852" t="s">
        <v>537</v>
      </c>
      <c r="B852" t="s">
        <v>13</v>
      </c>
      <c r="C852" t="s">
        <v>1567</v>
      </c>
      <c r="D852" t="s">
        <v>1554</v>
      </c>
    </row>
    <row r="853" spans="1:4" x14ac:dyDescent="0.2">
      <c r="A853" t="s">
        <v>537</v>
      </c>
      <c r="B853" t="s">
        <v>14</v>
      </c>
      <c r="C853" t="s">
        <v>1568</v>
      </c>
      <c r="D853" t="s">
        <v>1554</v>
      </c>
    </row>
    <row r="854" spans="1:4" x14ac:dyDescent="0.2">
      <c r="A854" t="s">
        <v>537</v>
      </c>
      <c r="B854" t="s">
        <v>15</v>
      </c>
      <c r="C854" t="s">
        <v>1569</v>
      </c>
      <c r="D854" t="s">
        <v>1554</v>
      </c>
    </row>
    <row r="855" spans="1:4" x14ac:dyDescent="0.2">
      <c r="A855" t="s">
        <v>537</v>
      </c>
      <c r="B855" t="s">
        <v>17</v>
      </c>
      <c r="C855" t="s">
        <v>1560</v>
      </c>
      <c r="D855" t="s">
        <v>1554</v>
      </c>
    </row>
    <row r="856" spans="1:4" x14ac:dyDescent="0.2">
      <c r="A856" t="s">
        <v>537</v>
      </c>
      <c r="B856" t="s">
        <v>19</v>
      </c>
      <c r="C856" t="s">
        <v>1570</v>
      </c>
      <c r="D856" t="s">
        <v>1554</v>
      </c>
    </row>
    <row r="857" spans="1:4" x14ac:dyDescent="0.2">
      <c r="A857" t="s">
        <v>537</v>
      </c>
      <c r="B857" t="s">
        <v>23</v>
      </c>
      <c r="C857" t="s">
        <v>1556</v>
      </c>
      <c r="D857" t="s">
        <v>1554</v>
      </c>
    </row>
    <row r="858" spans="1:4" x14ac:dyDescent="0.2">
      <c r="A858" t="s">
        <v>537</v>
      </c>
      <c r="B858" t="s">
        <v>25</v>
      </c>
      <c r="C858" t="s">
        <v>1557</v>
      </c>
      <c r="D858" t="s">
        <v>1554</v>
      </c>
    </row>
    <row r="859" spans="1:4" x14ac:dyDescent="0.2">
      <c r="A859" t="s">
        <v>543</v>
      </c>
      <c r="B859" t="s">
        <v>3</v>
      </c>
      <c r="C859" t="s">
        <v>1562</v>
      </c>
      <c r="D859" t="s">
        <v>1554</v>
      </c>
    </row>
    <row r="860" spans="1:4" x14ac:dyDescent="0.2">
      <c r="A860" t="s">
        <v>543</v>
      </c>
      <c r="B860" t="s">
        <v>5</v>
      </c>
      <c r="C860" t="s">
        <v>1563</v>
      </c>
      <c r="D860" t="s">
        <v>1554</v>
      </c>
    </row>
    <row r="861" spans="1:4" x14ac:dyDescent="0.2">
      <c r="A861" t="s">
        <v>543</v>
      </c>
      <c r="B861" t="s">
        <v>6</v>
      </c>
      <c r="C861" t="s">
        <v>1564</v>
      </c>
      <c r="D861" t="s">
        <v>1554</v>
      </c>
    </row>
    <row r="862" spans="1:4" x14ac:dyDescent="0.2">
      <c r="A862" t="s">
        <v>543</v>
      </c>
      <c r="B862" t="s">
        <v>7</v>
      </c>
      <c r="C862" t="s">
        <v>1565</v>
      </c>
      <c r="D862" t="s">
        <v>1554</v>
      </c>
    </row>
    <row r="863" spans="1:4" x14ac:dyDescent="0.2">
      <c r="A863" t="s">
        <v>543</v>
      </c>
      <c r="B863" t="s">
        <v>8</v>
      </c>
      <c r="C863" t="s">
        <v>1561</v>
      </c>
      <c r="D863" t="s">
        <v>1554</v>
      </c>
    </row>
    <row r="864" spans="1:4" x14ac:dyDescent="0.2">
      <c r="A864" t="s">
        <v>543</v>
      </c>
      <c r="B864" t="s">
        <v>9</v>
      </c>
      <c r="C864" t="s">
        <v>1553</v>
      </c>
      <c r="D864" t="s">
        <v>1554</v>
      </c>
    </row>
    <row r="865" spans="1:4" x14ac:dyDescent="0.2">
      <c r="A865" t="s">
        <v>543</v>
      </c>
      <c r="B865" t="s">
        <v>10</v>
      </c>
      <c r="C865" t="s">
        <v>1555</v>
      </c>
      <c r="D865" t="s">
        <v>1554</v>
      </c>
    </row>
    <row r="866" spans="1:4" x14ac:dyDescent="0.2">
      <c r="A866" t="s">
        <v>543</v>
      </c>
      <c r="B866" t="s">
        <v>11</v>
      </c>
      <c r="C866" t="s">
        <v>1566</v>
      </c>
      <c r="D866" t="s">
        <v>1554</v>
      </c>
    </row>
    <row r="867" spans="1:4" x14ac:dyDescent="0.2">
      <c r="A867" t="s">
        <v>543</v>
      </c>
      <c r="B867" t="s">
        <v>13</v>
      </c>
      <c r="C867" t="s">
        <v>1567</v>
      </c>
      <c r="D867" t="s">
        <v>1554</v>
      </c>
    </row>
    <row r="868" spans="1:4" x14ac:dyDescent="0.2">
      <c r="A868" t="s">
        <v>543</v>
      </c>
      <c r="B868" t="s">
        <v>14</v>
      </c>
      <c r="C868" t="s">
        <v>1568</v>
      </c>
      <c r="D868" t="s">
        <v>1554</v>
      </c>
    </row>
    <row r="869" spans="1:4" x14ac:dyDescent="0.2">
      <c r="A869" t="s">
        <v>543</v>
      </c>
      <c r="B869" t="s">
        <v>15</v>
      </c>
      <c r="C869" t="s">
        <v>1569</v>
      </c>
      <c r="D869" t="s">
        <v>1554</v>
      </c>
    </row>
    <row r="870" spans="1:4" x14ac:dyDescent="0.2">
      <c r="A870" t="s">
        <v>543</v>
      </c>
      <c r="B870" t="s">
        <v>17</v>
      </c>
      <c r="C870" t="s">
        <v>1560</v>
      </c>
      <c r="D870" t="s">
        <v>1554</v>
      </c>
    </row>
    <row r="871" spans="1:4" x14ac:dyDescent="0.2">
      <c r="A871" t="s">
        <v>543</v>
      </c>
      <c r="B871" t="s">
        <v>19</v>
      </c>
      <c r="C871" t="s">
        <v>1570</v>
      </c>
      <c r="D871" t="s">
        <v>1554</v>
      </c>
    </row>
    <row r="872" spans="1:4" x14ac:dyDescent="0.2">
      <c r="A872" t="s">
        <v>543</v>
      </c>
      <c r="B872" t="s">
        <v>23</v>
      </c>
      <c r="C872" t="s">
        <v>1556</v>
      </c>
      <c r="D872" t="s">
        <v>1554</v>
      </c>
    </row>
    <row r="873" spans="1:4" x14ac:dyDescent="0.2">
      <c r="A873" t="s">
        <v>543</v>
      </c>
      <c r="B873" t="s">
        <v>25</v>
      </c>
      <c r="C873" t="s">
        <v>1557</v>
      </c>
      <c r="D873" t="s">
        <v>1554</v>
      </c>
    </row>
    <row r="874" spans="1:4" x14ac:dyDescent="0.2">
      <c r="A874" t="s">
        <v>549</v>
      </c>
      <c r="B874" t="s">
        <v>3</v>
      </c>
      <c r="C874" t="s">
        <v>1562</v>
      </c>
      <c r="D874" t="s">
        <v>1554</v>
      </c>
    </row>
    <row r="875" spans="1:4" x14ac:dyDescent="0.2">
      <c r="A875" t="s">
        <v>549</v>
      </c>
      <c r="B875" t="s">
        <v>5</v>
      </c>
      <c r="C875" t="s">
        <v>1563</v>
      </c>
      <c r="D875" t="s">
        <v>1554</v>
      </c>
    </row>
    <row r="876" spans="1:4" x14ac:dyDescent="0.2">
      <c r="A876" t="s">
        <v>549</v>
      </c>
      <c r="B876" t="s">
        <v>6</v>
      </c>
      <c r="C876" t="s">
        <v>1564</v>
      </c>
      <c r="D876" t="s">
        <v>1554</v>
      </c>
    </row>
    <row r="877" spans="1:4" x14ac:dyDescent="0.2">
      <c r="A877" t="s">
        <v>549</v>
      </c>
      <c r="B877" t="s">
        <v>7</v>
      </c>
      <c r="C877" t="s">
        <v>1565</v>
      </c>
      <c r="D877" t="s">
        <v>1554</v>
      </c>
    </row>
    <row r="878" spans="1:4" x14ac:dyDescent="0.2">
      <c r="A878" t="s">
        <v>549</v>
      </c>
      <c r="B878" t="s">
        <v>8</v>
      </c>
      <c r="C878" t="s">
        <v>1561</v>
      </c>
      <c r="D878" t="s">
        <v>1554</v>
      </c>
    </row>
    <row r="879" spans="1:4" x14ac:dyDescent="0.2">
      <c r="A879" t="s">
        <v>549</v>
      </c>
      <c r="B879" t="s">
        <v>9</v>
      </c>
      <c r="C879" t="s">
        <v>1553</v>
      </c>
      <c r="D879" t="s">
        <v>1554</v>
      </c>
    </row>
    <row r="880" spans="1:4" x14ac:dyDescent="0.2">
      <c r="A880" t="s">
        <v>549</v>
      </c>
      <c r="B880" t="s">
        <v>10</v>
      </c>
      <c r="C880" t="s">
        <v>1555</v>
      </c>
      <c r="D880" t="s">
        <v>1554</v>
      </c>
    </row>
    <row r="881" spans="1:4" x14ac:dyDescent="0.2">
      <c r="A881" t="s">
        <v>549</v>
      </c>
      <c r="B881" t="s">
        <v>11</v>
      </c>
      <c r="C881" t="s">
        <v>1566</v>
      </c>
      <c r="D881" t="s">
        <v>1554</v>
      </c>
    </row>
    <row r="882" spans="1:4" x14ac:dyDescent="0.2">
      <c r="A882" t="s">
        <v>549</v>
      </c>
      <c r="B882" t="s">
        <v>13</v>
      </c>
      <c r="C882" t="s">
        <v>1567</v>
      </c>
      <c r="D882" t="s">
        <v>1554</v>
      </c>
    </row>
    <row r="883" spans="1:4" x14ac:dyDescent="0.2">
      <c r="A883" t="s">
        <v>549</v>
      </c>
      <c r="B883" t="s">
        <v>14</v>
      </c>
      <c r="C883" t="s">
        <v>1568</v>
      </c>
      <c r="D883" t="s">
        <v>1554</v>
      </c>
    </row>
    <row r="884" spans="1:4" x14ac:dyDescent="0.2">
      <c r="A884" t="s">
        <v>549</v>
      </c>
      <c r="B884" t="s">
        <v>15</v>
      </c>
      <c r="C884" t="s">
        <v>1569</v>
      </c>
      <c r="D884" t="s">
        <v>1554</v>
      </c>
    </row>
    <row r="885" spans="1:4" x14ac:dyDescent="0.2">
      <c r="A885" t="s">
        <v>549</v>
      </c>
      <c r="B885" t="s">
        <v>17</v>
      </c>
      <c r="C885" t="s">
        <v>1560</v>
      </c>
      <c r="D885" t="s">
        <v>1554</v>
      </c>
    </row>
    <row r="886" spans="1:4" x14ac:dyDescent="0.2">
      <c r="A886" t="s">
        <v>549</v>
      </c>
      <c r="B886" t="s">
        <v>19</v>
      </c>
      <c r="C886" t="s">
        <v>1570</v>
      </c>
      <c r="D886" t="s">
        <v>1554</v>
      </c>
    </row>
    <row r="887" spans="1:4" x14ac:dyDescent="0.2">
      <c r="A887" t="s">
        <v>549</v>
      </c>
      <c r="B887" t="s">
        <v>23</v>
      </c>
      <c r="C887" t="s">
        <v>1556</v>
      </c>
      <c r="D887" t="s">
        <v>1554</v>
      </c>
    </row>
    <row r="888" spans="1:4" x14ac:dyDescent="0.2">
      <c r="A888" t="s">
        <v>549</v>
      </c>
      <c r="B888" t="s">
        <v>25</v>
      </c>
      <c r="C888" t="s">
        <v>1557</v>
      </c>
      <c r="D888" t="s">
        <v>1554</v>
      </c>
    </row>
    <row r="889" spans="1:4" x14ac:dyDescent="0.2">
      <c r="A889" t="s">
        <v>555</v>
      </c>
      <c r="B889" t="s">
        <v>6</v>
      </c>
      <c r="C889" t="s">
        <v>1564</v>
      </c>
      <c r="D889" t="s">
        <v>1554</v>
      </c>
    </row>
    <row r="890" spans="1:4" x14ac:dyDescent="0.2">
      <c r="A890" t="s">
        <v>555</v>
      </c>
      <c r="B890" t="s">
        <v>7</v>
      </c>
      <c r="C890" t="s">
        <v>1565</v>
      </c>
      <c r="D890" t="s">
        <v>1554</v>
      </c>
    </row>
    <row r="891" spans="1:4" x14ac:dyDescent="0.2">
      <c r="A891" t="s">
        <v>555</v>
      </c>
      <c r="B891" t="s">
        <v>8</v>
      </c>
      <c r="C891" t="s">
        <v>1561</v>
      </c>
      <c r="D891" t="s">
        <v>1554</v>
      </c>
    </row>
    <row r="892" spans="1:4" x14ac:dyDescent="0.2">
      <c r="A892" t="s">
        <v>555</v>
      </c>
      <c r="B892" t="s">
        <v>9</v>
      </c>
      <c r="C892" t="s">
        <v>1553</v>
      </c>
      <c r="D892" t="s">
        <v>1554</v>
      </c>
    </row>
    <row r="893" spans="1:4" x14ac:dyDescent="0.2">
      <c r="A893" t="s">
        <v>555</v>
      </c>
      <c r="B893" t="s">
        <v>10</v>
      </c>
      <c r="C893" t="s">
        <v>1555</v>
      </c>
      <c r="D893" t="s">
        <v>1554</v>
      </c>
    </row>
    <row r="894" spans="1:4" x14ac:dyDescent="0.2">
      <c r="A894" t="s">
        <v>555</v>
      </c>
      <c r="B894" t="s">
        <v>13</v>
      </c>
      <c r="C894" t="s">
        <v>1567</v>
      </c>
      <c r="D894" t="s">
        <v>1554</v>
      </c>
    </row>
    <row r="895" spans="1:4" x14ac:dyDescent="0.2">
      <c r="A895" t="s">
        <v>555</v>
      </c>
      <c r="B895" t="s">
        <v>14</v>
      </c>
      <c r="C895" t="s">
        <v>1568</v>
      </c>
      <c r="D895" t="s">
        <v>1554</v>
      </c>
    </row>
    <row r="896" spans="1:4" x14ac:dyDescent="0.2">
      <c r="A896" t="s">
        <v>555</v>
      </c>
      <c r="B896" t="s">
        <v>15</v>
      </c>
      <c r="C896" t="s">
        <v>1569</v>
      </c>
      <c r="D896" t="s">
        <v>1554</v>
      </c>
    </row>
    <row r="897" spans="1:4" x14ac:dyDescent="0.2">
      <c r="A897" t="s">
        <v>555</v>
      </c>
      <c r="B897" t="s">
        <v>17</v>
      </c>
      <c r="C897" t="s">
        <v>1560</v>
      </c>
      <c r="D897" t="s">
        <v>1554</v>
      </c>
    </row>
    <row r="898" spans="1:4" x14ac:dyDescent="0.2">
      <c r="A898" t="s">
        <v>555</v>
      </c>
      <c r="B898" t="s">
        <v>19</v>
      </c>
      <c r="C898" t="s">
        <v>1570</v>
      </c>
      <c r="D898" t="s">
        <v>1554</v>
      </c>
    </row>
    <row r="899" spans="1:4" x14ac:dyDescent="0.2">
      <c r="A899" t="s">
        <v>555</v>
      </c>
      <c r="B899" t="s">
        <v>23</v>
      </c>
      <c r="C899" t="s">
        <v>1556</v>
      </c>
      <c r="D899" t="s">
        <v>1554</v>
      </c>
    </row>
    <row r="900" spans="1:4" x14ac:dyDescent="0.2">
      <c r="A900" t="s">
        <v>555</v>
      </c>
      <c r="B900" t="s">
        <v>25</v>
      </c>
      <c r="C900" t="s">
        <v>1557</v>
      </c>
      <c r="D900" t="s">
        <v>1554</v>
      </c>
    </row>
    <row r="901" spans="1:4" x14ac:dyDescent="0.2">
      <c r="A901" t="s">
        <v>555</v>
      </c>
      <c r="B901" t="s">
        <v>24</v>
      </c>
      <c r="C901" t="s">
        <v>1558</v>
      </c>
      <c r="D901" t="s">
        <v>1559</v>
      </c>
    </row>
    <row r="902" spans="1:4" x14ac:dyDescent="0.2">
      <c r="A902" t="s">
        <v>561</v>
      </c>
      <c r="B902" t="s">
        <v>6</v>
      </c>
      <c r="C902" t="s">
        <v>1564</v>
      </c>
      <c r="D902" t="s">
        <v>1554</v>
      </c>
    </row>
    <row r="903" spans="1:4" x14ac:dyDescent="0.2">
      <c r="A903" t="s">
        <v>561</v>
      </c>
      <c r="B903" t="s">
        <v>7</v>
      </c>
      <c r="C903" t="s">
        <v>1565</v>
      </c>
      <c r="D903" t="s">
        <v>1554</v>
      </c>
    </row>
    <row r="904" spans="1:4" x14ac:dyDescent="0.2">
      <c r="A904" t="s">
        <v>561</v>
      </c>
      <c r="B904" t="s">
        <v>8</v>
      </c>
      <c r="C904" t="s">
        <v>1561</v>
      </c>
      <c r="D904" t="s">
        <v>1554</v>
      </c>
    </row>
    <row r="905" spans="1:4" x14ac:dyDescent="0.2">
      <c r="A905" t="s">
        <v>561</v>
      </c>
      <c r="B905" t="s">
        <v>9</v>
      </c>
      <c r="C905" t="s">
        <v>1553</v>
      </c>
      <c r="D905" t="s">
        <v>1554</v>
      </c>
    </row>
    <row r="906" spans="1:4" x14ac:dyDescent="0.2">
      <c r="A906" t="s">
        <v>561</v>
      </c>
      <c r="B906" t="s">
        <v>10</v>
      </c>
      <c r="C906" t="s">
        <v>1555</v>
      </c>
      <c r="D906" t="s">
        <v>1554</v>
      </c>
    </row>
    <row r="907" spans="1:4" x14ac:dyDescent="0.2">
      <c r="A907" t="s">
        <v>561</v>
      </c>
      <c r="B907" t="s">
        <v>13</v>
      </c>
      <c r="C907" t="s">
        <v>1567</v>
      </c>
      <c r="D907" t="s">
        <v>1554</v>
      </c>
    </row>
    <row r="908" spans="1:4" x14ac:dyDescent="0.2">
      <c r="A908" t="s">
        <v>561</v>
      </c>
      <c r="B908" t="s">
        <v>14</v>
      </c>
      <c r="C908" t="s">
        <v>1568</v>
      </c>
      <c r="D908" t="s">
        <v>1554</v>
      </c>
    </row>
    <row r="909" spans="1:4" x14ac:dyDescent="0.2">
      <c r="A909" t="s">
        <v>561</v>
      </c>
      <c r="B909" t="s">
        <v>15</v>
      </c>
      <c r="C909" t="s">
        <v>1569</v>
      </c>
      <c r="D909" t="s">
        <v>1554</v>
      </c>
    </row>
    <row r="910" spans="1:4" x14ac:dyDescent="0.2">
      <c r="A910" t="s">
        <v>561</v>
      </c>
      <c r="B910" t="s">
        <v>17</v>
      </c>
      <c r="C910" t="s">
        <v>1560</v>
      </c>
      <c r="D910" t="s">
        <v>1554</v>
      </c>
    </row>
    <row r="911" spans="1:4" x14ac:dyDescent="0.2">
      <c r="A911" t="s">
        <v>561</v>
      </c>
      <c r="B911" t="s">
        <v>19</v>
      </c>
      <c r="C911" t="s">
        <v>1570</v>
      </c>
      <c r="D911" t="s">
        <v>1554</v>
      </c>
    </row>
    <row r="912" spans="1:4" x14ac:dyDescent="0.2">
      <c r="A912" t="s">
        <v>561</v>
      </c>
      <c r="B912" t="s">
        <v>23</v>
      </c>
      <c r="C912" t="s">
        <v>1556</v>
      </c>
      <c r="D912" t="s">
        <v>1554</v>
      </c>
    </row>
    <row r="913" spans="1:4" x14ac:dyDescent="0.2">
      <c r="A913" t="s">
        <v>561</v>
      </c>
      <c r="B913" t="s">
        <v>25</v>
      </c>
      <c r="C913" t="s">
        <v>1557</v>
      </c>
      <c r="D913" t="s">
        <v>1554</v>
      </c>
    </row>
    <row r="914" spans="1:4" x14ac:dyDescent="0.2">
      <c r="A914" t="s">
        <v>567</v>
      </c>
      <c r="B914" t="s">
        <v>3</v>
      </c>
      <c r="C914" t="s">
        <v>1562</v>
      </c>
      <c r="D914" t="s">
        <v>1554</v>
      </c>
    </row>
    <row r="915" spans="1:4" x14ac:dyDescent="0.2">
      <c r="A915" t="s">
        <v>567</v>
      </c>
      <c r="B915" t="s">
        <v>5</v>
      </c>
      <c r="C915" t="s">
        <v>1563</v>
      </c>
      <c r="D915" t="s">
        <v>1554</v>
      </c>
    </row>
    <row r="916" spans="1:4" x14ac:dyDescent="0.2">
      <c r="A916" t="s">
        <v>567</v>
      </c>
      <c r="B916" t="s">
        <v>6</v>
      </c>
      <c r="C916" t="s">
        <v>1564</v>
      </c>
      <c r="D916" t="s">
        <v>1554</v>
      </c>
    </row>
    <row r="917" spans="1:4" x14ac:dyDescent="0.2">
      <c r="A917" t="s">
        <v>567</v>
      </c>
      <c r="B917" t="s">
        <v>7</v>
      </c>
      <c r="C917" t="s">
        <v>1565</v>
      </c>
      <c r="D917" t="s">
        <v>1554</v>
      </c>
    </row>
    <row r="918" spans="1:4" x14ac:dyDescent="0.2">
      <c r="A918" t="s">
        <v>567</v>
      </c>
      <c r="B918" t="s">
        <v>8</v>
      </c>
      <c r="C918" t="s">
        <v>1561</v>
      </c>
      <c r="D918" t="s">
        <v>1554</v>
      </c>
    </row>
    <row r="919" spans="1:4" x14ac:dyDescent="0.2">
      <c r="A919" t="s">
        <v>567</v>
      </c>
      <c r="B919" t="s">
        <v>9</v>
      </c>
      <c r="C919" t="s">
        <v>1553</v>
      </c>
      <c r="D919" t="s">
        <v>1554</v>
      </c>
    </row>
    <row r="920" spans="1:4" x14ac:dyDescent="0.2">
      <c r="A920" t="s">
        <v>567</v>
      </c>
      <c r="B920" t="s">
        <v>10</v>
      </c>
      <c r="C920" t="s">
        <v>1555</v>
      </c>
      <c r="D920" t="s">
        <v>1554</v>
      </c>
    </row>
    <row r="921" spans="1:4" x14ac:dyDescent="0.2">
      <c r="A921" t="s">
        <v>567</v>
      </c>
      <c r="B921" t="s">
        <v>11</v>
      </c>
      <c r="C921" t="s">
        <v>1566</v>
      </c>
      <c r="D921" t="s">
        <v>1554</v>
      </c>
    </row>
    <row r="922" spans="1:4" x14ac:dyDescent="0.2">
      <c r="A922" t="s">
        <v>567</v>
      </c>
      <c r="B922" t="s">
        <v>13</v>
      </c>
      <c r="C922" t="s">
        <v>1567</v>
      </c>
      <c r="D922" t="s">
        <v>1554</v>
      </c>
    </row>
    <row r="923" spans="1:4" x14ac:dyDescent="0.2">
      <c r="A923" t="s">
        <v>567</v>
      </c>
      <c r="B923" t="s">
        <v>14</v>
      </c>
      <c r="C923" t="s">
        <v>1568</v>
      </c>
      <c r="D923" t="s">
        <v>1554</v>
      </c>
    </row>
    <row r="924" spans="1:4" x14ac:dyDescent="0.2">
      <c r="A924" t="s">
        <v>567</v>
      </c>
      <c r="B924" t="s">
        <v>15</v>
      </c>
      <c r="C924" t="s">
        <v>1569</v>
      </c>
      <c r="D924" t="s">
        <v>1554</v>
      </c>
    </row>
    <row r="925" spans="1:4" x14ac:dyDescent="0.2">
      <c r="A925" t="s">
        <v>567</v>
      </c>
      <c r="B925" t="s">
        <v>17</v>
      </c>
      <c r="C925" t="s">
        <v>1560</v>
      </c>
      <c r="D925" t="s">
        <v>1554</v>
      </c>
    </row>
    <row r="926" spans="1:4" x14ac:dyDescent="0.2">
      <c r="A926" t="s">
        <v>567</v>
      </c>
      <c r="B926" t="s">
        <v>19</v>
      </c>
      <c r="C926" t="s">
        <v>1570</v>
      </c>
      <c r="D926" t="s">
        <v>1554</v>
      </c>
    </row>
    <row r="927" spans="1:4" x14ac:dyDescent="0.2">
      <c r="A927" t="s">
        <v>567</v>
      </c>
      <c r="B927" t="s">
        <v>23</v>
      </c>
      <c r="C927" t="s">
        <v>1556</v>
      </c>
      <c r="D927" t="s">
        <v>1554</v>
      </c>
    </row>
    <row r="928" spans="1:4" x14ac:dyDescent="0.2">
      <c r="A928" t="s">
        <v>567</v>
      </c>
      <c r="B928" t="s">
        <v>25</v>
      </c>
      <c r="C928" t="s">
        <v>1557</v>
      </c>
      <c r="D928" t="s">
        <v>1554</v>
      </c>
    </row>
    <row r="929" spans="1:4" x14ac:dyDescent="0.2">
      <c r="A929" t="s">
        <v>573</v>
      </c>
      <c r="B929" t="s">
        <v>3</v>
      </c>
      <c r="C929" t="s">
        <v>1562</v>
      </c>
      <c r="D929" t="s">
        <v>1554</v>
      </c>
    </row>
    <row r="930" spans="1:4" x14ac:dyDescent="0.2">
      <c r="A930" t="s">
        <v>573</v>
      </c>
      <c r="B930" t="s">
        <v>5</v>
      </c>
      <c r="C930" t="s">
        <v>1563</v>
      </c>
      <c r="D930" t="s">
        <v>1554</v>
      </c>
    </row>
    <row r="931" spans="1:4" x14ac:dyDescent="0.2">
      <c r="A931" t="s">
        <v>573</v>
      </c>
      <c r="B931" t="s">
        <v>6</v>
      </c>
      <c r="C931" t="s">
        <v>1564</v>
      </c>
      <c r="D931" t="s">
        <v>1554</v>
      </c>
    </row>
    <row r="932" spans="1:4" x14ac:dyDescent="0.2">
      <c r="A932" t="s">
        <v>573</v>
      </c>
      <c r="B932" t="s">
        <v>7</v>
      </c>
      <c r="C932" t="s">
        <v>1565</v>
      </c>
      <c r="D932" t="s">
        <v>1554</v>
      </c>
    </row>
    <row r="933" spans="1:4" x14ac:dyDescent="0.2">
      <c r="A933" t="s">
        <v>573</v>
      </c>
      <c r="B933" t="s">
        <v>8</v>
      </c>
      <c r="C933" t="s">
        <v>1561</v>
      </c>
      <c r="D933" t="s">
        <v>1554</v>
      </c>
    </row>
    <row r="934" spans="1:4" x14ac:dyDescent="0.2">
      <c r="A934" t="s">
        <v>573</v>
      </c>
      <c r="B934" t="s">
        <v>9</v>
      </c>
      <c r="C934" t="s">
        <v>1553</v>
      </c>
      <c r="D934" t="s">
        <v>1554</v>
      </c>
    </row>
    <row r="935" spans="1:4" x14ac:dyDescent="0.2">
      <c r="A935" t="s">
        <v>573</v>
      </c>
      <c r="B935" t="s">
        <v>10</v>
      </c>
      <c r="C935" t="s">
        <v>1555</v>
      </c>
      <c r="D935" t="s">
        <v>1554</v>
      </c>
    </row>
    <row r="936" spans="1:4" x14ac:dyDescent="0.2">
      <c r="A936" t="s">
        <v>573</v>
      </c>
      <c r="B936" t="s">
        <v>11</v>
      </c>
      <c r="C936" t="s">
        <v>1566</v>
      </c>
      <c r="D936" t="s">
        <v>1554</v>
      </c>
    </row>
    <row r="937" spans="1:4" x14ac:dyDescent="0.2">
      <c r="A937" t="s">
        <v>573</v>
      </c>
      <c r="B937" t="s">
        <v>13</v>
      </c>
      <c r="C937" t="s">
        <v>1567</v>
      </c>
      <c r="D937" t="s">
        <v>1554</v>
      </c>
    </row>
    <row r="938" spans="1:4" x14ac:dyDescent="0.2">
      <c r="A938" t="s">
        <v>573</v>
      </c>
      <c r="B938" t="s">
        <v>14</v>
      </c>
      <c r="C938" t="s">
        <v>1568</v>
      </c>
      <c r="D938" t="s">
        <v>1554</v>
      </c>
    </row>
    <row r="939" spans="1:4" x14ac:dyDescent="0.2">
      <c r="A939" t="s">
        <v>573</v>
      </c>
      <c r="B939" t="s">
        <v>15</v>
      </c>
      <c r="C939" t="s">
        <v>1569</v>
      </c>
      <c r="D939" t="s">
        <v>1554</v>
      </c>
    </row>
    <row r="940" spans="1:4" x14ac:dyDescent="0.2">
      <c r="A940" t="s">
        <v>573</v>
      </c>
      <c r="B940" t="s">
        <v>17</v>
      </c>
      <c r="C940" t="s">
        <v>1560</v>
      </c>
      <c r="D940" t="s">
        <v>1554</v>
      </c>
    </row>
    <row r="941" spans="1:4" x14ac:dyDescent="0.2">
      <c r="A941" t="s">
        <v>573</v>
      </c>
      <c r="B941" t="s">
        <v>19</v>
      </c>
      <c r="C941" t="s">
        <v>1570</v>
      </c>
      <c r="D941" t="s">
        <v>1554</v>
      </c>
    </row>
    <row r="942" spans="1:4" x14ac:dyDescent="0.2">
      <c r="A942" t="s">
        <v>573</v>
      </c>
      <c r="B942" t="s">
        <v>23</v>
      </c>
      <c r="C942" t="s">
        <v>1556</v>
      </c>
      <c r="D942" t="s">
        <v>1554</v>
      </c>
    </row>
    <row r="943" spans="1:4" x14ac:dyDescent="0.2">
      <c r="A943" t="s">
        <v>573</v>
      </c>
      <c r="B943" t="s">
        <v>25</v>
      </c>
      <c r="C943" t="s">
        <v>1557</v>
      </c>
      <c r="D943" t="s">
        <v>1554</v>
      </c>
    </row>
    <row r="944" spans="1:4" x14ac:dyDescent="0.2">
      <c r="A944" t="s">
        <v>573</v>
      </c>
      <c r="B944" t="s">
        <v>24</v>
      </c>
      <c r="C944" t="s">
        <v>1558</v>
      </c>
      <c r="D944" t="s">
        <v>1559</v>
      </c>
    </row>
    <row r="945" spans="1:4" x14ac:dyDescent="0.2">
      <c r="A945" t="s">
        <v>579</v>
      </c>
      <c r="B945" t="s">
        <v>3</v>
      </c>
      <c r="C945" t="s">
        <v>1562</v>
      </c>
      <c r="D945" t="s">
        <v>1554</v>
      </c>
    </row>
    <row r="946" spans="1:4" x14ac:dyDescent="0.2">
      <c r="A946" t="s">
        <v>579</v>
      </c>
      <c r="B946" t="s">
        <v>5</v>
      </c>
      <c r="C946" t="s">
        <v>1563</v>
      </c>
      <c r="D946" t="s">
        <v>1554</v>
      </c>
    </row>
    <row r="947" spans="1:4" x14ac:dyDescent="0.2">
      <c r="A947" t="s">
        <v>579</v>
      </c>
      <c r="B947" t="s">
        <v>6</v>
      </c>
      <c r="C947" t="s">
        <v>1564</v>
      </c>
      <c r="D947" t="s">
        <v>1554</v>
      </c>
    </row>
    <row r="948" spans="1:4" x14ac:dyDescent="0.2">
      <c r="A948" t="s">
        <v>579</v>
      </c>
      <c r="B948" t="s">
        <v>7</v>
      </c>
      <c r="C948" t="s">
        <v>1565</v>
      </c>
      <c r="D948" t="s">
        <v>1554</v>
      </c>
    </row>
    <row r="949" spans="1:4" x14ac:dyDescent="0.2">
      <c r="A949" t="s">
        <v>579</v>
      </c>
      <c r="B949" t="s">
        <v>8</v>
      </c>
      <c r="C949" t="s">
        <v>1561</v>
      </c>
      <c r="D949" t="s">
        <v>1554</v>
      </c>
    </row>
    <row r="950" spans="1:4" x14ac:dyDescent="0.2">
      <c r="A950" t="s">
        <v>579</v>
      </c>
      <c r="B950" t="s">
        <v>9</v>
      </c>
      <c r="C950" t="s">
        <v>1553</v>
      </c>
      <c r="D950" t="s">
        <v>1554</v>
      </c>
    </row>
    <row r="951" spans="1:4" x14ac:dyDescent="0.2">
      <c r="A951" t="s">
        <v>579</v>
      </c>
      <c r="B951" t="s">
        <v>10</v>
      </c>
      <c r="C951" t="s">
        <v>1555</v>
      </c>
      <c r="D951" t="s">
        <v>1554</v>
      </c>
    </row>
    <row r="952" spans="1:4" x14ac:dyDescent="0.2">
      <c r="A952" t="s">
        <v>579</v>
      </c>
      <c r="B952" t="s">
        <v>11</v>
      </c>
      <c r="C952" t="s">
        <v>1566</v>
      </c>
      <c r="D952" t="s">
        <v>1554</v>
      </c>
    </row>
    <row r="953" spans="1:4" x14ac:dyDescent="0.2">
      <c r="A953" t="s">
        <v>579</v>
      </c>
      <c r="B953" t="s">
        <v>13</v>
      </c>
      <c r="C953" t="s">
        <v>1567</v>
      </c>
      <c r="D953" t="s">
        <v>1554</v>
      </c>
    </row>
    <row r="954" spans="1:4" x14ac:dyDescent="0.2">
      <c r="A954" t="s">
        <v>579</v>
      </c>
      <c r="B954" t="s">
        <v>14</v>
      </c>
      <c r="C954" t="s">
        <v>1568</v>
      </c>
      <c r="D954" t="s">
        <v>1554</v>
      </c>
    </row>
    <row r="955" spans="1:4" x14ac:dyDescent="0.2">
      <c r="A955" t="s">
        <v>579</v>
      </c>
      <c r="B955" t="s">
        <v>15</v>
      </c>
      <c r="C955" t="s">
        <v>1569</v>
      </c>
      <c r="D955" t="s">
        <v>1554</v>
      </c>
    </row>
    <row r="956" spans="1:4" x14ac:dyDescent="0.2">
      <c r="A956" t="s">
        <v>579</v>
      </c>
      <c r="B956" t="s">
        <v>17</v>
      </c>
      <c r="C956" t="s">
        <v>1560</v>
      </c>
      <c r="D956" t="s">
        <v>1554</v>
      </c>
    </row>
    <row r="957" spans="1:4" x14ac:dyDescent="0.2">
      <c r="A957" t="s">
        <v>579</v>
      </c>
      <c r="B957" t="s">
        <v>19</v>
      </c>
      <c r="C957" t="s">
        <v>1570</v>
      </c>
      <c r="D957" t="s">
        <v>1554</v>
      </c>
    </row>
    <row r="958" spans="1:4" x14ac:dyDescent="0.2">
      <c r="A958" t="s">
        <v>579</v>
      </c>
      <c r="B958" t="s">
        <v>23</v>
      </c>
      <c r="C958" t="s">
        <v>1556</v>
      </c>
      <c r="D958" t="s">
        <v>1554</v>
      </c>
    </row>
    <row r="959" spans="1:4" x14ac:dyDescent="0.2">
      <c r="A959" t="s">
        <v>579</v>
      </c>
      <c r="B959" t="s">
        <v>25</v>
      </c>
      <c r="C959" t="s">
        <v>1557</v>
      </c>
      <c r="D959" t="s">
        <v>1554</v>
      </c>
    </row>
    <row r="960" spans="1:4" x14ac:dyDescent="0.2">
      <c r="A960" t="s">
        <v>579</v>
      </c>
      <c r="B960" t="s">
        <v>24</v>
      </c>
      <c r="C960" t="s">
        <v>1558</v>
      </c>
      <c r="D960" t="s">
        <v>1559</v>
      </c>
    </row>
    <row r="961" spans="1:4" x14ac:dyDescent="0.2">
      <c r="A961" t="s">
        <v>585</v>
      </c>
      <c r="B961" t="s">
        <v>3</v>
      </c>
      <c r="C961" t="s">
        <v>1562</v>
      </c>
      <c r="D961" t="s">
        <v>1554</v>
      </c>
    </row>
    <row r="962" spans="1:4" x14ac:dyDescent="0.2">
      <c r="A962" t="s">
        <v>585</v>
      </c>
      <c r="B962" t="s">
        <v>5</v>
      </c>
      <c r="C962" t="s">
        <v>1563</v>
      </c>
      <c r="D962" t="s">
        <v>1554</v>
      </c>
    </row>
    <row r="963" spans="1:4" x14ac:dyDescent="0.2">
      <c r="A963" t="s">
        <v>585</v>
      </c>
      <c r="B963" t="s">
        <v>6</v>
      </c>
      <c r="C963" t="s">
        <v>1564</v>
      </c>
      <c r="D963" t="s">
        <v>1554</v>
      </c>
    </row>
    <row r="964" spans="1:4" x14ac:dyDescent="0.2">
      <c r="A964" t="s">
        <v>585</v>
      </c>
      <c r="B964" t="s">
        <v>7</v>
      </c>
      <c r="C964" t="s">
        <v>1565</v>
      </c>
      <c r="D964" t="s">
        <v>1554</v>
      </c>
    </row>
    <row r="965" spans="1:4" x14ac:dyDescent="0.2">
      <c r="A965" t="s">
        <v>585</v>
      </c>
      <c r="B965" t="s">
        <v>8</v>
      </c>
      <c r="C965" t="s">
        <v>1561</v>
      </c>
      <c r="D965" t="s">
        <v>1554</v>
      </c>
    </row>
    <row r="966" spans="1:4" x14ac:dyDescent="0.2">
      <c r="A966" t="s">
        <v>585</v>
      </c>
      <c r="B966" t="s">
        <v>9</v>
      </c>
      <c r="C966" t="s">
        <v>1553</v>
      </c>
      <c r="D966" t="s">
        <v>1554</v>
      </c>
    </row>
    <row r="967" spans="1:4" x14ac:dyDescent="0.2">
      <c r="A967" t="s">
        <v>585</v>
      </c>
      <c r="B967" t="s">
        <v>10</v>
      </c>
      <c r="C967" t="s">
        <v>1555</v>
      </c>
      <c r="D967" t="s">
        <v>1554</v>
      </c>
    </row>
    <row r="968" spans="1:4" x14ac:dyDescent="0.2">
      <c r="A968" t="s">
        <v>585</v>
      </c>
      <c r="B968" t="s">
        <v>11</v>
      </c>
      <c r="C968" t="s">
        <v>1566</v>
      </c>
      <c r="D968" t="s">
        <v>1554</v>
      </c>
    </row>
    <row r="969" spans="1:4" x14ac:dyDescent="0.2">
      <c r="A969" t="s">
        <v>585</v>
      </c>
      <c r="B969" t="s">
        <v>13</v>
      </c>
      <c r="C969" t="s">
        <v>1567</v>
      </c>
      <c r="D969" t="s">
        <v>1554</v>
      </c>
    </row>
    <row r="970" spans="1:4" x14ac:dyDescent="0.2">
      <c r="A970" t="s">
        <v>585</v>
      </c>
      <c r="B970" t="s">
        <v>14</v>
      </c>
      <c r="C970" t="s">
        <v>1568</v>
      </c>
      <c r="D970" t="s">
        <v>1554</v>
      </c>
    </row>
    <row r="971" spans="1:4" x14ac:dyDescent="0.2">
      <c r="A971" t="s">
        <v>585</v>
      </c>
      <c r="B971" t="s">
        <v>15</v>
      </c>
      <c r="C971" t="s">
        <v>1569</v>
      </c>
      <c r="D971" t="s">
        <v>1554</v>
      </c>
    </row>
    <row r="972" spans="1:4" x14ac:dyDescent="0.2">
      <c r="A972" t="s">
        <v>585</v>
      </c>
      <c r="B972" t="s">
        <v>17</v>
      </c>
      <c r="C972" t="s">
        <v>1560</v>
      </c>
      <c r="D972" t="s">
        <v>1554</v>
      </c>
    </row>
    <row r="973" spans="1:4" x14ac:dyDescent="0.2">
      <c r="A973" t="s">
        <v>585</v>
      </c>
      <c r="B973" t="s">
        <v>19</v>
      </c>
      <c r="C973" t="s">
        <v>1570</v>
      </c>
      <c r="D973" t="s">
        <v>1554</v>
      </c>
    </row>
    <row r="974" spans="1:4" x14ac:dyDescent="0.2">
      <c r="A974" t="s">
        <v>585</v>
      </c>
      <c r="B974" t="s">
        <v>23</v>
      </c>
      <c r="C974" t="s">
        <v>1556</v>
      </c>
      <c r="D974" t="s">
        <v>1554</v>
      </c>
    </row>
    <row r="975" spans="1:4" x14ac:dyDescent="0.2">
      <c r="A975" t="s">
        <v>585</v>
      </c>
      <c r="B975" t="s">
        <v>25</v>
      </c>
      <c r="C975" t="s">
        <v>1557</v>
      </c>
      <c r="D975" t="s">
        <v>1554</v>
      </c>
    </row>
    <row r="976" spans="1:4" x14ac:dyDescent="0.2">
      <c r="A976" t="s">
        <v>585</v>
      </c>
      <c r="B976" t="s">
        <v>24</v>
      </c>
      <c r="C976" t="s">
        <v>1558</v>
      </c>
      <c r="D976" t="s">
        <v>1559</v>
      </c>
    </row>
    <row r="977" spans="1:4" x14ac:dyDescent="0.2">
      <c r="A977" t="s">
        <v>591</v>
      </c>
      <c r="B977" t="s">
        <v>3</v>
      </c>
      <c r="C977" t="s">
        <v>1562</v>
      </c>
      <c r="D977" t="s">
        <v>1554</v>
      </c>
    </row>
    <row r="978" spans="1:4" x14ac:dyDescent="0.2">
      <c r="A978" t="s">
        <v>591</v>
      </c>
      <c r="B978" t="s">
        <v>5</v>
      </c>
      <c r="C978" t="s">
        <v>1563</v>
      </c>
      <c r="D978" t="s">
        <v>1554</v>
      </c>
    </row>
    <row r="979" spans="1:4" x14ac:dyDescent="0.2">
      <c r="A979" t="s">
        <v>591</v>
      </c>
      <c r="B979" t="s">
        <v>6</v>
      </c>
      <c r="C979" t="s">
        <v>1564</v>
      </c>
      <c r="D979" t="s">
        <v>1554</v>
      </c>
    </row>
    <row r="980" spans="1:4" x14ac:dyDescent="0.2">
      <c r="A980" t="s">
        <v>591</v>
      </c>
      <c r="B980" t="s">
        <v>7</v>
      </c>
      <c r="C980" t="s">
        <v>1565</v>
      </c>
      <c r="D980" t="s">
        <v>1554</v>
      </c>
    </row>
    <row r="981" spans="1:4" x14ac:dyDescent="0.2">
      <c r="A981" t="s">
        <v>591</v>
      </c>
      <c r="B981" t="s">
        <v>8</v>
      </c>
      <c r="C981" t="s">
        <v>1561</v>
      </c>
      <c r="D981" t="s">
        <v>1554</v>
      </c>
    </row>
    <row r="982" spans="1:4" x14ac:dyDescent="0.2">
      <c r="A982" t="s">
        <v>591</v>
      </c>
      <c r="B982" t="s">
        <v>9</v>
      </c>
      <c r="C982" t="s">
        <v>1553</v>
      </c>
      <c r="D982" t="s">
        <v>1554</v>
      </c>
    </row>
    <row r="983" spans="1:4" x14ac:dyDescent="0.2">
      <c r="A983" t="s">
        <v>591</v>
      </c>
      <c r="B983" t="s">
        <v>10</v>
      </c>
      <c r="C983" t="s">
        <v>1555</v>
      </c>
      <c r="D983" t="s">
        <v>1554</v>
      </c>
    </row>
    <row r="984" spans="1:4" x14ac:dyDescent="0.2">
      <c r="A984" t="s">
        <v>591</v>
      </c>
      <c r="B984" t="s">
        <v>11</v>
      </c>
      <c r="C984" t="s">
        <v>1566</v>
      </c>
      <c r="D984" t="s">
        <v>1554</v>
      </c>
    </row>
    <row r="985" spans="1:4" x14ac:dyDescent="0.2">
      <c r="A985" t="s">
        <v>591</v>
      </c>
      <c r="B985" t="s">
        <v>13</v>
      </c>
      <c r="C985" t="s">
        <v>1567</v>
      </c>
      <c r="D985" t="s">
        <v>1554</v>
      </c>
    </row>
    <row r="986" spans="1:4" x14ac:dyDescent="0.2">
      <c r="A986" t="s">
        <v>591</v>
      </c>
      <c r="B986" t="s">
        <v>14</v>
      </c>
      <c r="C986" t="s">
        <v>1568</v>
      </c>
      <c r="D986" t="s">
        <v>1554</v>
      </c>
    </row>
    <row r="987" spans="1:4" x14ac:dyDescent="0.2">
      <c r="A987" t="s">
        <v>591</v>
      </c>
      <c r="B987" t="s">
        <v>15</v>
      </c>
      <c r="C987" t="s">
        <v>1569</v>
      </c>
      <c r="D987" t="s">
        <v>1554</v>
      </c>
    </row>
    <row r="988" spans="1:4" x14ac:dyDescent="0.2">
      <c r="A988" t="s">
        <v>591</v>
      </c>
      <c r="B988" t="s">
        <v>17</v>
      </c>
      <c r="C988" t="s">
        <v>1560</v>
      </c>
      <c r="D988" t="s">
        <v>1554</v>
      </c>
    </row>
    <row r="989" spans="1:4" x14ac:dyDescent="0.2">
      <c r="A989" t="s">
        <v>591</v>
      </c>
      <c r="B989" t="s">
        <v>19</v>
      </c>
      <c r="C989" t="s">
        <v>1570</v>
      </c>
      <c r="D989" t="s">
        <v>1554</v>
      </c>
    </row>
    <row r="990" spans="1:4" x14ac:dyDescent="0.2">
      <c r="A990" t="s">
        <v>591</v>
      </c>
      <c r="B990" t="s">
        <v>23</v>
      </c>
      <c r="C990" t="s">
        <v>1556</v>
      </c>
      <c r="D990" t="s">
        <v>1554</v>
      </c>
    </row>
    <row r="991" spans="1:4" x14ac:dyDescent="0.2">
      <c r="A991" t="s">
        <v>591</v>
      </c>
      <c r="B991" t="s">
        <v>25</v>
      </c>
      <c r="C991" t="s">
        <v>1557</v>
      </c>
      <c r="D991" t="s">
        <v>1554</v>
      </c>
    </row>
    <row r="992" spans="1:4" x14ac:dyDescent="0.2">
      <c r="A992" t="s">
        <v>591</v>
      </c>
      <c r="B992" t="s">
        <v>24</v>
      </c>
      <c r="C992" t="s">
        <v>1558</v>
      </c>
      <c r="D992" t="s">
        <v>1559</v>
      </c>
    </row>
    <row r="993" spans="1:4" x14ac:dyDescent="0.2">
      <c r="A993" t="s">
        <v>597</v>
      </c>
      <c r="B993" t="s">
        <v>3</v>
      </c>
      <c r="C993" t="s">
        <v>1562</v>
      </c>
      <c r="D993" t="s">
        <v>1554</v>
      </c>
    </row>
    <row r="994" spans="1:4" x14ac:dyDescent="0.2">
      <c r="A994" t="s">
        <v>597</v>
      </c>
      <c r="B994" t="s">
        <v>5</v>
      </c>
      <c r="C994" t="s">
        <v>1563</v>
      </c>
      <c r="D994" t="s">
        <v>1554</v>
      </c>
    </row>
    <row r="995" spans="1:4" x14ac:dyDescent="0.2">
      <c r="A995" t="s">
        <v>597</v>
      </c>
      <c r="B995" t="s">
        <v>6</v>
      </c>
      <c r="C995" t="s">
        <v>1564</v>
      </c>
      <c r="D995" t="s">
        <v>1554</v>
      </c>
    </row>
    <row r="996" spans="1:4" x14ac:dyDescent="0.2">
      <c r="A996" t="s">
        <v>597</v>
      </c>
      <c r="B996" t="s">
        <v>7</v>
      </c>
      <c r="C996" t="s">
        <v>1565</v>
      </c>
      <c r="D996" t="s">
        <v>1554</v>
      </c>
    </row>
    <row r="997" spans="1:4" x14ac:dyDescent="0.2">
      <c r="A997" t="s">
        <v>597</v>
      </c>
      <c r="B997" t="s">
        <v>8</v>
      </c>
      <c r="C997" t="s">
        <v>1561</v>
      </c>
      <c r="D997" t="s">
        <v>1554</v>
      </c>
    </row>
    <row r="998" spans="1:4" x14ac:dyDescent="0.2">
      <c r="A998" t="s">
        <v>597</v>
      </c>
      <c r="B998" t="s">
        <v>9</v>
      </c>
      <c r="C998" t="s">
        <v>1553</v>
      </c>
      <c r="D998" t="s">
        <v>1554</v>
      </c>
    </row>
    <row r="999" spans="1:4" x14ac:dyDescent="0.2">
      <c r="A999" t="s">
        <v>597</v>
      </c>
      <c r="B999" t="s">
        <v>10</v>
      </c>
      <c r="C999" t="s">
        <v>1555</v>
      </c>
      <c r="D999" t="s">
        <v>1554</v>
      </c>
    </row>
    <row r="1000" spans="1:4" x14ac:dyDescent="0.2">
      <c r="A1000" t="s">
        <v>597</v>
      </c>
      <c r="B1000" t="s">
        <v>11</v>
      </c>
      <c r="C1000" t="s">
        <v>1566</v>
      </c>
      <c r="D1000" t="s">
        <v>1554</v>
      </c>
    </row>
    <row r="1001" spans="1:4" x14ac:dyDescent="0.2">
      <c r="A1001" t="s">
        <v>597</v>
      </c>
      <c r="B1001" t="s">
        <v>13</v>
      </c>
      <c r="C1001" t="s">
        <v>1567</v>
      </c>
      <c r="D1001" t="s">
        <v>1554</v>
      </c>
    </row>
    <row r="1002" spans="1:4" x14ac:dyDescent="0.2">
      <c r="A1002" t="s">
        <v>597</v>
      </c>
      <c r="B1002" t="s">
        <v>14</v>
      </c>
      <c r="C1002" t="s">
        <v>1568</v>
      </c>
      <c r="D1002" t="s">
        <v>1554</v>
      </c>
    </row>
    <row r="1003" spans="1:4" x14ac:dyDescent="0.2">
      <c r="A1003" t="s">
        <v>597</v>
      </c>
      <c r="B1003" t="s">
        <v>15</v>
      </c>
      <c r="C1003" t="s">
        <v>1569</v>
      </c>
      <c r="D1003" t="s">
        <v>1554</v>
      </c>
    </row>
    <row r="1004" spans="1:4" x14ac:dyDescent="0.2">
      <c r="A1004" t="s">
        <v>597</v>
      </c>
      <c r="B1004" t="s">
        <v>17</v>
      </c>
      <c r="C1004" t="s">
        <v>1560</v>
      </c>
      <c r="D1004" t="s">
        <v>1554</v>
      </c>
    </row>
    <row r="1005" spans="1:4" x14ac:dyDescent="0.2">
      <c r="A1005" t="s">
        <v>597</v>
      </c>
      <c r="B1005" t="s">
        <v>19</v>
      </c>
      <c r="C1005" t="s">
        <v>1570</v>
      </c>
      <c r="D1005" t="s">
        <v>1554</v>
      </c>
    </row>
    <row r="1006" spans="1:4" x14ac:dyDescent="0.2">
      <c r="A1006" t="s">
        <v>597</v>
      </c>
      <c r="B1006" t="s">
        <v>23</v>
      </c>
      <c r="C1006" t="s">
        <v>1556</v>
      </c>
      <c r="D1006" t="s">
        <v>1554</v>
      </c>
    </row>
    <row r="1007" spans="1:4" x14ac:dyDescent="0.2">
      <c r="A1007" t="s">
        <v>597</v>
      </c>
      <c r="B1007" t="s">
        <v>25</v>
      </c>
      <c r="C1007" t="s">
        <v>1557</v>
      </c>
      <c r="D1007" t="s">
        <v>1554</v>
      </c>
    </row>
    <row r="1008" spans="1:4" x14ac:dyDescent="0.2">
      <c r="A1008" t="s">
        <v>597</v>
      </c>
      <c r="B1008" t="s">
        <v>24</v>
      </c>
      <c r="C1008" t="s">
        <v>1558</v>
      </c>
      <c r="D1008" t="s">
        <v>1559</v>
      </c>
    </row>
    <row r="1009" spans="1:4" x14ac:dyDescent="0.2">
      <c r="A1009" t="s">
        <v>603</v>
      </c>
      <c r="B1009" t="s">
        <v>6</v>
      </c>
      <c r="C1009" t="s">
        <v>1564</v>
      </c>
      <c r="D1009" t="s">
        <v>1554</v>
      </c>
    </row>
    <row r="1010" spans="1:4" x14ac:dyDescent="0.2">
      <c r="A1010" t="s">
        <v>603</v>
      </c>
      <c r="B1010" t="s">
        <v>7</v>
      </c>
      <c r="C1010" t="s">
        <v>1565</v>
      </c>
      <c r="D1010" t="s">
        <v>1554</v>
      </c>
    </row>
    <row r="1011" spans="1:4" x14ac:dyDescent="0.2">
      <c r="A1011" t="s">
        <v>603</v>
      </c>
      <c r="B1011" t="s">
        <v>8</v>
      </c>
      <c r="C1011" t="s">
        <v>1561</v>
      </c>
      <c r="D1011" t="s">
        <v>1554</v>
      </c>
    </row>
    <row r="1012" spans="1:4" x14ac:dyDescent="0.2">
      <c r="A1012" t="s">
        <v>603</v>
      </c>
      <c r="B1012" t="s">
        <v>9</v>
      </c>
      <c r="C1012" t="s">
        <v>1553</v>
      </c>
      <c r="D1012" t="s">
        <v>1554</v>
      </c>
    </row>
    <row r="1013" spans="1:4" x14ac:dyDescent="0.2">
      <c r="A1013" t="s">
        <v>603</v>
      </c>
      <c r="B1013" t="s">
        <v>10</v>
      </c>
      <c r="C1013" t="s">
        <v>1555</v>
      </c>
      <c r="D1013" t="s">
        <v>1554</v>
      </c>
    </row>
    <row r="1014" spans="1:4" x14ac:dyDescent="0.2">
      <c r="A1014" t="s">
        <v>603</v>
      </c>
      <c r="B1014" t="s">
        <v>11</v>
      </c>
      <c r="C1014" t="s">
        <v>1566</v>
      </c>
      <c r="D1014" t="s">
        <v>1554</v>
      </c>
    </row>
    <row r="1015" spans="1:4" x14ac:dyDescent="0.2">
      <c r="A1015" t="s">
        <v>603</v>
      </c>
      <c r="B1015" t="s">
        <v>13</v>
      </c>
      <c r="C1015" t="s">
        <v>1567</v>
      </c>
      <c r="D1015" t="s">
        <v>1554</v>
      </c>
    </row>
    <row r="1016" spans="1:4" x14ac:dyDescent="0.2">
      <c r="A1016" t="s">
        <v>603</v>
      </c>
      <c r="B1016" t="s">
        <v>14</v>
      </c>
      <c r="C1016" t="s">
        <v>1568</v>
      </c>
      <c r="D1016" t="s">
        <v>1554</v>
      </c>
    </row>
    <row r="1017" spans="1:4" x14ac:dyDescent="0.2">
      <c r="A1017" t="s">
        <v>603</v>
      </c>
      <c r="B1017" t="s">
        <v>15</v>
      </c>
      <c r="C1017" t="s">
        <v>1569</v>
      </c>
      <c r="D1017" t="s">
        <v>1554</v>
      </c>
    </row>
    <row r="1018" spans="1:4" x14ac:dyDescent="0.2">
      <c r="A1018" t="s">
        <v>603</v>
      </c>
      <c r="B1018" t="s">
        <v>17</v>
      </c>
      <c r="C1018" t="s">
        <v>1560</v>
      </c>
      <c r="D1018" t="s">
        <v>1554</v>
      </c>
    </row>
    <row r="1019" spans="1:4" x14ac:dyDescent="0.2">
      <c r="A1019" t="s">
        <v>603</v>
      </c>
      <c r="B1019" t="s">
        <v>19</v>
      </c>
      <c r="C1019" t="s">
        <v>1570</v>
      </c>
      <c r="D1019" t="s">
        <v>1554</v>
      </c>
    </row>
    <row r="1020" spans="1:4" x14ac:dyDescent="0.2">
      <c r="A1020" t="s">
        <v>603</v>
      </c>
      <c r="B1020" t="s">
        <v>23</v>
      </c>
      <c r="C1020" t="s">
        <v>1556</v>
      </c>
      <c r="D1020" t="s">
        <v>1554</v>
      </c>
    </row>
    <row r="1021" spans="1:4" x14ac:dyDescent="0.2">
      <c r="A1021" t="s">
        <v>603</v>
      </c>
      <c r="B1021" t="s">
        <v>25</v>
      </c>
      <c r="C1021" t="s">
        <v>1557</v>
      </c>
      <c r="D1021" t="s">
        <v>1554</v>
      </c>
    </row>
    <row r="1022" spans="1:4" x14ac:dyDescent="0.2">
      <c r="A1022" t="s">
        <v>603</v>
      </c>
      <c r="B1022" t="s">
        <v>24</v>
      </c>
      <c r="C1022" t="s">
        <v>1558</v>
      </c>
      <c r="D1022" t="s">
        <v>1559</v>
      </c>
    </row>
    <row r="1023" spans="1:4" x14ac:dyDescent="0.2">
      <c r="A1023" t="s">
        <v>610</v>
      </c>
      <c r="B1023" t="s">
        <v>3</v>
      </c>
      <c r="C1023" t="s">
        <v>1562</v>
      </c>
      <c r="D1023" t="s">
        <v>1554</v>
      </c>
    </row>
    <row r="1024" spans="1:4" x14ac:dyDescent="0.2">
      <c r="A1024" t="s">
        <v>610</v>
      </c>
      <c r="B1024" t="s">
        <v>5</v>
      </c>
      <c r="C1024" t="s">
        <v>1563</v>
      </c>
      <c r="D1024" t="s">
        <v>1554</v>
      </c>
    </row>
    <row r="1025" spans="1:4" x14ac:dyDescent="0.2">
      <c r="A1025" t="s">
        <v>610</v>
      </c>
      <c r="B1025" t="s">
        <v>6</v>
      </c>
      <c r="C1025" t="s">
        <v>1564</v>
      </c>
      <c r="D1025" t="s">
        <v>1554</v>
      </c>
    </row>
    <row r="1026" spans="1:4" x14ac:dyDescent="0.2">
      <c r="A1026" t="s">
        <v>610</v>
      </c>
      <c r="B1026" t="s">
        <v>7</v>
      </c>
      <c r="C1026" t="s">
        <v>1565</v>
      </c>
      <c r="D1026" t="s">
        <v>1554</v>
      </c>
    </row>
    <row r="1027" spans="1:4" x14ac:dyDescent="0.2">
      <c r="A1027" t="s">
        <v>610</v>
      </c>
      <c r="B1027" t="s">
        <v>8</v>
      </c>
      <c r="C1027" t="s">
        <v>1561</v>
      </c>
      <c r="D1027" t="s">
        <v>1554</v>
      </c>
    </row>
    <row r="1028" spans="1:4" x14ac:dyDescent="0.2">
      <c r="A1028" t="s">
        <v>610</v>
      </c>
      <c r="B1028" t="s">
        <v>9</v>
      </c>
      <c r="C1028" t="s">
        <v>1553</v>
      </c>
      <c r="D1028" t="s">
        <v>1554</v>
      </c>
    </row>
    <row r="1029" spans="1:4" x14ac:dyDescent="0.2">
      <c r="A1029" t="s">
        <v>610</v>
      </c>
      <c r="B1029" t="s">
        <v>10</v>
      </c>
      <c r="C1029" t="s">
        <v>1555</v>
      </c>
      <c r="D1029" t="s">
        <v>1554</v>
      </c>
    </row>
    <row r="1030" spans="1:4" x14ac:dyDescent="0.2">
      <c r="A1030" t="s">
        <v>610</v>
      </c>
      <c r="B1030" t="s">
        <v>11</v>
      </c>
      <c r="C1030" t="s">
        <v>1566</v>
      </c>
      <c r="D1030" t="s">
        <v>1554</v>
      </c>
    </row>
    <row r="1031" spans="1:4" x14ac:dyDescent="0.2">
      <c r="A1031" t="s">
        <v>610</v>
      </c>
      <c r="B1031" t="s">
        <v>13</v>
      </c>
      <c r="C1031" t="s">
        <v>1567</v>
      </c>
      <c r="D1031" t="s">
        <v>1554</v>
      </c>
    </row>
    <row r="1032" spans="1:4" x14ac:dyDescent="0.2">
      <c r="A1032" t="s">
        <v>610</v>
      </c>
      <c r="B1032" t="s">
        <v>14</v>
      </c>
      <c r="C1032" t="s">
        <v>1568</v>
      </c>
      <c r="D1032" t="s">
        <v>1554</v>
      </c>
    </row>
    <row r="1033" spans="1:4" x14ac:dyDescent="0.2">
      <c r="A1033" t="s">
        <v>610</v>
      </c>
      <c r="B1033" t="s">
        <v>15</v>
      </c>
      <c r="C1033" t="s">
        <v>1569</v>
      </c>
      <c r="D1033" t="s">
        <v>1554</v>
      </c>
    </row>
    <row r="1034" spans="1:4" x14ac:dyDescent="0.2">
      <c r="A1034" t="s">
        <v>610</v>
      </c>
      <c r="B1034" t="s">
        <v>17</v>
      </c>
      <c r="C1034" t="s">
        <v>1560</v>
      </c>
      <c r="D1034" t="s">
        <v>1554</v>
      </c>
    </row>
    <row r="1035" spans="1:4" x14ac:dyDescent="0.2">
      <c r="A1035" t="s">
        <v>610</v>
      </c>
      <c r="B1035" t="s">
        <v>19</v>
      </c>
      <c r="C1035" t="s">
        <v>1570</v>
      </c>
      <c r="D1035" t="s">
        <v>1554</v>
      </c>
    </row>
    <row r="1036" spans="1:4" x14ac:dyDescent="0.2">
      <c r="A1036" t="s">
        <v>610</v>
      </c>
      <c r="B1036" t="s">
        <v>23</v>
      </c>
      <c r="C1036" t="s">
        <v>1556</v>
      </c>
      <c r="D1036" t="s">
        <v>1554</v>
      </c>
    </row>
    <row r="1037" spans="1:4" x14ac:dyDescent="0.2">
      <c r="A1037" t="s">
        <v>610</v>
      </c>
      <c r="B1037" t="s">
        <v>25</v>
      </c>
      <c r="C1037" t="s">
        <v>1557</v>
      </c>
      <c r="D1037" t="s">
        <v>1554</v>
      </c>
    </row>
    <row r="1038" spans="1:4" x14ac:dyDescent="0.2">
      <c r="A1038" t="s">
        <v>610</v>
      </c>
      <c r="B1038" t="s">
        <v>21</v>
      </c>
      <c r="C1038" t="s">
        <v>1571</v>
      </c>
      <c r="D1038" t="s">
        <v>1559</v>
      </c>
    </row>
    <row r="1039" spans="1:4" x14ac:dyDescent="0.2">
      <c r="A1039" t="s">
        <v>610</v>
      </c>
      <c r="B1039" t="s">
        <v>22</v>
      </c>
      <c r="C1039" t="s">
        <v>1572</v>
      </c>
      <c r="D1039" t="s">
        <v>1559</v>
      </c>
    </row>
    <row r="1040" spans="1:4" x14ac:dyDescent="0.2">
      <c r="A1040" t="s">
        <v>610</v>
      </c>
      <c r="B1040" t="s">
        <v>24</v>
      </c>
      <c r="C1040" t="s">
        <v>1558</v>
      </c>
      <c r="D1040" t="s">
        <v>1559</v>
      </c>
    </row>
    <row r="1041" spans="1:4" x14ac:dyDescent="0.2">
      <c r="A1041" t="s">
        <v>615</v>
      </c>
      <c r="B1041" t="s">
        <v>3</v>
      </c>
      <c r="C1041" t="s">
        <v>1562</v>
      </c>
      <c r="D1041" t="s">
        <v>1554</v>
      </c>
    </row>
    <row r="1042" spans="1:4" x14ac:dyDescent="0.2">
      <c r="A1042" t="s">
        <v>615</v>
      </c>
      <c r="B1042" t="s">
        <v>5</v>
      </c>
      <c r="C1042" t="s">
        <v>1563</v>
      </c>
      <c r="D1042" t="s">
        <v>1554</v>
      </c>
    </row>
    <row r="1043" spans="1:4" x14ac:dyDescent="0.2">
      <c r="A1043" t="s">
        <v>615</v>
      </c>
      <c r="B1043" t="s">
        <v>6</v>
      </c>
      <c r="C1043" t="s">
        <v>1564</v>
      </c>
      <c r="D1043" t="s">
        <v>1554</v>
      </c>
    </row>
    <row r="1044" spans="1:4" x14ac:dyDescent="0.2">
      <c r="A1044" t="s">
        <v>615</v>
      </c>
      <c r="B1044" t="s">
        <v>7</v>
      </c>
      <c r="C1044" t="s">
        <v>1565</v>
      </c>
      <c r="D1044" t="s">
        <v>1554</v>
      </c>
    </row>
    <row r="1045" spans="1:4" x14ac:dyDescent="0.2">
      <c r="A1045" t="s">
        <v>615</v>
      </c>
      <c r="B1045" t="s">
        <v>8</v>
      </c>
      <c r="C1045" t="s">
        <v>1561</v>
      </c>
      <c r="D1045" t="s">
        <v>1554</v>
      </c>
    </row>
    <row r="1046" spans="1:4" x14ac:dyDescent="0.2">
      <c r="A1046" t="s">
        <v>615</v>
      </c>
      <c r="B1046" t="s">
        <v>9</v>
      </c>
      <c r="C1046" t="s">
        <v>1553</v>
      </c>
      <c r="D1046" t="s">
        <v>1554</v>
      </c>
    </row>
    <row r="1047" spans="1:4" x14ac:dyDescent="0.2">
      <c r="A1047" t="s">
        <v>615</v>
      </c>
      <c r="B1047" t="s">
        <v>10</v>
      </c>
      <c r="C1047" t="s">
        <v>1555</v>
      </c>
      <c r="D1047" t="s">
        <v>1554</v>
      </c>
    </row>
    <row r="1048" spans="1:4" x14ac:dyDescent="0.2">
      <c r="A1048" t="s">
        <v>615</v>
      </c>
      <c r="B1048" t="s">
        <v>11</v>
      </c>
      <c r="C1048" t="s">
        <v>1566</v>
      </c>
      <c r="D1048" t="s">
        <v>1554</v>
      </c>
    </row>
    <row r="1049" spans="1:4" x14ac:dyDescent="0.2">
      <c r="A1049" t="s">
        <v>615</v>
      </c>
      <c r="B1049" t="s">
        <v>13</v>
      </c>
      <c r="C1049" t="s">
        <v>1567</v>
      </c>
      <c r="D1049" t="s">
        <v>1554</v>
      </c>
    </row>
    <row r="1050" spans="1:4" x14ac:dyDescent="0.2">
      <c r="A1050" t="s">
        <v>615</v>
      </c>
      <c r="B1050" t="s">
        <v>14</v>
      </c>
      <c r="C1050" t="s">
        <v>1568</v>
      </c>
      <c r="D1050" t="s">
        <v>1554</v>
      </c>
    </row>
    <row r="1051" spans="1:4" x14ac:dyDescent="0.2">
      <c r="A1051" t="s">
        <v>615</v>
      </c>
      <c r="B1051" t="s">
        <v>15</v>
      </c>
      <c r="C1051" t="s">
        <v>1569</v>
      </c>
      <c r="D1051" t="s">
        <v>1554</v>
      </c>
    </row>
    <row r="1052" spans="1:4" x14ac:dyDescent="0.2">
      <c r="A1052" t="s">
        <v>615</v>
      </c>
      <c r="B1052" t="s">
        <v>17</v>
      </c>
      <c r="C1052" t="s">
        <v>1560</v>
      </c>
      <c r="D1052" t="s">
        <v>1554</v>
      </c>
    </row>
    <row r="1053" spans="1:4" x14ac:dyDescent="0.2">
      <c r="A1053" t="s">
        <v>615</v>
      </c>
      <c r="B1053" t="s">
        <v>19</v>
      </c>
      <c r="C1053" t="s">
        <v>1570</v>
      </c>
      <c r="D1053" t="s">
        <v>1554</v>
      </c>
    </row>
    <row r="1054" spans="1:4" x14ac:dyDescent="0.2">
      <c r="A1054" t="s">
        <v>615</v>
      </c>
      <c r="B1054" t="s">
        <v>23</v>
      </c>
      <c r="C1054" t="s">
        <v>1556</v>
      </c>
      <c r="D1054" t="s">
        <v>1554</v>
      </c>
    </row>
    <row r="1055" spans="1:4" x14ac:dyDescent="0.2">
      <c r="A1055" t="s">
        <v>615</v>
      </c>
      <c r="B1055" t="s">
        <v>25</v>
      </c>
      <c r="C1055" t="s">
        <v>1557</v>
      </c>
      <c r="D1055" t="s">
        <v>1554</v>
      </c>
    </row>
    <row r="1056" spans="1:4" x14ac:dyDescent="0.2">
      <c r="A1056" t="s">
        <v>615</v>
      </c>
      <c r="B1056" t="s">
        <v>21</v>
      </c>
      <c r="C1056" t="s">
        <v>1571</v>
      </c>
      <c r="D1056" t="s">
        <v>1559</v>
      </c>
    </row>
    <row r="1057" spans="1:4" x14ac:dyDescent="0.2">
      <c r="A1057" t="s">
        <v>615</v>
      </c>
      <c r="B1057" t="s">
        <v>22</v>
      </c>
      <c r="C1057" t="s">
        <v>1572</v>
      </c>
      <c r="D1057" t="s">
        <v>1559</v>
      </c>
    </row>
    <row r="1058" spans="1:4" x14ac:dyDescent="0.2">
      <c r="A1058" t="s">
        <v>615</v>
      </c>
      <c r="B1058" t="s">
        <v>24</v>
      </c>
      <c r="C1058" t="s">
        <v>1558</v>
      </c>
      <c r="D1058" t="s">
        <v>1559</v>
      </c>
    </row>
    <row r="1059" spans="1:4" x14ac:dyDescent="0.2">
      <c r="A1059" t="s">
        <v>619</v>
      </c>
      <c r="B1059" t="s">
        <v>8</v>
      </c>
      <c r="C1059" t="s">
        <v>1561</v>
      </c>
      <c r="D1059" t="s">
        <v>1554</v>
      </c>
    </row>
    <row r="1060" spans="1:4" x14ac:dyDescent="0.2">
      <c r="A1060" t="s">
        <v>619</v>
      </c>
      <c r="B1060" t="s">
        <v>9</v>
      </c>
      <c r="C1060" t="s">
        <v>1553</v>
      </c>
      <c r="D1060" t="s">
        <v>1554</v>
      </c>
    </row>
    <row r="1061" spans="1:4" x14ac:dyDescent="0.2">
      <c r="A1061" t="s">
        <v>619</v>
      </c>
      <c r="B1061" t="s">
        <v>10</v>
      </c>
      <c r="C1061" t="s">
        <v>1555</v>
      </c>
      <c r="D1061" t="s">
        <v>1554</v>
      </c>
    </row>
    <row r="1062" spans="1:4" x14ac:dyDescent="0.2">
      <c r="A1062" t="s">
        <v>619</v>
      </c>
      <c r="B1062" t="s">
        <v>15</v>
      </c>
      <c r="C1062" t="s">
        <v>1569</v>
      </c>
      <c r="D1062" t="s">
        <v>1554</v>
      </c>
    </row>
    <row r="1063" spans="1:4" x14ac:dyDescent="0.2">
      <c r="A1063" t="s">
        <v>619</v>
      </c>
      <c r="B1063" t="s">
        <v>17</v>
      </c>
      <c r="C1063" t="s">
        <v>1560</v>
      </c>
      <c r="D1063" t="s">
        <v>1554</v>
      </c>
    </row>
    <row r="1064" spans="1:4" x14ac:dyDescent="0.2">
      <c r="A1064" t="s">
        <v>619</v>
      </c>
      <c r="B1064" t="s">
        <v>19</v>
      </c>
      <c r="C1064" t="s">
        <v>1570</v>
      </c>
      <c r="D1064" t="s">
        <v>1554</v>
      </c>
    </row>
    <row r="1065" spans="1:4" x14ac:dyDescent="0.2">
      <c r="A1065" t="s">
        <v>619</v>
      </c>
      <c r="B1065" t="s">
        <v>23</v>
      </c>
      <c r="C1065" t="s">
        <v>1556</v>
      </c>
      <c r="D1065" t="s">
        <v>1554</v>
      </c>
    </row>
    <row r="1066" spans="1:4" x14ac:dyDescent="0.2">
      <c r="A1066" t="s">
        <v>619</v>
      </c>
      <c r="B1066" t="s">
        <v>25</v>
      </c>
      <c r="C1066" t="s">
        <v>1557</v>
      </c>
      <c r="D1066" t="s">
        <v>1554</v>
      </c>
    </row>
    <row r="1067" spans="1:4" x14ac:dyDescent="0.2">
      <c r="A1067" t="s">
        <v>619</v>
      </c>
      <c r="B1067" t="s">
        <v>24</v>
      </c>
      <c r="C1067" t="s">
        <v>1558</v>
      </c>
      <c r="D1067" t="s">
        <v>1559</v>
      </c>
    </row>
    <row r="1068" spans="1:4" x14ac:dyDescent="0.2">
      <c r="A1068" t="s">
        <v>626</v>
      </c>
      <c r="B1068" t="s">
        <v>6</v>
      </c>
      <c r="C1068" t="s">
        <v>1564</v>
      </c>
      <c r="D1068" t="s">
        <v>1554</v>
      </c>
    </row>
    <row r="1069" spans="1:4" x14ac:dyDescent="0.2">
      <c r="A1069" t="s">
        <v>626</v>
      </c>
      <c r="B1069" t="s">
        <v>7</v>
      </c>
      <c r="C1069" t="s">
        <v>1565</v>
      </c>
      <c r="D1069" t="s">
        <v>1554</v>
      </c>
    </row>
    <row r="1070" spans="1:4" x14ac:dyDescent="0.2">
      <c r="A1070" t="s">
        <v>626</v>
      </c>
      <c r="B1070" t="s">
        <v>8</v>
      </c>
      <c r="C1070" t="s">
        <v>1561</v>
      </c>
      <c r="D1070" t="s">
        <v>1554</v>
      </c>
    </row>
    <row r="1071" spans="1:4" x14ac:dyDescent="0.2">
      <c r="A1071" t="s">
        <v>626</v>
      </c>
      <c r="B1071" t="s">
        <v>9</v>
      </c>
      <c r="C1071" t="s">
        <v>1553</v>
      </c>
      <c r="D1071" t="s">
        <v>1554</v>
      </c>
    </row>
    <row r="1072" spans="1:4" x14ac:dyDescent="0.2">
      <c r="A1072" t="s">
        <v>626</v>
      </c>
      <c r="B1072" t="s">
        <v>10</v>
      </c>
      <c r="C1072" t="s">
        <v>1555</v>
      </c>
      <c r="D1072" t="s">
        <v>1554</v>
      </c>
    </row>
    <row r="1073" spans="1:4" x14ac:dyDescent="0.2">
      <c r="A1073" t="s">
        <v>626</v>
      </c>
      <c r="B1073" t="s">
        <v>11</v>
      </c>
      <c r="C1073" t="s">
        <v>1566</v>
      </c>
      <c r="D1073" t="s">
        <v>1554</v>
      </c>
    </row>
    <row r="1074" spans="1:4" x14ac:dyDescent="0.2">
      <c r="A1074" t="s">
        <v>626</v>
      </c>
      <c r="B1074" t="s">
        <v>13</v>
      </c>
      <c r="C1074" t="s">
        <v>1567</v>
      </c>
      <c r="D1074" t="s">
        <v>1554</v>
      </c>
    </row>
    <row r="1075" spans="1:4" x14ac:dyDescent="0.2">
      <c r="A1075" t="s">
        <v>626</v>
      </c>
      <c r="B1075" t="s">
        <v>14</v>
      </c>
      <c r="C1075" t="s">
        <v>1568</v>
      </c>
      <c r="D1075" t="s">
        <v>1554</v>
      </c>
    </row>
    <row r="1076" spans="1:4" x14ac:dyDescent="0.2">
      <c r="A1076" t="s">
        <v>626</v>
      </c>
      <c r="B1076" t="s">
        <v>15</v>
      </c>
      <c r="C1076" t="s">
        <v>1569</v>
      </c>
      <c r="D1076" t="s">
        <v>1554</v>
      </c>
    </row>
    <row r="1077" spans="1:4" x14ac:dyDescent="0.2">
      <c r="A1077" t="s">
        <v>626</v>
      </c>
      <c r="B1077" t="s">
        <v>17</v>
      </c>
      <c r="C1077" t="s">
        <v>1560</v>
      </c>
      <c r="D1077" t="s">
        <v>1554</v>
      </c>
    </row>
    <row r="1078" spans="1:4" x14ac:dyDescent="0.2">
      <c r="A1078" t="s">
        <v>626</v>
      </c>
      <c r="B1078" t="s">
        <v>19</v>
      </c>
      <c r="C1078" t="s">
        <v>1570</v>
      </c>
      <c r="D1078" t="s">
        <v>1554</v>
      </c>
    </row>
    <row r="1079" spans="1:4" x14ac:dyDescent="0.2">
      <c r="A1079" t="s">
        <v>626</v>
      </c>
      <c r="B1079" t="s">
        <v>23</v>
      </c>
      <c r="C1079" t="s">
        <v>1556</v>
      </c>
      <c r="D1079" t="s">
        <v>1554</v>
      </c>
    </row>
    <row r="1080" spans="1:4" x14ac:dyDescent="0.2">
      <c r="A1080" t="s">
        <v>626</v>
      </c>
      <c r="B1080" t="s">
        <v>25</v>
      </c>
      <c r="C1080" t="s">
        <v>1557</v>
      </c>
      <c r="D1080" t="s">
        <v>1554</v>
      </c>
    </row>
    <row r="1081" spans="1:4" x14ac:dyDescent="0.2">
      <c r="A1081" t="s">
        <v>626</v>
      </c>
      <c r="B1081" t="s">
        <v>22</v>
      </c>
      <c r="C1081" t="s">
        <v>1572</v>
      </c>
      <c r="D1081" t="s">
        <v>1559</v>
      </c>
    </row>
    <row r="1082" spans="1:4" x14ac:dyDescent="0.2">
      <c r="A1082" t="s">
        <v>626</v>
      </c>
      <c r="B1082" t="s">
        <v>24</v>
      </c>
      <c r="C1082" t="s">
        <v>1558</v>
      </c>
      <c r="D1082" t="s">
        <v>1559</v>
      </c>
    </row>
    <row r="1083" spans="1:4" x14ac:dyDescent="0.2">
      <c r="A1083" t="s">
        <v>634</v>
      </c>
      <c r="B1083" t="s">
        <v>8</v>
      </c>
      <c r="C1083" t="s">
        <v>1561</v>
      </c>
      <c r="D1083" t="s">
        <v>1554</v>
      </c>
    </row>
    <row r="1084" spans="1:4" x14ac:dyDescent="0.2">
      <c r="A1084" t="s">
        <v>634</v>
      </c>
      <c r="B1084" t="s">
        <v>9</v>
      </c>
      <c r="C1084" t="s">
        <v>1553</v>
      </c>
      <c r="D1084" t="s">
        <v>1554</v>
      </c>
    </row>
    <row r="1085" spans="1:4" x14ac:dyDescent="0.2">
      <c r="A1085" t="s">
        <v>634</v>
      </c>
      <c r="B1085" t="s">
        <v>10</v>
      </c>
      <c r="C1085" t="s">
        <v>1555</v>
      </c>
      <c r="D1085" t="s">
        <v>1554</v>
      </c>
    </row>
    <row r="1086" spans="1:4" x14ac:dyDescent="0.2">
      <c r="A1086" t="s">
        <v>634</v>
      </c>
      <c r="B1086" t="s">
        <v>15</v>
      </c>
      <c r="C1086" t="s">
        <v>1569</v>
      </c>
      <c r="D1086" t="s">
        <v>1554</v>
      </c>
    </row>
    <row r="1087" spans="1:4" x14ac:dyDescent="0.2">
      <c r="A1087" t="s">
        <v>634</v>
      </c>
      <c r="B1087" t="s">
        <v>17</v>
      </c>
      <c r="C1087" t="s">
        <v>1560</v>
      </c>
      <c r="D1087" t="s">
        <v>1554</v>
      </c>
    </row>
    <row r="1088" spans="1:4" x14ac:dyDescent="0.2">
      <c r="A1088" t="s">
        <v>634</v>
      </c>
      <c r="B1088" t="s">
        <v>19</v>
      </c>
      <c r="C1088" t="s">
        <v>1570</v>
      </c>
      <c r="D1088" t="s">
        <v>1554</v>
      </c>
    </row>
    <row r="1089" spans="1:4" x14ac:dyDescent="0.2">
      <c r="A1089" t="s">
        <v>634</v>
      </c>
      <c r="B1089" t="s">
        <v>23</v>
      </c>
      <c r="C1089" t="s">
        <v>1556</v>
      </c>
      <c r="D1089" t="s">
        <v>1554</v>
      </c>
    </row>
    <row r="1090" spans="1:4" x14ac:dyDescent="0.2">
      <c r="A1090" t="s">
        <v>634</v>
      </c>
      <c r="B1090" t="s">
        <v>25</v>
      </c>
      <c r="C1090" t="s">
        <v>1557</v>
      </c>
      <c r="D1090" t="s">
        <v>1554</v>
      </c>
    </row>
    <row r="1091" spans="1:4" x14ac:dyDescent="0.2">
      <c r="A1091" t="s">
        <v>641</v>
      </c>
      <c r="B1091" t="s">
        <v>3</v>
      </c>
      <c r="C1091" t="s">
        <v>1562</v>
      </c>
      <c r="D1091" t="s">
        <v>1554</v>
      </c>
    </row>
    <row r="1092" spans="1:4" x14ac:dyDescent="0.2">
      <c r="A1092" t="s">
        <v>641</v>
      </c>
      <c r="B1092" t="s">
        <v>5</v>
      </c>
      <c r="C1092" t="s">
        <v>1563</v>
      </c>
      <c r="D1092" t="s">
        <v>1554</v>
      </c>
    </row>
    <row r="1093" spans="1:4" x14ac:dyDescent="0.2">
      <c r="A1093" t="s">
        <v>641</v>
      </c>
      <c r="B1093" t="s">
        <v>6</v>
      </c>
      <c r="C1093" t="s">
        <v>1564</v>
      </c>
      <c r="D1093" t="s">
        <v>1554</v>
      </c>
    </row>
    <row r="1094" spans="1:4" x14ac:dyDescent="0.2">
      <c r="A1094" t="s">
        <v>641</v>
      </c>
      <c r="B1094" t="s">
        <v>7</v>
      </c>
      <c r="C1094" t="s">
        <v>1565</v>
      </c>
      <c r="D1094" t="s">
        <v>1554</v>
      </c>
    </row>
    <row r="1095" spans="1:4" x14ac:dyDescent="0.2">
      <c r="A1095" t="s">
        <v>641</v>
      </c>
      <c r="B1095" t="s">
        <v>8</v>
      </c>
      <c r="C1095" t="s">
        <v>1561</v>
      </c>
      <c r="D1095" t="s">
        <v>1554</v>
      </c>
    </row>
    <row r="1096" spans="1:4" x14ac:dyDescent="0.2">
      <c r="A1096" t="s">
        <v>641</v>
      </c>
      <c r="B1096" t="s">
        <v>9</v>
      </c>
      <c r="C1096" t="s">
        <v>1553</v>
      </c>
      <c r="D1096" t="s">
        <v>1554</v>
      </c>
    </row>
    <row r="1097" spans="1:4" x14ac:dyDescent="0.2">
      <c r="A1097" t="s">
        <v>641</v>
      </c>
      <c r="B1097" t="s">
        <v>10</v>
      </c>
      <c r="C1097" t="s">
        <v>1555</v>
      </c>
      <c r="D1097" t="s">
        <v>1554</v>
      </c>
    </row>
    <row r="1098" spans="1:4" x14ac:dyDescent="0.2">
      <c r="A1098" t="s">
        <v>641</v>
      </c>
      <c r="B1098" t="s">
        <v>11</v>
      </c>
      <c r="C1098" t="s">
        <v>1566</v>
      </c>
      <c r="D1098" t="s">
        <v>1554</v>
      </c>
    </row>
    <row r="1099" spans="1:4" x14ac:dyDescent="0.2">
      <c r="A1099" t="s">
        <v>641</v>
      </c>
      <c r="B1099" t="s">
        <v>13</v>
      </c>
      <c r="C1099" t="s">
        <v>1567</v>
      </c>
      <c r="D1099" t="s">
        <v>1554</v>
      </c>
    </row>
    <row r="1100" spans="1:4" x14ac:dyDescent="0.2">
      <c r="A1100" t="s">
        <v>641</v>
      </c>
      <c r="B1100" t="s">
        <v>14</v>
      </c>
      <c r="C1100" t="s">
        <v>1568</v>
      </c>
      <c r="D1100" t="s">
        <v>1554</v>
      </c>
    </row>
    <row r="1101" spans="1:4" x14ac:dyDescent="0.2">
      <c r="A1101" t="s">
        <v>641</v>
      </c>
      <c r="B1101" t="s">
        <v>15</v>
      </c>
      <c r="C1101" t="s">
        <v>1569</v>
      </c>
      <c r="D1101" t="s">
        <v>1554</v>
      </c>
    </row>
    <row r="1102" spans="1:4" x14ac:dyDescent="0.2">
      <c r="A1102" t="s">
        <v>641</v>
      </c>
      <c r="B1102" t="s">
        <v>17</v>
      </c>
      <c r="C1102" t="s">
        <v>1560</v>
      </c>
      <c r="D1102" t="s">
        <v>1554</v>
      </c>
    </row>
    <row r="1103" spans="1:4" x14ac:dyDescent="0.2">
      <c r="A1103" t="s">
        <v>641</v>
      </c>
      <c r="B1103" t="s">
        <v>19</v>
      </c>
      <c r="C1103" t="s">
        <v>1570</v>
      </c>
      <c r="D1103" t="s">
        <v>1554</v>
      </c>
    </row>
    <row r="1104" spans="1:4" x14ac:dyDescent="0.2">
      <c r="A1104" t="s">
        <v>641</v>
      </c>
      <c r="B1104" t="s">
        <v>23</v>
      </c>
      <c r="C1104" t="s">
        <v>1556</v>
      </c>
      <c r="D1104" t="s">
        <v>1554</v>
      </c>
    </row>
    <row r="1105" spans="1:4" x14ac:dyDescent="0.2">
      <c r="A1105" t="s">
        <v>641</v>
      </c>
      <c r="B1105" t="s">
        <v>25</v>
      </c>
      <c r="C1105" t="s">
        <v>1557</v>
      </c>
      <c r="D1105" t="s">
        <v>1554</v>
      </c>
    </row>
    <row r="1106" spans="1:4" x14ac:dyDescent="0.2">
      <c r="A1106" t="s">
        <v>647</v>
      </c>
      <c r="B1106" t="s">
        <v>6</v>
      </c>
      <c r="C1106" t="s">
        <v>1564</v>
      </c>
      <c r="D1106" t="s">
        <v>1554</v>
      </c>
    </row>
    <row r="1107" spans="1:4" x14ac:dyDescent="0.2">
      <c r="A1107" t="s">
        <v>647</v>
      </c>
      <c r="B1107" t="s">
        <v>7</v>
      </c>
      <c r="C1107" t="s">
        <v>1565</v>
      </c>
      <c r="D1107" t="s">
        <v>1554</v>
      </c>
    </row>
    <row r="1108" spans="1:4" x14ac:dyDescent="0.2">
      <c r="A1108" t="s">
        <v>647</v>
      </c>
      <c r="B1108" t="s">
        <v>8</v>
      </c>
      <c r="C1108" t="s">
        <v>1561</v>
      </c>
      <c r="D1108" t="s">
        <v>1554</v>
      </c>
    </row>
    <row r="1109" spans="1:4" x14ac:dyDescent="0.2">
      <c r="A1109" t="s">
        <v>647</v>
      </c>
      <c r="B1109" t="s">
        <v>9</v>
      </c>
      <c r="C1109" t="s">
        <v>1553</v>
      </c>
      <c r="D1109" t="s">
        <v>1554</v>
      </c>
    </row>
    <row r="1110" spans="1:4" x14ac:dyDescent="0.2">
      <c r="A1110" t="s">
        <v>647</v>
      </c>
      <c r="B1110" t="s">
        <v>10</v>
      </c>
      <c r="C1110" t="s">
        <v>1555</v>
      </c>
      <c r="D1110" t="s">
        <v>1554</v>
      </c>
    </row>
    <row r="1111" spans="1:4" x14ac:dyDescent="0.2">
      <c r="A1111" t="s">
        <v>647</v>
      </c>
      <c r="B1111" t="s">
        <v>13</v>
      </c>
      <c r="C1111" t="s">
        <v>1567</v>
      </c>
      <c r="D1111" t="s">
        <v>1554</v>
      </c>
    </row>
    <row r="1112" spans="1:4" x14ac:dyDescent="0.2">
      <c r="A1112" t="s">
        <v>647</v>
      </c>
      <c r="B1112" t="s">
        <v>14</v>
      </c>
      <c r="C1112" t="s">
        <v>1568</v>
      </c>
      <c r="D1112" t="s">
        <v>1554</v>
      </c>
    </row>
    <row r="1113" spans="1:4" x14ac:dyDescent="0.2">
      <c r="A1113" t="s">
        <v>647</v>
      </c>
      <c r="B1113" t="s">
        <v>15</v>
      </c>
      <c r="C1113" t="s">
        <v>1569</v>
      </c>
      <c r="D1113" t="s">
        <v>1554</v>
      </c>
    </row>
    <row r="1114" spans="1:4" x14ac:dyDescent="0.2">
      <c r="A1114" t="s">
        <v>647</v>
      </c>
      <c r="B1114" t="s">
        <v>17</v>
      </c>
      <c r="C1114" t="s">
        <v>1560</v>
      </c>
      <c r="D1114" t="s">
        <v>1554</v>
      </c>
    </row>
    <row r="1115" spans="1:4" x14ac:dyDescent="0.2">
      <c r="A1115" t="s">
        <v>647</v>
      </c>
      <c r="B1115" t="s">
        <v>19</v>
      </c>
      <c r="C1115" t="s">
        <v>1570</v>
      </c>
      <c r="D1115" t="s">
        <v>1554</v>
      </c>
    </row>
    <row r="1116" spans="1:4" x14ac:dyDescent="0.2">
      <c r="A1116" t="s">
        <v>647</v>
      </c>
      <c r="B1116" t="s">
        <v>23</v>
      </c>
      <c r="C1116" t="s">
        <v>1556</v>
      </c>
      <c r="D1116" t="s">
        <v>1554</v>
      </c>
    </row>
    <row r="1117" spans="1:4" x14ac:dyDescent="0.2">
      <c r="A1117" t="s">
        <v>647</v>
      </c>
      <c r="B1117" t="s">
        <v>25</v>
      </c>
      <c r="C1117" t="s">
        <v>1557</v>
      </c>
      <c r="D1117" t="s">
        <v>1554</v>
      </c>
    </row>
    <row r="1118" spans="1:4" x14ac:dyDescent="0.2">
      <c r="A1118" t="s">
        <v>647</v>
      </c>
      <c r="B1118" t="s">
        <v>24</v>
      </c>
      <c r="C1118" t="s">
        <v>1558</v>
      </c>
      <c r="D1118" t="s">
        <v>1559</v>
      </c>
    </row>
    <row r="1119" spans="1:4" x14ac:dyDescent="0.2">
      <c r="A1119" t="s">
        <v>653</v>
      </c>
      <c r="B1119" t="s">
        <v>7</v>
      </c>
      <c r="C1119" t="s">
        <v>1565</v>
      </c>
      <c r="D1119" t="s">
        <v>1554</v>
      </c>
    </row>
    <row r="1120" spans="1:4" x14ac:dyDescent="0.2">
      <c r="A1120" t="s">
        <v>653</v>
      </c>
      <c r="B1120" t="s">
        <v>8</v>
      </c>
      <c r="C1120" t="s">
        <v>1561</v>
      </c>
      <c r="D1120" t="s">
        <v>1554</v>
      </c>
    </row>
    <row r="1121" spans="1:4" x14ac:dyDescent="0.2">
      <c r="A1121" t="s">
        <v>653</v>
      </c>
      <c r="B1121" t="s">
        <v>9</v>
      </c>
      <c r="C1121" t="s">
        <v>1553</v>
      </c>
      <c r="D1121" t="s">
        <v>1554</v>
      </c>
    </row>
    <row r="1122" spans="1:4" x14ac:dyDescent="0.2">
      <c r="A1122" t="s">
        <v>653</v>
      </c>
      <c r="B1122" t="s">
        <v>15</v>
      </c>
      <c r="C1122" t="s">
        <v>1569</v>
      </c>
      <c r="D1122" t="s">
        <v>1554</v>
      </c>
    </row>
    <row r="1123" spans="1:4" x14ac:dyDescent="0.2">
      <c r="A1123" t="s">
        <v>653</v>
      </c>
      <c r="B1123" t="s">
        <v>17</v>
      </c>
      <c r="C1123" t="s">
        <v>1560</v>
      </c>
      <c r="D1123" t="s">
        <v>1554</v>
      </c>
    </row>
    <row r="1124" spans="1:4" x14ac:dyDescent="0.2">
      <c r="A1124" t="s">
        <v>653</v>
      </c>
      <c r="B1124" t="s">
        <v>19</v>
      </c>
      <c r="C1124" t="s">
        <v>1570</v>
      </c>
      <c r="D1124" t="s">
        <v>1554</v>
      </c>
    </row>
    <row r="1125" spans="1:4" x14ac:dyDescent="0.2">
      <c r="A1125" t="s">
        <v>653</v>
      </c>
      <c r="B1125" t="s">
        <v>23</v>
      </c>
      <c r="C1125" t="s">
        <v>1556</v>
      </c>
      <c r="D1125" t="s">
        <v>1554</v>
      </c>
    </row>
    <row r="1126" spans="1:4" x14ac:dyDescent="0.2">
      <c r="A1126" t="s">
        <v>653</v>
      </c>
      <c r="B1126" t="s">
        <v>25</v>
      </c>
      <c r="C1126" t="s">
        <v>1557</v>
      </c>
      <c r="D1126" t="s">
        <v>1554</v>
      </c>
    </row>
    <row r="1127" spans="1:4" x14ac:dyDescent="0.2">
      <c r="A1127" t="s">
        <v>660</v>
      </c>
      <c r="B1127" t="s">
        <v>3</v>
      </c>
      <c r="C1127" t="s">
        <v>1562</v>
      </c>
      <c r="D1127" t="s">
        <v>1554</v>
      </c>
    </row>
    <row r="1128" spans="1:4" x14ac:dyDescent="0.2">
      <c r="A1128" t="s">
        <v>660</v>
      </c>
      <c r="B1128" t="s">
        <v>5</v>
      </c>
      <c r="C1128" t="s">
        <v>1563</v>
      </c>
      <c r="D1128" t="s">
        <v>1554</v>
      </c>
    </row>
    <row r="1129" spans="1:4" x14ac:dyDescent="0.2">
      <c r="A1129" t="s">
        <v>660</v>
      </c>
      <c r="B1129" t="s">
        <v>6</v>
      </c>
      <c r="C1129" t="s">
        <v>1564</v>
      </c>
      <c r="D1129" t="s">
        <v>1554</v>
      </c>
    </row>
    <row r="1130" spans="1:4" x14ac:dyDescent="0.2">
      <c r="A1130" t="s">
        <v>660</v>
      </c>
      <c r="B1130" t="s">
        <v>7</v>
      </c>
      <c r="C1130" t="s">
        <v>1565</v>
      </c>
      <c r="D1130" t="s">
        <v>1554</v>
      </c>
    </row>
    <row r="1131" spans="1:4" x14ac:dyDescent="0.2">
      <c r="A1131" t="s">
        <v>660</v>
      </c>
      <c r="B1131" t="s">
        <v>8</v>
      </c>
      <c r="C1131" t="s">
        <v>1561</v>
      </c>
      <c r="D1131" t="s">
        <v>1554</v>
      </c>
    </row>
    <row r="1132" spans="1:4" x14ac:dyDescent="0.2">
      <c r="A1132" t="s">
        <v>660</v>
      </c>
      <c r="B1132" t="s">
        <v>9</v>
      </c>
      <c r="C1132" t="s">
        <v>1553</v>
      </c>
      <c r="D1132" t="s">
        <v>1554</v>
      </c>
    </row>
    <row r="1133" spans="1:4" x14ac:dyDescent="0.2">
      <c r="A1133" t="s">
        <v>660</v>
      </c>
      <c r="B1133" t="s">
        <v>10</v>
      </c>
      <c r="C1133" t="s">
        <v>1555</v>
      </c>
      <c r="D1133" t="s">
        <v>1554</v>
      </c>
    </row>
    <row r="1134" spans="1:4" x14ac:dyDescent="0.2">
      <c r="A1134" t="s">
        <v>660</v>
      </c>
      <c r="B1134" t="s">
        <v>11</v>
      </c>
      <c r="C1134" t="s">
        <v>1566</v>
      </c>
      <c r="D1134" t="s">
        <v>1554</v>
      </c>
    </row>
    <row r="1135" spans="1:4" x14ac:dyDescent="0.2">
      <c r="A1135" t="s">
        <v>660</v>
      </c>
      <c r="B1135" t="s">
        <v>13</v>
      </c>
      <c r="C1135" t="s">
        <v>1567</v>
      </c>
      <c r="D1135" t="s">
        <v>1554</v>
      </c>
    </row>
    <row r="1136" spans="1:4" x14ac:dyDescent="0.2">
      <c r="A1136" t="s">
        <v>660</v>
      </c>
      <c r="B1136" t="s">
        <v>14</v>
      </c>
      <c r="C1136" t="s">
        <v>1568</v>
      </c>
      <c r="D1136" t="s">
        <v>1554</v>
      </c>
    </row>
    <row r="1137" spans="1:4" x14ac:dyDescent="0.2">
      <c r="A1137" t="s">
        <v>660</v>
      </c>
      <c r="B1137" t="s">
        <v>15</v>
      </c>
      <c r="C1137" t="s">
        <v>1569</v>
      </c>
      <c r="D1137" t="s">
        <v>1554</v>
      </c>
    </row>
    <row r="1138" spans="1:4" x14ac:dyDescent="0.2">
      <c r="A1138" t="s">
        <v>660</v>
      </c>
      <c r="B1138" t="s">
        <v>17</v>
      </c>
      <c r="C1138" t="s">
        <v>1560</v>
      </c>
      <c r="D1138" t="s">
        <v>1554</v>
      </c>
    </row>
    <row r="1139" spans="1:4" x14ac:dyDescent="0.2">
      <c r="A1139" t="s">
        <v>660</v>
      </c>
      <c r="B1139" t="s">
        <v>19</v>
      </c>
      <c r="C1139" t="s">
        <v>1570</v>
      </c>
      <c r="D1139" t="s">
        <v>1554</v>
      </c>
    </row>
    <row r="1140" spans="1:4" x14ac:dyDescent="0.2">
      <c r="A1140" t="s">
        <v>660</v>
      </c>
      <c r="B1140" t="s">
        <v>23</v>
      </c>
      <c r="C1140" t="s">
        <v>1556</v>
      </c>
      <c r="D1140" t="s">
        <v>1554</v>
      </c>
    </row>
    <row r="1141" spans="1:4" x14ac:dyDescent="0.2">
      <c r="A1141" t="s">
        <v>660</v>
      </c>
      <c r="B1141" t="s">
        <v>25</v>
      </c>
      <c r="C1141" t="s">
        <v>1557</v>
      </c>
      <c r="D1141" t="s">
        <v>1554</v>
      </c>
    </row>
    <row r="1142" spans="1:4" x14ac:dyDescent="0.2">
      <c r="A1142" t="s">
        <v>660</v>
      </c>
      <c r="B1142" t="s">
        <v>24</v>
      </c>
      <c r="C1142" t="s">
        <v>1558</v>
      </c>
      <c r="D1142" t="s">
        <v>1559</v>
      </c>
    </row>
    <row r="1143" spans="1:4" x14ac:dyDescent="0.2">
      <c r="A1143" t="s">
        <v>666</v>
      </c>
      <c r="B1143" t="s">
        <v>6</v>
      </c>
      <c r="C1143" t="s">
        <v>1564</v>
      </c>
      <c r="D1143" t="s">
        <v>1554</v>
      </c>
    </row>
    <row r="1144" spans="1:4" x14ac:dyDescent="0.2">
      <c r="A1144" t="s">
        <v>666</v>
      </c>
      <c r="B1144" t="s">
        <v>7</v>
      </c>
      <c r="C1144" t="s">
        <v>1565</v>
      </c>
      <c r="D1144" t="s">
        <v>1554</v>
      </c>
    </row>
    <row r="1145" spans="1:4" x14ac:dyDescent="0.2">
      <c r="A1145" t="s">
        <v>666</v>
      </c>
      <c r="B1145" t="s">
        <v>8</v>
      </c>
      <c r="C1145" t="s">
        <v>1561</v>
      </c>
      <c r="D1145" t="s">
        <v>1554</v>
      </c>
    </row>
    <row r="1146" spans="1:4" x14ac:dyDescent="0.2">
      <c r="A1146" t="s">
        <v>666</v>
      </c>
      <c r="B1146" t="s">
        <v>9</v>
      </c>
      <c r="C1146" t="s">
        <v>1553</v>
      </c>
      <c r="D1146" t="s">
        <v>1554</v>
      </c>
    </row>
    <row r="1147" spans="1:4" x14ac:dyDescent="0.2">
      <c r="A1147" t="s">
        <v>666</v>
      </c>
      <c r="B1147" t="s">
        <v>10</v>
      </c>
      <c r="C1147" t="s">
        <v>1555</v>
      </c>
      <c r="D1147" t="s">
        <v>1554</v>
      </c>
    </row>
    <row r="1148" spans="1:4" x14ac:dyDescent="0.2">
      <c r="A1148" t="s">
        <v>666</v>
      </c>
      <c r="B1148" t="s">
        <v>11</v>
      </c>
      <c r="C1148" t="s">
        <v>1566</v>
      </c>
      <c r="D1148" t="s">
        <v>1554</v>
      </c>
    </row>
    <row r="1149" spans="1:4" x14ac:dyDescent="0.2">
      <c r="A1149" t="s">
        <v>666</v>
      </c>
      <c r="B1149" t="s">
        <v>13</v>
      </c>
      <c r="C1149" t="s">
        <v>1567</v>
      </c>
      <c r="D1149" t="s">
        <v>1554</v>
      </c>
    </row>
    <row r="1150" spans="1:4" x14ac:dyDescent="0.2">
      <c r="A1150" t="s">
        <v>666</v>
      </c>
      <c r="B1150" t="s">
        <v>14</v>
      </c>
      <c r="C1150" t="s">
        <v>1568</v>
      </c>
      <c r="D1150" t="s">
        <v>1554</v>
      </c>
    </row>
    <row r="1151" spans="1:4" x14ac:dyDescent="0.2">
      <c r="A1151" t="s">
        <v>666</v>
      </c>
      <c r="B1151" t="s">
        <v>15</v>
      </c>
      <c r="C1151" t="s">
        <v>1569</v>
      </c>
      <c r="D1151" t="s">
        <v>1554</v>
      </c>
    </row>
    <row r="1152" spans="1:4" x14ac:dyDescent="0.2">
      <c r="A1152" t="s">
        <v>666</v>
      </c>
      <c r="B1152" t="s">
        <v>17</v>
      </c>
      <c r="C1152" t="s">
        <v>1560</v>
      </c>
      <c r="D1152" t="s">
        <v>1554</v>
      </c>
    </row>
    <row r="1153" spans="1:4" x14ac:dyDescent="0.2">
      <c r="A1153" t="s">
        <v>666</v>
      </c>
      <c r="B1153" t="s">
        <v>19</v>
      </c>
      <c r="C1153" t="s">
        <v>1570</v>
      </c>
      <c r="D1153" t="s">
        <v>1554</v>
      </c>
    </row>
    <row r="1154" spans="1:4" x14ac:dyDescent="0.2">
      <c r="A1154" t="s">
        <v>666</v>
      </c>
      <c r="B1154" t="s">
        <v>23</v>
      </c>
      <c r="C1154" t="s">
        <v>1556</v>
      </c>
      <c r="D1154" t="s">
        <v>1554</v>
      </c>
    </row>
    <row r="1155" spans="1:4" x14ac:dyDescent="0.2">
      <c r="A1155" t="s">
        <v>666</v>
      </c>
      <c r="B1155" t="s">
        <v>25</v>
      </c>
      <c r="C1155" t="s">
        <v>1557</v>
      </c>
      <c r="D1155" t="s">
        <v>1554</v>
      </c>
    </row>
    <row r="1156" spans="1:4" x14ac:dyDescent="0.2">
      <c r="A1156" t="s">
        <v>666</v>
      </c>
      <c r="B1156" t="s">
        <v>24</v>
      </c>
      <c r="C1156" t="s">
        <v>1558</v>
      </c>
      <c r="D1156" t="s">
        <v>1559</v>
      </c>
    </row>
    <row r="1157" spans="1:4" x14ac:dyDescent="0.2">
      <c r="A1157" t="s">
        <v>672</v>
      </c>
      <c r="B1157" t="s">
        <v>6</v>
      </c>
      <c r="C1157" t="s">
        <v>1564</v>
      </c>
      <c r="D1157" t="s">
        <v>1554</v>
      </c>
    </row>
    <row r="1158" spans="1:4" x14ac:dyDescent="0.2">
      <c r="A1158" t="s">
        <v>672</v>
      </c>
      <c r="B1158" t="s">
        <v>7</v>
      </c>
      <c r="C1158" t="s">
        <v>1565</v>
      </c>
      <c r="D1158" t="s">
        <v>1554</v>
      </c>
    </row>
    <row r="1159" spans="1:4" x14ac:dyDescent="0.2">
      <c r="A1159" t="s">
        <v>672</v>
      </c>
      <c r="B1159" t="s">
        <v>8</v>
      </c>
      <c r="C1159" t="s">
        <v>1561</v>
      </c>
      <c r="D1159" t="s">
        <v>1554</v>
      </c>
    </row>
    <row r="1160" spans="1:4" x14ac:dyDescent="0.2">
      <c r="A1160" t="s">
        <v>672</v>
      </c>
      <c r="B1160" t="s">
        <v>9</v>
      </c>
      <c r="C1160" t="s">
        <v>1553</v>
      </c>
      <c r="D1160" t="s">
        <v>1554</v>
      </c>
    </row>
    <row r="1161" spans="1:4" x14ac:dyDescent="0.2">
      <c r="A1161" t="s">
        <v>672</v>
      </c>
      <c r="B1161" t="s">
        <v>10</v>
      </c>
      <c r="C1161" t="s">
        <v>1555</v>
      </c>
      <c r="D1161" t="s">
        <v>1554</v>
      </c>
    </row>
    <row r="1162" spans="1:4" x14ac:dyDescent="0.2">
      <c r="A1162" t="s">
        <v>672</v>
      </c>
      <c r="B1162" t="s">
        <v>11</v>
      </c>
      <c r="C1162" t="s">
        <v>1566</v>
      </c>
      <c r="D1162" t="s">
        <v>1554</v>
      </c>
    </row>
    <row r="1163" spans="1:4" x14ac:dyDescent="0.2">
      <c r="A1163" t="s">
        <v>672</v>
      </c>
      <c r="B1163" t="s">
        <v>13</v>
      </c>
      <c r="C1163" t="s">
        <v>1567</v>
      </c>
      <c r="D1163" t="s">
        <v>1554</v>
      </c>
    </row>
    <row r="1164" spans="1:4" x14ac:dyDescent="0.2">
      <c r="A1164" t="s">
        <v>672</v>
      </c>
      <c r="B1164" t="s">
        <v>14</v>
      </c>
      <c r="C1164" t="s">
        <v>1568</v>
      </c>
      <c r="D1164" t="s">
        <v>1554</v>
      </c>
    </row>
    <row r="1165" spans="1:4" x14ac:dyDescent="0.2">
      <c r="A1165" t="s">
        <v>672</v>
      </c>
      <c r="B1165" t="s">
        <v>15</v>
      </c>
      <c r="C1165" t="s">
        <v>1569</v>
      </c>
      <c r="D1165" t="s">
        <v>1554</v>
      </c>
    </row>
    <row r="1166" spans="1:4" x14ac:dyDescent="0.2">
      <c r="A1166" t="s">
        <v>672</v>
      </c>
      <c r="B1166" t="s">
        <v>17</v>
      </c>
      <c r="C1166" t="s">
        <v>1560</v>
      </c>
      <c r="D1166" t="s">
        <v>1554</v>
      </c>
    </row>
    <row r="1167" spans="1:4" x14ac:dyDescent="0.2">
      <c r="A1167" t="s">
        <v>672</v>
      </c>
      <c r="B1167" t="s">
        <v>19</v>
      </c>
      <c r="C1167" t="s">
        <v>1570</v>
      </c>
      <c r="D1167" t="s">
        <v>1554</v>
      </c>
    </row>
    <row r="1168" spans="1:4" x14ac:dyDescent="0.2">
      <c r="A1168" t="s">
        <v>672</v>
      </c>
      <c r="B1168" t="s">
        <v>23</v>
      </c>
      <c r="C1168" t="s">
        <v>1556</v>
      </c>
      <c r="D1168" t="s">
        <v>1554</v>
      </c>
    </row>
    <row r="1169" spans="1:4" x14ac:dyDescent="0.2">
      <c r="A1169" t="s">
        <v>672</v>
      </c>
      <c r="B1169" t="s">
        <v>25</v>
      </c>
      <c r="C1169" t="s">
        <v>1557</v>
      </c>
      <c r="D1169" t="s">
        <v>1554</v>
      </c>
    </row>
    <row r="1170" spans="1:4" x14ac:dyDescent="0.2">
      <c r="A1170" t="s">
        <v>678</v>
      </c>
      <c r="B1170" t="s">
        <v>3</v>
      </c>
      <c r="C1170" t="s">
        <v>1562</v>
      </c>
      <c r="D1170" t="s">
        <v>1554</v>
      </c>
    </row>
    <row r="1171" spans="1:4" x14ac:dyDescent="0.2">
      <c r="A1171" t="s">
        <v>678</v>
      </c>
      <c r="B1171" t="s">
        <v>5</v>
      </c>
      <c r="C1171" t="s">
        <v>1563</v>
      </c>
      <c r="D1171" t="s">
        <v>1554</v>
      </c>
    </row>
    <row r="1172" spans="1:4" x14ac:dyDescent="0.2">
      <c r="A1172" t="s">
        <v>678</v>
      </c>
      <c r="B1172" t="s">
        <v>6</v>
      </c>
      <c r="C1172" t="s">
        <v>1564</v>
      </c>
      <c r="D1172" t="s">
        <v>1554</v>
      </c>
    </row>
    <row r="1173" spans="1:4" x14ac:dyDescent="0.2">
      <c r="A1173" t="s">
        <v>678</v>
      </c>
      <c r="B1173" t="s">
        <v>7</v>
      </c>
      <c r="C1173" t="s">
        <v>1565</v>
      </c>
      <c r="D1173" t="s">
        <v>1554</v>
      </c>
    </row>
    <row r="1174" spans="1:4" x14ac:dyDescent="0.2">
      <c r="A1174" t="s">
        <v>678</v>
      </c>
      <c r="B1174" t="s">
        <v>8</v>
      </c>
      <c r="C1174" t="s">
        <v>1561</v>
      </c>
      <c r="D1174" t="s">
        <v>1554</v>
      </c>
    </row>
    <row r="1175" spans="1:4" x14ac:dyDescent="0.2">
      <c r="A1175" t="s">
        <v>678</v>
      </c>
      <c r="B1175" t="s">
        <v>9</v>
      </c>
      <c r="C1175" t="s">
        <v>1553</v>
      </c>
      <c r="D1175" t="s">
        <v>1554</v>
      </c>
    </row>
    <row r="1176" spans="1:4" x14ac:dyDescent="0.2">
      <c r="A1176" t="s">
        <v>678</v>
      </c>
      <c r="B1176" t="s">
        <v>10</v>
      </c>
      <c r="C1176" t="s">
        <v>1555</v>
      </c>
      <c r="D1176" t="s">
        <v>1554</v>
      </c>
    </row>
    <row r="1177" spans="1:4" x14ac:dyDescent="0.2">
      <c r="A1177" t="s">
        <v>678</v>
      </c>
      <c r="B1177" t="s">
        <v>11</v>
      </c>
      <c r="C1177" t="s">
        <v>1566</v>
      </c>
      <c r="D1177" t="s">
        <v>1554</v>
      </c>
    </row>
    <row r="1178" spans="1:4" x14ac:dyDescent="0.2">
      <c r="A1178" t="s">
        <v>678</v>
      </c>
      <c r="B1178" t="s">
        <v>13</v>
      </c>
      <c r="C1178" t="s">
        <v>1567</v>
      </c>
      <c r="D1178" t="s">
        <v>1554</v>
      </c>
    </row>
    <row r="1179" spans="1:4" x14ac:dyDescent="0.2">
      <c r="A1179" t="s">
        <v>678</v>
      </c>
      <c r="B1179" t="s">
        <v>14</v>
      </c>
      <c r="C1179" t="s">
        <v>1568</v>
      </c>
      <c r="D1179" t="s">
        <v>1554</v>
      </c>
    </row>
    <row r="1180" spans="1:4" x14ac:dyDescent="0.2">
      <c r="A1180" t="s">
        <v>678</v>
      </c>
      <c r="B1180" t="s">
        <v>15</v>
      </c>
      <c r="C1180" t="s">
        <v>1569</v>
      </c>
      <c r="D1180" t="s">
        <v>1554</v>
      </c>
    </row>
    <row r="1181" spans="1:4" x14ac:dyDescent="0.2">
      <c r="A1181" t="s">
        <v>678</v>
      </c>
      <c r="B1181" t="s">
        <v>17</v>
      </c>
      <c r="C1181" t="s">
        <v>1560</v>
      </c>
      <c r="D1181" t="s">
        <v>1554</v>
      </c>
    </row>
    <row r="1182" spans="1:4" x14ac:dyDescent="0.2">
      <c r="A1182" t="s">
        <v>678</v>
      </c>
      <c r="B1182" t="s">
        <v>19</v>
      </c>
      <c r="C1182" t="s">
        <v>1570</v>
      </c>
      <c r="D1182" t="s">
        <v>1554</v>
      </c>
    </row>
    <row r="1183" spans="1:4" x14ac:dyDescent="0.2">
      <c r="A1183" t="s">
        <v>678</v>
      </c>
      <c r="B1183" t="s">
        <v>23</v>
      </c>
      <c r="C1183" t="s">
        <v>1556</v>
      </c>
      <c r="D1183" t="s">
        <v>1554</v>
      </c>
    </row>
    <row r="1184" spans="1:4" x14ac:dyDescent="0.2">
      <c r="A1184" t="s">
        <v>678</v>
      </c>
      <c r="B1184" t="s">
        <v>25</v>
      </c>
      <c r="C1184" t="s">
        <v>1557</v>
      </c>
      <c r="D1184" t="s">
        <v>1554</v>
      </c>
    </row>
    <row r="1185" spans="1:4" x14ac:dyDescent="0.2">
      <c r="A1185" t="s">
        <v>678</v>
      </c>
      <c r="B1185" t="s">
        <v>24</v>
      </c>
      <c r="C1185" t="s">
        <v>1558</v>
      </c>
      <c r="D1185" t="s">
        <v>1559</v>
      </c>
    </row>
    <row r="1186" spans="1:4" x14ac:dyDescent="0.2">
      <c r="A1186" t="s">
        <v>684</v>
      </c>
      <c r="B1186" t="s">
        <v>6</v>
      </c>
      <c r="C1186" t="s">
        <v>1564</v>
      </c>
      <c r="D1186" t="s">
        <v>1554</v>
      </c>
    </row>
    <row r="1187" spans="1:4" x14ac:dyDescent="0.2">
      <c r="A1187" t="s">
        <v>684</v>
      </c>
      <c r="B1187" t="s">
        <v>7</v>
      </c>
      <c r="C1187" t="s">
        <v>1565</v>
      </c>
      <c r="D1187" t="s">
        <v>1554</v>
      </c>
    </row>
    <row r="1188" spans="1:4" x14ac:dyDescent="0.2">
      <c r="A1188" t="s">
        <v>684</v>
      </c>
      <c r="B1188" t="s">
        <v>8</v>
      </c>
      <c r="C1188" t="s">
        <v>1561</v>
      </c>
      <c r="D1188" t="s">
        <v>1554</v>
      </c>
    </row>
    <row r="1189" spans="1:4" x14ac:dyDescent="0.2">
      <c r="A1189" t="s">
        <v>684</v>
      </c>
      <c r="B1189" t="s">
        <v>9</v>
      </c>
      <c r="C1189" t="s">
        <v>1553</v>
      </c>
      <c r="D1189" t="s">
        <v>1554</v>
      </c>
    </row>
    <row r="1190" spans="1:4" x14ac:dyDescent="0.2">
      <c r="A1190" t="s">
        <v>684</v>
      </c>
      <c r="B1190" t="s">
        <v>10</v>
      </c>
      <c r="C1190" t="s">
        <v>1555</v>
      </c>
      <c r="D1190" t="s">
        <v>1554</v>
      </c>
    </row>
    <row r="1191" spans="1:4" x14ac:dyDescent="0.2">
      <c r="A1191" t="s">
        <v>684</v>
      </c>
      <c r="B1191" t="s">
        <v>11</v>
      </c>
      <c r="C1191" t="s">
        <v>1566</v>
      </c>
      <c r="D1191" t="s">
        <v>1554</v>
      </c>
    </row>
    <row r="1192" spans="1:4" x14ac:dyDescent="0.2">
      <c r="A1192" t="s">
        <v>684</v>
      </c>
      <c r="B1192" t="s">
        <v>13</v>
      </c>
      <c r="C1192" t="s">
        <v>1567</v>
      </c>
      <c r="D1192" t="s">
        <v>1554</v>
      </c>
    </row>
    <row r="1193" spans="1:4" x14ac:dyDescent="0.2">
      <c r="A1193" t="s">
        <v>684</v>
      </c>
      <c r="B1193" t="s">
        <v>14</v>
      </c>
      <c r="C1193" t="s">
        <v>1568</v>
      </c>
      <c r="D1193" t="s">
        <v>1554</v>
      </c>
    </row>
    <row r="1194" spans="1:4" x14ac:dyDescent="0.2">
      <c r="A1194" t="s">
        <v>684</v>
      </c>
      <c r="B1194" t="s">
        <v>15</v>
      </c>
      <c r="C1194" t="s">
        <v>1569</v>
      </c>
      <c r="D1194" t="s">
        <v>1554</v>
      </c>
    </row>
    <row r="1195" spans="1:4" x14ac:dyDescent="0.2">
      <c r="A1195" t="s">
        <v>684</v>
      </c>
      <c r="B1195" t="s">
        <v>17</v>
      </c>
      <c r="C1195" t="s">
        <v>1560</v>
      </c>
      <c r="D1195" t="s">
        <v>1554</v>
      </c>
    </row>
    <row r="1196" spans="1:4" x14ac:dyDescent="0.2">
      <c r="A1196" t="s">
        <v>684</v>
      </c>
      <c r="B1196" t="s">
        <v>19</v>
      </c>
      <c r="C1196" t="s">
        <v>1570</v>
      </c>
      <c r="D1196" t="s">
        <v>1554</v>
      </c>
    </row>
    <row r="1197" spans="1:4" x14ac:dyDescent="0.2">
      <c r="A1197" t="s">
        <v>684</v>
      </c>
      <c r="B1197" t="s">
        <v>23</v>
      </c>
      <c r="C1197" t="s">
        <v>1556</v>
      </c>
      <c r="D1197" t="s">
        <v>1554</v>
      </c>
    </row>
    <row r="1198" spans="1:4" x14ac:dyDescent="0.2">
      <c r="A1198" t="s">
        <v>684</v>
      </c>
      <c r="B1198" t="s">
        <v>25</v>
      </c>
      <c r="C1198" t="s">
        <v>1557</v>
      </c>
      <c r="D1198" t="s">
        <v>1554</v>
      </c>
    </row>
    <row r="1199" spans="1:4" x14ac:dyDescent="0.2">
      <c r="A1199" t="s">
        <v>684</v>
      </c>
      <c r="B1199" t="s">
        <v>24</v>
      </c>
      <c r="C1199" t="s">
        <v>1558</v>
      </c>
      <c r="D1199" t="s">
        <v>1559</v>
      </c>
    </row>
    <row r="1200" spans="1:4" x14ac:dyDescent="0.2">
      <c r="A1200" t="s">
        <v>690</v>
      </c>
      <c r="B1200" t="s">
        <v>6</v>
      </c>
      <c r="C1200" t="s">
        <v>1564</v>
      </c>
      <c r="D1200" t="s">
        <v>1554</v>
      </c>
    </row>
    <row r="1201" spans="1:4" x14ac:dyDescent="0.2">
      <c r="A1201" t="s">
        <v>690</v>
      </c>
      <c r="B1201" t="s">
        <v>7</v>
      </c>
      <c r="C1201" t="s">
        <v>1565</v>
      </c>
      <c r="D1201" t="s">
        <v>1554</v>
      </c>
    </row>
    <row r="1202" spans="1:4" x14ac:dyDescent="0.2">
      <c r="A1202" t="s">
        <v>690</v>
      </c>
      <c r="B1202" t="s">
        <v>8</v>
      </c>
      <c r="C1202" t="s">
        <v>1561</v>
      </c>
      <c r="D1202" t="s">
        <v>1554</v>
      </c>
    </row>
    <row r="1203" spans="1:4" x14ac:dyDescent="0.2">
      <c r="A1203" t="s">
        <v>690</v>
      </c>
      <c r="B1203" t="s">
        <v>9</v>
      </c>
      <c r="C1203" t="s">
        <v>1553</v>
      </c>
      <c r="D1203" t="s">
        <v>1554</v>
      </c>
    </row>
    <row r="1204" spans="1:4" x14ac:dyDescent="0.2">
      <c r="A1204" t="s">
        <v>690</v>
      </c>
      <c r="B1204" t="s">
        <v>10</v>
      </c>
      <c r="C1204" t="s">
        <v>1555</v>
      </c>
      <c r="D1204" t="s">
        <v>1554</v>
      </c>
    </row>
    <row r="1205" spans="1:4" x14ac:dyDescent="0.2">
      <c r="A1205" t="s">
        <v>690</v>
      </c>
      <c r="B1205" t="s">
        <v>11</v>
      </c>
      <c r="C1205" t="s">
        <v>1566</v>
      </c>
      <c r="D1205" t="s">
        <v>1554</v>
      </c>
    </row>
    <row r="1206" spans="1:4" x14ac:dyDescent="0.2">
      <c r="A1206" t="s">
        <v>690</v>
      </c>
      <c r="B1206" t="s">
        <v>13</v>
      </c>
      <c r="C1206" t="s">
        <v>1567</v>
      </c>
      <c r="D1206" t="s">
        <v>1554</v>
      </c>
    </row>
    <row r="1207" spans="1:4" x14ac:dyDescent="0.2">
      <c r="A1207" t="s">
        <v>690</v>
      </c>
      <c r="B1207" t="s">
        <v>14</v>
      </c>
      <c r="C1207" t="s">
        <v>1568</v>
      </c>
      <c r="D1207" t="s">
        <v>1554</v>
      </c>
    </row>
    <row r="1208" spans="1:4" x14ac:dyDescent="0.2">
      <c r="A1208" t="s">
        <v>690</v>
      </c>
      <c r="B1208" t="s">
        <v>15</v>
      </c>
      <c r="C1208" t="s">
        <v>1569</v>
      </c>
      <c r="D1208" t="s">
        <v>1554</v>
      </c>
    </row>
    <row r="1209" spans="1:4" x14ac:dyDescent="0.2">
      <c r="A1209" t="s">
        <v>690</v>
      </c>
      <c r="B1209" t="s">
        <v>17</v>
      </c>
      <c r="C1209" t="s">
        <v>1560</v>
      </c>
      <c r="D1209" t="s">
        <v>1554</v>
      </c>
    </row>
    <row r="1210" spans="1:4" x14ac:dyDescent="0.2">
      <c r="A1210" t="s">
        <v>690</v>
      </c>
      <c r="B1210" t="s">
        <v>19</v>
      </c>
      <c r="C1210" t="s">
        <v>1570</v>
      </c>
      <c r="D1210" t="s">
        <v>1554</v>
      </c>
    </row>
    <row r="1211" spans="1:4" x14ac:dyDescent="0.2">
      <c r="A1211" t="s">
        <v>690</v>
      </c>
      <c r="B1211" t="s">
        <v>23</v>
      </c>
      <c r="C1211" t="s">
        <v>1556</v>
      </c>
      <c r="D1211" t="s">
        <v>1554</v>
      </c>
    </row>
    <row r="1212" spans="1:4" x14ac:dyDescent="0.2">
      <c r="A1212" t="s">
        <v>690</v>
      </c>
      <c r="B1212" t="s">
        <v>25</v>
      </c>
      <c r="C1212" t="s">
        <v>1557</v>
      </c>
      <c r="D1212" t="s">
        <v>1554</v>
      </c>
    </row>
    <row r="1213" spans="1:4" x14ac:dyDescent="0.2">
      <c r="A1213" t="s">
        <v>696</v>
      </c>
      <c r="B1213" t="s">
        <v>6</v>
      </c>
      <c r="C1213" t="s">
        <v>1564</v>
      </c>
      <c r="D1213" t="s">
        <v>1554</v>
      </c>
    </row>
    <row r="1214" spans="1:4" x14ac:dyDescent="0.2">
      <c r="A1214" t="s">
        <v>696</v>
      </c>
      <c r="B1214" t="s">
        <v>7</v>
      </c>
      <c r="C1214" t="s">
        <v>1565</v>
      </c>
      <c r="D1214" t="s">
        <v>1554</v>
      </c>
    </row>
    <row r="1215" spans="1:4" x14ac:dyDescent="0.2">
      <c r="A1215" t="s">
        <v>696</v>
      </c>
      <c r="B1215" t="s">
        <v>8</v>
      </c>
      <c r="C1215" t="s">
        <v>1561</v>
      </c>
      <c r="D1215" t="s">
        <v>1554</v>
      </c>
    </row>
    <row r="1216" spans="1:4" x14ac:dyDescent="0.2">
      <c r="A1216" t="s">
        <v>696</v>
      </c>
      <c r="B1216" t="s">
        <v>9</v>
      </c>
      <c r="C1216" t="s">
        <v>1553</v>
      </c>
      <c r="D1216" t="s">
        <v>1554</v>
      </c>
    </row>
    <row r="1217" spans="1:4" x14ac:dyDescent="0.2">
      <c r="A1217" t="s">
        <v>696</v>
      </c>
      <c r="B1217" t="s">
        <v>10</v>
      </c>
      <c r="C1217" t="s">
        <v>1555</v>
      </c>
      <c r="D1217" t="s">
        <v>1554</v>
      </c>
    </row>
    <row r="1218" spans="1:4" x14ac:dyDescent="0.2">
      <c r="A1218" t="s">
        <v>696</v>
      </c>
      <c r="B1218" t="s">
        <v>11</v>
      </c>
      <c r="C1218" t="s">
        <v>1566</v>
      </c>
      <c r="D1218" t="s">
        <v>1554</v>
      </c>
    </row>
    <row r="1219" spans="1:4" x14ac:dyDescent="0.2">
      <c r="A1219" t="s">
        <v>696</v>
      </c>
      <c r="B1219" t="s">
        <v>13</v>
      </c>
      <c r="C1219" t="s">
        <v>1567</v>
      </c>
      <c r="D1219" t="s">
        <v>1554</v>
      </c>
    </row>
    <row r="1220" spans="1:4" x14ac:dyDescent="0.2">
      <c r="A1220" t="s">
        <v>696</v>
      </c>
      <c r="B1220" t="s">
        <v>14</v>
      </c>
      <c r="C1220" t="s">
        <v>1568</v>
      </c>
      <c r="D1220" t="s">
        <v>1554</v>
      </c>
    </row>
    <row r="1221" spans="1:4" x14ac:dyDescent="0.2">
      <c r="A1221" t="s">
        <v>696</v>
      </c>
      <c r="B1221" t="s">
        <v>15</v>
      </c>
      <c r="C1221" t="s">
        <v>1569</v>
      </c>
      <c r="D1221" t="s">
        <v>1554</v>
      </c>
    </row>
    <row r="1222" spans="1:4" x14ac:dyDescent="0.2">
      <c r="A1222" t="s">
        <v>696</v>
      </c>
      <c r="B1222" t="s">
        <v>17</v>
      </c>
      <c r="C1222" t="s">
        <v>1560</v>
      </c>
      <c r="D1222" t="s">
        <v>1554</v>
      </c>
    </row>
    <row r="1223" spans="1:4" x14ac:dyDescent="0.2">
      <c r="A1223" t="s">
        <v>696</v>
      </c>
      <c r="B1223" t="s">
        <v>19</v>
      </c>
      <c r="C1223" t="s">
        <v>1570</v>
      </c>
      <c r="D1223" t="s">
        <v>1554</v>
      </c>
    </row>
    <row r="1224" spans="1:4" x14ac:dyDescent="0.2">
      <c r="A1224" t="s">
        <v>696</v>
      </c>
      <c r="B1224" t="s">
        <v>23</v>
      </c>
      <c r="C1224" t="s">
        <v>1556</v>
      </c>
      <c r="D1224" t="s">
        <v>1554</v>
      </c>
    </row>
    <row r="1225" spans="1:4" x14ac:dyDescent="0.2">
      <c r="A1225" t="s">
        <v>696</v>
      </c>
      <c r="B1225" t="s">
        <v>25</v>
      </c>
      <c r="C1225" t="s">
        <v>1557</v>
      </c>
      <c r="D1225" t="s">
        <v>1554</v>
      </c>
    </row>
    <row r="1226" spans="1:4" x14ac:dyDescent="0.2">
      <c r="A1226" t="s">
        <v>696</v>
      </c>
      <c r="B1226" t="s">
        <v>24</v>
      </c>
      <c r="C1226" t="s">
        <v>1558</v>
      </c>
      <c r="D1226" t="s">
        <v>1559</v>
      </c>
    </row>
    <row r="1227" spans="1:4" x14ac:dyDescent="0.2">
      <c r="A1227" t="s">
        <v>702</v>
      </c>
      <c r="B1227" t="s">
        <v>6</v>
      </c>
      <c r="C1227" t="s">
        <v>1564</v>
      </c>
      <c r="D1227" t="s">
        <v>1554</v>
      </c>
    </row>
    <row r="1228" spans="1:4" x14ac:dyDescent="0.2">
      <c r="A1228" t="s">
        <v>702</v>
      </c>
      <c r="B1228" t="s">
        <v>7</v>
      </c>
      <c r="C1228" t="s">
        <v>1565</v>
      </c>
      <c r="D1228" t="s">
        <v>1554</v>
      </c>
    </row>
    <row r="1229" spans="1:4" x14ac:dyDescent="0.2">
      <c r="A1229" t="s">
        <v>702</v>
      </c>
      <c r="B1229" t="s">
        <v>8</v>
      </c>
      <c r="C1229" t="s">
        <v>1561</v>
      </c>
      <c r="D1229" t="s">
        <v>1554</v>
      </c>
    </row>
    <row r="1230" spans="1:4" x14ac:dyDescent="0.2">
      <c r="A1230" t="s">
        <v>702</v>
      </c>
      <c r="B1230" t="s">
        <v>9</v>
      </c>
      <c r="C1230" t="s">
        <v>1553</v>
      </c>
      <c r="D1230" t="s">
        <v>1554</v>
      </c>
    </row>
    <row r="1231" spans="1:4" x14ac:dyDescent="0.2">
      <c r="A1231" t="s">
        <v>702</v>
      </c>
      <c r="B1231" t="s">
        <v>10</v>
      </c>
      <c r="C1231" t="s">
        <v>1555</v>
      </c>
      <c r="D1231" t="s">
        <v>1554</v>
      </c>
    </row>
    <row r="1232" spans="1:4" x14ac:dyDescent="0.2">
      <c r="A1232" t="s">
        <v>702</v>
      </c>
      <c r="B1232" t="s">
        <v>11</v>
      </c>
      <c r="C1232" t="s">
        <v>1566</v>
      </c>
      <c r="D1232" t="s">
        <v>1554</v>
      </c>
    </row>
    <row r="1233" spans="1:4" x14ac:dyDescent="0.2">
      <c r="A1233" t="s">
        <v>702</v>
      </c>
      <c r="B1233" t="s">
        <v>13</v>
      </c>
      <c r="C1233" t="s">
        <v>1567</v>
      </c>
      <c r="D1233" t="s">
        <v>1554</v>
      </c>
    </row>
    <row r="1234" spans="1:4" x14ac:dyDescent="0.2">
      <c r="A1234" t="s">
        <v>702</v>
      </c>
      <c r="B1234" t="s">
        <v>14</v>
      </c>
      <c r="C1234" t="s">
        <v>1568</v>
      </c>
      <c r="D1234" t="s">
        <v>1554</v>
      </c>
    </row>
    <row r="1235" spans="1:4" x14ac:dyDescent="0.2">
      <c r="A1235" t="s">
        <v>702</v>
      </c>
      <c r="B1235" t="s">
        <v>15</v>
      </c>
      <c r="C1235" t="s">
        <v>1569</v>
      </c>
      <c r="D1235" t="s">
        <v>1554</v>
      </c>
    </row>
    <row r="1236" spans="1:4" x14ac:dyDescent="0.2">
      <c r="A1236" t="s">
        <v>702</v>
      </c>
      <c r="B1236" t="s">
        <v>17</v>
      </c>
      <c r="C1236" t="s">
        <v>1560</v>
      </c>
      <c r="D1236" t="s">
        <v>1554</v>
      </c>
    </row>
    <row r="1237" spans="1:4" x14ac:dyDescent="0.2">
      <c r="A1237" t="s">
        <v>702</v>
      </c>
      <c r="B1237" t="s">
        <v>19</v>
      </c>
      <c r="C1237" t="s">
        <v>1570</v>
      </c>
      <c r="D1237" t="s">
        <v>1554</v>
      </c>
    </row>
    <row r="1238" spans="1:4" x14ac:dyDescent="0.2">
      <c r="A1238" t="s">
        <v>702</v>
      </c>
      <c r="B1238" t="s">
        <v>23</v>
      </c>
      <c r="C1238" t="s">
        <v>1556</v>
      </c>
      <c r="D1238" t="s">
        <v>1554</v>
      </c>
    </row>
    <row r="1239" spans="1:4" x14ac:dyDescent="0.2">
      <c r="A1239" t="s">
        <v>702</v>
      </c>
      <c r="B1239" t="s">
        <v>25</v>
      </c>
      <c r="C1239" t="s">
        <v>1557</v>
      </c>
      <c r="D1239" t="s">
        <v>1554</v>
      </c>
    </row>
    <row r="1240" spans="1:4" x14ac:dyDescent="0.2">
      <c r="A1240" t="s">
        <v>708</v>
      </c>
      <c r="B1240" t="s">
        <v>6</v>
      </c>
      <c r="C1240" t="s">
        <v>1564</v>
      </c>
      <c r="D1240" t="s">
        <v>1554</v>
      </c>
    </row>
    <row r="1241" spans="1:4" x14ac:dyDescent="0.2">
      <c r="A1241" t="s">
        <v>708</v>
      </c>
      <c r="B1241" t="s">
        <v>7</v>
      </c>
      <c r="C1241" t="s">
        <v>1565</v>
      </c>
      <c r="D1241" t="s">
        <v>1554</v>
      </c>
    </row>
    <row r="1242" spans="1:4" x14ac:dyDescent="0.2">
      <c r="A1242" t="s">
        <v>708</v>
      </c>
      <c r="B1242" t="s">
        <v>8</v>
      </c>
      <c r="C1242" t="s">
        <v>1561</v>
      </c>
      <c r="D1242" t="s">
        <v>1554</v>
      </c>
    </row>
    <row r="1243" spans="1:4" x14ac:dyDescent="0.2">
      <c r="A1243" t="s">
        <v>708</v>
      </c>
      <c r="B1243" t="s">
        <v>9</v>
      </c>
      <c r="C1243" t="s">
        <v>1553</v>
      </c>
      <c r="D1243" t="s">
        <v>1554</v>
      </c>
    </row>
    <row r="1244" spans="1:4" x14ac:dyDescent="0.2">
      <c r="A1244" t="s">
        <v>708</v>
      </c>
      <c r="B1244" t="s">
        <v>10</v>
      </c>
      <c r="C1244" t="s">
        <v>1555</v>
      </c>
      <c r="D1244" t="s">
        <v>1554</v>
      </c>
    </row>
    <row r="1245" spans="1:4" x14ac:dyDescent="0.2">
      <c r="A1245" t="s">
        <v>708</v>
      </c>
      <c r="B1245" t="s">
        <v>11</v>
      </c>
      <c r="C1245" t="s">
        <v>1566</v>
      </c>
      <c r="D1245" t="s">
        <v>1554</v>
      </c>
    </row>
    <row r="1246" spans="1:4" x14ac:dyDescent="0.2">
      <c r="A1246" t="s">
        <v>708</v>
      </c>
      <c r="B1246" t="s">
        <v>13</v>
      </c>
      <c r="C1246" t="s">
        <v>1567</v>
      </c>
      <c r="D1246" t="s">
        <v>1554</v>
      </c>
    </row>
    <row r="1247" spans="1:4" x14ac:dyDescent="0.2">
      <c r="A1247" t="s">
        <v>708</v>
      </c>
      <c r="B1247" t="s">
        <v>14</v>
      </c>
      <c r="C1247" t="s">
        <v>1568</v>
      </c>
      <c r="D1247" t="s">
        <v>1554</v>
      </c>
    </row>
    <row r="1248" spans="1:4" x14ac:dyDescent="0.2">
      <c r="A1248" t="s">
        <v>708</v>
      </c>
      <c r="B1248" t="s">
        <v>15</v>
      </c>
      <c r="C1248" t="s">
        <v>1569</v>
      </c>
      <c r="D1248" t="s">
        <v>1554</v>
      </c>
    </row>
    <row r="1249" spans="1:4" x14ac:dyDescent="0.2">
      <c r="A1249" t="s">
        <v>708</v>
      </c>
      <c r="B1249" t="s">
        <v>17</v>
      </c>
      <c r="C1249" t="s">
        <v>1560</v>
      </c>
      <c r="D1249" t="s">
        <v>1554</v>
      </c>
    </row>
    <row r="1250" spans="1:4" x14ac:dyDescent="0.2">
      <c r="A1250" t="s">
        <v>708</v>
      </c>
      <c r="B1250" t="s">
        <v>19</v>
      </c>
      <c r="C1250" t="s">
        <v>1570</v>
      </c>
      <c r="D1250" t="s">
        <v>1554</v>
      </c>
    </row>
    <row r="1251" spans="1:4" x14ac:dyDescent="0.2">
      <c r="A1251" t="s">
        <v>708</v>
      </c>
      <c r="B1251" t="s">
        <v>23</v>
      </c>
      <c r="C1251" t="s">
        <v>1556</v>
      </c>
      <c r="D1251" t="s">
        <v>1554</v>
      </c>
    </row>
    <row r="1252" spans="1:4" x14ac:dyDescent="0.2">
      <c r="A1252" t="s">
        <v>708</v>
      </c>
      <c r="B1252" t="s">
        <v>25</v>
      </c>
      <c r="C1252" t="s">
        <v>1557</v>
      </c>
      <c r="D1252" t="s">
        <v>1554</v>
      </c>
    </row>
    <row r="1253" spans="1:4" x14ac:dyDescent="0.2">
      <c r="A1253" t="s">
        <v>714</v>
      </c>
      <c r="B1253" t="s">
        <v>6</v>
      </c>
      <c r="C1253" t="s">
        <v>1564</v>
      </c>
      <c r="D1253" t="s">
        <v>1554</v>
      </c>
    </row>
    <row r="1254" spans="1:4" x14ac:dyDescent="0.2">
      <c r="A1254" t="s">
        <v>714</v>
      </c>
      <c r="B1254" t="s">
        <v>7</v>
      </c>
      <c r="C1254" t="s">
        <v>1565</v>
      </c>
      <c r="D1254" t="s">
        <v>1554</v>
      </c>
    </row>
    <row r="1255" spans="1:4" x14ac:dyDescent="0.2">
      <c r="A1255" t="s">
        <v>714</v>
      </c>
      <c r="B1255" t="s">
        <v>8</v>
      </c>
      <c r="C1255" t="s">
        <v>1561</v>
      </c>
      <c r="D1255" t="s">
        <v>1554</v>
      </c>
    </row>
    <row r="1256" spans="1:4" x14ac:dyDescent="0.2">
      <c r="A1256" t="s">
        <v>714</v>
      </c>
      <c r="B1256" t="s">
        <v>9</v>
      </c>
      <c r="C1256" t="s">
        <v>1553</v>
      </c>
      <c r="D1256" t="s">
        <v>1554</v>
      </c>
    </row>
    <row r="1257" spans="1:4" x14ac:dyDescent="0.2">
      <c r="A1257" t="s">
        <v>714</v>
      </c>
      <c r="B1257" t="s">
        <v>10</v>
      </c>
      <c r="C1257" t="s">
        <v>1555</v>
      </c>
      <c r="D1257" t="s">
        <v>1554</v>
      </c>
    </row>
    <row r="1258" spans="1:4" x14ac:dyDescent="0.2">
      <c r="A1258" t="s">
        <v>714</v>
      </c>
      <c r="B1258" t="s">
        <v>11</v>
      </c>
      <c r="C1258" t="s">
        <v>1566</v>
      </c>
      <c r="D1258" t="s">
        <v>1554</v>
      </c>
    </row>
    <row r="1259" spans="1:4" x14ac:dyDescent="0.2">
      <c r="A1259" t="s">
        <v>714</v>
      </c>
      <c r="B1259" t="s">
        <v>13</v>
      </c>
      <c r="C1259" t="s">
        <v>1567</v>
      </c>
      <c r="D1259" t="s">
        <v>1554</v>
      </c>
    </row>
    <row r="1260" spans="1:4" x14ac:dyDescent="0.2">
      <c r="A1260" t="s">
        <v>714</v>
      </c>
      <c r="B1260" t="s">
        <v>14</v>
      </c>
      <c r="C1260" t="s">
        <v>1568</v>
      </c>
      <c r="D1260" t="s">
        <v>1554</v>
      </c>
    </row>
    <row r="1261" spans="1:4" x14ac:dyDescent="0.2">
      <c r="A1261" t="s">
        <v>714</v>
      </c>
      <c r="B1261" t="s">
        <v>15</v>
      </c>
      <c r="C1261" t="s">
        <v>1569</v>
      </c>
      <c r="D1261" t="s">
        <v>1554</v>
      </c>
    </row>
    <row r="1262" spans="1:4" x14ac:dyDescent="0.2">
      <c r="A1262" t="s">
        <v>714</v>
      </c>
      <c r="B1262" t="s">
        <v>17</v>
      </c>
      <c r="C1262" t="s">
        <v>1560</v>
      </c>
      <c r="D1262" t="s">
        <v>1554</v>
      </c>
    </row>
    <row r="1263" spans="1:4" x14ac:dyDescent="0.2">
      <c r="A1263" t="s">
        <v>714</v>
      </c>
      <c r="B1263" t="s">
        <v>19</v>
      </c>
      <c r="C1263" t="s">
        <v>1570</v>
      </c>
      <c r="D1263" t="s">
        <v>1554</v>
      </c>
    </row>
    <row r="1264" spans="1:4" x14ac:dyDescent="0.2">
      <c r="A1264" t="s">
        <v>714</v>
      </c>
      <c r="B1264" t="s">
        <v>23</v>
      </c>
      <c r="C1264" t="s">
        <v>1556</v>
      </c>
      <c r="D1264" t="s">
        <v>1554</v>
      </c>
    </row>
    <row r="1265" spans="1:4" x14ac:dyDescent="0.2">
      <c r="A1265" t="s">
        <v>714</v>
      </c>
      <c r="B1265" t="s">
        <v>25</v>
      </c>
      <c r="C1265" t="s">
        <v>1557</v>
      </c>
      <c r="D1265" t="s">
        <v>1554</v>
      </c>
    </row>
    <row r="1266" spans="1:4" x14ac:dyDescent="0.2">
      <c r="A1266" t="s">
        <v>720</v>
      </c>
      <c r="B1266" t="s">
        <v>6</v>
      </c>
      <c r="C1266" t="s">
        <v>1564</v>
      </c>
      <c r="D1266" t="s">
        <v>1554</v>
      </c>
    </row>
    <row r="1267" spans="1:4" x14ac:dyDescent="0.2">
      <c r="A1267" t="s">
        <v>720</v>
      </c>
      <c r="B1267" t="s">
        <v>7</v>
      </c>
      <c r="C1267" t="s">
        <v>1565</v>
      </c>
      <c r="D1267" t="s">
        <v>1554</v>
      </c>
    </row>
    <row r="1268" spans="1:4" x14ac:dyDescent="0.2">
      <c r="A1268" t="s">
        <v>720</v>
      </c>
      <c r="B1268" t="s">
        <v>8</v>
      </c>
      <c r="C1268" t="s">
        <v>1561</v>
      </c>
      <c r="D1268" t="s">
        <v>1554</v>
      </c>
    </row>
    <row r="1269" spans="1:4" x14ac:dyDescent="0.2">
      <c r="A1269" t="s">
        <v>720</v>
      </c>
      <c r="B1269" t="s">
        <v>9</v>
      </c>
      <c r="C1269" t="s">
        <v>1553</v>
      </c>
      <c r="D1269" t="s">
        <v>1554</v>
      </c>
    </row>
    <row r="1270" spans="1:4" x14ac:dyDescent="0.2">
      <c r="A1270" t="s">
        <v>720</v>
      </c>
      <c r="B1270" t="s">
        <v>10</v>
      </c>
      <c r="C1270" t="s">
        <v>1555</v>
      </c>
      <c r="D1270" t="s">
        <v>1554</v>
      </c>
    </row>
    <row r="1271" spans="1:4" x14ac:dyDescent="0.2">
      <c r="A1271" t="s">
        <v>720</v>
      </c>
      <c r="B1271" t="s">
        <v>11</v>
      </c>
      <c r="C1271" t="s">
        <v>1566</v>
      </c>
      <c r="D1271" t="s">
        <v>1554</v>
      </c>
    </row>
    <row r="1272" spans="1:4" x14ac:dyDescent="0.2">
      <c r="A1272" t="s">
        <v>720</v>
      </c>
      <c r="B1272" t="s">
        <v>13</v>
      </c>
      <c r="C1272" t="s">
        <v>1567</v>
      </c>
      <c r="D1272" t="s">
        <v>1554</v>
      </c>
    </row>
    <row r="1273" spans="1:4" x14ac:dyDescent="0.2">
      <c r="A1273" t="s">
        <v>720</v>
      </c>
      <c r="B1273" t="s">
        <v>14</v>
      </c>
      <c r="C1273" t="s">
        <v>1568</v>
      </c>
      <c r="D1273" t="s">
        <v>1554</v>
      </c>
    </row>
    <row r="1274" spans="1:4" x14ac:dyDescent="0.2">
      <c r="A1274" t="s">
        <v>720</v>
      </c>
      <c r="B1274" t="s">
        <v>15</v>
      </c>
      <c r="C1274" t="s">
        <v>1569</v>
      </c>
      <c r="D1274" t="s">
        <v>1554</v>
      </c>
    </row>
    <row r="1275" spans="1:4" x14ac:dyDescent="0.2">
      <c r="A1275" t="s">
        <v>720</v>
      </c>
      <c r="B1275" t="s">
        <v>17</v>
      </c>
      <c r="C1275" t="s">
        <v>1560</v>
      </c>
      <c r="D1275" t="s">
        <v>1554</v>
      </c>
    </row>
    <row r="1276" spans="1:4" x14ac:dyDescent="0.2">
      <c r="A1276" t="s">
        <v>720</v>
      </c>
      <c r="B1276" t="s">
        <v>19</v>
      </c>
      <c r="C1276" t="s">
        <v>1570</v>
      </c>
      <c r="D1276" t="s">
        <v>1554</v>
      </c>
    </row>
    <row r="1277" spans="1:4" x14ac:dyDescent="0.2">
      <c r="A1277" t="s">
        <v>720</v>
      </c>
      <c r="B1277" t="s">
        <v>23</v>
      </c>
      <c r="C1277" t="s">
        <v>1556</v>
      </c>
      <c r="D1277" t="s">
        <v>1554</v>
      </c>
    </row>
    <row r="1278" spans="1:4" x14ac:dyDescent="0.2">
      <c r="A1278" t="s">
        <v>720</v>
      </c>
      <c r="B1278" t="s">
        <v>25</v>
      </c>
      <c r="C1278" t="s">
        <v>1557</v>
      </c>
      <c r="D1278" t="s">
        <v>1554</v>
      </c>
    </row>
    <row r="1279" spans="1:4" x14ac:dyDescent="0.2">
      <c r="A1279" t="s">
        <v>720</v>
      </c>
      <c r="B1279" t="s">
        <v>24</v>
      </c>
      <c r="C1279" t="s">
        <v>1558</v>
      </c>
      <c r="D1279" t="s">
        <v>1559</v>
      </c>
    </row>
    <row r="1280" spans="1:4" x14ac:dyDescent="0.2">
      <c r="A1280" t="s">
        <v>726</v>
      </c>
      <c r="B1280" t="s">
        <v>6</v>
      </c>
      <c r="C1280" t="s">
        <v>1564</v>
      </c>
      <c r="D1280" t="s">
        <v>1554</v>
      </c>
    </row>
    <row r="1281" spans="1:4" x14ac:dyDescent="0.2">
      <c r="A1281" t="s">
        <v>726</v>
      </c>
      <c r="B1281" t="s">
        <v>7</v>
      </c>
      <c r="C1281" t="s">
        <v>1565</v>
      </c>
      <c r="D1281" t="s">
        <v>1554</v>
      </c>
    </row>
    <row r="1282" spans="1:4" x14ac:dyDescent="0.2">
      <c r="A1282" t="s">
        <v>726</v>
      </c>
      <c r="B1282" t="s">
        <v>8</v>
      </c>
      <c r="C1282" t="s">
        <v>1561</v>
      </c>
      <c r="D1282" t="s">
        <v>1554</v>
      </c>
    </row>
    <row r="1283" spans="1:4" x14ac:dyDescent="0.2">
      <c r="A1283" t="s">
        <v>726</v>
      </c>
      <c r="B1283" t="s">
        <v>9</v>
      </c>
      <c r="C1283" t="s">
        <v>1553</v>
      </c>
      <c r="D1283" t="s">
        <v>1554</v>
      </c>
    </row>
    <row r="1284" spans="1:4" x14ac:dyDescent="0.2">
      <c r="A1284" t="s">
        <v>726</v>
      </c>
      <c r="B1284" t="s">
        <v>10</v>
      </c>
      <c r="C1284" t="s">
        <v>1555</v>
      </c>
      <c r="D1284" t="s">
        <v>1554</v>
      </c>
    </row>
    <row r="1285" spans="1:4" x14ac:dyDescent="0.2">
      <c r="A1285" t="s">
        <v>726</v>
      </c>
      <c r="B1285" t="s">
        <v>11</v>
      </c>
      <c r="C1285" t="s">
        <v>1566</v>
      </c>
      <c r="D1285" t="s">
        <v>1554</v>
      </c>
    </row>
    <row r="1286" spans="1:4" x14ac:dyDescent="0.2">
      <c r="A1286" t="s">
        <v>726</v>
      </c>
      <c r="B1286" t="s">
        <v>13</v>
      </c>
      <c r="C1286" t="s">
        <v>1567</v>
      </c>
      <c r="D1286" t="s">
        <v>1554</v>
      </c>
    </row>
    <row r="1287" spans="1:4" x14ac:dyDescent="0.2">
      <c r="A1287" t="s">
        <v>726</v>
      </c>
      <c r="B1287" t="s">
        <v>14</v>
      </c>
      <c r="C1287" t="s">
        <v>1568</v>
      </c>
      <c r="D1287" t="s">
        <v>1554</v>
      </c>
    </row>
    <row r="1288" spans="1:4" x14ac:dyDescent="0.2">
      <c r="A1288" t="s">
        <v>726</v>
      </c>
      <c r="B1288" t="s">
        <v>15</v>
      </c>
      <c r="C1288" t="s">
        <v>1569</v>
      </c>
      <c r="D1288" t="s">
        <v>1554</v>
      </c>
    </row>
    <row r="1289" spans="1:4" x14ac:dyDescent="0.2">
      <c r="A1289" t="s">
        <v>726</v>
      </c>
      <c r="B1289" t="s">
        <v>17</v>
      </c>
      <c r="C1289" t="s">
        <v>1560</v>
      </c>
      <c r="D1289" t="s">
        <v>1554</v>
      </c>
    </row>
    <row r="1290" spans="1:4" x14ac:dyDescent="0.2">
      <c r="A1290" t="s">
        <v>726</v>
      </c>
      <c r="B1290" t="s">
        <v>19</v>
      </c>
      <c r="C1290" t="s">
        <v>1570</v>
      </c>
      <c r="D1290" t="s">
        <v>1554</v>
      </c>
    </row>
    <row r="1291" spans="1:4" x14ac:dyDescent="0.2">
      <c r="A1291" t="s">
        <v>726</v>
      </c>
      <c r="B1291" t="s">
        <v>23</v>
      </c>
      <c r="C1291" t="s">
        <v>1556</v>
      </c>
      <c r="D1291" t="s">
        <v>1554</v>
      </c>
    </row>
    <row r="1292" spans="1:4" x14ac:dyDescent="0.2">
      <c r="A1292" t="s">
        <v>726</v>
      </c>
      <c r="B1292" t="s">
        <v>25</v>
      </c>
      <c r="C1292" t="s">
        <v>1557</v>
      </c>
      <c r="D1292" t="s">
        <v>1554</v>
      </c>
    </row>
    <row r="1293" spans="1:4" x14ac:dyDescent="0.2">
      <c r="A1293" t="s">
        <v>732</v>
      </c>
      <c r="B1293" t="s">
        <v>6</v>
      </c>
      <c r="C1293" t="s">
        <v>1564</v>
      </c>
      <c r="D1293" t="s">
        <v>1554</v>
      </c>
    </row>
    <row r="1294" spans="1:4" x14ac:dyDescent="0.2">
      <c r="A1294" t="s">
        <v>732</v>
      </c>
      <c r="B1294" t="s">
        <v>7</v>
      </c>
      <c r="C1294" t="s">
        <v>1565</v>
      </c>
      <c r="D1294" t="s">
        <v>1554</v>
      </c>
    </row>
    <row r="1295" spans="1:4" x14ac:dyDescent="0.2">
      <c r="A1295" t="s">
        <v>732</v>
      </c>
      <c r="B1295" t="s">
        <v>8</v>
      </c>
      <c r="C1295" t="s">
        <v>1561</v>
      </c>
      <c r="D1295" t="s">
        <v>1554</v>
      </c>
    </row>
    <row r="1296" spans="1:4" x14ac:dyDescent="0.2">
      <c r="A1296" t="s">
        <v>732</v>
      </c>
      <c r="B1296" t="s">
        <v>9</v>
      </c>
      <c r="C1296" t="s">
        <v>1553</v>
      </c>
      <c r="D1296" t="s">
        <v>1554</v>
      </c>
    </row>
    <row r="1297" spans="1:4" x14ac:dyDescent="0.2">
      <c r="A1297" t="s">
        <v>732</v>
      </c>
      <c r="B1297" t="s">
        <v>10</v>
      </c>
      <c r="C1297" t="s">
        <v>1555</v>
      </c>
      <c r="D1297" t="s">
        <v>1554</v>
      </c>
    </row>
    <row r="1298" spans="1:4" x14ac:dyDescent="0.2">
      <c r="A1298" t="s">
        <v>732</v>
      </c>
      <c r="B1298" t="s">
        <v>11</v>
      </c>
      <c r="C1298" t="s">
        <v>1566</v>
      </c>
      <c r="D1298" t="s">
        <v>1554</v>
      </c>
    </row>
    <row r="1299" spans="1:4" x14ac:dyDescent="0.2">
      <c r="A1299" t="s">
        <v>732</v>
      </c>
      <c r="B1299" t="s">
        <v>13</v>
      </c>
      <c r="C1299" t="s">
        <v>1567</v>
      </c>
      <c r="D1299" t="s">
        <v>1554</v>
      </c>
    </row>
    <row r="1300" spans="1:4" x14ac:dyDescent="0.2">
      <c r="A1300" t="s">
        <v>732</v>
      </c>
      <c r="B1300" t="s">
        <v>14</v>
      </c>
      <c r="C1300" t="s">
        <v>1568</v>
      </c>
      <c r="D1300" t="s">
        <v>1554</v>
      </c>
    </row>
    <row r="1301" spans="1:4" x14ac:dyDescent="0.2">
      <c r="A1301" t="s">
        <v>732</v>
      </c>
      <c r="B1301" t="s">
        <v>15</v>
      </c>
      <c r="C1301" t="s">
        <v>1569</v>
      </c>
      <c r="D1301" t="s">
        <v>1554</v>
      </c>
    </row>
    <row r="1302" spans="1:4" x14ac:dyDescent="0.2">
      <c r="A1302" t="s">
        <v>732</v>
      </c>
      <c r="B1302" t="s">
        <v>17</v>
      </c>
      <c r="C1302" t="s">
        <v>1560</v>
      </c>
      <c r="D1302" t="s">
        <v>1554</v>
      </c>
    </row>
    <row r="1303" spans="1:4" x14ac:dyDescent="0.2">
      <c r="A1303" t="s">
        <v>732</v>
      </c>
      <c r="B1303" t="s">
        <v>19</v>
      </c>
      <c r="C1303" t="s">
        <v>1570</v>
      </c>
      <c r="D1303" t="s">
        <v>1554</v>
      </c>
    </row>
    <row r="1304" spans="1:4" x14ac:dyDescent="0.2">
      <c r="A1304" t="s">
        <v>732</v>
      </c>
      <c r="B1304" t="s">
        <v>23</v>
      </c>
      <c r="C1304" t="s">
        <v>1556</v>
      </c>
      <c r="D1304" t="s">
        <v>1554</v>
      </c>
    </row>
    <row r="1305" spans="1:4" x14ac:dyDescent="0.2">
      <c r="A1305" t="s">
        <v>732</v>
      </c>
      <c r="B1305" t="s">
        <v>25</v>
      </c>
      <c r="C1305" t="s">
        <v>1557</v>
      </c>
      <c r="D1305" t="s">
        <v>1554</v>
      </c>
    </row>
    <row r="1306" spans="1:4" x14ac:dyDescent="0.2">
      <c r="A1306" t="s">
        <v>732</v>
      </c>
      <c r="B1306" t="s">
        <v>24</v>
      </c>
      <c r="C1306" t="s">
        <v>1558</v>
      </c>
      <c r="D1306" t="s">
        <v>1559</v>
      </c>
    </row>
    <row r="1307" spans="1:4" x14ac:dyDescent="0.2">
      <c r="A1307" t="s">
        <v>738</v>
      </c>
      <c r="B1307" t="s">
        <v>6</v>
      </c>
      <c r="C1307" t="s">
        <v>1564</v>
      </c>
      <c r="D1307" t="s">
        <v>1554</v>
      </c>
    </row>
    <row r="1308" spans="1:4" x14ac:dyDescent="0.2">
      <c r="A1308" t="s">
        <v>738</v>
      </c>
      <c r="B1308" t="s">
        <v>7</v>
      </c>
      <c r="C1308" t="s">
        <v>1565</v>
      </c>
      <c r="D1308" t="s">
        <v>1554</v>
      </c>
    </row>
    <row r="1309" spans="1:4" x14ac:dyDescent="0.2">
      <c r="A1309" t="s">
        <v>738</v>
      </c>
      <c r="B1309" t="s">
        <v>8</v>
      </c>
      <c r="C1309" t="s">
        <v>1561</v>
      </c>
      <c r="D1309" t="s">
        <v>1554</v>
      </c>
    </row>
    <row r="1310" spans="1:4" x14ac:dyDescent="0.2">
      <c r="A1310" t="s">
        <v>738</v>
      </c>
      <c r="B1310" t="s">
        <v>9</v>
      </c>
      <c r="C1310" t="s">
        <v>1553</v>
      </c>
      <c r="D1310" t="s">
        <v>1554</v>
      </c>
    </row>
    <row r="1311" spans="1:4" x14ac:dyDescent="0.2">
      <c r="A1311" t="s">
        <v>738</v>
      </c>
      <c r="B1311" t="s">
        <v>10</v>
      </c>
      <c r="C1311" t="s">
        <v>1555</v>
      </c>
      <c r="D1311" t="s">
        <v>1554</v>
      </c>
    </row>
    <row r="1312" spans="1:4" x14ac:dyDescent="0.2">
      <c r="A1312" t="s">
        <v>738</v>
      </c>
      <c r="B1312" t="s">
        <v>11</v>
      </c>
      <c r="C1312" t="s">
        <v>1566</v>
      </c>
      <c r="D1312" t="s">
        <v>1554</v>
      </c>
    </row>
    <row r="1313" spans="1:4" x14ac:dyDescent="0.2">
      <c r="A1313" t="s">
        <v>738</v>
      </c>
      <c r="B1313" t="s">
        <v>13</v>
      </c>
      <c r="C1313" t="s">
        <v>1567</v>
      </c>
      <c r="D1313" t="s">
        <v>1554</v>
      </c>
    </row>
    <row r="1314" spans="1:4" x14ac:dyDescent="0.2">
      <c r="A1314" t="s">
        <v>738</v>
      </c>
      <c r="B1314" t="s">
        <v>14</v>
      </c>
      <c r="C1314" t="s">
        <v>1568</v>
      </c>
      <c r="D1314" t="s">
        <v>1554</v>
      </c>
    </row>
    <row r="1315" spans="1:4" x14ac:dyDescent="0.2">
      <c r="A1315" t="s">
        <v>738</v>
      </c>
      <c r="B1315" t="s">
        <v>15</v>
      </c>
      <c r="C1315" t="s">
        <v>1569</v>
      </c>
      <c r="D1315" t="s">
        <v>1554</v>
      </c>
    </row>
    <row r="1316" spans="1:4" x14ac:dyDescent="0.2">
      <c r="A1316" t="s">
        <v>738</v>
      </c>
      <c r="B1316" t="s">
        <v>17</v>
      </c>
      <c r="C1316" t="s">
        <v>1560</v>
      </c>
      <c r="D1316" t="s">
        <v>1554</v>
      </c>
    </row>
    <row r="1317" spans="1:4" x14ac:dyDescent="0.2">
      <c r="A1317" t="s">
        <v>738</v>
      </c>
      <c r="B1317" t="s">
        <v>19</v>
      </c>
      <c r="C1317" t="s">
        <v>1570</v>
      </c>
      <c r="D1317" t="s">
        <v>1554</v>
      </c>
    </row>
    <row r="1318" spans="1:4" x14ac:dyDescent="0.2">
      <c r="A1318" t="s">
        <v>738</v>
      </c>
      <c r="B1318" t="s">
        <v>23</v>
      </c>
      <c r="C1318" t="s">
        <v>1556</v>
      </c>
      <c r="D1318" t="s">
        <v>1554</v>
      </c>
    </row>
    <row r="1319" spans="1:4" x14ac:dyDescent="0.2">
      <c r="A1319" t="s">
        <v>738</v>
      </c>
      <c r="B1319" t="s">
        <v>25</v>
      </c>
      <c r="C1319" t="s">
        <v>1557</v>
      </c>
      <c r="D1319" t="s">
        <v>1554</v>
      </c>
    </row>
    <row r="1320" spans="1:4" x14ac:dyDescent="0.2">
      <c r="A1320" t="s">
        <v>738</v>
      </c>
      <c r="B1320" t="s">
        <v>24</v>
      </c>
      <c r="C1320" t="s">
        <v>1558</v>
      </c>
      <c r="D1320" t="s">
        <v>1559</v>
      </c>
    </row>
    <row r="1321" spans="1:4" x14ac:dyDescent="0.2">
      <c r="A1321" t="s">
        <v>744</v>
      </c>
      <c r="B1321" t="s">
        <v>6</v>
      </c>
      <c r="C1321" t="s">
        <v>1564</v>
      </c>
      <c r="D1321" t="s">
        <v>1554</v>
      </c>
    </row>
    <row r="1322" spans="1:4" x14ac:dyDescent="0.2">
      <c r="A1322" t="s">
        <v>744</v>
      </c>
      <c r="B1322" t="s">
        <v>7</v>
      </c>
      <c r="C1322" t="s">
        <v>1565</v>
      </c>
      <c r="D1322" t="s">
        <v>1554</v>
      </c>
    </row>
    <row r="1323" spans="1:4" x14ac:dyDescent="0.2">
      <c r="A1323" t="s">
        <v>744</v>
      </c>
      <c r="B1323" t="s">
        <v>8</v>
      </c>
      <c r="C1323" t="s">
        <v>1561</v>
      </c>
      <c r="D1323" t="s">
        <v>1554</v>
      </c>
    </row>
    <row r="1324" spans="1:4" x14ac:dyDescent="0.2">
      <c r="A1324" t="s">
        <v>744</v>
      </c>
      <c r="B1324" t="s">
        <v>9</v>
      </c>
      <c r="C1324" t="s">
        <v>1553</v>
      </c>
      <c r="D1324" t="s">
        <v>1554</v>
      </c>
    </row>
    <row r="1325" spans="1:4" x14ac:dyDescent="0.2">
      <c r="A1325" t="s">
        <v>744</v>
      </c>
      <c r="B1325" t="s">
        <v>10</v>
      </c>
      <c r="C1325" t="s">
        <v>1555</v>
      </c>
      <c r="D1325" t="s">
        <v>1554</v>
      </c>
    </row>
    <row r="1326" spans="1:4" x14ac:dyDescent="0.2">
      <c r="A1326" t="s">
        <v>744</v>
      </c>
      <c r="B1326" t="s">
        <v>11</v>
      </c>
      <c r="C1326" t="s">
        <v>1566</v>
      </c>
      <c r="D1326" t="s">
        <v>1554</v>
      </c>
    </row>
    <row r="1327" spans="1:4" x14ac:dyDescent="0.2">
      <c r="A1327" t="s">
        <v>744</v>
      </c>
      <c r="B1327" t="s">
        <v>13</v>
      </c>
      <c r="C1327" t="s">
        <v>1567</v>
      </c>
      <c r="D1327" t="s">
        <v>1554</v>
      </c>
    </row>
    <row r="1328" spans="1:4" x14ac:dyDescent="0.2">
      <c r="A1328" t="s">
        <v>744</v>
      </c>
      <c r="B1328" t="s">
        <v>14</v>
      </c>
      <c r="C1328" t="s">
        <v>1568</v>
      </c>
      <c r="D1328" t="s">
        <v>1554</v>
      </c>
    </row>
    <row r="1329" spans="1:4" x14ac:dyDescent="0.2">
      <c r="A1329" t="s">
        <v>744</v>
      </c>
      <c r="B1329" t="s">
        <v>15</v>
      </c>
      <c r="C1329" t="s">
        <v>1569</v>
      </c>
      <c r="D1329" t="s">
        <v>1554</v>
      </c>
    </row>
    <row r="1330" spans="1:4" x14ac:dyDescent="0.2">
      <c r="A1330" t="s">
        <v>744</v>
      </c>
      <c r="B1330" t="s">
        <v>17</v>
      </c>
      <c r="C1330" t="s">
        <v>1560</v>
      </c>
      <c r="D1330" t="s">
        <v>1554</v>
      </c>
    </row>
    <row r="1331" spans="1:4" x14ac:dyDescent="0.2">
      <c r="A1331" t="s">
        <v>744</v>
      </c>
      <c r="B1331" t="s">
        <v>19</v>
      </c>
      <c r="C1331" t="s">
        <v>1570</v>
      </c>
      <c r="D1331" t="s">
        <v>1554</v>
      </c>
    </row>
    <row r="1332" spans="1:4" x14ac:dyDescent="0.2">
      <c r="A1332" t="s">
        <v>744</v>
      </c>
      <c r="B1332" t="s">
        <v>23</v>
      </c>
      <c r="C1332" t="s">
        <v>1556</v>
      </c>
      <c r="D1332" t="s">
        <v>1554</v>
      </c>
    </row>
    <row r="1333" spans="1:4" x14ac:dyDescent="0.2">
      <c r="A1333" t="s">
        <v>744</v>
      </c>
      <c r="B1333" t="s">
        <v>25</v>
      </c>
      <c r="C1333" t="s">
        <v>1557</v>
      </c>
      <c r="D1333" t="s">
        <v>1554</v>
      </c>
    </row>
    <row r="1334" spans="1:4" x14ac:dyDescent="0.2">
      <c r="A1334" t="s">
        <v>744</v>
      </c>
      <c r="B1334" t="s">
        <v>24</v>
      </c>
      <c r="C1334" t="s">
        <v>1558</v>
      </c>
      <c r="D1334" t="s">
        <v>1559</v>
      </c>
    </row>
    <row r="1335" spans="1:4" x14ac:dyDescent="0.2">
      <c r="A1335" t="s">
        <v>750</v>
      </c>
      <c r="B1335" t="s">
        <v>6</v>
      </c>
      <c r="C1335" t="s">
        <v>1564</v>
      </c>
      <c r="D1335" t="s">
        <v>1554</v>
      </c>
    </row>
    <row r="1336" spans="1:4" x14ac:dyDescent="0.2">
      <c r="A1336" t="s">
        <v>750</v>
      </c>
      <c r="B1336" t="s">
        <v>7</v>
      </c>
      <c r="C1336" t="s">
        <v>1565</v>
      </c>
      <c r="D1336" t="s">
        <v>1554</v>
      </c>
    </row>
    <row r="1337" spans="1:4" x14ac:dyDescent="0.2">
      <c r="A1337" t="s">
        <v>750</v>
      </c>
      <c r="B1337" t="s">
        <v>8</v>
      </c>
      <c r="C1337" t="s">
        <v>1561</v>
      </c>
      <c r="D1337" t="s">
        <v>1554</v>
      </c>
    </row>
    <row r="1338" spans="1:4" x14ac:dyDescent="0.2">
      <c r="A1338" t="s">
        <v>750</v>
      </c>
      <c r="B1338" t="s">
        <v>9</v>
      </c>
      <c r="C1338" t="s">
        <v>1553</v>
      </c>
      <c r="D1338" t="s">
        <v>1554</v>
      </c>
    </row>
    <row r="1339" spans="1:4" x14ac:dyDescent="0.2">
      <c r="A1339" t="s">
        <v>750</v>
      </c>
      <c r="B1339" t="s">
        <v>10</v>
      </c>
      <c r="C1339" t="s">
        <v>1555</v>
      </c>
      <c r="D1339" t="s">
        <v>1554</v>
      </c>
    </row>
    <row r="1340" spans="1:4" x14ac:dyDescent="0.2">
      <c r="A1340" t="s">
        <v>750</v>
      </c>
      <c r="B1340" t="s">
        <v>11</v>
      </c>
      <c r="C1340" t="s">
        <v>1566</v>
      </c>
      <c r="D1340" t="s">
        <v>1554</v>
      </c>
    </row>
    <row r="1341" spans="1:4" x14ac:dyDescent="0.2">
      <c r="A1341" t="s">
        <v>750</v>
      </c>
      <c r="B1341" t="s">
        <v>13</v>
      </c>
      <c r="C1341" t="s">
        <v>1567</v>
      </c>
      <c r="D1341" t="s">
        <v>1554</v>
      </c>
    </row>
    <row r="1342" spans="1:4" x14ac:dyDescent="0.2">
      <c r="A1342" t="s">
        <v>750</v>
      </c>
      <c r="B1342" t="s">
        <v>14</v>
      </c>
      <c r="C1342" t="s">
        <v>1568</v>
      </c>
      <c r="D1342" t="s">
        <v>1554</v>
      </c>
    </row>
    <row r="1343" spans="1:4" x14ac:dyDescent="0.2">
      <c r="A1343" t="s">
        <v>750</v>
      </c>
      <c r="B1343" t="s">
        <v>15</v>
      </c>
      <c r="C1343" t="s">
        <v>1569</v>
      </c>
      <c r="D1343" t="s">
        <v>1554</v>
      </c>
    </row>
    <row r="1344" spans="1:4" x14ac:dyDescent="0.2">
      <c r="A1344" t="s">
        <v>750</v>
      </c>
      <c r="B1344" t="s">
        <v>17</v>
      </c>
      <c r="C1344" t="s">
        <v>1560</v>
      </c>
      <c r="D1344" t="s">
        <v>1554</v>
      </c>
    </row>
    <row r="1345" spans="1:4" x14ac:dyDescent="0.2">
      <c r="A1345" t="s">
        <v>750</v>
      </c>
      <c r="B1345" t="s">
        <v>19</v>
      </c>
      <c r="C1345" t="s">
        <v>1570</v>
      </c>
      <c r="D1345" t="s">
        <v>1554</v>
      </c>
    </row>
    <row r="1346" spans="1:4" x14ac:dyDescent="0.2">
      <c r="A1346" t="s">
        <v>750</v>
      </c>
      <c r="B1346" t="s">
        <v>23</v>
      </c>
      <c r="C1346" t="s">
        <v>1556</v>
      </c>
      <c r="D1346" t="s">
        <v>1554</v>
      </c>
    </row>
    <row r="1347" spans="1:4" x14ac:dyDescent="0.2">
      <c r="A1347" t="s">
        <v>750</v>
      </c>
      <c r="B1347" t="s">
        <v>25</v>
      </c>
      <c r="C1347" t="s">
        <v>1557</v>
      </c>
      <c r="D1347" t="s">
        <v>1554</v>
      </c>
    </row>
    <row r="1348" spans="1:4" x14ac:dyDescent="0.2">
      <c r="A1348" t="s">
        <v>756</v>
      </c>
      <c r="B1348" t="s">
        <v>6</v>
      </c>
      <c r="C1348" t="s">
        <v>1564</v>
      </c>
      <c r="D1348" t="s">
        <v>1554</v>
      </c>
    </row>
    <row r="1349" spans="1:4" x14ac:dyDescent="0.2">
      <c r="A1349" t="s">
        <v>756</v>
      </c>
      <c r="B1349" t="s">
        <v>7</v>
      </c>
      <c r="C1349" t="s">
        <v>1565</v>
      </c>
      <c r="D1349" t="s">
        <v>1554</v>
      </c>
    </row>
    <row r="1350" spans="1:4" x14ac:dyDescent="0.2">
      <c r="A1350" t="s">
        <v>756</v>
      </c>
      <c r="B1350" t="s">
        <v>8</v>
      </c>
      <c r="C1350" t="s">
        <v>1561</v>
      </c>
      <c r="D1350" t="s">
        <v>1554</v>
      </c>
    </row>
    <row r="1351" spans="1:4" x14ac:dyDescent="0.2">
      <c r="A1351" t="s">
        <v>756</v>
      </c>
      <c r="B1351" t="s">
        <v>9</v>
      </c>
      <c r="C1351" t="s">
        <v>1553</v>
      </c>
      <c r="D1351" t="s">
        <v>1554</v>
      </c>
    </row>
    <row r="1352" spans="1:4" x14ac:dyDescent="0.2">
      <c r="A1352" t="s">
        <v>756</v>
      </c>
      <c r="B1352" t="s">
        <v>10</v>
      </c>
      <c r="C1352" t="s">
        <v>1555</v>
      </c>
      <c r="D1352" t="s">
        <v>1554</v>
      </c>
    </row>
    <row r="1353" spans="1:4" x14ac:dyDescent="0.2">
      <c r="A1353" t="s">
        <v>756</v>
      </c>
      <c r="B1353" t="s">
        <v>11</v>
      </c>
      <c r="C1353" t="s">
        <v>1566</v>
      </c>
      <c r="D1353" t="s">
        <v>1554</v>
      </c>
    </row>
    <row r="1354" spans="1:4" x14ac:dyDescent="0.2">
      <c r="A1354" t="s">
        <v>756</v>
      </c>
      <c r="B1354" t="s">
        <v>13</v>
      </c>
      <c r="C1354" t="s">
        <v>1567</v>
      </c>
      <c r="D1354" t="s">
        <v>1554</v>
      </c>
    </row>
    <row r="1355" spans="1:4" x14ac:dyDescent="0.2">
      <c r="A1355" t="s">
        <v>756</v>
      </c>
      <c r="B1355" t="s">
        <v>14</v>
      </c>
      <c r="C1355" t="s">
        <v>1568</v>
      </c>
      <c r="D1355" t="s">
        <v>1554</v>
      </c>
    </row>
    <row r="1356" spans="1:4" x14ac:dyDescent="0.2">
      <c r="A1356" t="s">
        <v>756</v>
      </c>
      <c r="B1356" t="s">
        <v>15</v>
      </c>
      <c r="C1356" t="s">
        <v>1569</v>
      </c>
      <c r="D1356" t="s">
        <v>1554</v>
      </c>
    </row>
    <row r="1357" spans="1:4" x14ac:dyDescent="0.2">
      <c r="A1357" t="s">
        <v>756</v>
      </c>
      <c r="B1357" t="s">
        <v>17</v>
      </c>
      <c r="C1357" t="s">
        <v>1560</v>
      </c>
      <c r="D1357" t="s">
        <v>1554</v>
      </c>
    </row>
    <row r="1358" spans="1:4" x14ac:dyDescent="0.2">
      <c r="A1358" t="s">
        <v>756</v>
      </c>
      <c r="B1358" t="s">
        <v>19</v>
      </c>
      <c r="C1358" t="s">
        <v>1570</v>
      </c>
      <c r="D1358" t="s">
        <v>1554</v>
      </c>
    </row>
    <row r="1359" spans="1:4" x14ac:dyDescent="0.2">
      <c r="A1359" t="s">
        <v>756</v>
      </c>
      <c r="B1359" t="s">
        <v>23</v>
      </c>
      <c r="C1359" t="s">
        <v>1556</v>
      </c>
      <c r="D1359" t="s">
        <v>1554</v>
      </c>
    </row>
    <row r="1360" spans="1:4" x14ac:dyDescent="0.2">
      <c r="A1360" t="s">
        <v>756</v>
      </c>
      <c r="B1360" t="s">
        <v>25</v>
      </c>
      <c r="C1360" t="s">
        <v>1557</v>
      </c>
      <c r="D1360" t="s">
        <v>1554</v>
      </c>
    </row>
    <row r="1361" spans="1:4" x14ac:dyDescent="0.2">
      <c r="A1361" t="s">
        <v>756</v>
      </c>
      <c r="B1361" t="s">
        <v>24</v>
      </c>
      <c r="C1361" t="s">
        <v>1558</v>
      </c>
      <c r="D1361" t="s">
        <v>1559</v>
      </c>
    </row>
    <row r="1362" spans="1:4" x14ac:dyDescent="0.2">
      <c r="A1362" t="s">
        <v>762</v>
      </c>
      <c r="B1362" t="s">
        <v>3</v>
      </c>
      <c r="C1362" t="s">
        <v>1562</v>
      </c>
      <c r="D1362" t="s">
        <v>1554</v>
      </c>
    </row>
    <row r="1363" spans="1:4" x14ac:dyDescent="0.2">
      <c r="A1363" t="s">
        <v>762</v>
      </c>
      <c r="B1363" t="s">
        <v>5</v>
      </c>
      <c r="C1363" t="s">
        <v>1563</v>
      </c>
      <c r="D1363" t="s">
        <v>1554</v>
      </c>
    </row>
    <row r="1364" spans="1:4" x14ac:dyDescent="0.2">
      <c r="A1364" t="s">
        <v>762</v>
      </c>
      <c r="B1364" t="s">
        <v>6</v>
      </c>
      <c r="C1364" t="s">
        <v>1564</v>
      </c>
      <c r="D1364" t="s">
        <v>1554</v>
      </c>
    </row>
    <row r="1365" spans="1:4" x14ac:dyDescent="0.2">
      <c r="A1365" t="s">
        <v>762</v>
      </c>
      <c r="B1365" t="s">
        <v>7</v>
      </c>
      <c r="C1365" t="s">
        <v>1565</v>
      </c>
      <c r="D1365" t="s">
        <v>1554</v>
      </c>
    </row>
    <row r="1366" spans="1:4" x14ac:dyDescent="0.2">
      <c r="A1366" t="s">
        <v>762</v>
      </c>
      <c r="B1366" t="s">
        <v>8</v>
      </c>
      <c r="C1366" t="s">
        <v>1561</v>
      </c>
      <c r="D1366" t="s">
        <v>1554</v>
      </c>
    </row>
    <row r="1367" spans="1:4" x14ac:dyDescent="0.2">
      <c r="A1367" t="s">
        <v>762</v>
      </c>
      <c r="B1367" t="s">
        <v>9</v>
      </c>
      <c r="C1367" t="s">
        <v>1553</v>
      </c>
      <c r="D1367" t="s">
        <v>1554</v>
      </c>
    </row>
    <row r="1368" spans="1:4" x14ac:dyDescent="0.2">
      <c r="A1368" t="s">
        <v>762</v>
      </c>
      <c r="B1368" t="s">
        <v>10</v>
      </c>
      <c r="C1368" t="s">
        <v>1555</v>
      </c>
      <c r="D1368" t="s">
        <v>1554</v>
      </c>
    </row>
    <row r="1369" spans="1:4" x14ac:dyDescent="0.2">
      <c r="A1369" t="s">
        <v>762</v>
      </c>
      <c r="B1369" t="s">
        <v>11</v>
      </c>
      <c r="C1369" t="s">
        <v>1566</v>
      </c>
      <c r="D1369" t="s">
        <v>1554</v>
      </c>
    </row>
    <row r="1370" spans="1:4" x14ac:dyDescent="0.2">
      <c r="A1370" t="s">
        <v>762</v>
      </c>
      <c r="B1370" t="s">
        <v>13</v>
      </c>
      <c r="C1370" t="s">
        <v>1567</v>
      </c>
      <c r="D1370" t="s">
        <v>1554</v>
      </c>
    </row>
    <row r="1371" spans="1:4" x14ac:dyDescent="0.2">
      <c r="A1371" t="s">
        <v>762</v>
      </c>
      <c r="B1371" t="s">
        <v>14</v>
      </c>
      <c r="C1371" t="s">
        <v>1568</v>
      </c>
      <c r="D1371" t="s">
        <v>1554</v>
      </c>
    </row>
    <row r="1372" spans="1:4" x14ac:dyDescent="0.2">
      <c r="A1372" t="s">
        <v>762</v>
      </c>
      <c r="B1372" t="s">
        <v>15</v>
      </c>
      <c r="C1372" t="s">
        <v>1569</v>
      </c>
      <c r="D1372" t="s">
        <v>1554</v>
      </c>
    </row>
    <row r="1373" spans="1:4" x14ac:dyDescent="0.2">
      <c r="A1373" t="s">
        <v>762</v>
      </c>
      <c r="B1373" t="s">
        <v>17</v>
      </c>
      <c r="C1373" t="s">
        <v>1560</v>
      </c>
      <c r="D1373" t="s">
        <v>1554</v>
      </c>
    </row>
    <row r="1374" spans="1:4" x14ac:dyDescent="0.2">
      <c r="A1374" t="s">
        <v>762</v>
      </c>
      <c r="B1374" t="s">
        <v>19</v>
      </c>
      <c r="C1374" t="s">
        <v>1570</v>
      </c>
      <c r="D1374" t="s">
        <v>1554</v>
      </c>
    </row>
    <row r="1375" spans="1:4" x14ac:dyDescent="0.2">
      <c r="A1375" t="s">
        <v>762</v>
      </c>
      <c r="B1375" t="s">
        <v>23</v>
      </c>
      <c r="C1375" t="s">
        <v>1556</v>
      </c>
      <c r="D1375" t="s">
        <v>1554</v>
      </c>
    </row>
    <row r="1376" spans="1:4" x14ac:dyDescent="0.2">
      <c r="A1376" t="s">
        <v>762</v>
      </c>
      <c r="B1376" t="s">
        <v>25</v>
      </c>
      <c r="C1376" t="s">
        <v>1557</v>
      </c>
      <c r="D1376" t="s">
        <v>1554</v>
      </c>
    </row>
    <row r="1377" spans="1:4" x14ac:dyDescent="0.2">
      <c r="A1377" t="s">
        <v>768</v>
      </c>
      <c r="B1377" t="s">
        <v>6</v>
      </c>
      <c r="C1377" t="s">
        <v>1564</v>
      </c>
      <c r="D1377" t="s">
        <v>1554</v>
      </c>
    </row>
    <row r="1378" spans="1:4" x14ac:dyDescent="0.2">
      <c r="A1378" t="s">
        <v>768</v>
      </c>
      <c r="B1378" t="s">
        <v>7</v>
      </c>
      <c r="C1378" t="s">
        <v>1565</v>
      </c>
      <c r="D1378" t="s">
        <v>1554</v>
      </c>
    </row>
    <row r="1379" spans="1:4" x14ac:dyDescent="0.2">
      <c r="A1379" t="s">
        <v>768</v>
      </c>
      <c r="B1379" t="s">
        <v>8</v>
      </c>
      <c r="C1379" t="s">
        <v>1561</v>
      </c>
      <c r="D1379" t="s">
        <v>1554</v>
      </c>
    </row>
    <row r="1380" spans="1:4" x14ac:dyDescent="0.2">
      <c r="A1380" t="s">
        <v>768</v>
      </c>
      <c r="B1380" t="s">
        <v>9</v>
      </c>
      <c r="C1380" t="s">
        <v>1553</v>
      </c>
      <c r="D1380" t="s">
        <v>1554</v>
      </c>
    </row>
    <row r="1381" spans="1:4" x14ac:dyDescent="0.2">
      <c r="A1381" t="s">
        <v>768</v>
      </c>
      <c r="B1381" t="s">
        <v>10</v>
      </c>
      <c r="C1381" t="s">
        <v>1555</v>
      </c>
      <c r="D1381" t="s">
        <v>1554</v>
      </c>
    </row>
    <row r="1382" spans="1:4" x14ac:dyDescent="0.2">
      <c r="A1382" t="s">
        <v>768</v>
      </c>
      <c r="B1382" t="s">
        <v>11</v>
      </c>
      <c r="C1382" t="s">
        <v>1566</v>
      </c>
      <c r="D1382" t="s">
        <v>1554</v>
      </c>
    </row>
    <row r="1383" spans="1:4" x14ac:dyDescent="0.2">
      <c r="A1383" t="s">
        <v>768</v>
      </c>
      <c r="B1383" t="s">
        <v>13</v>
      </c>
      <c r="C1383" t="s">
        <v>1567</v>
      </c>
      <c r="D1383" t="s">
        <v>1554</v>
      </c>
    </row>
    <row r="1384" spans="1:4" x14ac:dyDescent="0.2">
      <c r="A1384" t="s">
        <v>768</v>
      </c>
      <c r="B1384" t="s">
        <v>14</v>
      </c>
      <c r="C1384" t="s">
        <v>1568</v>
      </c>
      <c r="D1384" t="s">
        <v>1554</v>
      </c>
    </row>
    <row r="1385" spans="1:4" x14ac:dyDescent="0.2">
      <c r="A1385" t="s">
        <v>768</v>
      </c>
      <c r="B1385" t="s">
        <v>15</v>
      </c>
      <c r="C1385" t="s">
        <v>1569</v>
      </c>
      <c r="D1385" t="s">
        <v>1554</v>
      </c>
    </row>
    <row r="1386" spans="1:4" x14ac:dyDescent="0.2">
      <c r="A1386" t="s">
        <v>768</v>
      </c>
      <c r="B1386" t="s">
        <v>17</v>
      </c>
      <c r="C1386" t="s">
        <v>1560</v>
      </c>
      <c r="D1386" t="s">
        <v>1554</v>
      </c>
    </row>
    <row r="1387" spans="1:4" x14ac:dyDescent="0.2">
      <c r="A1387" t="s">
        <v>768</v>
      </c>
      <c r="B1387" t="s">
        <v>19</v>
      </c>
      <c r="C1387" t="s">
        <v>1570</v>
      </c>
      <c r="D1387" t="s">
        <v>1554</v>
      </c>
    </row>
    <row r="1388" spans="1:4" x14ac:dyDescent="0.2">
      <c r="A1388" t="s">
        <v>768</v>
      </c>
      <c r="B1388" t="s">
        <v>23</v>
      </c>
      <c r="C1388" t="s">
        <v>1556</v>
      </c>
      <c r="D1388" t="s">
        <v>1554</v>
      </c>
    </row>
    <row r="1389" spans="1:4" x14ac:dyDescent="0.2">
      <c r="A1389" t="s">
        <v>768</v>
      </c>
      <c r="B1389" t="s">
        <v>25</v>
      </c>
      <c r="C1389" t="s">
        <v>1557</v>
      </c>
      <c r="D1389" t="s">
        <v>1554</v>
      </c>
    </row>
    <row r="1390" spans="1:4" x14ac:dyDescent="0.2">
      <c r="A1390" t="s">
        <v>768</v>
      </c>
      <c r="B1390" t="s">
        <v>24</v>
      </c>
      <c r="C1390" t="s">
        <v>1558</v>
      </c>
      <c r="D1390" t="s">
        <v>1559</v>
      </c>
    </row>
    <row r="1391" spans="1:4" x14ac:dyDescent="0.2">
      <c r="A1391" t="s">
        <v>774</v>
      </c>
      <c r="B1391" t="s">
        <v>6</v>
      </c>
      <c r="C1391" t="s">
        <v>1564</v>
      </c>
      <c r="D1391" t="s">
        <v>1554</v>
      </c>
    </row>
    <row r="1392" spans="1:4" x14ac:dyDescent="0.2">
      <c r="A1392" t="s">
        <v>774</v>
      </c>
      <c r="B1392" t="s">
        <v>7</v>
      </c>
      <c r="C1392" t="s">
        <v>1565</v>
      </c>
      <c r="D1392" t="s">
        <v>1554</v>
      </c>
    </row>
    <row r="1393" spans="1:4" x14ac:dyDescent="0.2">
      <c r="A1393" t="s">
        <v>774</v>
      </c>
      <c r="B1393" t="s">
        <v>8</v>
      </c>
      <c r="C1393" t="s">
        <v>1561</v>
      </c>
      <c r="D1393" t="s">
        <v>1554</v>
      </c>
    </row>
    <row r="1394" spans="1:4" x14ac:dyDescent="0.2">
      <c r="A1394" t="s">
        <v>774</v>
      </c>
      <c r="B1394" t="s">
        <v>9</v>
      </c>
      <c r="C1394" t="s">
        <v>1553</v>
      </c>
      <c r="D1394" t="s">
        <v>1554</v>
      </c>
    </row>
    <row r="1395" spans="1:4" x14ac:dyDescent="0.2">
      <c r="A1395" t="s">
        <v>774</v>
      </c>
      <c r="B1395" t="s">
        <v>10</v>
      </c>
      <c r="C1395" t="s">
        <v>1555</v>
      </c>
      <c r="D1395" t="s">
        <v>1554</v>
      </c>
    </row>
    <row r="1396" spans="1:4" x14ac:dyDescent="0.2">
      <c r="A1396" t="s">
        <v>774</v>
      </c>
      <c r="B1396" t="s">
        <v>11</v>
      </c>
      <c r="C1396" t="s">
        <v>1566</v>
      </c>
      <c r="D1396" t="s">
        <v>1554</v>
      </c>
    </row>
    <row r="1397" spans="1:4" x14ac:dyDescent="0.2">
      <c r="A1397" t="s">
        <v>774</v>
      </c>
      <c r="B1397" t="s">
        <v>13</v>
      </c>
      <c r="C1397" t="s">
        <v>1567</v>
      </c>
      <c r="D1397" t="s">
        <v>1554</v>
      </c>
    </row>
    <row r="1398" spans="1:4" x14ac:dyDescent="0.2">
      <c r="A1398" t="s">
        <v>774</v>
      </c>
      <c r="B1398" t="s">
        <v>14</v>
      </c>
      <c r="C1398" t="s">
        <v>1568</v>
      </c>
      <c r="D1398" t="s">
        <v>1554</v>
      </c>
    </row>
    <row r="1399" spans="1:4" x14ac:dyDescent="0.2">
      <c r="A1399" t="s">
        <v>774</v>
      </c>
      <c r="B1399" t="s">
        <v>15</v>
      </c>
      <c r="C1399" t="s">
        <v>1569</v>
      </c>
      <c r="D1399" t="s">
        <v>1554</v>
      </c>
    </row>
    <row r="1400" spans="1:4" x14ac:dyDescent="0.2">
      <c r="A1400" t="s">
        <v>774</v>
      </c>
      <c r="B1400" t="s">
        <v>17</v>
      </c>
      <c r="C1400" t="s">
        <v>1560</v>
      </c>
      <c r="D1400" t="s">
        <v>1554</v>
      </c>
    </row>
    <row r="1401" spans="1:4" x14ac:dyDescent="0.2">
      <c r="A1401" t="s">
        <v>774</v>
      </c>
      <c r="B1401" t="s">
        <v>19</v>
      </c>
      <c r="C1401" t="s">
        <v>1570</v>
      </c>
      <c r="D1401" t="s">
        <v>1554</v>
      </c>
    </row>
    <row r="1402" spans="1:4" x14ac:dyDescent="0.2">
      <c r="A1402" t="s">
        <v>774</v>
      </c>
      <c r="B1402" t="s">
        <v>23</v>
      </c>
      <c r="C1402" t="s">
        <v>1556</v>
      </c>
      <c r="D1402" t="s">
        <v>1554</v>
      </c>
    </row>
    <row r="1403" spans="1:4" x14ac:dyDescent="0.2">
      <c r="A1403" t="s">
        <v>774</v>
      </c>
      <c r="B1403" t="s">
        <v>25</v>
      </c>
      <c r="C1403" t="s">
        <v>1557</v>
      </c>
      <c r="D1403" t="s">
        <v>1554</v>
      </c>
    </row>
    <row r="1404" spans="1:4" x14ac:dyDescent="0.2">
      <c r="A1404" t="s">
        <v>780</v>
      </c>
      <c r="B1404" t="s">
        <v>6</v>
      </c>
      <c r="C1404" t="s">
        <v>1564</v>
      </c>
      <c r="D1404" t="s">
        <v>1554</v>
      </c>
    </row>
    <row r="1405" spans="1:4" x14ac:dyDescent="0.2">
      <c r="A1405" t="s">
        <v>780</v>
      </c>
      <c r="B1405" t="s">
        <v>7</v>
      </c>
      <c r="C1405" t="s">
        <v>1565</v>
      </c>
      <c r="D1405" t="s">
        <v>1554</v>
      </c>
    </row>
    <row r="1406" spans="1:4" x14ac:dyDescent="0.2">
      <c r="A1406" t="s">
        <v>780</v>
      </c>
      <c r="B1406" t="s">
        <v>8</v>
      </c>
      <c r="C1406" t="s">
        <v>1561</v>
      </c>
      <c r="D1406" t="s">
        <v>1554</v>
      </c>
    </row>
    <row r="1407" spans="1:4" x14ac:dyDescent="0.2">
      <c r="A1407" t="s">
        <v>780</v>
      </c>
      <c r="B1407" t="s">
        <v>9</v>
      </c>
      <c r="C1407" t="s">
        <v>1553</v>
      </c>
      <c r="D1407" t="s">
        <v>1554</v>
      </c>
    </row>
    <row r="1408" spans="1:4" x14ac:dyDescent="0.2">
      <c r="A1408" t="s">
        <v>780</v>
      </c>
      <c r="B1408" t="s">
        <v>10</v>
      </c>
      <c r="C1408" t="s">
        <v>1555</v>
      </c>
      <c r="D1408" t="s">
        <v>1554</v>
      </c>
    </row>
    <row r="1409" spans="1:4" x14ac:dyDescent="0.2">
      <c r="A1409" t="s">
        <v>780</v>
      </c>
      <c r="B1409" t="s">
        <v>11</v>
      </c>
      <c r="C1409" t="s">
        <v>1566</v>
      </c>
      <c r="D1409" t="s">
        <v>1554</v>
      </c>
    </row>
    <row r="1410" spans="1:4" x14ac:dyDescent="0.2">
      <c r="A1410" t="s">
        <v>780</v>
      </c>
      <c r="B1410" t="s">
        <v>13</v>
      </c>
      <c r="C1410" t="s">
        <v>1567</v>
      </c>
      <c r="D1410" t="s">
        <v>1554</v>
      </c>
    </row>
    <row r="1411" spans="1:4" x14ac:dyDescent="0.2">
      <c r="A1411" t="s">
        <v>780</v>
      </c>
      <c r="B1411" t="s">
        <v>14</v>
      </c>
      <c r="C1411" t="s">
        <v>1568</v>
      </c>
      <c r="D1411" t="s">
        <v>1554</v>
      </c>
    </row>
    <row r="1412" spans="1:4" x14ac:dyDescent="0.2">
      <c r="A1412" t="s">
        <v>780</v>
      </c>
      <c r="B1412" t="s">
        <v>15</v>
      </c>
      <c r="C1412" t="s">
        <v>1569</v>
      </c>
      <c r="D1412" t="s">
        <v>1554</v>
      </c>
    </row>
    <row r="1413" spans="1:4" x14ac:dyDescent="0.2">
      <c r="A1413" t="s">
        <v>780</v>
      </c>
      <c r="B1413" t="s">
        <v>17</v>
      </c>
      <c r="C1413" t="s">
        <v>1560</v>
      </c>
      <c r="D1413" t="s">
        <v>1554</v>
      </c>
    </row>
    <row r="1414" spans="1:4" x14ac:dyDescent="0.2">
      <c r="A1414" t="s">
        <v>780</v>
      </c>
      <c r="B1414" t="s">
        <v>19</v>
      </c>
      <c r="C1414" t="s">
        <v>1570</v>
      </c>
      <c r="D1414" t="s">
        <v>1554</v>
      </c>
    </row>
    <row r="1415" spans="1:4" x14ac:dyDescent="0.2">
      <c r="A1415" t="s">
        <v>780</v>
      </c>
      <c r="B1415" t="s">
        <v>23</v>
      </c>
      <c r="C1415" t="s">
        <v>1556</v>
      </c>
      <c r="D1415" t="s">
        <v>1554</v>
      </c>
    </row>
    <row r="1416" spans="1:4" x14ac:dyDescent="0.2">
      <c r="A1416" t="s">
        <v>780</v>
      </c>
      <c r="B1416" t="s">
        <v>25</v>
      </c>
      <c r="C1416" t="s">
        <v>1557</v>
      </c>
      <c r="D1416" t="s">
        <v>1554</v>
      </c>
    </row>
    <row r="1417" spans="1:4" x14ac:dyDescent="0.2">
      <c r="A1417" t="s">
        <v>780</v>
      </c>
      <c r="B1417" t="s">
        <v>21</v>
      </c>
      <c r="C1417" t="s">
        <v>1571</v>
      </c>
      <c r="D1417" t="s">
        <v>1559</v>
      </c>
    </row>
    <row r="1418" spans="1:4" x14ac:dyDescent="0.2">
      <c r="A1418" t="s">
        <v>780</v>
      </c>
      <c r="B1418" t="s">
        <v>22</v>
      </c>
      <c r="C1418" t="s">
        <v>1572</v>
      </c>
      <c r="D1418" t="s">
        <v>1559</v>
      </c>
    </row>
    <row r="1419" spans="1:4" x14ac:dyDescent="0.2">
      <c r="A1419" t="s">
        <v>780</v>
      </c>
      <c r="B1419" t="s">
        <v>24</v>
      </c>
      <c r="C1419" t="s">
        <v>1558</v>
      </c>
      <c r="D1419" t="s">
        <v>1559</v>
      </c>
    </row>
    <row r="1420" spans="1:4" x14ac:dyDescent="0.2">
      <c r="A1420" t="s">
        <v>785</v>
      </c>
      <c r="B1420" t="s">
        <v>6</v>
      </c>
      <c r="C1420" t="s">
        <v>1564</v>
      </c>
      <c r="D1420" t="s">
        <v>1554</v>
      </c>
    </row>
    <row r="1421" spans="1:4" x14ac:dyDescent="0.2">
      <c r="A1421" t="s">
        <v>785</v>
      </c>
      <c r="B1421" t="s">
        <v>7</v>
      </c>
      <c r="C1421" t="s">
        <v>1565</v>
      </c>
      <c r="D1421" t="s">
        <v>1554</v>
      </c>
    </row>
    <row r="1422" spans="1:4" x14ac:dyDescent="0.2">
      <c r="A1422" t="s">
        <v>785</v>
      </c>
      <c r="B1422" t="s">
        <v>8</v>
      </c>
      <c r="C1422" t="s">
        <v>1561</v>
      </c>
      <c r="D1422" t="s">
        <v>1554</v>
      </c>
    </row>
    <row r="1423" spans="1:4" x14ac:dyDescent="0.2">
      <c r="A1423" t="s">
        <v>785</v>
      </c>
      <c r="B1423" t="s">
        <v>9</v>
      </c>
      <c r="C1423" t="s">
        <v>1553</v>
      </c>
      <c r="D1423" t="s">
        <v>1554</v>
      </c>
    </row>
    <row r="1424" spans="1:4" x14ac:dyDescent="0.2">
      <c r="A1424" t="s">
        <v>785</v>
      </c>
      <c r="B1424" t="s">
        <v>10</v>
      </c>
      <c r="C1424" t="s">
        <v>1555</v>
      </c>
      <c r="D1424" t="s">
        <v>1554</v>
      </c>
    </row>
    <row r="1425" spans="1:4" x14ac:dyDescent="0.2">
      <c r="A1425" t="s">
        <v>785</v>
      </c>
      <c r="B1425" t="s">
        <v>11</v>
      </c>
      <c r="C1425" t="s">
        <v>1566</v>
      </c>
      <c r="D1425" t="s">
        <v>1554</v>
      </c>
    </row>
    <row r="1426" spans="1:4" x14ac:dyDescent="0.2">
      <c r="A1426" t="s">
        <v>785</v>
      </c>
      <c r="B1426" t="s">
        <v>13</v>
      </c>
      <c r="C1426" t="s">
        <v>1567</v>
      </c>
      <c r="D1426" t="s">
        <v>1554</v>
      </c>
    </row>
    <row r="1427" spans="1:4" x14ac:dyDescent="0.2">
      <c r="A1427" t="s">
        <v>785</v>
      </c>
      <c r="B1427" t="s">
        <v>14</v>
      </c>
      <c r="C1427" t="s">
        <v>1568</v>
      </c>
      <c r="D1427" t="s">
        <v>1554</v>
      </c>
    </row>
    <row r="1428" spans="1:4" x14ac:dyDescent="0.2">
      <c r="A1428" t="s">
        <v>785</v>
      </c>
      <c r="B1428" t="s">
        <v>15</v>
      </c>
      <c r="C1428" t="s">
        <v>1569</v>
      </c>
      <c r="D1428" t="s">
        <v>1554</v>
      </c>
    </row>
    <row r="1429" spans="1:4" x14ac:dyDescent="0.2">
      <c r="A1429" t="s">
        <v>785</v>
      </c>
      <c r="B1429" t="s">
        <v>17</v>
      </c>
      <c r="C1429" t="s">
        <v>1560</v>
      </c>
      <c r="D1429" t="s">
        <v>1554</v>
      </c>
    </row>
    <row r="1430" spans="1:4" x14ac:dyDescent="0.2">
      <c r="A1430" t="s">
        <v>785</v>
      </c>
      <c r="B1430" t="s">
        <v>19</v>
      </c>
      <c r="C1430" t="s">
        <v>1570</v>
      </c>
      <c r="D1430" t="s">
        <v>1554</v>
      </c>
    </row>
    <row r="1431" spans="1:4" x14ac:dyDescent="0.2">
      <c r="A1431" t="s">
        <v>785</v>
      </c>
      <c r="B1431" t="s">
        <v>23</v>
      </c>
      <c r="C1431" t="s">
        <v>1556</v>
      </c>
      <c r="D1431" t="s">
        <v>1554</v>
      </c>
    </row>
    <row r="1432" spans="1:4" x14ac:dyDescent="0.2">
      <c r="A1432" t="s">
        <v>785</v>
      </c>
      <c r="B1432" t="s">
        <v>25</v>
      </c>
      <c r="C1432" t="s">
        <v>1557</v>
      </c>
      <c r="D1432" t="s">
        <v>1554</v>
      </c>
    </row>
    <row r="1433" spans="1:4" x14ac:dyDescent="0.2">
      <c r="A1433" t="s">
        <v>785</v>
      </c>
      <c r="B1433" t="s">
        <v>24</v>
      </c>
      <c r="C1433" t="s">
        <v>1558</v>
      </c>
      <c r="D1433" t="s">
        <v>1559</v>
      </c>
    </row>
    <row r="1434" spans="1:4" x14ac:dyDescent="0.2">
      <c r="A1434" t="s">
        <v>791</v>
      </c>
      <c r="B1434" t="s">
        <v>6</v>
      </c>
      <c r="C1434" t="s">
        <v>1564</v>
      </c>
      <c r="D1434" t="s">
        <v>1554</v>
      </c>
    </row>
    <row r="1435" spans="1:4" x14ac:dyDescent="0.2">
      <c r="A1435" t="s">
        <v>791</v>
      </c>
      <c r="B1435" t="s">
        <v>7</v>
      </c>
      <c r="C1435" t="s">
        <v>1565</v>
      </c>
      <c r="D1435" t="s">
        <v>1554</v>
      </c>
    </row>
    <row r="1436" spans="1:4" x14ac:dyDescent="0.2">
      <c r="A1436" t="s">
        <v>791</v>
      </c>
      <c r="B1436" t="s">
        <v>8</v>
      </c>
      <c r="C1436" t="s">
        <v>1561</v>
      </c>
      <c r="D1436" t="s">
        <v>1554</v>
      </c>
    </row>
    <row r="1437" spans="1:4" x14ac:dyDescent="0.2">
      <c r="A1437" t="s">
        <v>791</v>
      </c>
      <c r="B1437" t="s">
        <v>9</v>
      </c>
      <c r="C1437" t="s">
        <v>1553</v>
      </c>
      <c r="D1437" t="s">
        <v>1554</v>
      </c>
    </row>
    <row r="1438" spans="1:4" x14ac:dyDescent="0.2">
      <c r="A1438" t="s">
        <v>791</v>
      </c>
      <c r="B1438" t="s">
        <v>10</v>
      </c>
      <c r="C1438" t="s">
        <v>1555</v>
      </c>
      <c r="D1438" t="s">
        <v>1554</v>
      </c>
    </row>
    <row r="1439" spans="1:4" x14ac:dyDescent="0.2">
      <c r="A1439" t="s">
        <v>791</v>
      </c>
      <c r="B1439" t="s">
        <v>11</v>
      </c>
      <c r="C1439" t="s">
        <v>1566</v>
      </c>
      <c r="D1439" t="s">
        <v>1554</v>
      </c>
    </row>
    <row r="1440" spans="1:4" x14ac:dyDescent="0.2">
      <c r="A1440" t="s">
        <v>791</v>
      </c>
      <c r="B1440" t="s">
        <v>13</v>
      </c>
      <c r="C1440" t="s">
        <v>1567</v>
      </c>
      <c r="D1440" t="s">
        <v>1554</v>
      </c>
    </row>
    <row r="1441" spans="1:4" x14ac:dyDescent="0.2">
      <c r="A1441" t="s">
        <v>791</v>
      </c>
      <c r="B1441" t="s">
        <v>14</v>
      </c>
      <c r="C1441" t="s">
        <v>1568</v>
      </c>
      <c r="D1441" t="s">
        <v>1554</v>
      </c>
    </row>
    <row r="1442" spans="1:4" x14ac:dyDescent="0.2">
      <c r="A1442" t="s">
        <v>791</v>
      </c>
      <c r="B1442" t="s">
        <v>15</v>
      </c>
      <c r="C1442" t="s">
        <v>1569</v>
      </c>
      <c r="D1442" t="s">
        <v>1554</v>
      </c>
    </row>
    <row r="1443" spans="1:4" x14ac:dyDescent="0.2">
      <c r="A1443" t="s">
        <v>791</v>
      </c>
      <c r="B1443" t="s">
        <v>17</v>
      </c>
      <c r="C1443" t="s">
        <v>1560</v>
      </c>
      <c r="D1443" t="s">
        <v>1554</v>
      </c>
    </row>
    <row r="1444" spans="1:4" x14ac:dyDescent="0.2">
      <c r="A1444" t="s">
        <v>791</v>
      </c>
      <c r="B1444" t="s">
        <v>19</v>
      </c>
      <c r="C1444" t="s">
        <v>1570</v>
      </c>
      <c r="D1444" t="s">
        <v>1554</v>
      </c>
    </row>
    <row r="1445" spans="1:4" x14ac:dyDescent="0.2">
      <c r="A1445" t="s">
        <v>791</v>
      </c>
      <c r="B1445" t="s">
        <v>23</v>
      </c>
      <c r="C1445" t="s">
        <v>1556</v>
      </c>
      <c r="D1445" t="s">
        <v>1554</v>
      </c>
    </row>
    <row r="1446" spans="1:4" x14ac:dyDescent="0.2">
      <c r="A1446" t="s">
        <v>791</v>
      </c>
      <c r="B1446" t="s">
        <v>25</v>
      </c>
      <c r="C1446" t="s">
        <v>1557</v>
      </c>
      <c r="D1446" t="s">
        <v>1554</v>
      </c>
    </row>
    <row r="1447" spans="1:4" x14ac:dyDescent="0.2">
      <c r="A1447" t="s">
        <v>791</v>
      </c>
      <c r="B1447" t="s">
        <v>24</v>
      </c>
      <c r="C1447" t="s">
        <v>1558</v>
      </c>
      <c r="D1447" t="s">
        <v>1559</v>
      </c>
    </row>
    <row r="1448" spans="1:4" x14ac:dyDescent="0.2">
      <c r="A1448" t="s">
        <v>797</v>
      </c>
      <c r="B1448" t="s">
        <v>6</v>
      </c>
      <c r="C1448" t="s">
        <v>1564</v>
      </c>
      <c r="D1448" t="s">
        <v>1554</v>
      </c>
    </row>
    <row r="1449" spans="1:4" x14ac:dyDescent="0.2">
      <c r="A1449" t="s">
        <v>797</v>
      </c>
      <c r="B1449" t="s">
        <v>7</v>
      </c>
      <c r="C1449" t="s">
        <v>1565</v>
      </c>
      <c r="D1449" t="s">
        <v>1554</v>
      </c>
    </row>
    <row r="1450" spans="1:4" x14ac:dyDescent="0.2">
      <c r="A1450" t="s">
        <v>797</v>
      </c>
      <c r="B1450" t="s">
        <v>8</v>
      </c>
      <c r="C1450" t="s">
        <v>1561</v>
      </c>
      <c r="D1450" t="s">
        <v>1554</v>
      </c>
    </row>
    <row r="1451" spans="1:4" x14ac:dyDescent="0.2">
      <c r="A1451" t="s">
        <v>797</v>
      </c>
      <c r="B1451" t="s">
        <v>9</v>
      </c>
      <c r="C1451" t="s">
        <v>1553</v>
      </c>
      <c r="D1451" t="s">
        <v>1554</v>
      </c>
    </row>
    <row r="1452" spans="1:4" x14ac:dyDescent="0.2">
      <c r="A1452" t="s">
        <v>797</v>
      </c>
      <c r="B1452" t="s">
        <v>10</v>
      </c>
      <c r="C1452" t="s">
        <v>1555</v>
      </c>
      <c r="D1452" t="s">
        <v>1554</v>
      </c>
    </row>
    <row r="1453" spans="1:4" x14ac:dyDescent="0.2">
      <c r="A1453" t="s">
        <v>797</v>
      </c>
      <c r="B1453" t="s">
        <v>11</v>
      </c>
      <c r="C1453" t="s">
        <v>1566</v>
      </c>
      <c r="D1453" t="s">
        <v>1554</v>
      </c>
    </row>
    <row r="1454" spans="1:4" x14ac:dyDescent="0.2">
      <c r="A1454" t="s">
        <v>797</v>
      </c>
      <c r="B1454" t="s">
        <v>13</v>
      </c>
      <c r="C1454" t="s">
        <v>1567</v>
      </c>
      <c r="D1454" t="s">
        <v>1554</v>
      </c>
    </row>
    <row r="1455" spans="1:4" x14ac:dyDescent="0.2">
      <c r="A1455" t="s">
        <v>797</v>
      </c>
      <c r="B1455" t="s">
        <v>14</v>
      </c>
      <c r="C1455" t="s">
        <v>1568</v>
      </c>
      <c r="D1455" t="s">
        <v>1554</v>
      </c>
    </row>
    <row r="1456" spans="1:4" x14ac:dyDescent="0.2">
      <c r="A1456" t="s">
        <v>797</v>
      </c>
      <c r="B1456" t="s">
        <v>15</v>
      </c>
      <c r="C1456" t="s">
        <v>1569</v>
      </c>
      <c r="D1456" t="s">
        <v>1554</v>
      </c>
    </row>
    <row r="1457" spans="1:4" x14ac:dyDescent="0.2">
      <c r="A1457" t="s">
        <v>797</v>
      </c>
      <c r="B1457" t="s">
        <v>17</v>
      </c>
      <c r="C1457" t="s">
        <v>1560</v>
      </c>
      <c r="D1457" t="s">
        <v>1554</v>
      </c>
    </row>
    <row r="1458" spans="1:4" x14ac:dyDescent="0.2">
      <c r="A1458" t="s">
        <v>797</v>
      </c>
      <c r="B1458" t="s">
        <v>19</v>
      </c>
      <c r="C1458" t="s">
        <v>1570</v>
      </c>
      <c r="D1458" t="s">
        <v>1554</v>
      </c>
    </row>
    <row r="1459" spans="1:4" x14ac:dyDescent="0.2">
      <c r="A1459" t="s">
        <v>797</v>
      </c>
      <c r="B1459" t="s">
        <v>23</v>
      </c>
      <c r="C1459" t="s">
        <v>1556</v>
      </c>
      <c r="D1459" t="s">
        <v>1554</v>
      </c>
    </row>
    <row r="1460" spans="1:4" x14ac:dyDescent="0.2">
      <c r="A1460" t="s">
        <v>797</v>
      </c>
      <c r="B1460" t="s">
        <v>25</v>
      </c>
      <c r="C1460" t="s">
        <v>1557</v>
      </c>
      <c r="D1460" t="s">
        <v>1554</v>
      </c>
    </row>
    <row r="1461" spans="1:4" x14ac:dyDescent="0.2">
      <c r="A1461" t="s">
        <v>797</v>
      </c>
      <c r="B1461" t="s">
        <v>24</v>
      </c>
      <c r="C1461" t="s">
        <v>1558</v>
      </c>
      <c r="D1461" t="s">
        <v>1559</v>
      </c>
    </row>
    <row r="1462" spans="1:4" x14ac:dyDescent="0.2">
      <c r="A1462" t="s">
        <v>803</v>
      </c>
      <c r="B1462" t="s">
        <v>3</v>
      </c>
      <c r="C1462" t="s">
        <v>1562</v>
      </c>
      <c r="D1462" t="s">
        <v>1554</v>
      </c>
    </row>
    <row r="1463" spans="1:4" x14ac:dyDescent="0.2">
      <c r="A1463" t="s">
        <v>803</v>
      </c>
      <c r="B1463" t="s">
        <v>5</v>
      </c>
      <c r="C1463" t="s">
        <v>1563</v>
      </c>
      <c r="D1463" t="s">
        <v>1554</v>
      </c>
    </row>
    <row r="1464" spans="1:4" x14ac:dyDescent="0.2">
      <c r="A1464" t="s">
        <v>803</v>
      </c>
      <c r="B1464" t="s">
        <v>6</v>
      </c>
      <c r="C1464" t="s">
        <v>1564</v>
      </c>
      <c r="D1464" t="s">
        <v>1554</v>
      </c>
    </row>
    <row r="1465" spans="1:4" x14ac:dyDescent="0.2">
      <c r="A1465" t="s">
        <v>803</v>
      </c>
      <c r="B1465" t="s">
        <v>7</v>
      </c>
      <c r="C1465" t="s">
        <v>1565</v>
      </c>
      <c r="D1465" t="s">
        <v>1554</v>
      </c>
    </row>
    <row r="1466" spans="1:4" x14ac:dyDescent="0.2">
      <c r="A1466" t="s">
        <v>803</v>
      </c>
      <c r="B1466" t="s">
        <v>8</v>
      </c>
      <c r="C1466" t="s">
        <v>1561</v>
      </c>
      <c r="D1466" t="s">
        <v>1554</v>
      </c>
    </row>
    <row r="1467" spans="1:4" x14ac:dyDescent="0.2">
      <c r="A1467" t="s">
        <v>803</v>
      </c>
      <c r="B1467" t="s">
        <v>9</v>
      </c>
      <c r="C1467" t="s">
        <v>1553</v>
      </c>
      <c r="D1467" t="s">
        <v>1554</v>
      </c>
    </row>
    <row r="1468" spans="1:4" x14ac:dyDescent="0.2">
      <c r="A1468" t="s">
        <v>803</v>
      </c>
      <c r="B1468" t="s">
        <v>10</v>
      </c>
      <c r="C1468" t="s">
        <v>1555</v>
      </c>
      <c r="D1468" t="s">
        <v>1554</v>
      </c>
    </row>
    <row r="1469" spans="1:4" x14ac:dyDescent="0.2">
      <c r="A1469" t="s">
        <v>803</v>
      </c>
      <c r="B1469" t="s">
        <v>11</v>
      </c>
      <c r="C1469" t="s">
        <v>1566</v>
      </c>
      <c r="D1469" t="s">
        <v>1554</v>
      </c>
    </row>
    <row r="1470" spans="1:4" x14ac:dyDescent="0.2">
      <c r="A1470" t="s">
        <v>803</v>
      </c>
      <c r="B1470" t="s">
        <v>13</v>
      </c>
      <c r="C1470" t="s">
        <v>1567</v>
      </c>
      <c r="D1470" t="s">
        <v>1554</v>
      </c>
    </row>
    <row r="1471" spans="1:4" x14ac:dyDescent="0.2">
      <c r="A1471" t="s">
        <v>803</v>
      </c>
      <c r="B1471" t="s">
        <v>14</v>
      </c>
      <c r="C1471" t="s">
        <v>1568</v>
      </c>
      <c r="D1471" t="s">
        <v>1554</v>
      </c>
    </row>
    <row r="1472" spans="1:4" x14ac:dyDescent="0.2">
      <c r="A1472" t="s">
        <v>803</v>
      </c>
      <c r="B1472" t="s">
        <v>15</v>
      </c>
      <c r="C1472" t="s">
        <v>1569</v>
      </c>
      <c r="D1472" t="s">
        <v>1554</v>
      </c>
    </row>
    <row r="1473" spans="1:4" x14ac:dyDescent="0.2">
      <c r="A1473" t="s">
        <v>803</v>
      </c>
      <c r="B1473" t="s">
        <v>17</v>
      </c>
      <c r="C1473" t="s">
        <v>1560</v>
      </c>
      <c r="D1473" t="s">
        <v>1554</v>
      </c>
    </row>
    <row r="1474" spans="1:4" x14ac:dyDescent="0.2">
      <c r="A1474" t="s">
        <v>803</v>
      </c>
      <c r="B1474" t="s">
        <v>19</v>
      </c>
      <c r="C1474" t="s">
        <v>1570</v>
      </c>
      <c r="D1474" t="s">
        <v>1554</v>
      </c>
    </row>
    <row r="1475" spans="1:4" x14ac:dyDescent="0.2">
      <c r="A1475" t="s">
        <v>803</v>
      </c>
      <c r="B1475" t="s">
        <v>23</v>
      </c>
      <c r="C1475" t="s">
        <v>1556</v>
      </c>
      <c r="D1475" t="s">
        <v>1554</v>
      </c>
    </row>
    <row r="1476" spans="1:4" x14ac:dyDescent="0.2">
      <c r="A1476" t="s">
        <v>803</v>
      </c>
      <c r="B1476" t="s">
        <v>25</v>
      </c>
      <c r="C1476" t="s">
        <v>1557</v>
      </c>
      <c r="D1476" t="s">
        <v>1554</v>
      </c>
    </row>
    <row r="1477" spans="1:4" x14ac:dyDescent="0.2">
      <c r="A1477" t="s">
        <v>803</v>
      </c>
      <c r="B1477" t="s">
        <v>21</v>
      </c>
      <c r="C1477" t="s">
        <v>1571</v>
      </c>
      <c r="D1477" t="s">
        <v>1559</v>
      </c>
    </row>
    <row r="1478" spans="1:4" x14ac:dyDescent="0.2">
      <c r="A1478" t="s">
        <v>803</v>
      </c>
      <c r="B1478" t="s">
        <v>22</v>
      </c>
      <c r="C1478" t="s">
        <v>1572</v>
      </c>
      <c r="D1478" t="s">
        <v>1559</v>
      </c>
    </row>
    <row r="1479" spans="1:4" x14ac:dyDescent="0.2">
      <c r="A1479" t="s">
        <v>803</v>
      </c>
      <c r="B1479" t="s">
        <v>24</v>
      </c>
      <c r="C1479" t="s">
        <v>1558</v>
      </c>
      <c r="D1479" t="s">
        <v>1559</v>
      </c>
    </row>
    <row r="1480" spans="1:4" x14ac:dyDescent="0.2">
      <c r="A1480" t="s">
        <v>808</v>
      </c>
      <c r="B1480" t="s">
        <v>6</v>
      </c>
      <c r="C1480" t="s">
        <v>1564</v>
      </c>
      <c r="D1480" t="s">
        <v>1554</v>
      </c>
    </row>
    <row r="1481" spans="1:4" x14ac:dyDescent="0.2">
      <c r="A1481" t="s">
        <v>808</v>
      </c>
      <c r="B1481" t="s">
        <v>7</v>
      </c>
      <c r="C1481" t="s">
        <v>1565</v>
      </c>
      <c r="D1481" t="s">
        <v>1554</v>
      </c>
    </row>
    <row r="1482" spans="1:4" x14ac:dyDescent="0.2">
      <c r="A1482" t="s">
        <v>808</v>
      </c>
      <c r="B1482" t="s">
        <v>8</v>
      </c>
      <c r="C1482" t="s">
        <v>1561</v>
      </c>
      <c r="D1482" t="s">
        <v>1554</v>
      </c>
    </row>
    <row r="1483" spans="1:4" x14ac:dyDescent="0.2">
      <c r="A1483" t="s">
        <v>808</v>
      </c>
      <c r="B1483" t="s">
        <v>9</v>
      </c>
      <c r="C1483" t="s">
        <v>1553</v>
      </c>
      <c r="D1483" t="s">
        <v>1554</v>
      </c>
    </row>
    <row r="1484" spans="1:4" x14ac:dyDescent="0.2">
      <c r="A1484" t="s">
        <v>808</v>
      </c>
      <c r="B1484" t="s">
        <v>10</v>
      </c>
      <c r="C1484" t="s">
        <v>1555</v>
      </c>
      <c r="D1484" t="s">
        <v>1554</v>
      </c>
    </row>
    <row r="1485" spans="1:4" x14ac:dyDescent="0.2">
      <c r="A1485" t="s">
        <v>808</v>
      </c>
      <c r="B1485" t="s">
        <v>11</v>
      </c>
      <c r="C1485" t="s">
        <v>1566</v>
      </c>
      <c r="D1485" t="s">
        <v>1554</v>
      </c>
    </row>
    <row r="1486" spans="1:4" x14ac:dyDescent="0.2">
      <c r="A1486" t="s">
        <v>808</v>
      </c>
      <c r="B1486" t="s">
        <v>13</v>
      </c>
      <c r="C1486" t="s">
        <v>1567</v>
      </c>
      <c r="D1486" t="s">
        <v>1554</v>
      </c>
    </row>
    <row r="1487" spans="1:4" x14ac:dyDescent="0.2">
      <c r="A1487" t="s">
        <v>808</v>
      </c>
      <c r="B1487" t="s">
        <v>14</v>
      </c>
      <c r="C1487" t="s">
        <v>1568</v>
      </c>
      <c r="D1487" t="s">
        <v>1554</v>
      </c>
    </row>
    <row r="1488" spans="1:4" x14ac:dyDescent="0.2">
      <c r="A1488" t="s">
        <v>808</v>
      </c>
      <c r="B1488" t="s">
        <v>15</v>
      </c>
      <c r="C1488" t="s">
        <v>1569</v>
      </c>
      <c r="D1488" t="s">
        <v>1554</v>
      </c>
    </row>
    <row r="1489" spans="1:4" x14ac:dyDescent="0.2">
      <c r="A1489" t="s">
        <v>808</v>
      </c>
      <c r="B1489" t="s">
        <v>17</v>
      </c>
      <c r="C1489" t="s">
        <v>1560</v>
      </c>
      <c r="D1489" t="s">
        <v>1554</v>
      </c>
    </row>
    <row r="1490" spans="1:4" x14ac:dyDescent="0.2">
      <c r="A1490" t="s">
        <v>808</v>
      </c>
      <c r="B1490" t="s">
        <v>19</v>
      </c>
      <c r="C1490" t="s">
        <v>1570</v>
      </c>
      <c r="D1490" t="s">
        <v>1554</v>
      </c>
    </row>
    <row r="1491" spans="1:4" x14ac:dyDescent="0.2">
      <c r="A1491" t="s">
        <v>808</v>
      </c>
      <c r="B1491" t="s">
        <v>23</v>
      </c>
      <c r="C1491" t="s">
        <v>1556</v>
      </c>
      <c r="D1491" t="s">
        <v>1554</v>
      </c>
    </row>
    <row r="1492" spans="1:4" x14ac:dyDescent="0.2">
      <c r="A1492" t="s">
        <v>808</v>
      </c>
      <c r="B1492" t="s">
        <v>25</v>
      </c>
      <c r="C1492" t="s">
        <v>1557</v>
      </c>
      <c r="D1492" t="s">
        <v>1554</v>
      </c>
    </row>
    <row r="1493" spans="1:4" x14ac:dyDescent="0.2">
      <c r="A1493" t="s">
        <v>808</v>
      </c>
      <c r="B1493" t="s">
        <v>21</v>
      </c>
      <c r="C1493" t="s">
        <v>1571</v>
      </c>
      <c r="D1493" t="s">
        <v>1559</v>
      </c>
    </row>
    <row r="1494" spans="1:4" x14ac:dyDescent="0.2">
      <c r="A1494" t="s">
        <v>808</v>
      </c>
      <c r="B1494" t="s">
        <v>22</v>
      </c>
      <c r="C1494" t="s">
        <v>1572</v>
      </c>
      <c r="D1494" t="s">
        <v>1559</v>
      </c>
    </row>
    <row r="1495" spans="1:4" x14ac:dyDescent="0.2">
      <c r="A1495" t="s">
        <v>808</v>
      </c>
      <c r="B1495" t="s">
        <v>24</v>
      </c>
      <c r="C1495" t="s">
        <v>1558</v>
      </c>
      <c r="D1495" t="s">
        <v>1559</v>
      </c>
    </row>
    <row r="1496" spans="1:4" x14ac:dyDescent="0.2">
      <c r="A1496" t="s">
        <v>813</v>
      </c>
      <c r="B1496" t="s">
        <v>3</v>
      </c>
      <c r="C1496" t="s">
        <v>1562</v>
      </c>
      <c r="D1496" t="s">
        <v>1554</v>
      </c>
    </row>
    <row r="1497" spans="1:4" x14ac:dyDescent="0.2">
      <c r="A1497" t="s">
        <v>813</v>
      </c>
      <c r="B1497" t="s">
        <v>5</v>
      </c>
      <c r="C1497" t="s">
        <v>1563</v>
      </c>
      <c r="D1497" t="s">
        <v>1554</v>
      </c>
    </row>
    <row r="1498" spans="1:4" x14ac:dyDescent="0.2">
      <c r="A1498" t="s">
        <v>813</v>
      </c>
      <c r="B1498" t="s">
        <v>6</v>
      </c>
      <c r="C1498" t="s">
        <v>1564</v>
      </c>
      <c r="D1498" t="s">
        <v>1554</v>
      </c>
    </row>
    <row r="1499" spans="1:4" x14ac:dyDescent="0.2">
      <c r="A1499" t="s">
        <v>813</v>
      </c>
      <c r="B1499" t="s">
        <v>7</v>
      </c>
      <c r="C1499" t="s">
        <v>1565</v>
      </c>
      <c r="D1499" t="s">
        <v>1554</v>
      </c>
    </row>
    <row r="1500" spans="1:4" x14ac:dyDescent="0.2">
      <c r="A1500" t="s">
        <v>813</v>
      </c>
      <c r="B1500" t="s">
        <v>8</v>
      </c>
      <c r="C1500" t="s">
        <v>1561</v>
      </c>
      <c r="D1500" t="s">
        <v>1554</v>
      </c>
    </row>
    <row r="1501" spans="1:4" x14ac:dyDescent="0.2">
      <c r="A1501" t="s">
        <v>813</v>
      </c>
      <c r="B1501" t="s">
        <v>9</v>
      </c>
      <c r="C1501" t="s">
        <v>1553</v>
      </c>
      <c r="D1501" t="s">
        <v>1554</v>
      </c>
    </row>
    <row r="1502" spans="1:4" x14ac:dyDescent="0.2">
      <c r="A1502" t="s">
        <v>813</v>
      </c>
      <c r="B1502" t="s">
        <v>10</v>
      </c>
      <c r="C1502" t="s">
        <v>1555</v>
      </c>
      <c r="D1502" t="s">
        <v>1554</v>
      </c>
    </row>
    <row r="1503" spans="1:4" x14ac:dyDescent="0.2">
      <c r="A1503" t="s">
        <v>813</v>
      </c>
      <c r="B1503" t="s">
        <v>11</v>
      </c>
      <c r="C1503" t="s">
        <v>1566</v>
      </c>
      <c r="D1503" t="s">
        <v>1554</v>
      </c>
    </row>
    <row r="1504" spans="1:4" x14ac:dyDescent="0.2">
      <c r="A1504" t="s">
        <v>813</v>
      </c>
      <c r="B1504" t="s">
        <v>13</v>
      </c>
      <c r="C1504" t="s">
        <v>1567</v>
      </c>
      <c r="D1504" t="s">
        <v>1554</v>
      </c>
    </row>
    <row r="1505" spans="1:4" x14ac:dyDescent="0.2">
      <c r="A1505" t="s">
        <v>813</v>
      </c>
      <c r="B1505" t="s">
        <v>14</v>
      </c>
      <c r="C1505" t="s">
        <v>1568</v>
      </c>
      <c r="D1505" t="s">
        <v>1554</v>
      </c>
    </row>
    <row r="1506" spans="1:4" x14ac:dyDescent="0.2">
      <c r="A1506" t="s">
        <v>813</v>
      </c>
      <c r="B1506" t="s">
        <v>15</v>
      </c>
      <c r="C1506" t="s">
        <v>1569</v>
      </c>
      <c r="D1506" t="s">
        <v>1554</v>
      </c>
    </row>
    <row r="1507" spans="1:4" x14ac:dyDescent="0.2">
      <c r="A1507" t="s">
        <v>813</v>
      </c>
      <c r="B1507" t="s">
        <v>17</v>
      </c>
      <c r="C1507" t="s">
        <v>1560</v>
      </c>
      <c r="D1507" t="s">
        <v>1554</v>
      </c>
    </row>
    <row r="1508" spans="1:4" x14ac:dyDescent="0.2">
      <c r="A1508" t="s">
        <v>813</v>
      </c>
      <c r="B1508" t="s">
        <v>19</v>
      </c>
      <c r="C1508" t="s">
        <v>1570</v>
      </c>
      <c r="D1508" t="s">
        <v>1554</v>
      </c>
    </row>
    <row r="1509" spans="1:4" x14ac:dyDescent="0.2">
      <c r="A1509" t="s">
        <v>813</v>
      </c>
      <c r="B1509" t="s">
        <v>23</v>
      </c>
      <c r="C1509" t="s">
        <v>1556</v>
      </c>
      <c r="D1509" t="s">
        <v>1554</v>
      </c>
    </row>
    <row r="1510" spans="1:4" x14ac:dyDescent="0.2">
      <c r="A1510" t="s">
        <v>813</v>
      </c>
      <c r="B1510" t="s">
        <v>25</v>
      </c>
      <c r="C1510" t="s">
        <v>1557</v>
      </c>
      <c r="D1510" t="s">
        <v>1554</v>
      </c>
    </row>
    <row r="1511" spans="1:4" x14ac:dyDescent="0.2">
      <c r="A1511" t="s">
        <v>813</v>
      </c>
      <c r="B1511" t="s">
        <v>24</v>
      </c>
      <c r="C1511" t="s">
        <v>1558</v>
      </c>
      <c r="D1511" t="s">
        <v>1559</v>
      </c>
    </row>
    <row r="1512" spans="1:4" x14ac:dyDescent="0.2">
      <c r="A1512" t="s">
        <v>819</v>
      </c>
      <c r="B1512" t="s">
        <v>6</v>
      </c>
      <c r="C1512" t="s">
        <v>1564</v>
      </c>
      <c r="D1512" t="s">
        <v>1554</v>
      </c>
    </row>
    <row r="1513" spans="1:4" x14ac:dyDescent="0.2">
      <c r="A1513" t="s">
        <v>819</v>
      </c>
      <c r="B1513" t="s">
        <v>7</v>
      </c>
      <c r="C1513" t="s">
        <v>1565</v>
      </c>
      <c r="D1513" t="s">
        <v>1554</v>
      </c>
    </row>
    <row r="1514" spans="1:4" x14ac:dyDescent="0.2">
      <c r="A1514" t="s">
        <v>819</v>
      </c>
      <c r="B1514" t="s">
        <v>8</v>
      </c>
      <c r="C1514" t="s">
        <v>1561</v>
      </c>
      <c r="D1514" t="s">
        <v>1554</v>
      </c>
    </row>
    <row r="1515" spans="1:4" x14ac:dyDescent="0.2">
      <c r="A1515" t="s">
        <v>819</v>
      </c>
      <c r="B1515" t="s">
        <v>9</v>
      </c>
      <c r="C1515" t="s">
        <v>1553</v>
      </c>
      <c r="D1515" t="s">
        <v>1554</v>
      </c>
    </row>
    <row r="1516" spans="1:4" x14ac:dyDescent="0.2">
      <c r="A1516" t="s">
        <v>819</v>
      </c>
      <c r="B1516" t="s">
        <v>10</v>
      </c>
      <c r="C1516" t="s">
        <v>1555</v>
      </c>
      <c r="D1516" t="s">
        <v>1554</v>
      </c>
    </row>
    <row r="1517" spans="1:4" x14ac:dyDescent="0.2">
      <c r="A1517" t="s">
        <v>819</v>
      </c>
      <c r="B1517" t="s">
        <v>11</v>
      </c>
      <c r="C1517" t="s">
        <v>1566</v>
      </c>
      <c r="D1517" t="s">
        <v>1554</v>
      </c>
    </row>
    <row r="1518" spans="1:4" x14ac:dyDescent="0.2">
      <c r="A1518" t="s">
        <v>819</v>
      </c>
      <c r="B1518" t="s">
        <v>13</v>
      </c>
      <c r="C1518" t="s">
        <v>1567</v>
      </c>
      <c r="D1518" t="s">
        <v>1554</v>
      </c>
    </row>
    <row r="1519" spans="1:4" x14ac:dyDescent="0.2">
      <c r="A1519" t="s">
        <v>819</v>
      </c>
      <c r="B1519" t="s">
        <v>14</v>
      </c>
      <c r="C1519" t="s">
        <v>1568</v>
      </c>
      <c r="D1519" t="s">
        <v>1554</v>
      </c>
    </row>
    <row r="1520" spans="1:4" x14ac:dyDescent="0.2">
      <c r="A1520" t="s">
        <v>819</v>
      </c>
      <c r="B1520" t="s">
        <v>15</v>
      </c>
      <c r="C1520" t="s">
        <v>1569</v>
      </c>
      <c r="D1520" t="s">
        <v>1554</v>
      </c>
    </row>
    <row r="1521" spans="1:4" x14ac:dyDescent="0.2">
      <c r="A1521" t="s">
        <v>819</v>
      </c>
      <c r="B1521" t="s">
        <v>17</v>
      </c>
      <c r="C1521" t="s">
        <v>1560</v>
      </c>
      <c r="D1521" t="s">
        <v>1554</v>
      </c>
    </row>
    <row r="1522" spans="1:4" x14ac:dyDescent="0.2">
      <c r="A1522" t="s">
        <v>819</v>
      </c>
      <c r="B1522" t="s">
        <v>19</v>
      </c>
      <c r="C1522" t="s">
        <v>1570</v>
      </c>
      <c r="D1522" t="s">
        <v>1554</v>
      </c>
    </row>
    <row r="1523" spans="1:4" x14ac:dyDescent="0.2">
      <c r="A1523" t="s">
        <v>819</v>
      </c>
      <c r="B1523" t="s">
        <v>23</v>
      </c>
      <c r="C1523" t="s">
        <v>1556</v>
      </c>
      <c r="D1523" t="s">
        <v>1554</v>
      </c>
    </row>
    <row r="1524" spans="1:4" x14ac:dyDescent="0.2">
      <c r="A1524" t="s">
        <v>819</v>
      </c>
      <c r="B1524" t="s">
        <v>25</v>
      </c>
      <c r="C1524" t="s">
        <v>1557</v>
      </c>
      <c r="D1524" t="s">
        <v>1554</v>
      </c>
    </row>
    <row r="1525" spans="1:4" x14ac:dyDescent="0.2">
      <c r="A1525" t="s">
        <v>825</v>
      </c>
      <c r="B1525" t="s">
        <v>6</v>
      </c>
      <c r="C1525" t="s">
        <v>1564</v>
      </c>
      <c r="D1525" t="s">
        <v>1554</v>
      </c>
    </row>
    <row r="1526" spans="1:4" x14ac:dyDescent="0.2">
      <c r="A1526" t="s">
        <v>825</v>
      </c>
      <c r="B1526" t="s">
        <v>7</v>
      </c>
      <c r="C1526" t="s">
        <v>1565</v>
      </c>
      <c r="D1526" t="s">
        <v>1554</v>
      </c>
    </row>
    <row r="1527" spans="1:4" x14ac:dyDescent="0.2">
      <c r="A1527" t="s">
        <v>825</v>
      </c>
      <c r="B1527" t="s">
        <v>8</v>
      </c>
      <c r="C1527" t="s">
        <v>1561</v>
      </c>
      <c r="D1527" t="s">
        <v>1554</v>
      </c>
    </row>
    <row r="1528" spans="1:4" x14ac:dyDescent="0.2">
      <c r="A1528" t="s">
        <v>825</v>
      </c>
      <c r="B1528" t="s">
        <v>9</v>
      </c>
      <c r="C1528" t="s">
        <v>1553</v>
      </c>
      <c r="D1528" t="s">
        <v>1554</v>
      </c>
    </row>
    <row r="1529" spans="1:4" x14ac:dyDescent="0.2">
      <c r="A1529" t="s">
        <v>825</v>
      </c>
      <c r="B1529" t="s">
        <v>10</v>
      </c>
      <c r="C1529" t="s">
        <v>1555</v>
      </c>
      <c r="D1529" t="s">
        <v>1554</v>
      </c>
    </row>
    <row r="1530" spans="1:4" x14ac:dyDescent="0.2">
      <c r="A1530" t="s">
        <v>825</v>
      </c>
      <c r="B1530" t="s">
        <v>11</v>
      </c>
      <c r="C1530" t="s">
        <v>1566</v>
      </c>
      <c r="D1530" t="s">
        <v>1554</v>
      </c>
    </row>
    <row r="1531" spans="1:4" x14ac:dyDescent="0.2">
      <c r="A1531" t="s">
        <v>825</v>
      </c>
      <c r="B1531" t="s">
        <v>13</v>
      </c>
      <c r="C1531" t="s">
        <v>1567</v>
      </c>
      <c r="D1531" t="s">
        <v>1554</v>
      </c>
    </row>
    <row r="1532" spans="1:4" x14ac:dyDescent="0.2">
      <c r="A1532" t="s">
        <v>825</v>
      </c>
      <c r="B1532" t="s">
        <v>14</v>
      </c>
      <c r="C1532" t="s">
        <v>1568</v>
      </c>
      <c r="D1532" t="s">
        <v>1554</v>
      </c>
    </row>
    <row r="1533" spans="1:4" x14ac:dyDescent="0.2">
      <c r="A1533" t="s">
        <v>825</v>
      </c>
      <c r="B1533" t="s">
        <v>15</v>
      </c>
      <c r="C1533" t="s">
        <v>1569</v>
      </c>
      <c r="D1533" t="s">
        <v>1554</v>
      </c>
    </row>
    <row r="1534" spans="1:4" x14ac:dyDescent="0.2">
      <c r="A1534" t="s">
        <v>825</v>
      </c>
      <c r="B1534" t="s">
        <v>17</v>
      </c>
      <c r="C1534" t="s">
        <v>1560</v>
      </c>
      <c r="D1534" t="s">
        <v>1554</v>
      </c>
    </row>
    <row r="1535" spans="1:4" x14ac:dyDescent="0.2">
      <c r="A1535" t="s">
        <v>825</v>
      </c>
      <c r="B1535" t="s">
        <v>19</v>
      </c>
      <c r="C1535" t="s">
        <v>1570</v>
      </c>
      <c r="D1535" t="s">
        <v>1554</v>
      </c>
    </row>
    <row r="1536" spans="1:4" x14ac:dyDescent="0.2">
      <c r="A1536" t="s">
        <v>825</v>
      </c>
      <c r="B1536" t="s">
        <v>23</v>
      </c>
      <c r="C1536" t="s">
        <v>1556</v>
      </c>
      <c r="D1536" t="s">
        <v>1554</v>
      </c>
    </row>
    <row r="1537" spans="1:4" x14ac:dyDescent="0.2">
      <c r="A1537" t="s">
        <v>825</v>
      </c>
      <c r="B1537" t="s">
        <v>25</v>
      </c>
      <c r="C1537" t="s">
        <v>1557</v>
      </c>
      <c r="D1537" t="s">
        <v>1554</v>
      </c>
    </row>
    <row r="1538" spans="1:4" x14ac:dyDescent="0.2">
      <c r="A1538" t="s">
        <v>825</v>
      </c>
      <c r="B1538" t="s">
        <v>24</v>
      </c>
      <c r="C1538" t="s">
        <v>1558</v>
      </c>
      <c r="D1538" t="s">
        <v>1559</v>
      </c>
    </row>
    <row r="1539" spans="1:4" x14ac:dyDescent="0.2">
      <c r="A1539" t="s">
        <v>831</v>
      </c>
      <c r="B1539" t="s">
        <v>3</v>
      </c>
      <c r="C1539" t="s">
        <v>1562</v>
      </c>
      <c r="D1539" t="s">
        <v>1554</v>
      </c>
    </row>
    <row r="1540" spans="1:4" x14ac:dyDescent="0.2">
      <c r="A1540" t="s">
        <v>831</v>
      </c>
      <c r="B1540" t="s">
        <v>5</v>
      </c>
      <c r="C1540" t="s">
        <v>1563</v>
      </c>
      <c r="D1540" t="s">
        <v>1554</v>
      </c>
    </row>
    <row r="1541" spans="1:4" x14ac:dyDescent="0.2">
      <c r="A1541" t="s">
        <v>831</v>
      </c>
      <c r="B1541" t="s">
        <v>6</v>
      </c>
      <c r="C1541" t="s">
        <v>1564</v>
      </c>
      <c r="D1541" t="s">
        <v>1554</v>
      </c>
    </row>
    <row r="1542" spans="1:4" x14ac:dyDescent="0.2">
      <c r="A1542" t="s">
        <v>831</v>
      </c>
      <c r="B1542" t="s">
        <v>7</v>
      </c>
      <c r="C1542" t="s">
        <v>1565</v>
      </c>
      <c r="D1542" t="s">
        <v>1554</v>
      </c>
    </row>
    <row r="1543" spans="1:4" x14ac:dyDescent="0.2">
      <c r="A1543" t="s">
        <v>831</v>
      </c>
      <c r="B1543" t="s">
        <v>8</v>
      </c>
      <c r="C1543" t="s">
        <v>1561</v>
      </c>
      <c r="D1543" t="s">
        <v>1554</v>
      </c>
    </row>
    <row r="1544" spans="1:4" x14ac:dyDescent="0.2">
      <c r="A1544" t="s">
        <v>831</v>
      </c>
      <c r="B1544" t="s">
        <v>9</v>
      </c>
      <c r="C1544" t="s">
        <v>1553</v>
      </c>
      <c r="D1544" t="s">
        <v>1554</v>
      </c>
    </row>
    <row r="1545" spans="1:4" x14ac:dyDescent="0.2">
      <c r="A1545" t="s">
        <v>831</v>
      </c>
      <c r="B1545" t="s">
        <v>10</v>
      </c>
      <c r="C1545" t="s">
        <v>1555</v>
      </c>
      <c r="D1545" t="s">
        <v>1554</v>
      </c>
    </row>
    <row r="1546" spans="1:4" x14ac:dyDescent="0.2">
      <c r="A1546" t="s">
        <v>831</v>
      </c>
      <c r="B1546" t="s">
        <v>11</v>
      </c>
      <c r="C1546" t="s">
        <v>1566</v>
      </c>
      <c r="D1546" t="s">
        <v>1554</v>
      </c>
    </row>
    <row r="1547" spans="1:4" x14ac:dyDescent="0.2">
      <c r="A1547" t="s">
        <v>831</v>
      </c>
      <c r="B1547" t="s">
        <v>13</v>
      </c>
      <c r="C1547" t="s">
        <v>1567</v>
      </c>
      <c r="D1547" t="s">
        <v>1554</v>
      </c>
    </row>
    <row r="1548" spans="1:4" x14ac:dyDescent="0.2">
      <c r="A1548" t="s">
        <v>831</v>
      </c>
      <c r="B1548" t="s">
        <v>14</v>
      </c>
      <c r="C1548" t="s">
        <v>1568</v>
      </c>
      <c r="D1548" t="s">
        <v>1554</v>
      </c>
    </row>
    <row r="1549" spans="1:4" x14ac:dyDescent="0.2">
      <c r="A1549" t="s">
        <v>831</v>
      </c>
      <c r="B1549" t="s">
        <v>15</v>
      </c>
      <c r="C1549" t="s">
        <v>1569</v>
      </c>
      <c r="D1549" t="s">
        <v>1554</v>
      </c>
    </row>
    <row r="1550" spans="1:4" x14ac:dyDescent="0.2">
      <c r="A1550" t="s">
        <v>831</v>
      </c>
      <c r="B1550" t="s">
        <v>17</v>
      </c>
      <c r="C1550" t="s">
        <v>1560</v>
      </c>
      <c r="D1550" t="s">
        <v>1554</v>
      </c>
    </row>
    <row r="1551" spans="1:4" x14ac:dyDescent="0.2">
      <c r="A1551" t="s">
        <v>831</v>
      </c>
      <c r="B1551" t="s">
        <v>19</v>
      </c>
      <c r="C1551" t="s">
        <v>1570</v>
      </c>
      <c r="D1551" t="s">
        <v>1554</v>
      </c>
    </row>
    <row r="1552" spans="1:4" x14ac:dyDescent="0.2">
      <c r="A1552" t="s">
        <v>831</v>
      </c>
      <c r="B1552" t="s">
        <v>23</v>
      </c>
      <c r="C1552" t="s">
        <v>1556</v>
      </c>
      <c r="D1552" t="s">
        <v>1554</v>
      </c>
    </row>
    <row r="1553" spans="1:4" x14ac:dyDescent="0.2">
      <c r="A1553" t="s">
        <v>831</v>
      </c>
      <c r="B1553" t="s">
        <v>25</v>
      </c>
      <c r="C1553" t="s">
        <v>1557</v>
      </c>
      <c r="D1553" t="s">
        <v>1554</v>
      </c>
    </row>
    <row r="1554" spans="1:4" x14ac:dyDescent="0.2">
      <c r="A1554" t="s">
        <v>831</v>
      </c>
      <c r="B1554" t="s">
        <v>24</v>
      </c>
      <c r="C1554" t="s">
        <v>1558</v>
      </c>
      <c r="D1554" t="s">
        <v>1559</v>
      </c>
    </row>
    <row r="1555" spans="1:4" x14ac:dyDescent="0.2">
      <c r="A1555" t="s">
        <v>837</v>
      </c>
      <c r="B1555" t="s">
        <v>3</v>
      </c>
      <c r="C1555" t="s">
        <v>1562</v>
      </c>
      <c r="D1555" t="s">
        <v>1554</v>
      </c>
    </row>
    <row r="1556" spans="1:4" x14ac:dyDescent="0.2">
      <c r="A1556" t="s">
        <v>837</v>
      </c>
      <c r="B1556" t="s">
        <v>5</v>
      </c>
      <c r="C1556" t="s">
        <v>1563</v>
      </c>
      <c r="D1556" t="s">
        <v>1554</v>
      </c>
    </row>
    <row r="1557" spans="1:4" x14ac:dyDescent="0.2">
      <c r="A1557" t="s">
        <v>837</v>
      </c>
      <c r="B1557" t="s">
        <v>6</v>
      </c>
      <c r="C1557" t="s">
        <v>1564</v>
      </c>
      <c r="D1557" t="s">
        <v>1554</v>
      </c>
    </row>
    <row r="1558" spans="1:4" x14ac:dyDescent="0.2">
      <c r="A1558" t="s">
        <v>837</v>
      </c>
      <c r="B1558" t="s">
        <v>7</v>
      </c>
      <c r="C1558" t="s">
        <v>1565</v>
      </c>
      <c r="D1558" t="s">
        <v>1554</v>
      </c>
    </row>
    <row r="1559" spans="1:4" x14ac:dyDescent="0.2">
      <c r="A1559" t="s">
        <v>837</v>
      </c>
      <c r="B1559" t="s">
        <v>8</v>
      </c>
      <c r="C1559" t="s">
        <v>1561</v>
      </c>
      <c r="D1559" t="s">
        <v>1554</v>
      </c>
    </row>
    <row r="1560" spans="1:4" x14ac:dyDescent="0.2">
      <c r="A1560" t="s">
        <v>837</v>
      </c>
      <c r="B1560" t="s">
        <v>9</v>
      </c>
      <c r="C1560" t="s">
        <v>1553</v>
      </c>
      <c r="D1560" t="s">
        <v>1554</v>
      </c>
    </row>
    <row r="1561" spans="1:4" x14ac:dyDescent="0.2">
      <c r="A1561" t="s">
        <v>837</v>
      </c>
      <c r="B1561" t="s">
        <v>10</v>
      </c>
      <c r="C1561" t="s">
        <v>1555</v>
      </c>
      <c r="D1561" t="s">
        <v>1554</v>
      </c>
    </row>
    <row r="1562" spans="1:4" x14ac:dyDescent="0.2">
      <c r="A1562" t="s">
        <v>837</v>
      </c>
      <c r="B1562" t="s">
        <v>11</v>
      </c>
      <c r="C1562" t="s">
        <v>1566</v>
      </c>
      <c r="D1562" t="s">
        <v>1554</v>
      </c>
    </row>
    <row r="1563" spans="1:4" x14ac:dyDescent="0.2">
      <c r="A1563" t="s">
        <v>837</v>
      </c>
      <c r="B1563" t="s">
        <v>13</v>
      </c>
      <c r="C1563" t="s">
        <v>1567</v>
      </c>
      <c r="D1563" t="s">
        <v>1554</v>
      </c>
    </row>
    <row r="1564" spans="1:4" x14ac:dyDescent="0.2">
      <c r="A1564" t="s">
        <v>837</v>
      </c>
      <c r="B1564" t="s">
        <v>14</v>
      </c>
      <c r="C1564" t="s">
        <v>1568</v>
      </c>
      <c r="D1564" t="s">
        <v>1554</v>
      </c>
    </row>
    <row r="1565" spans="1:4" x14ac:dyDescent="0.2">
      <c r="A1565" t="s">
        <v>837</v>
      </c>
      <c r="B1565" t="s">
        <v>15</v>
      </c>
      <c r="C1565" t="s">
        <v>1569</v>
      </c>
      <c r="D1565" t="s">
        <v>1554</v>
      </c>
    </row>
    <row r="1566" spans="1:4" x14ac:dyDescent="0.2">
      <c r="A1566" t="s">
        <v>837</v>
      </c>
      <c r="B1566" t="s">
        <v>17</v>
      </c>
      <c r="C1566" t="s">
        <v>1560</v>
      </c>
      <c r="D1566" t="s">
        <v>1554</v>
      </c>
    </row>
    <row r="1567" spans="1:4" x14ac:dyDescent="0.2">
      <c r="A1567" t="s">
        <v>837</v>
      </c>
      <c r="B1567" t="s">
        <v>19</v>
      </c>
      <c r="C1567" t="s">
        <v>1570</v>
      </c>
      <c r="D1567" t="s">
        <v>1554</v>
      </c>
    </row>
    <row r="1568" spans="1:4" x14ac:dyDescent="0.2">
      <c r="A1568" t="s">
        <v>837</v>
      </c>
      <c r="B1568" t="s">
        <v>23</v>
      </c>
      <c r="C1568" t="s">
        <v>1556</v>
      </c>
      <c r="D1568" t="s">
        <v>1554</v>
      </c>
    </row>
    <row r="1569" spans="1:4" x14ac:dyDescent="0.2">
      <c r="A1569" t="s">
        <v>837</v>
      </c>
      <c r="B1569" t="s">
        <v>25</v>
      </c>
      <c r="C1569" t="s">
        <v>1557</v>
      </c>
      <c r="D1569" t="s">
        <v>1554</v>
      </c>
    </row>
    <row r="1570" spans="1:4" x14ac:dyDescent="0.2">
      <c r="A1570" t="s">
        <v>837</v>
      </c>
      <c r="B1570" t="s">
        <v>24</v>
      </c>
      <c r="C1570" t="s">
        <v>1558</v>
      </c>
      <c r="D1570" t="s">
        <v>1559</v>
      </c>
    </row>
    <row r="1571" spans="1:4" x14ac:dyDescent="0.2">
      <c r="A1571" t="s">
        <v>843</v>
      </c>
      <c r="B1571" t="s">
        <v>3</v>
      </c>
      <c r="C1571" t="s">
        <v>1562</v>
      </c>
      <c r="D1571" t="s">
        <v>1554</v>
      </c>
    </row>
    <row r="1572" spans="1:4" x14ac:dyDescent="0.2">
      <c r="A1572" t="s">
        <v>843</v>
      </c>
      <c r="B1572" t="s">
        <v>5</v>
      </c>
      <c r="C1572" t="s">
        <v>1563</v>
      </c>
      <c r="D1572" t="s">
        <v>1554</v>
      </c>
    </row>
    <row r="1573" spans="1:4" x14ac:dyDescent="0.2">
      <c r="A1573" t="s">
        <v>843</v>
      </c>
      <c r="B1573" t="s">
        <v>6</v>
      </c>
      <c r="C1573" t="s">
        <v>1564</v>
      </c>
      <c r="D1573" t="s">
        <v>1554</v>
      </c>
    </row>
    <row r="1574" spans="1:4" x14ac:dyDescent="0.2">
      <c r="A1574" t="s">
        <v>843</v>
      </c>
      <c r="B1574" t="s">
        <v>7</v>
      </c>
      <c r="C1574" t="s">
        <v>1565</v>
      </c>
      <c r="D1574" t="s">
        <v>1554</v>
      </c>
    </row>
    <row r="1575" spans="1:4" x14ac:dyDescent="0.2">
      <c r="A1575" t="s">
        <v>843</v>
      </c>
      <c r="B1575" t="s">
        <v>8</v>
      </c>
      <c r="C1575" t="s">
        <v>1561</v>
      </c>
      <c r="D1575" t="s">
        <v>1554</v>
      </c>
    </row>
    <row r="1576" spans="1:4" x14ac:dyDescent="0.2">
      <c r="A1576" t="s">
        <v>843</v>
      </c>
      <c r="B1576" t="s">
        <v>9</v>
      </c>
      <c r="C1576" t="s">
        <v>1553</v>
      </c>
      <c r="D1576" t="s">
        <v>1554</v>
      </c>
    </row>
    <row r="1577" spans="1:4" x14ac:dyDescent="0.2">
      <c r="A1577" t="s">
        <v>843</v>
      </c>
      <c r="B1577" t="s">
        <v>10</v>
      </c>
      <c r="C1577" t="s">
        <v>1555</v>
      </c>
      <c r="D1577" t="s">
        <v>1554</v>
      </c>
    </row>
    <row r="1578" spans="1:4" x14ac:dyDescent="0.2">
      <c r="A1578" t="s">
        <v>843</v>
      </c>
      <c r="B1578" t="s">
        <v>11</v>
      </c>
      <c r="C1578" t="s">
        <v>1566</v>
      </c>
      <c r="D1578" t="s">
        <v>1554</v>
      </c>
    </row>
    <row r="1579" spans="1:4" x14ac:dyDescent="0.2">
      <c r="A1579" t="s">
        <v>843</v>
      </c>
      <c r="B1579" t="s">
        <v>13</v>
      </c>
      <c r="C1579" t="s">
        <v>1567</v>
      </c>
      <c r="D1579" t="s">
        <v>1554</v>
      </c>
    </row>
    <row r="1580" spans="1:4" x14ac:dyDescent="0.2">
      <c r="A1580" t="s">
        <v>843</v>
      </c>
      <c r="B1580" t="s">
        <v>14</v>
      </c>
      <c r="C1580" t="s">
        <v>1568</v>
      </c>
      <c r="D1580" t="s">
        <v>1554</v>
      </c>
    </row>
    <row r="1581" spans="1:4" x14ac:dyDescent="0.2">
      <c r="A1581" t="s">
        <v>843</v>
      </c>
      <c r="B1581" t="s">
        <v>15</v>
      </c>
      <c r="C1581" t="s">
        <v>1569</v>
      </c>
      <c r="D1581" t="s">
        <v>1554</v>
      </c>
    </row>
    <row r="1582" spans="1:4" x14ac:dyDescent="0.2">
      <c r="A1582" t="s">
        <v>843</v>
      </c>
      <c r="B1582" t="s">
        <v>17</v>
      </c>
      <c r="C1582" t="s">
        <v>1560</v>
      </c>
      <c r="D1582" t="s">
        <v>1554</v>
      </c>
    </row>
    <row r="1583" spans="1:4" x14ac:dyDescent="0.2">
      <c r="A1583" t="s">
        <v>843</v>
      </c>
      <c r="B1583" t="s">
        <v>19</v>
      </c>
      <c r="C1583" t="s">
        <v>1570</v>
      </c>
      <c r="D1583" t="s">
        <v>1554</v>
      </c>
    </row>
    <row r="1584" spans="1:4" x14ac:dyDescent="0.2">
      <c r="A1584" t="s">
        <v>843</v>
      </c>
      <c r="B1584" t="s">
        <v>23</v>
      </c>
      <c r="C1584" t="s">
        <v>1556</v>
      </c>
      <c r="D1584" t="s">
        <v>1554</v>
      </c>
    </row>
    <row r="1585" spans="1:4" x14ac:dyDescent="0.2">
      <c r="A1585" t="s">
        <v>843</v>
      </c>
      <c r="B1585" t="s">
        <v>25</v>
      </c>
      <c r="C1585" t="s">
        <v>1557</v>
      </c>
      <c r="D1585" t="s">
        <v>1554</v>
      </c>
    </row>
    <row r="1586" spans="1:4" x14ac:dyDescent="0.2">
      <c r="A1586" t="s">
        <v>843</v>
      </c>
      <c r="B1586" t="s">
        <v>24</v>
      </c>
      <c r="C1586" t="s">
        <v>1558</v>
      </c>
      <c r="D1586" t="s">
        <v>1559</v>
      </c>
    </row>
    <row r="1587" spans="1:4" x14ac:dyDescent="0.2">
      <c r="A1587" t="s">
        <v>849</v>
      </c>
      <c r="B1587" t="s">
        <v>3</v>
      </c>
      <c r="C1587" t="s">
        <v>1562</v>
      </c>
      <c r="D1587" t="s">
        <v>1554</v>
      </c>
    </row>
    <row r="1588" spans="1:4" x14ac:dyDescent="0.2">
      <c r="A1588" t="s">
        <v>849</v>
      </c>
      <c r="B1588" t="s">
        <v>5</v>
      </c>
      <c r="C1588" t="s">
        <v>1563</v>
      </c>
      <c r="D1588" t="s">
        <v>1554</v>
      </c>
    </row>
    <row r="1589" spans="1:4" x14ac:dyDescent="0.2">
      <c r="A1589" t="s">
        <v>849</v>
      </c>
      <c r="B1589" t="s">
        <v>6</v>
      </c>
      <c r="C1589" t="s">
        <v>1564</v>
      </c>
      <c r="D1589" t="s">
        <v>1554</v>
      </c>
    </row>
    <row r="1590" spans="1:4" x14ac:dyDescent="0.2">
      <c r="A1590" t="s">
        <v>849</v>
      </c>
      <c r="B1590" t="s">
        <v>7</v>
      </c>
      <c r="C1590" t="s">
        <v>1565</v>
      </c>
      <c r="D1590" t="s">
        <v>1554</v>
      </c>
    </row>
    <row r="1591" spans="1:4" x14ac:dyDescent="0.2">
      <c r="A1591" t="s">
        <v>849</v>
      </c>
      <c r="B1591" t="s">
        <v>8</v>
      </c>
      <c r="C1591" t="s">
        <v>1561</v>
      </c>
      <c r="D1591" t="s">
        <v>1554</v>
      </c>
    </row>
    <row r="1592" spans="1:4" x14ac:dyDescent="0.2">
      <c r="A1592" t="s">
        <v>849</v>
      </c>
      <c r="B1592" t="s">
        <v>9</v>
      </c>
      <c r="C1592" t="s">
        <v>1553</v>
      </c>
      <c r="D1592" t="s">
        <v>1554</v>
      </c>
    </row>
    <row r="1593" spans="1:4" x14ac:dyDescent="0.2">
      <c r="A1593" t="s">
        <v>849</v>
      </c>
      <c r="B1593" t="s">
        <v>10</v>
      </c>
      <c r="C1593" t="s">
        <v>1555</v>
      </c>
      <c r="D1593" t="s">
        <v>1554</v>
      </c>
    </row>
    <row r="1594" spans="1:4" x14ac:dyDescent="0.2">
      <c r="A1594" t="s">
        <v>849</v>
      </c>
      <c r="B1594" t="s">
        <v>11</v>
      </c>
      <c r="C1594" t="s">
        <v>1566</v>
      </c>
      <c r="D1594" t="s">
        <v>1554</v>
      </c>
    </row>
    <row r="1595" spans="1:4" x14ac:dyDescent="0.2">
      <c r="A1595" t="s">
        <v>849</v>
      </c>
      <c r="B1595" t="s">
        <v>13</v>
      </c>
      <c r="C1595" t="s">
        <v>1567</v>
      </c>
      <c r="D1595" t="s">
        <v>1554</v>
      </c>
    </row>
    <row r="1596" spans="1:4" x14ac:dyDescent="0.2">
      <c r="A1596" t="s">
        <v>849</v>
      </c>
      <c r="B1596" t="s">
        <v>14</v>
      </c>
      <c r="C1596" t="s">
        <v>1568</v>
      </c>
      <c r="D1596" t="s">
        <v>1554</v>
      </c>
    </row>
    <row r="1597" spans="1:4" x14ac:dyDescent="0.2">
      <c r="A1597" t="s">
        <v>849</v>
      </c>
      <c r="B1597" t="s">
        <v>15</v>
      </c>
      <c r="C1597" t="s">
        <v>1569</v>
      </c>
      <c r="D1597" t="s">
        <v>1554</v>
      </c>
    </row>
    <row r="1598" spans="1:4" x14ac:dyDescent="0.2">
      <c r="A1598" t="s">
        <v>849</v>
      </c>
      <c r="B1598" t="s">
        <v>17</v>
      </c>
      <c r="C1598" t="s">
        <v>1560</v>
      </c>
      <c r="D1598" t="s">
        <v>1554</v>
      </c>
    </row>
    <row r="1599" spans="1:4" x14ac:dyDescent="0.2">
      <c r="A1599" t="s">
        <v>849</v>
      </c>
      <c r="B1599" t="s">
        <v>19</v>
      </c>
      <c r="C1599" t="s">
        <v>1570</v>
      </c>
      <c r="D1599" t="s">
        <v>1554</v>
      </c>
    </row>
    <row r="1600" spans="1:4" x14ac:dyDescent="0.2">
      <c r="A1600" t="s">
        <v>849</v>
      </c>
      <c r="B1600" t="s">
        <v>23</v>
      </c>
      <c r="C1600" t="s">
        <v>1556</v>
      </c>
      <c r="D1600" t="s">
        <v>1554</v>
      </c>
    </row>
    <row r="1601" spans="1:4" x14ac:dyDescent="0.2">
      <c r="A1601" t="s">
        <v>849</v>
      </c>
      <c r="B1601" t="s">
        <v>25</v>
      </c>
      <c r="C1601" t="s">
        <v>1557</v>
      </c>
      <c r="D1601" t="s">
        <v>1554</v>
      </c>
    </row>
    <row r="1602" spans="1:4" x14ac:dyDescent="0.2">
      <c r="A1602" t="s">
        <v>849</v>
      </c>
      <c r="B1602" t="s">
        <v>24</v>
      </c>
      <c r="C1602" t="s">
        <v>1558</v>
      </c>
      <c r="D1602" t="s">
        <v>1559</v>
      </c>
    </row>
    <row r="1603" spans="1:4" x14ac:dyDescent="0.2">
      <c r="A1603" t="s">
        <v>855</v>
      </c>
      <c r="B1603" t="s">
        <v>6</v>
      </c>
      <c r="C1603" t="s">
        <v>1564</v>
      </c>
      <c r="D1603" t="s">
        <v>1554</v>
      </c>
    </row>
    <row r="1604" spans="1:4" x14ac:dyDescent="0.2">
      <c r="A1604" t="s">
        <v>855</v>
      </c>
      <c r="B1604" t="s">
        <v>7</v>
      </c>
      <c r="C1604" t="s">
        <v>1565</v>
      </c>
      <c r="D1604" t="s">
        <v>1554</v>
      </c>
    </row>
    <row r="1605" spans="1:4" x14ac:dyDescent="0.2">
      <c r="A1605" t="s">
        <v>855</v>
      </c>
      <c r="B1605" t="s">
        <v>8</v>
      </c>
      <c r="C1605" t="s">
        <v>1561</v>
      </c>
      <c r="D1605" t="s">
        <v>1554</v>
      </c>
    </row>
    <row r="1606" spans="1:4" x14ac:dyDescent="0.2">
      <c r="A1606" t="s">
        <v>855</v>
      </c>
      <c r="B1606" t="s">
        <v>9</v>
      </c>
      <c r="C1606" t="s">
        <v>1553</v>
      </c>
      <c r="D1606" t="s">
        <v>1554</v>
      </c>
    </row>
    <row r="1607" spans="1:4" x14ac:dyDescent="0.2">
      <c r="A1607" t="s">
        <v>855</v>
      </c>
      <c r="B1607" t="s">
        <v>10</v>
      </c>
      <c r="C1607" t="s">
        <v>1555</v>
      </c>
      <c r="D1607" t="s">
        <v>1554</v>
      </c>
    </row>
    <row r="1608" spans="1:4" x14ac:dyDescent="0.2">
      <c r="A1608" t="s">
        <v>855</v>
      </c>
      <c r="B1608" t="s">
        <v>11</v>
      </c>
      <c r="C1608" t="s">
        <v>1566</v>
      </c>
      <c r="D1608" t="s">
        <v>1554</v>
      </c>
    </row>
    <row r="1609" spans="1:4" x14ac:dyDescent="0.2">
      <c r="A1609" t="s">
        <v>855</v>
      </c>
      <c r="B1609" t="s">
        <v>13</v>
      </c>
      <c r="C1609" t="s">
        <v>1567</v>
      </c>
      <c r="D1609" t="s">
        <v>1554</v>
      </c>
    </row>
    <row r="1610" spans="1:4" x14ac:dyDescent="0.2">
      <c r="A1610" t="s">
        <v>855</v>
      </c>
      <c r="B1610" t="s">
        <v>14</v>
      </c>
      <c r="C1610" t="s">
        <v>1568</v>
      </c>
      <c r="D1610" t="s">
        <v>1554</v>
      </c>
    </row>
    <row r="1611" spans="1:4" x14ac:dyDescent="0.2">
      <c r="A1611" t="s">
        <v>855</v>
      </c>
      <c r="B1611" t="s">
        <v>15</v>
      </c>
      <c r="C1611" t="s">
        <v>1569</v>
      </c>
      <c r="D1611" t="s">
        <v>1554</v>
      </c>
    </row>
    <row r="1612" spans="1:4" x14ac:dyDescent="0.2">
      <c r="A1612" t="s">
        <v>855</v>
      </c>
      <c r="B1612" t="s">
        <v>17</v>
      </c>
      <c r="C1612" t="s">
        <v>1560</v>
      </c>
      <c r="D1612" t="s">
        <v>1554</v>
      </c>
    </row>
    <row r="1613" spans="1:4" x14ac:dyDescent="0.2">
      <c r="A1613" t="s">
        <v>855</v>
      </c>
      <c r="B1613" t="s">
        <v>19</v>
      </c>
      <c r="C1613" t="s">
        <v>1570</v>
      </c>
      <c r="D1613" t="s">
        <v>1554</v>
      </c>
    </row>
    <row r="1614" spans="1:4" x14ac:dyDescent="0.2">
      <c r="A1614" t="s">
        <v>855</v>
      </c>
      <c r="B1614" t="s">
        <v>23</v>
      </c>
      <c r="C1614" t="s">
        <v>1556</v>
      </c>
      <c r="D1614" t="s">
        <v>1554</v>
      </c>
    </row>
    <row r="1615" spans="1:4" x14ac:dyDescent="0.2">
      <c r="A1615" t="s">
        <v>855</v>
      </c>
      <c r="B1615" t="s">
        <v>25</v>
      </c>
      <c r="C1615" t="s">
        <v>1557</v>
      </c>
      <c r="D1615" t="s">
        <v>1554</v>
      </c>
    </row>
    <row r="1616" spans="1:4" x14ac:dyDescent="0.2">
      <c r="A1616" t="s">
        <v>855</v>
      </c>
      <c r="B1616" t="s">
        <v>24</v>
      </c>
      <c r="C1616" t="s">
        <v>1558</v>
      </c>
      <c r="D1616" t="s">
        <v>1559</v>
      </c>
    </row>
    <row r="1617" spans="1:4" x14ac:dyDescent="0.2">
      <c r="A1617" t="s">
        <v>861</v>
      </c>
      <c r="B1617" t="s">
        <v>3</v>
      </c>
      <c r="C1617" t="s">
        <v>1562</v>
      </c>
      <c r="D1617" t="s">
        <v>1554</v>
      </c>
    </row>
    <row r="1618" spans="1:4" x14ac:dyDescent="0.2">
      <c r="A1618" t="s">
        <v>861</v>
      </c>
      <c r="B1618" t="s">
        <v>5</v>
      </c>
      <c r="C1618" t="s">
        <v>1563</v>
      </c>
      <c r="D1618" t="s">
        <v>1554</v>
      </c>
    </row>
    <row r="1619" spans="1:4" x14ac:dyDescent="0.2">
      <c r="A1619" t="s">
        <v>861</v>
      </c>
      <c r="B1619" t="s">
        <v>6</v>
      </c>
      <c r="C1619" t="s">
        <v>1564</v>
      </c>
      <c r="D1619" t="s">
        <v>1554</v>
      </c>
    </row>
    <row r="1620" spans="1:4" x14ac:dyDescent="0.2">
      <c r="A1620" t="s">
        <v>861</v>
      </c>
      <c r="B1620" t="s">
        <v>7</v>
      </c>
      <c r="C1620" t="s">
        <v>1565</v>
      </c>
      <c r="D1620" t="s">
        <v>1554</v>
      </c>
    </row>
    <row r="1621" spans="1:4" x14ac:dyDescent="0.2">
      <c r="A1621" t="s">
        <v>861</v>
      </c>
      <c r="B1621" t="s">
        <v>8</v>
      </c>
      <c r="C1621" t="s">
        <v>1561</v>
      </c>
      <c r="D1621" t="s">
        <v>1554</v>
      </c>
    </row>
    <row r="1622" spans="1:4" x14ac:dyDescent="0.2">
      <c r="A1622" t="s">
        <v>861</v>
      </c>
      <c r="B1622" t="s">
        <v>9</v>
      </c>
      <c r="C1622" t="s">
        <v>1553</v>
      </c>
      <c r="D1622" t="s">
        <v>1554</v>
      </c>
    </row>
    <row r="1623" spans="1:4" x14ac:dyDescent="0.2">
      <c r="A1623" t="s">
        <v>861</v>
      </c>
      <c r="B1623" t="s">
        <v>10</v>
      </c>
      <c r="C1623" t="s">
        <v>1555</v>
      </c>
      <c r="D1623" t="s">
        <v>1554</v>
      </c>
    </row>
    <row r="1624" spans="1:4" x14ac:dyDescent="0.2">
      <c r="A1624" t="s">
        <v>861</v>
      </c>
      <c r="B1624" t="s">
        <v>11</v>
      </c>
      <c r="C1624" t="s">
        <v>1566</v>
      </c>
      <c r="D1624" t="s">
        <v>1554</v>
      </c>
    </row>
    <row r="1625" spans="1:4" x14ac:dyDescent="0.2">
      <c r="A1625" t="s">
        <v>861</v>
      </c>
      <c r="B1625" t="s">
        <v>13</v>
      </c>
      <c r="C1625" t="s">
        <v>1567</v>
      </c>
      <c r="D1625" t="s">
        <v>1554</v>
      </c>
    </row>
    <row r="1626" spans="1:4" x14ac:dyDescent="0.2">
      <c r="A1626" t="s">
        <v>861</v>
      </c>
      <c r="B1626" t="s">
        <v>14</v>
      </c>
      <c r="C1626" t="s">
        <v>1568</v>
      </c>
      <c r="D1626" t="s">
        <v>1554</v>
      </c>
    </row>
    <row r="1627" spans="1:4" x14ac:dyDescent="0.2">
      <c r="A1627" t="s">
        <v>861</v>
      </c>
      <c r="B1627" t="s">
        <v>15</v>
      </c>
      <c r="C1627" t="s">
        <v>1569</v>
      </c>
      <c r="D1627" t="s">
        <v>1554</v>
      </c>
    </row>
    <row r="1628" spans="1:4" x14ac:dyDescent="0.2">
      <c r="A1628" t="s">
        <v>861</v>
      </c>
      <c r="B1628" t="s">
        <v>17</v>
      </c>
      <c r="C1628" t="s">
        <v>1560</v>
      </c>
      <c r="D1628" t="s">
        <v>1554</v>
      </c>
    </row>
    <row r="1629" spans="1:4" x14ac:dyDescent="0.2">
      <c r="A1629" t="s">
        <v>861</v>
      </c>
      <c r="B1629" t="s">
        <v>19</v>
      </c>
      <c r="C1629" t="s">
        <v>1570</v>
      </c>
      <c r="D1629" t="s">
        <v>1554</v>
      </c>
    </row>
    <row r="1630" spans="1:4" x14ac:dyDescent="0.2">
      <c r="A1630" t="s">
        <v>861</v>
      </c>
      <c r="B1630" t="s">
        <v>23</v>
      </c>
      <c r="C1630" t="s">
        <v>1556</v>
      </c>
      <c r="D1630" t="s">
        <v>1554</v>
      </c>
    </row>
    <row r="1631" spans="1:4" x14ac:dyDescent="0.2">
      <c r="A1631" t="s">
        <v>861</v>
      </c>
      <c r="B1631" t="s">
        <v>25</v>
      </c>
      <c r="C1631" t="s">
        <v>1557</v>
      </c>
      <c r="D1631" t="s">
        <v>1554</v>
      </c>
    </row>
    <row r="1632" spans="1:4" x14ac:dyDescent="0.2">
      <c r="A1632" t="s">
        <v>867</v>
      </c>
      <c r="B1632" t="s">
        <v>6</v>
      </c>
      <c r="C1632" t="s">
        <v>1564</v>
      </c>
      <c r="D1632" t="s">
        <v>1554</v>
      </c>
    </row>
    <row r="1633" spans="1:4" x14ac:dyDescent="0.2">
      <c r="A1633" t="s">
        <v>867</v>
      </c>
      <c r="B1633" t="s">
        <v>7</v>
      </c>
      <c r="C1633" t="s">
        <v>1565</v>
      </c>
      <c r="D1633" t="s">
        <v>1554</v>
      </c>
    </row>
    <row r="1634" spans="1:4" x14ac:dyDescent="0.2">
      <c r="A1634" t="s">
        <v>867</v>
      </c>
      <c r="B1634" t="s">
        <v>8</v>
      </c>
      <c r="C1634" t="s">
        <v>1561</v>
      </c>
      <c r="D1634" t="s">
        <v>1554</v>
      </c>
    </row>
    <row r="1635" spans="1:4" x14ac:dyDescent="0.2">
      <c r="A1635" t="s">
        <v>867</v>
      </c>
      <c r="B1635" t="s">
        <v>9</v>
      </c>
      <c r="C1635" t="s">
        <v>1553</v>
      </c>
      <c r="D1635" t="s">
        <v>1554</v>
      </c>
    </row>
    <row r="1636" spans="1:4" x14ac:dyDescent="0.2">
      <c r="A1636" t="s">
        <v>867</v>
      </c>
      <c r="B1636" t="s">
        <v>10</v>
      </c>
      <c r="C1636" t="s">
        <v>1555</v>
      </c>
      <c r="D1636" t="s">
        <v>1554</v>
      </c>
    </row>
    <row r="1637" spans="1:4" x14ac:dyDescent="0.2">
      <c r="A1637" t="s">
        <v>867</v>
      </c>
      <c r="B1637" t="s">
        <v>11</v>
      </c>
      <c r="C1637" t="s">
        <v>1566</v>
      </c>
      <c r="D1637" t="s">
        <v>1554</v>
      </c>
    </row>
    <row r="1638" spans="1:4" x14ac:dyDescent="0.2">
      <c r="A1638" t="s">
        <v>867</v>
      </c>
      <c r="B1638" t="s">
        <v>13</v>
      </c>
      <c r="C1638" t="s">
        <v>1567</v>
      </c>
      <c r="D1638" t="s">
        <v>1554</v>
      </c>
    </row>
    <row r="1639" spans="1:4" x14ac:dyDescent="0.2">
      <c r="A1639" t="s">
        <v>867</v>
      </c>
      <c r="B1639" t="s">
        <v>14</v>
      </c>
      <c r="C1639" t="s">
        <v>1568</v>
      </c>
      <c r="D1639" t="s">
        <v>1554</v>
      </c>
    </row>
    <row r="1640" spans="1:4" x14ac:dyDescent="0.2">
      <c r="A1640" t="s">
        <v>867</v>
      </c>
      <c r="B1640" t="s">
        <v>15</v>
      </c>
      <c r="C1640" t="s">
        <v>1569</v>
      </c>
      <c r="D1640" t="s">
        <v>1554</v>
      </c>
    </row>
    <row r="1641" spans="1:4" x14ac:dyDescent="0.2">
      <c r="A1641" t="s">
        <v>867</v>
      </c>
      <c r="B1641" t="s">
        <v>17</v>
      </c>
      <c r="C1641" t="s">
        <v>1560</v>
      </c>
      <c r="D1641" t="s">
        <v>1554</v>
      </c>
    </row>
    <row r="1642" spans="1:4" x14ac:dyDescent="0.2">
      <c r="A1642" t="s">
        <v>867</v>
      </c>
      <c r="B1642" t="s">
        <v>19</v>
      </c>
      <c r="C1642" t="s">
        <v>1570</v>
      </c>
      <c r="D1642" t="s">
        <v>1554</v>
      </c>
    </row>
    <row r="1643" spans="1:4" x14ac:dyDescent="0.2">
      <c r="A1643" t="s">
        <v>867</v>
      </c>
      <c r="B1643" t="s">
        <v>23</v>
      </c>
      <c r="C1643" t="s">
        <v>1556</v>
      </c>
      <c r="D1643" t="s">
        <v>1554</v>
      </c>
    </row>
    <row r="1644" spans="1:4" x14ac:dyDescent="0.2">
      <c r="A1644" t="s">
        <v>867</v>
      </c>
      <c r="B1644" t="s">
        <v>25</v>
      </c>
      <c r="C1644" t="s">
        <v>1557</v>
      </c>
      <c r="D1644" t="s">
        <v>1554</v>
      </c>
    </row>
    <row r="1645" spans="1:4" x14ac:dyDescent="0.2">
      <c r="A1645" t="s">
        <v>873</v>
      </c>
      <c r="B1645" t="s">
        <v>3</v>
      </c>
      <c r="C1645" t="s">
        <v>1562</v>
      </c>
      <c r="D1645" t="s">
        <v>1554</v>
      </c>
    </row>
    <row r="1646" spans="1:4" x14ac:dyDescent="0.2">
      <c r="A1646" t="s">
        <v>873</v>
      </c>
      <c r="B1646" t="s">
        <v>5</v>
      </c>
      <c r="C1646" t="s">
        <v>1563</v>
      </c>
      <c r="D1646" t="s">
        <v>1554</v>
      </c>
    </row>
    <row r="1647" spans="1:4" x14ac:dyDescent="0.2">
      <c r="A1647" t="s">
        <v>873</v>
      </c>
      <c r="B1647" t="s">
        <v>6</v>
      </c>
      <c r="C1647" t="s">
        <v>1564</v>
      </c>
      <c r="D1647" t="s">
        <v>1554</v>
      </c>
    </row>
    <row r="1648" spans="1:4" x14ac:dyDescent="0.2">
      <c r="A1648" t="s">
        <v>873</v>
      </c>
      <c r="B1648" t="s">
        <v>7</v>
      </c>
      <c r="C1648" t="s">
        <v>1565</v>
      </c>
      <c r="D1648" t="s">
        <v>1554</v>
      </c>
    </row>
    <row r="1649" spans="1:4" x14ac:dyDescent="0.2">
      <c r="A1649" t="s">
        <v>873</v>
      </c>
      <c r="B1649" t="s">
        <v>8</v>
      </c>
      <c r="C1649" t="s">
        <v>1561</v>
      </c>
      <c r="D1649" t="s">
        <v>1554</v>
      </c>
    </row>
    <row r="1650" spans="1:4" x14ac:dyDescent="0.2">
      <c r="A1650" t="s">
        <v>873</v>
      </c>
      <c r="B1650" t="s">
        <v>9</v>
      </c>
      <c r="C1650" t="s">
        <v>1553</v>
      </c>
      <c r="D1650" t="s">
        <v>1554</v>
      </c>
    </row>
    <row r="1651" spans="1:4" x14ac:dyDescent="0.2">
      <c r="A1651" t="s">
        <v>873</v>
      </c>
      <c r="B1651" t="s">
        <v>10</v>
      </c>
      <c r="C1651" t="s">
        <v>1555</v>
      </c>
      <c r="D1651" t="s">
        <v>1554</v>
      </c>
    </row>
    <row r="1652" spans="1:4" x14ac:dyDescent="0.2">
      <c r="A1652" t="s">
        <v>873</v>
      </c>
      <c r="B1652" t="s">
        <v>11</v>
      </c>
      <c r="C1652" t="s">
        <v>1566</v>
      </c>
      <c r="D1652" t="s">
        <v>1554</v>
      </c>
    </row>
    <row r="1653" spans="1:4" x14ac:dyDescent="0.2">
      <c r="A1653" t="s">
        <v>873</v>
      </c>
      <c r="B1653" t="s">
        <v>13</v>
      </c>
      <c r="C1653" t="s">
        <v>1567</v>
      </c>
      <c r="D1653" t="s">
        <v>1554</v>
      </c>
    </row>
    <row r="1654" spans="1:4" x14ac:dyDescent="0.2">
      <c r="A1654" t="s">
        <v>873</v>
      </c>
      <c r="B1654" t="s">
        <v>14</v>
      </c>
      <c r="C1654" t="s">
        <v>1568</v>
      </c>
      <c r="D1654" t="s">
        <v>1554</v>
      </c>
    </row>
    <row r="1655" spans="1:4" x14ac:dyDescent="0.2">
      <c r="A1655" t="s">
        <v>873</v>
      </c>
      <c r="B1655" t="s">
        <v>15</v>
      </c>
      <c r="C1655" t="s">
        <v>1569</v>
      </c>
      <c r="D1655" t="s">
        <v>1554</v>
      </c>
    </row>
    <row r="1656" spans="1:4" x14ac:dyDescent="0.2">
      <c r="A1656" t="s">
        <v>873</v>
      </c>
      <c r="B1656" t="s">
        <v>17</v>
      </c>
      <c r="C1656" t="s">
        <v>1560</v>
      </c>
      <c r="D1656" t="s">
        <v>1554</v>
      </c>
    </row>
    <row r="1657" spans="1:4" x14ac:dyDescent="0.2">
      <c r="A1657" t="s">
        <v>873</v>
      </c>
      <c r="B1657" t="s">
        <v>19</v>
      </c>
      <c r="C1657" t="s">
        <v>1570</v>
      </c>
      <c r="D1657" t="s">
        <v>1554</v>
      </c>
    </row>
    <row r="1658" spans="1:4" x14ac:dyDescent="0.2">
      <c r="A1658" t="s">
        <v>873</v>
      </c>
      <c r="B1658" t="s">
        <v>23</v>
      </c>
      <c r="C1658" t="s">
        <v>1556</v>
      </c>
      <c r="D1658" t="s">
        <v>1554</v>
      </c>
    </row>
    <row r="1659" spans="1:4" x14ac:dyDescent="0.2">
      <c r="A1659" t="s">
        <v>873</v>
      </c>
      <c r="B1659" t="s">
        <v>25</v>
      </c>
      <c r="C1659" t="s">
        <v>1557</v>
      </c>
      <c r="D1659" t="s">
        <v>1554</v>
      </c>
    </row>
    <row r="1660" spans="1:4" x14ac:dyDescent="0.2">
      <c r="A1660" t="s">
        <v>873</v>
      </c>
      <c r="B1660" t="s">
        <v>24</v>
      </c>
      <c r="C1660" t="s">
        <v>1558</v>
      </c>
      <c r="D1660" t="s">
        <v>1559</v>
      </c>
    </row>
    <row r="1661" spans="1:4" x14ac:dyDescent="0.2">
      <c r="A1661" t="s">
        <v>879</v>
      </c>
      <c r="B1661" t="s">
        <v>6</v>
      </c>
      <c r="C1661" t="s">
        <v>1564</v>
      </c>
      <c r="D1661" t="s">
        <v>1554</v>
      </c>
    </row>
    <row r="1662" spans="1:4" x14ac:dyDescent="0.2">
      <c r="A1662" t="s">
        <v>879</v>
      </c>
      <c r="B1662" t="s">
        <v>7</v>
      </c>
      <c r="C1662" t="s">
        <v>1565</v>
      </c>
      <c r="D1662" t="s">
        <v>1554</v>
      </c>
    </row>
    <row r="1663" spans="1:4" x14ac:dyDescent="0.2">
      <c r="A1663" t="s">
        <v>879</v>
      </c>
      <c r="B1663" t="s">
        <v>8</v>
      </c>
      <c r="C1663" t="s">
        <v>1561</v>
      </c>
      <c r="D1663" t="s">
        <v>1554</v>
      </c>
    </row>
    <row r="1664" spans="1:4" x14ac:dyDescent="0.2">
      <c r="A1664" t="s">
        <v>879</v>
      </c>
      <c r="B1664" t="s">
        <v>9</v>
      </c>
      <c r="C1664" t="s">
        <v>1553</v>
      </c>
      <c r="D1664" t="s">
        <v>1554</v>
      </c>
    </row>
    <row r="1665" spans="1:4" x14ac:dyDescent="0.2">
      <c r="A1665" t="s">
        <v>879</v>
      </c>
      <c r="B1665" t="s">
        <v>10</v>
      </c>
      <c r="C1665" t="s">
        <v>1555</v>
      </c>
      <c r="D1665" t="s">
        <v>1554</v>
      </c>
    </row>
    <row r="1666" spans="1:4" x14ac:dyDescent="0.2">
      <c r="A1666" t="s">
        <v>879</v>
      </c>
      <c r="B1666" t="s">
        <v>11</v>
      </c>
      <c r="C1666" t="s">
        <v>1566</v>
      </c>
      <c r="D1666" t="s">
        <v>1554</v>
      </c>
    </row>
    <row r="1667" spans="1:4" x14ac:dyDescent="0.2">
      <c r="A1667" t="s">
        <v>879</v>
      </c>
      <c r="B1667" t="s">
        <v>13</v>
      </c>
      <c r="C1667" t="s">
        <v>1567</v>
      </c>
      <c r="D1667" t="s">
        <v>1554</v>
      </c>
    </row>
    <row r="1668" spans="1:4" x14ac:dyDescent="0.2">
      <c r="A1668" t="s">
        <v>879</v>
      </c>
      <c r="B1668" t="s">
        <v>14</v>
      </c>
      <c r="C1668" t="s">
        <v>1568</v>
      </c>
      <c r="D1668" t="s">
        <v>1554</v>
      </c>
    </row>
    <row r="1669" spans="1:4" x14ac:dyDescent="0.2">
      <c r="A1669" t="s">
        <v>879</v>
      </c>
      <c r="B1669" t="s">
        <v>15</v>
      </c>
      <c r="C1669" t="s">
        <v>1569</v>
      </c>
      <c r="D1669" t="s">
        <v>1554</v>
      </c>
    </row>
    <row r="1670" spans="1:4" x14ac:dyDescent="0.2">
      <c r="A1670" t="s">
        <v>879</v>
      </c>
      <c r="B1670" t="s">
        <v>17</v>
      </c>
      <c r="C1670" t="s">
        <v>1560</v>
      </c>
      <c r="D1670" t="s">
        <v>1554</v>
      </c>
    </row>
    <row r="1671" spans="1:4" x14ac:dyDescent="0.2">
      <c r="A1671" t="s">
        <v>879</v>
      </c>
      <c r="B1671" t="s">
        <v>19</v>
      </c>
      <c r="C1671" t="s">
        <v>1570</v>
      </c>
      <c r="D1671" t="s">
        <v>1554</v>
      </c>
    </row>
    <row r="1672" spans="1:4" x14ac:dyDescent="0.2">
      <c r="A1672" t="s">
        <v>879</v>
      </c>
      <c r="B1672" t="s">
        <v>23</v>
      </c>
      <c r="C1672" t="s">
        <v>1556</v>
      </c>
      <c r="D1672" t="s">
        <v>1554</v>
      </c>
    </row>
    <row r="1673" spans="1:4" x14ac:dyDescent="0.2">
      <c r="A1673" t="s">
        <v>879</v>
      </c>
      <c r="B1673" t="s">
        <v>25</v>
      </c>
      <c r="C1673" t="s">
        <v>1557</v>
      </c>
      <c r="D1673" t="s">
        <v>1554</v>
      </c>
    </row>
    <row r="1674" spans="1:4" x14ac:dyDescent="0.2">
      <c r="A1674" t="s">
        <v>885</v>
      </c>
      <c r="B1674" t="s">
        <v>6</v>
      </c>
      <c r="C1674" t="s">
        <v>1564</v>
      </c>
      <c r="D1674" t="s">
        <v>1554</v>
      </c>
    </row>
    <row r="1675" spans="1:4" x14ac:dyDescent="0.2">
      <c r="A1675" t="s">
        <v>885</v>
      </c>
      <c r="B1675" t="s">
        <v>7</v>
      </c>
      <c r="C1675" t="s">
        <v>1565</v>
      </c>
      <c r="D1675" t="s">
        <v>1554</v>
      </c>
    </row>
    <row r="1676" spans="1:4" x14ac:dyDescent="0.2">
      <c r="A1676" t="s">
        <v>885</v>
      </c>
      <c r="B1676" t="s">
        <v>8</v>
      </c>
      <c r="C1676" t="s">
        <v>1561</v>
      </c>
      <c r="D1676" t="s">
        <v>1554</v>
      </c>
    </row>
    <row r="1677" spans="1:4" x14ac:dyDescent="0.2">
      <c r="A1677" t="s">
        <v>885</v>
      </c>
      <c r="B1677" t="s">
        <v>9</v>
      </c>
      <c r="C1677" t="s">
        <v>1553</v>
      </c>
      <c r="D1677" t="s">
        <v>1554</v>
      </c>
    </row>
    <row r="1678" spans="1:4" x14ac:dyDescent="0.2">
      <c r="A1678" t="s">
        <v>885</v>
      </c>
      <c r="B1678" t="s">
        <v>10</v>
      </c>
      <c r="C1678" t="s">
        <v>1555</v>
      </c>
      <c r="D1678" t="s">
        <v>1554</v>
      </c>
    </row>
    <row r="1679" spans="1:4" x14ac:dyDescent="0.2">
      <c r="A1679" t="s">
        <v>885</v>
      </c>
      <c r="B1679" t="s">
        <v>11</v>
      </c>
      <c r="C1679" t="s">
        <v>1566</v>
      </c>
      <c r="D1679" t="s">
        <v>1554</v>
      </c>
    </row>
    <row r="1680" spans="1:4" x14ac:dyDescent="0.2">
      <c r="A1680" t="s">
        <v>885</v>
      </c>
      <c r="B1680" t="s">
        <v>13</v>
      </c>
      <c r="C1680" t="s">
        <v>1567</v>
      </c>
      <c r="D1680" t="s">
        <v>1554</v>
      </c>
    </row>
    <row r="1681" spans="1:4" x14ac:dyDescent="0.2">
      <c r="A1681" t="s">
        <v>885</v>
      </c>
      <c r="B1681" t="s">
        <v>14</v>
      </c>
      <c r="C1681" t="s">
        <v>1568</v>
      </c>
      <c r="D1681" t="s">
        <v>1554</v>
      </c>
    </row>
    <row r="1682" spans="1:4" x14ac:dyDescent="0.2">
      <c r="A1682" t="s">
        <v>885</v>
      </c>
      <c r="B1682" t="s">
        <v>15</v>
      </c>
      <c r="C1682" t="s">
        <v>1569</v>
      </c>
      <c r="D1682" t="s">
        <v>1554</v>
      </c>
    </row>
    <row r="1683" spans="1:4" x14ac:dyDescent="0.2">
      <c r="A1683" t="s">
        <v>885</v>
      </c>
      <c r="B1683" t="s">
        <v>17</v>
      </c>
      <c r="C1683" t="s">
        <v>1560</v>
      </c>
      <c r="D1683" t="s">
        <v>1554</v>
      </c>
    </row>
    <row r="1684" spans="1:4" x14ac:dyDescent="0.2">
      <c r="A1684" t="s">
        <v>885</v>
      </c>
      <c r="B1684" t="s">
        <v>19</v>
      </c>
      <c r="C1684" t="s">
        <v>1570</v>
      </c>
      <c r="D1684" t="s">
        <v>1554</v>
      </c>
    </row>
    <row r="1685" spans="1:4" x14ac:dyDescent="0.2">
      <c r="A1685" t="s">
        <v>885</v>
      </c>
      <c r="B1685" t="s">
        <v>23</v>
      </c>
      <c r="C1685" t="s">
        <v>1556</v>
      </c>
      <c r="D1685" t="s">
        <v>1554</v>
      </c>
    </row>
    <row r="1686" spans="1:4" x14ac:dyDescent="0.2">
      <c r="A1686" t="s">
        <v>885</v>
      </c>
      <c r="B1686" t="s">
        <v>25</v>
      </c>
      <c r="C1686" t="s">
        <v>1557</v>
      </c>
      <c r="D1686" t="s">
        <v>1554</v>
      </c>
    </row>
    <row r="1687" spans="1:4" x14ac:dyDescent="0.2">
      <c r="A1687" t="s">
        <v>885</v>
      </c>
      <c r="B1687" t="s">
        <v>24</v>
      </c>
      <c r="C1687" t="s">
        <v>1558</v>
      </c>
      <c r="D1687" t="s">
        <v>1559</v>
      </c>
    </row>
    <row r="1688" spans="1:4" x14ac:dyDescent="0.2">
      <c r="A1688" t="s">
        <v>891</v>
      </c>
      <c r="B1688" t="s">
        <v>3</v>
      </c>
      <c r="C1688" t="s">
        <v>1562</v>
      </c>
      <c r="D1688" t="s">
        <v>1554</v>
      </c>
    </row>
    <row r="1689" spans="1:4" x14ac:dyDescent="0.2">
      <c r="A1689" t="s">
        <v>891</v>
      </c>
      <c r="B1689" t="s">
        <v>5</v>
      </c>
      <c r="C1689" t="s">
        <v>1563</v>
      </c>
      <c r="D1689" t="s">
        <v>1554</v>
      </c>
    </row>
    <row r="1690" spans="1:4" x14ac:dyDescent="0.2">
      <c r="A1690" t="s">
        <v>891</v>
      </c>
      <c r="B1690" t="s">
        <v>6</v>
      </c>
      <c r="C1690" t="s">
        <v>1564</v>
      </c>
      <c r="D1690" t="s">
        <v>1554</v>
      </c>
    </row>
    <row r="1691" spans="1:4" x14ac:dyDescent="0.2">
      <c r="A1691" t="s">
        <v>891</v>
      </c>
      <c r="B1691" t="s">
        <v>7</v>
      </c>
      <c r="C1691" t="s">
        <v>1565</v>
      </c>
      <c r="D1691" t="s">
        <v>1554</v>
      </c>
    </row>
    <row r="1692" spans="1:4" x14ac:dyDescent="0.2">
      <c r="A1692" t="s">
        <v>891</v>
      </c>
      <c r="B1692" t="s">
        <v>8</v>
      </c>
      <c r="C1692" t="s">
        <v>1561</v>
      </c>
      <c r="D1692" t="s">
        <v>1554</v>
      </c>
    </row>
    <row r="1693" spans="1:4" x14ac:dyDescent="0.2">
      <c r="A1693" t="s">
        <v>891</v>
      </c>
      <c r="B1693" t="s">
        <v>9</v>
      </c>
      <c r="C1693" t="s">
        <v>1553</v>
      </c>
      <c r="D1693" t="s">
        <v>1554</v>
      </c>
    </row>
    <row r="1694" spans="1:4" x14ac:dyDescent="0.2">
      <c r="A1694" t="s">
        <v>891</v>
      </c>
      <c r="B1694" t="s">
        <v>10</v>
      </c>
      <c r="C1694" t="s">
        <v>1555</v>
      </c>
      <c r="D1694" t="s">
        <v>1554</v>
      </c>
    </row>
    <row r="1695" spans="1:4" x14ac:dyDescent="0.2">
      <c r="A1695" t="s">
        <v>891</v>
      </c>
      <c r="B1695" t="s">
        <v>11</v>
      </c>
      <c r="C1695" t="s">
        <v>1566</v>
      </c>
      <c r="D1695" t="s">
        <v>1554</v>
      </c>
    </row>
    <row r="1696" spans="1:4" x14ac:dyDescent="0.2">
      <c r="A1696" t="s">
        <v>891</v>
      </c>
      <c r="B1696" t="s">
        <v>13</v>
      </c>
      <c r="C1696" t="s">
        <v>1567</v>
      </c>
      <c r="D1696" t="s">
        <v>1554</v>
      </c>
    </row>
    <row r="1697" spans="1:4" x14ac:dyDescent="0.2">
      <c r="A1697" t="s">
        <v>891</v>
      </c>
      <c r="B1697" t="s">
        <v>14</v>
      </c>
      <c r="C1697" t="s">
        <v>1568</v>
      </c>
      <c r="D1697" t="s">
        <v>1554</v>
      </c>
    </row>
    <row r="1698" spans="1:4" x14ac:dyDescent="0.2">
      <c r="A1698" t="s">
        <v>891</v>
      </c>
      <c r="B1698" t="s">
        <v>15</v>
      </c>
      <c r="C1698" t="s">
        <v>1569</v>
      </c>
      <c r="D1698" t="s">
        <v>1554</v>
      </c>
    </row>
    <row r="1699" spans="1:4" x14ac:dyDescent="0.2">
      <c r="A1699" t="s">
        <v>891</v>
      </c>
      <c r="B1699" t="s">
        <v>17</v>
      </c>
      <c r="C1699" t="s">
        <v>1560</v>
      </c>
      <c r="D1699" t="s">
        <v>1554</v>
      </c>
    </row>
    <row r="1700" spans="1:4" x14ac:dyDescent="0.2">
      <c r="A1700" t="s">
        <v>891</v>
      </c>
      <c r="B1700" t="s">
        <v>19</v>
      </c>
      <c r="C1700" t="s">
        <v>1570</v>
      </c>
      <c r="D1700" t="s">
        <v>1554</v>
      </c>
    </row>
    <row r="1701" spans="1:4" x14ac:dyDescent="0.2">
      <c r="A1701" t="s">
        <v>891</v>
      </c>
      <c r="B1701" t="s">
        <v>23</v>
      </c>
      <c r="C1701" t="s">
        <v>1556</v>
      </c>
      <c r="D1701" t="s">
        <v>1554</v>
      </c>
    </row>
    <row r="1702" spans="1:4" x14ac:dyDescent="0.2">
      <c r="A1702" t="s">
        <v>891</v>
      </c>
      <c r="B1702" t="s">
        <v>25</v>
      </c>
      <c r="C1702" t="s">
        <v>1557</v>
      </c>
      <c r="D1702" t="s">
        <v>1554</v>
      </c>
    </row>
    <row r="1703" spans="1:4" x14ac:dyDescent="0.2">
      <c r="A1703" t="s">
        <v>891</v>
      </c>
      <c r="B1703" t="s">
        <v>21</v>
      </c>
      <c r="C1703" t="s">
        <v>1571</v>
      </c>
      <c r="D1703" t="s">
        <v>1559</v>
      </c>
    </row>
    <row r="1704" spans="1:4" x14ac:dyDescent="0.2">
      <c r="A1704" t="s">
        <v>891</v>
      </c>
      <c r="B1704" t="s">
        <v>22</v>
      </c>
      <c r="C1704" t="s">
        <v>1572</v>
      </c>
      <c r="D1704" t="s">
        <v>1559</v>
      </c>
    </row>
    <row r="1705" spans="1:4" x14ac:dyDescent="0.2">
      <c r="A1705" t="s">
        <v>891</v>
      </c>
      <c r="B1705" t="s">
        <v>24</v>
      </c>
      <c r="C1705" t="s">
        <v>1558</v>
      </c>
      <c r="D1705" t="s">
        <v>1559</v>
      </c>
    </row>
    <row r="1706" spans="1:4" x14ac:dyDescent="0.2">
      <c r="A1706" t="s">
        <v>893</v>
      </c>
      <c r="B1706" t="s">
        <v>3</v>
      </c>
      <c r="C1706" t="s">
        <v>1562</v>
      </c>
      <c r="D1706" t="s">
        <v>1554</v>
      </c>
    </row>
    <row r="1707" spans="1:4" x14ac:dyDescent="0.2">
      <c r="A1707" t="s">
        <v>893</v>
      </c>
      <c r="B1707" t="s">
        <v>5</v>
      </c>
      <c r="C1707" t="s">
        <v>1563</v>
      </c>
      <c r="D1707" t="s">
        <v>1554</v>
      </c>
    </row>
    <row r="1708" spans="1:4" x14ac:dyDescent="0.2">
      <c r="A1708" t="s">
        <v>893</v>
      </c>
      <c r="B1708" t="s">
        <v>6</v>
      </c>
      <c r="C1708" t="s">
        <v>1564</v>
      </c>
      <c r="D1708" t="s">
        <v>1554</v>
      </c>
    </row>
    <row r="1709" spans="1:4" x14ac:dyDescent="0.2">
      <c r="A1709" t="s">
        <v>893</v>
      </c>
      <c r="B1709" t="s">
        <v>7</v>
      </c>
      <c r="C1709" t="s">
        <v>1565</v>
      </c>
      <c r="D1709" t="s">
        <v>1554</v>
      </c>
    </row>
    <row r="1710" spans="1:4" x14ac:dyDescent="0.2">
      <c r="A1710" t="s">
        <v>893</v>
      </c>
      <c r="B1710" t="s">
        <v>8</v>
      </c>
      <c r="C1710" t="s">
        <v>1561</v>
      </c>
      <c r="D1710" t="s">
        <v>1554</v>
      </c>
    </row>
    <row r="1711" spans="1:4" x14ac:dyDescent="0.2">
      <c r="A1711" t="s">
        <v>893</v>
      </c>
      <c r="B1711" t="s">
        <v>9</v>
      </c>
      <c r="C1711" t="s">
        <v>1553</v>
      </c>
      <c r="D1711" t="s">
        <v>1554</v>
      </c>
    </row>
    <row r="1712" spans="1:4" x14ac:dyDescent="0.2">
      <c r="A1712" t="s">
        <v>893</v>
      </c>
      <c r="B1712" t="s">
        <v>10</v>
      </c>
      <c r="C1712" t="s">
        <v>1555</v>
      </c>
      <c r="D1712" t="s">
        <v>1554</v>
      </c>
    </row>
    <row r="1713" spans="1:4" x14ac:dyDescent="0.2">
      <c r="A1713" t="s">
        <v>893</v>
      </c>
      <c r="B1713" t="s">
        <v>11</v>
      </c>
      <c r="C1713" t="s">
        <v>1566</v>
      </c>
      <c r="D1713" t="s">
        <v>1554</v>
      </c>
    </row>
    <row r="1714" spans="1:4" x14ac:dyDescent="0.2">
      <c r="A1714" t="s">
        <v>893</v>
      </c>
      <c r="B1714" t="s">
        <v>13</v>
      </c>
      <c r="C1714" t="s">
        <v>1567</v>
      </c>
      <c r="D1714" t="s">
        <v>1554</v>
      </c>
    </row>
    <row r="1715" spans="1:4" x14ac:dyDescent="0.2">
      <c r="A1715" t="s">
        <v>893</v>
      </c>
      <c r="B1715" t="s">
        <v>14</v>
      </c>
      <c r="C1715" t="s">
        <v>1568</v>
      </c>
      <c r="D1715" t="s">
        <v>1554</v>
      </c>
    </row>
    <row r="1716" spans="1:4" x14ac:dyDescent="0.2">
      <c r="A1716" t="s">
        <v>893</v>
      </c>
      <c r="B1716" t="s">
        <v>15</v>
      </c>
      <c r="C1716" t="s">
        <v>1569</v>
      </c>
      <c r="D1716" t="s">
        <v>1554</v>
      </c>
    </row>
    <row r="1717" spans="1:4" x14ac:dyDescent="0.2">
      <c r="A1717" t="s">
        <v>893</v>
      </c>
      <c r="B1717" t="s">
        <v>17</v>
      </c>
      <c r="C1717" t="s">
        <v>1560</v>
      </c>
      <c r="D1717" t="s">
        <v>1554</v>
      </c>
    </row>
    <row r="1718" spans="1:4" x14ac:dyDescent="0.2">
      <c r="A1718" t="s">
        <v>893</v>
      </c>
      <c r="B1718" t="s">
        <v>19</v>
      </c>
      <c r="C1718" t="s">
        <v>1570</v>
      </c>
      <c r="D1718" t="s">
        <v>1554</v>
      </c>
    </row>
    <row r="1719" spans="1:4" x14ac:dyDescent="0.2">
      <c r="A1719" t="s">
        <v>893</v>
      </c>
      <c r="B1719" t="s">
        <v>23</v>
      </c>
      <c r="C1719" t="s">
        <v>1556</v>
      </c>
      <c r="D1719" t="s">
        <v>1554</v>
      </c>
    </row>
    <row r="1720" spans="1:4" x14ac:dyDescent="0.2">
      <c r="A1720" t="s">
        <v>893</v>
      </c>
      <c r="B1720" t="s">
        <v>25</v>
      </c>
      <c r="C1720" t="s">
        <v>1557</v>
      </c>
      <c r="D1720" t="s">
        <v>1554</v>
      </c>
    </row>
    <row r="1721" spans="1:4" x14ac:dyDescent="0.2">
      <c r="A1721" t="s">
        <v>893</v>
      </c>
      <c r="B1721" t="s">
        <v>24</v>
      </c>
      <c r="C1721" t="s">
        <v>1558</v>
      </c>
      <c r="D1721" t="s">
        <v>1559</v>
      </c>
    </row>
    <row r="1722" spans="1:4" x14ac:dyDescent="0.2">
      <c r="A1722" t="s">
        <v>899</v>
      </c>
      <c r="B1722" t="s">
        <v>6</v>
      </c>
      <c r="C1722" t="s">
        <v>1564</v>
      </c>
      <c r="D1722" t="s">
        <v>1554</v>
      </c>
    </row>
    <row r="1723" spans="1:4" x14ac:dyDescent="0.2">
      <c r="A1723" t="s">
        <v>899</v>
      </c>
      <c r="B1723" t="s">
        <v>7</v>
      </c>
      <c r="C1723" t="s">
        <v>1565</v>
      </c>
      <c r="D1723" t="s">
        <v>1554</v>
      </c>
    </row>
    <row r="1724" spans="1:4" x14ac:dyDescent="0.2">
      <c r="A1724" t="s">
        <v>899</v>
      </c>
      <c r="B1724" t="s">
        <v>8</v>
      </c>
      <c r="C1724" t="s">
        <v>1561</v>
      </c>
      <c r="D1724" t="s">
        <v>1554</v>
      </c>
    </row>
    <row r="1725" spans="1:4" x14ac:dyDescent="0.2">
      <c r="A1725" t="s">
        <v>899</v>
      </c>
      <c r="B1725" t="s">
        <v>9</v>
      </c>
      <c r="C1725" t="s">
        <v>1553</v>
      </c>
      <c r="D1725" t="s">
        <v>1554</v>
      </c>
    </row>
    <row r="1726" spans="1:4" x14ac:dyDescent="0.2">
      <c r="A1726" t="s">
        <v>899</v>
      </c>
      <c r="B1726" t="s">
        <v>10</v>
      </c>
      <c r="C1726" t="s">
        <v>1555</v>
      </c>
      <c r="D1726" t="s">
        <v>1554</v>
      </c>
    </row>
    <row r="1727" spans="1:4" x14ac:dyDescent="0.2">
      <c r="A1727" t="s">
        <v>899</v>
      </c>
      <c r="B1727" t="s">
        <v>11</v>
      </c>
      <c r="C1727" t="s">
        <v>1566</v>
      </c>
      <c r="D1727" t="s">
        <v>1554</v>
      </c>
    </row>
    <row r="1728" spans="1:4" x14ac:dyDescent="0.2">
      <c r="A1728" t="s">
        <v>899</v>
      </c>
      <c r="B1728" t="s">
        <v>13</v>
      </c>
      <c r="C1728" t="s">
        <v>1567</v>
      </c>
      <c r="D1728" t="s">
        <v>1554</v>
      </c>
    </row>
    <row r="1729" spans="1:4" x14ac:dyDescent="0.2">
      <c r="A1729" t="s">
        <v>899</v>
      </c>
      <c r="B1729" t="s">
        <v>14</v>
      </c>
      <c r="C1729" t="s">
        <v>1568</v>
      </c>
      <c r="D1729" t="s">
        <v>1554</v>
      </c>
    </row>
    <row r="1730" spans="1:4" x14ac:dyDescent="0.2">
      <c r="A1730" t="s">
        <v>899</v>
      </c>
      <c r="B1730" t="s">
        <v>15</v>
      </c>
      <c r="C1730" t="s">
        <v>1569</v>
      </c>
      <c r="D1730" t="s">
        <v>1554</v>
      </c>
    </row>
    <row r="1731" spans="1:4" x14ac:dyDescent="0.2">
      <c r="A1731" t="s">
        <v>899</v>
      </c>
      <c r="B1731" t="s">
        <v>17</v>
      </c>
      <c r="C1731" t="s">
        <v>1560</v>
      </c>
      <c r="D1731" t="s">
        <v>1554</v>
      </c>
    </row>
    <row r="1732" spans="1:4" x14ac:dyDescent="0.2">
      <c r="A1732" t="s">
        <v>899</v>
      </c>
      <c r="B1732" t="s">
        <v>19</v>
      </c>
      <c r="C1732" t="s">
        <v>1570</v>
      </c>
      <c r="D1732" t="s">
        <v>1554</v>
      </c>
    </row>
    <row r="1733" spans="1:4" x14ac:dyDescent="0.2">
      <c r="A1733" t="s">
        <v>899</v>
      </c>
      <c r="B1733" t="s">
        <v>23</v>
      </c>
      <c r="C1733" t="s">
        <v>1556</v>
      </c>
      <c r="D1733" t="s">
        <v>1554</v>
      </c>
    </row>
    <row r="1734" spans="1:4" x14ac:dyDescent="0.2">
      <c r="A1734" t="s">
        <v>899</v>
      </c>
      <c r="B1734" t="s">
        <v>25</v>
      </c>
      <c r="C1734" t="s">
        <v>1557</v>
      </c>
      <c r="D1734" t="s">
        <v>1554</v>
      </c>
    </row>
    <row r="1735" spans="1:4" x14ac:dyDescent="0.2">
      <c r="A1735" t="s">
        <v>905</v>
      </c>
      <c r="B1735" t="s">
        <v>6</v>
      </c>
      <c r="C1735" t="s">
        <v>1564</v>
      </c>
      <c r="D1735" t="s">
        <v>1554</v>
      </c>
    </row>
    <row r="1736" spans="1:4" x14ac:dyDescent="0.2">
      <c r="A1736" t="s">
        <v>905</v>
      </c>
      <c r="B1736" t="s">
        <v>7</v>
      </c>
      <c r="C1736" t="s">
        <v>1565</v>
      </c>
      <c r="D1736" t="s">
        <v>1554</v>
      </c>
    </row>
    <row r="1737" spans="1:4" x14ac:dyDescent="0.2">
      <c r="A1737" t="s">
        <v>905</v>
      </c>
      <c r="B1737" t="s">
        <v>8</v>
      </c>
      <c r="C1737" t="s">
        <v>1561</v>
      </c>
      <c r="D1737" t="s">
        <v>1554</v>
      </c>
    </row>
    <row r="1738" spans="1:4" x14ac:dyDescent="0.2">
      <c r="A1738" t="s">
        <v>905</v>
      </c>
      <c r="B1738" t="s">
        <v>9</v>
      </c>
      <c r="C1738" t="s">
        <v>1553</v>
      </c>
      <c r="D1738" t="s">
        <v>1554</v>
      </c>
    </row>
    <row r="1739" spans="1:4" x14ac:dyDescent="0.2">
      <c r="A1739" t="s">
        <v>905</v>
      </c>
      <c r="B1739" t="s">
        <v>10</v>
      </c>
      <c r="C1739" t="s">
        <v>1555</v>
      </c>
      <c r="D1739" t="s">
        <v>1554</v>
      </c>
    </row>
    <row r="1740" spans="1:4" x14ac:dyDescent="0.2">
      <c r="A1740" t="s">
        <v>905</v>
      </c>
      <c r="B1740" t="s">
        <v>11</v>
      </c>
      <c r="C1740" t="s">
        <v>1566</v>
      </c>
      <c r="D1740" t="s">
        <v>1554</v>
      </c>
    </row>
    <row r="1741" spans="1:4" x14ac:dyDescent="0.2">
      <c r="A1741" t="s">
        <v>905</v>
      </c>
      <c r="B1741" t="s">
        <v>13</v>
      </c>
      <c r="C1741" t="s">
        <v>1567</v>
      </c>
      <c r="D1741" t="s">
        <v>1554</v>
      </c>
    </row>
    <row r="1742" spans="1:4" x14ac:dyDescent="0.2">
      <c r="A1742" t="s">
        <v>905</v>
      </c>
      <c r="B1742" t="s">
        <v>14</v>
      </c>
      <c r="C1742" t="s">
        <v>1568</v>
      </c>
      <c r="D1742" t="s">
        <v>1554</v>
      </c>
    </row>
    <row r="1743" spans="1:4" x14ac:dyDescent="0.2">
      <c r="A1743" t="s">
        <v>905</v>
      </c>
      <c r="B1743" t="s">
        <v>15</v>
      </c>
      <c r="C1743" t="s">
        <v>1569</v>
      </c>
      <c r="D1743" t="s">
        <v>1554</v>
      </c>
    </row>
    <row r="1744" spans="1:4" x14ac:dyDescent="0.2">
      <c r="A1744" t="s">
        <v>905</v>
      </c>
      <c r="B1744" t="s">
        <v>17</v>
      </c>
      <c r="C1744" t="s">
        <v>1560</v>
      </c>
      <c r="D1744" t="s">
        <v>1554</v>
      </c>
    </row>
    <row r="1745" spans="1:4" x14ac:dyDescent="0.2">
      <c r="A1745" t="s">
        <v>905</v>
      </c>
      <c r="B1745" t="s">
        <v>19</v>
      </c>
      <c r="C1745" t="s">
        <v>1570</v>
      </c>
      <c r="D1745" t="s">
        <v>1554</v>
      </c>
    </row>
    <row r="1746" spans="1:4" x14ac:dyDescent="0.2">
      <c r="A1746" t="s">
        <v>905</v>
      </c>
      <c r="B1746" t="s">
        <v>23</v>
      </c>
      <c r="C1746" t="s">
        <v>1556</v>
      </c>
      <c r="D1746" t="s">
        <v>1554</v>
      </c>
    </row>
    <row r="1747" spans="1:4" x14ac:dyDescent="0.2">
      <c r="A1747" t="s">
        <v>905</v>
      </c>
      <c r="B1747" t="s">
        <v>25</v>
      </c>
      <c r="C1747" t="s">
        <v>1557</v>
      </c>
      <c r="D1747" t="s">
        <v>1554</v>
      </c>
    </row>
    <row r="1748" spans="1:4" x14ac:dyDescent="0.2">
      <c r="A1748" t="s">
        <v>905</v>
      </c>
      <c r="B1748" t="s">
        <v>24</v>
      </c>
      <c r="C1748" t="s">
        <v>1558</v>
      </c>
      <c r="D1748" t="s">
        <v>1559</v>
      </c>
    </row>
    <row r="1749" spans="1:4" x14ac:dyDescent="0.2">
      <c r="A1749" t="s">
        <v>911</v>
      </c>
      <c r="B1749" t="s">
        <v>6</v>
      </c>
      <c r="C1749" t="s">
        <v>1564</v>
      </c>
      <c r="D1749" t="s">
        <v>1554</v>
      </c>
    </row>
    <row r="1750" spans="1:4" x14ac:dyDescent="0.2">
      <c r="A1750" t="s">
        <v>911</v>
      </c>
      <c r="B1750" t="s">
        <v>7</v>
      </c>
      <c r="C1750" t="s">
        <v>1565</v>
      </c>
      <c r="D1750" t="s">
        <v>1554</v>
      </c>
    </row>
    <row r="1751" spans="1:4" x14ac:dyDescent="0.2">
      <c r="A1751" t="s">
        <v>911</v>
      </c>
      <c r="B1751" t="s">
        <v>8</v>
      </c>
      <c r="C1751" t="s">
        <v>1561</v>
      </c>
      <c r="D1751" t="s">
        <v>1554</v>
      </c>
    </row>
    <row r="1752" spans="1:4" x14ac:dyDescent="0.2">
      <c r="A1752" t="s">
        <v>911</v>
      </c>
      <c r="B1752" t="s">
        <v>9</v>
      </c>
      <c r="C1752" t="s">
        <v>1553</v>
      </c>
      <c r="D1752" t="s">
        <v>1554</v>
      </c>
    </row>
    <row r="1753" spans="1:4" x14ac:dyDescent="0.2">
      <c r="A1753" t="s">
        <v>911</v>
      </c>
      <c r="B1753" t="s">
        <v>10</v>
      </c>
      <c r="C1753" t="s">
        <v>1555</v>
      </c>
      <c r="D1753" t="s">
        <v>1554</v>
      </c>
    </row>
    <row r="1754" spans="1:4" x14ac:dyDescent="0.2">
      <c r="A1754" t="s">
        <v>911</v>
      </c>
      <c r="B1754" t="s">
        <v>11</v>
      </c>
      <c r="C1754" t="s">
        <v>1566</v>
      </c>
      <c r="D1754" t="s">
        <v>1554</v>
      </c>
    </row>
    <row r="1755" spans="1:4" x14ac:dyDescent="0.2">
      <c r="A1755" t="s">
        <v>911</v>
      </c>
      <c r="B1755" t="s">
        <v>13</v>
      </c>
      <c r="C1755" t="s">
        <v>1567</v>
      </c>
      <c r="D1755" t="s">
        <v>1554</v>
      </c>
    </row>
    <row r="1756" spans="1:4" x14ac:dyDescent="0.2">
      <c r="A1756" t="s">
        <v>911</v>
      </c>
      <c r="B1756" t="s">
        <v>14</v>
      </c>
      <c r="C1756" t="s">
        <v>1568</v>
      </c>
      <c r="D1756" t="s">
        <v>1554</v>
      </c>
    </row>
    <row r="1757" spans="1:4" x14ac:dyDescent="0.2">
      <c r="A1757" t="s">
        <v>911</v>
      </c>
      <c r="B1757" t="s">
        <v>15</v>
      </c>
      <c r="C1757" t="s">
        <v>1569</v>
      </c>
      <c r="D1757" t="s">
        <v>1554</v>
      </c>
    </row>
    <row r="1758" spans="1:4" x14ac:dyDescent="0.2">
      <c r="A1758" t="s">
        <v>911</v>
      </c>
      <c r="B1758" t="s">
        <v>17</v>
      </c>
      <c r="C1758" t="s">
        <v>1560</v>
      </c>
      <c r="D1758" t="s">
        <v>1554</v>
      </c>
    </row>
    <row r="1759" spans="1:4" x14ac:dyDescent="0.2">
      <c r="A1759" t="s">
        <v>911</v>
      </c>
      <c r="B1759" t="s">
        <v>19</v>
      </c>
      <c r="C1759" t="s">
        <v>1570</v>
      </c>
      <c r="D1759" t="s">
        <v>1554</v>
      </c>
    </row>
    <row r="1760" spans="1:4" x14ac:dyDescent="0.2">
      <c r="A1760" t="s">
        <v>911</v>
      </c>
      <c r="B1760" t="s">
        <v>23</v>
      </c>
      <c r="C1760" t="s">
        <v>1556</v>
      </c>
      <c r="D1760" t="s">
        <v>1554</v>
      </c>
    </row>
    <row r="1761" spans="1:4" x14ac:dyDescent="0.2">
      <c r="A1761" t="s">
        <v>911</v>
      </c>
      <c r="B1761" t="s">
        <v>25</v>
      </c>
      <c r="C1761" t="s">
        <v>1557</v>
      </c>
      <c r="D1761" t="s">
        <v>1554</v>
      </c>
    </row>
    <row r="1762" spans="1:4" x14ac:dyDescent="0.2">
      <c r="A1762" t="s">
        <v>911</v>
      </c>
      <c r="B1762" t="s">
        <v>24</v>
      </c>
      <c r="C1762" t="s">
        <v>1558</v>
      </c>
      <c r="D1762" t="s">
        <v>1559</v>
      </c>
    </row>
    <row r="1763" spans="1:4" x14ac:dyDescent="0.2">
      <c r="A1763" t="s">
        <v>917</v>
      </c>
      <c r="B1763" t="s">
        <v>6</v>
      </c>
      <c r="C1763" t="s">
        <v>1564</v>
      </c>
      <c r="D1763" t="s">
        <v>1554</v>
      </c>
    </row>
    <row r="1764" spans="1:4" x14ac:dyDescent="0.2">
      <c r="A1764" t="s">
        <v>917</v>
      </c>
      <c r="B1764" t="s">
        <v>7</v>
      </c>
      <c r="C1764" t="s">
        <v>1565</v>
      </c>
      <c r="D1764" t="s">
        <v>1554</v>
      </c>
    </row>
    <row r="1765" spans="1:4" x14ac:dyDescent="0.2">
      <c r="A1765" t="s">
        <v>917</v>
      </c>
      <c r="B1765" t="s">
        <v>8</v>
      </c>
      <c r="C1765" t="s">
        <v>1561</v>
      </c>
      <c r="D1765" t="s">
        <v>1554</v>
      </c>
    </row>
    <row r="1766" spans="1:4" x14ac:dyDescent="0.2">
      <c r="A1766" t="s">
        <v>917</v>
      </c>
      <c r="B1766" t="s">
        <v>9</v>
      </c>
      <c r="C1766" t="s">
        <v>1553</v>
      </c>
      <c r="D1766" t="s">
        <v>1554</v>
      </c>
    </row>
    <row r="1767" spans="1:4" x14ac:dyDescent="0.2">
      <c r="A1767" t="s">
        <v>917</v>
      </c>
      <c r="B1767" t="s">
        <v>10</v>
      </c>
      <c r="C1767" t="s">
        <v>1555</v>
      </c>
      <c r="D1767" t="s">
        <v>1554</v>
      </c>
    </row>
    <row r="1768" spans="1:4" x14ac:dyDescent="0.2">
      <c r="A1768" t="s">
        <v>917</v>
      </c>
      <c r="B1768" t="s">
        <v>11</v>
      </c>
      <c r="C1768" t="s">
        <v>1566</v>
      </c>
      <c r="D1768" t="s">
        <v>1554</v>
      </c>
    </row>
    <row r="1769" spans="1:4" x14ac:dyDescent="0.2">
      <c r="A1769" t="s">
        <v>917</v>
      </c>
      <c r="B1769" t="s">
        <v>13</v>
      </c>
      <c r="C1769" t="s">
        <v>1567</v>
      </c>
      <c r="D1769" t="s">
        <v>1554</v>
      </c>
    </row>
    <row r="1770" spans="1:4" x14ac:dyDescent="0.2">
      <c r="A1770" t="s">
        <v>917</v>
      </c>
      <c r="B1770" t="s">
        <v>14</v>
      </c>
      <c r="C1770" t="s">
        <v>1568</v>
      </c>
      <c r="D1770" t="s">
        <v>1554</v>
      </c>
    </row>
    <row r="1771" spans="1:4" x14ac:dyDescent="0.2">
      <c r="A1771" t="s">
        <v>917</v>
      </c>
      <c r="B1771" t="s">
        <v>15</v>
      </c>
      <c r="C1771" t="s">
        <v>1569</v>
      </c>
      <c r="D1771" t="s">
        <v>1554</v>
      </c>
    </row>
    <row r="1772" spans="1:4" x14ac:dyDescent="0.2">
      <c r="A1772" t="s">
        <v>917</v>
      </c>
      <c r="B1772" t="s">
        <v>17</v>
      </c>
      <c r="C1772" t="s">
        <v>1560</v>
      </c>
      <c r="D1772" t="s">
        <v>1554</v>
      </c>
    </row>
    <row r="1773" spans="1:4" x14ac:dyDescent="0.2">
      <c r="A1773" t="s">
        <v>917</v>
      </c>
      <c r="B1773" t="s">
        <v>19</v>
      </c>
      <c r="C1773" t="s">
        <v>1570</v>
      </c>
      <c r="D1773" t="s">
        <v>1554</v>
      </c>
    </row>
    <row r="1774" spans="1:4" x14ac:dyDescent="0.2">
      <c r="A1774" t="s">
        <v>917</v>
      </c>
      <c r="B1774" t="s">
        <v>23</v>
      </c>
      <c r="C1774" t="s">
        <v>1556</v>
      </c>
      <c r="D1774" t="s">
        <v>1554</v>
      </c>
    </row>
    <row r="1775" spans="1:4" x14ac:dyDescent="0.2">
      <c r="A1775" t="s">
        <v>917</v>
      </c>
      <c r="B1775" t="s">
        <v>25</v>
      </c>
      <c r="C1775" t="s">
        <v>1557</v>
      </c>
      <c r="D1775" t="s">
        <v>1554</v>
      </c>
    </row>
    <row r="1776" spans="1:4" x14ac:dyDescent="0.2">
      <c r="A1776" t="s">
        <v>923</v>
      </c>
      <c r="B1776" t="s">
        <v>3</v>
      </c>
      <c r="C1776" t="s">
        <v>1562</v>
      </c>
      <c r="D1776" t="s">
        <v>1554</v>
      </c>
    </row>
    <row r="1777" spans="1:4" x14ac:dyDescent="0.2">
      <c r="A1777" t="s">
        <v>923</v>
      </c>
      <c r="B1777" t="s">
        <v>5</v>
      </c>
      <c r="C1777" t="s">
        <v>1563</v>
      </c>
      <c r="D1777" t="s">
        <v>1554</v>
      </c>
    </row>
    <row r="1778" spans="1:4" x14ac:dyDescent="0.2">
      <c r="A1778" t="s">
        <v>923</v>
      </c>
      <c r="B1778" t="s">
        <v>6</v>
      </c>
      <c r="C1778" t="s">
        <v>1564</v>
      </c>
      <c r="D1778" t="s">
        <v>1554</v>
      </c>
    </row>
    <row r="1779" spans="1:4" x14ac:dyDescent="0.2">
      <c r="A1779" t="s">
        <v>923</v>
      </c>
      <c r="B1779" t="s">
        <v>7</v>
      </c>
      <c r="C1779" t="s">
        <v>1565</v>
      </c>
      <c r="D1779" t="s">
        <v>1554</v>
      </c>
    </row>
    <row r="1780" spans="1:4" x14ac:dyDescent="0.2">
      <c r="A1780" t="s">
        <v>923</v>
      </c>
      <c r="B1780" t="s">
        <v>8</v>
      </c>
      <c r="C1780" t="s">
        <v>1561</v>
      </c>
      <c r="D1780" t="s">
        <v>1554</v>
      </c>
    </row>
    <row r="1781" spans="1:4" x14ac:dyDescent="0.2">
      <c r="A1781" t="s">
        <v>923</v>
      </c>
      <c r="B1781" t="s">
        <v>9</v>
      </c>
      <c r="C1781" t="s">
        <v>1553</v>
      </c>
      <c r="D1781" t="s">
        <v>1554</v>
      </c>
    </row>
    <row r="1782" spans="1:4" x14ac:dyDescent="0.2">
      <c r="A1782" t="s">
        <v>923</v>
      </c>
      <c r="B1782" t="s">
        <v>10</v>
      </c>
      <c r="C1782" t="s">
        <v>1555</v>
      </c>
      <c r="D1782" t="s">
        <v>1554</v>
      </c>
    </row>
    <row r="1783" spans="1:4" x14ac:dyDescent="0.2">
      <c r="A1783" t="s">
        <v>923</v>
      </c>
      <c r="B1783" t="s">
        <v>11</v>
      </c>
      <c r="C1783" t="s">
        <v>1566</v>
      </c>
      <c r="D1783" t="s">
        <v>1554</v>
      </c>
    </row>
    <row r="1784" spans="1:4" x14ac:dyDescent="0.2">
      <c r="A1784" t="s">
        <v>923</v>
      </c>
      <c r="B1784" t="s">
        <v>13</v>
      </c>
      <c r="C1784" t="s">
        <v>1567</v>
      </c>
      <c r="D1784" t="s">
        <v>1554</v>
      </c>
    </row>
    <row r="1785" spans="1:4" x14ac:dyDescent="0.2">
      <c r="A1785" t="s">
        <v>923</v>
      </c>
      <c r="B1785" t="s">
        <v>14</v>
      </c>
      <c r="C1785" t="s">
        <v>1568</v>
      </c>
      <c r="D1785" t="s">
        <v>1554</v>
      </c>
    </row>
    <row r="1786" spans="1:4" x14ac:dyDescent="0.2">
      <c r="A1786" t="s">
        <v>923</v>
      </c>
      <c r="B1786" t="s">
        <v>15</v>
      </c>
      <c r="C1786" t="s">
        <v>1569</v>
      </c>
      <c r="D1786" t="s">
        <v>1554</v>
      </c>
    </row>
    <row r="1787" spans="1:4" x14ac:dyDescent="0.2">
      <c r="A1787" t="s">
        <v>923</v>
      </c>
      <c r="B1787" t="s">
        <v>17</v>
      </c>
      <c r="C1787" t="s">
        <v>1560</v>
      </c>
      <c r="D1787" t="s">
        <v>1554</v>
      </c>
    </row>
    <row r="1788" spans="1:4" x14ac:dyDescent="0.2">
      <c r="A1788" t="s">
        <v>923</v>
      </c>
      <c r="B1788" t="s">
        <v>19</v>
      </c>
      <c r="C1788" t="s">
        <v>1570</v>
      </c>
      <c r="D1788" t="s">
        <v>1554</v>
      </c>
    </row>
    <row r="1789" spans="1:4" x14ac:dyDescent="0.2">
      <c r="A1789" t="s">
        <v>923</v>
      </c>
      <c r="B1789" t="s">
        <v>23</v>
      </c>
      <c r="C1789" t="s">
        <v>1556</v>
      </c>
      <c r="D1789" t="s">
        <v>1554</v>
      </c>
    </row>
    <row r="1790" spans="1:4" x14ac:dyDescent="0.2">
      <c r="A1790" t="s">
        <v>923</v>
      </c>
      <c r="B1790" t="s">
        <v>25</v>
      </c>
      <c r="C1790" t="s">
        <v>1557</v>
      </c>
      <c r="D1790" t="s">
        <v>1554</v>
      </c>
    </row>
    <row r="1791" spans="1:4" x14ac:dyDescent="0.2">
      <c r="A1791" t="s">
        <v>923</v>
      </c>
      <c r="B1791" t="s">
        <v>21</v>
      </c>
      <c r="C1791" t="s">
        <v>1571</v>
      </c>
      <c r="D1791" t="s">
        <v>1559</v>
      </c>
    </row>
    <row r="1792" spans="1:4" x14ac:dyDescent="0.2">
      <c r="A1792" t="s">
        <v>923</v>
      </c>
      <c r="B1792" t="s">
        <v>22</v>
      </c>
      <c r="C1792" t="s">
        <v>1572</v>
      </c>
      <c r="D1792" t="s">
        <v>1559</v>
      </c>
    </row>
    <row r="1793" spans="1:4" x14ac:dyDescent="0.2">
      <c r="A1793" t="s">
        <v>923</v>
      </c>
      <c r="B1793" t="s">
        <v>24</v>
      </c>
      <c r="C1793" t="s">
        <v>1558</v>
      </c>
      <c r="D1793" t="s">
        <v>1559</v>
      </c>
    </row>
    <row r="1794" spans="1:4" x14ac:dyDescent="0.2">
      <c r="A1794" t="s">
        <v>925</v>
      </c>
      <c r="B1794" t="s">
        <v>6</v>
      </c>
      <c r="C1794" t="s">
        <v>1564</v>
      </c>
      <c r="D1794" t="s">
        <v>1554</v>
      </c>
    </row>
    <row r="1795" spans="1:4" x14ac:dyDescent="0.2">
      <c r="A1795" t="s">
        <v>925</v>
      </c>
      <c r="B1795" t="s">
        <v>7</v>
      </c>
      <c r="C1795" t="s">
        <v>1565</v>
      </c>
      <c r="D1795" t="s">
        <v>1554</v>
      </c>
    </row>
    <row r="1796" spans="1:4" x14ac:dyDescent="0.2">
      <c r="A1796" t="s">
        <v>925</v>
      </c>
      <c r="B1796" t="s">
        <v>8</v>
      </c>
      <c r="C1796" t="s">
        <v>1561</v>
      </c>
      <c r="D1796" t="s">
        <v>1554</v>
      </c>
    </row>
    <row r="1797" spans="1:4" x14ac:dyDescent="0.2">
      <c r="A1797" t="s">
        <v>925</v>
      </c>
      <c r="B1797" t="s">
        <v>9</v>
      </c>
      <c r="C1797" t="s">
        <v>1553</v>
      </c>
      <c r="D1797" t="s">
        <v>1554</v>
      </c>
    </row>
    <row r="1798" spans="1:4" x14ac:dyDescent="0.2">
      <c r="A1798" t="s">
        <v>925</v>
      </c>
      <c r="B1798" t="s">
        <v>10</v>
      </c>
      <c r="C1798" t="s">
        <v>1555</v>
      </c>
      <c r="D1798" t="s">
        <v>1554</v>
      </c>
    </row>
    <row r="1799" spans="1:4" x14ac:dyDescent="0.2">
      <c r="A1799" t="s">
        <v>925</v>
      </c>
      <c r="B1799" t="s">
        <v>11</v>
      </c>
      <c r="C1799" t="s">
        <v>1566</v>
      </c>
      <c r="D1799" t="s">
        <v>1554</v>
      </c>
    </row>
    <row r="1800" spans="1:4" x14ac:dyDescent="0.2">
      <c r="A1800" t="s">
        <v>925</v>
      </c>
      <c r="B1800" t="s">
        <v>13</v>
      </c>
      <c r="C1800" t="s">
        <v>1567</v>
      </c>
      <c r="D1800" t="s">
        <v>1554</v>
      </c>
    </row>
    <row r="1801" spans="1:4" x14ac:dyDescent="0.2">
      <c r="A1801" t="s">
        <v>925</v>
      </c>
      <c r="B1801" t="s">
        <v>14</v>
      </c>
      <c r="C1801" t="s">
        <v>1568</v>
      </c>
      <c r="D1801" t="s">
        <v>1554</v>
      </c>
    </row>
    <row r="1802" spans="1:4" x14ac:dyDescent="0.2">
      <c r="A1802" t="s">
        <v>925</v>
      </c>
      <c r="B1802" t="s">
        <v>15</v>
      </c>
      <c r="C1802" t="s">
        <v>1569</v>
      </c>
      <c r="D1802" t="s">
        <v>1554</v>
      </c>
    </row>
    <row r="1803" spans="1:4" x14ac:dyDescent="0.2">
      <c r="A1803" t="s">
        <v>925</v>
      </c>
      <c r="B1803" t="s">
        <v>17</v>
      </c>
      <c r="C1803" t="s">
        <v>1560</v>
      </c>
      <c r="D1803" t="s">
        <v>1554</v>
      </c>
    </row>
    <row r="1804" spans="1:4" x14ac:dyDescent="0.2">
      <c r="A1804" t="s">
        <v>925</v>
      </c>
      <c r="B1804" t="s">
        <v>19</v>
      </c>
      <c r="C1804" t="s">
        <v>1570</v>
      </c>
      <c r="D1804" t="s">
        <v>1554</v>
      </c>
    </row>
    <row r="1805" spans="1:4" x14ac:dyDescent="0.2">
      <c r="A1805" t="s">
        <v>925</v>
      </c>
      <c r="B1805" t="s">
        <v>23</v>
      </c>
      <c r="C1805" t="s">
        <v>1556</v>
      </c>
      <c r="D1805" t="s">
        <v>1554</v>
      </c>
    </row>
    <row r="1806" spans="1:4" x14ac:dyDescent="0.2">
      <c r="A1806" t="s">
        <v>925</v>
      </c>
      <c r="B1806" t="s">
        <v>25</v>
      </c>
      <c r="C1806" t="s">
        <v>1557</v>
      </c>
      <c r="D1806" t="s">
        <v>1554</v>
      </c>
    </row>
    <row r="1807" spans="1:4" x14ac:dyDescent="0.2">
      <c r="A1807" t="s">
        <v>931</v>
      </c>
      <c r="B1807" t="s">
        <v>6</v>
      </c>
      <c r="C1807" t="s">
        <v>1564</v>
      </c>
      <c r="D1807" t="s">
        <v>1554</v>
      </c>
    </row>
    <row r="1808" spans="1:4" x14ac:dyDescent="0.2">
      <c r="A1808" t="s">
        <v>931</v>
      </c>
      <c r="B1808" t="s">
        <v>7</v>
      </c>
      <c r="C1808" t="s">
        <v>1565</v>
      </c>
      <c r="D1808" t="s">
        <v>1554</v>
      </c>
    </row>
    <row r="1809" spans="1:4" x14ac:dyDescent="0.2">
      <c r="A1809" t="s">
        <v>931</v>
      </c>
      <c r="B1809" t="s">
        <v>8</v>
      </c>
      <c r="C1809" t="s">
        <v>1561</v>
      </c>
      <c r="D1809" t="s">
        <v>1554</v>
      </c>
    </row>
    <row r="1810" spans="1:4" x14ac:dyDescent="0.2">
      <c r="A1810" t="s">
        <v>931</v>
      </c>
      <c r="B1810" t="s">
        <v>9</v>
      </c>
      <c r="C1810" t="s">
        <v>1553</v>
      </c>
      <c r="D1810" t="s">
        <v>1554</v>
      </c>
    </row>
    <row r="1811" spans="1:4" x14ac:dyDescent="0.2">
      <c r="A1811" t="s">
        <v>931</v>
      </c>
      <c r="B1811" t="s">
        <v>10</v>
      </c>
      <c r="C1811" t="s">
        <v>1555</v>
      </c>
      <c r="D1811" t="s">
        <v>1554</v>
      </c>
    </row>
    <row r="1812" spans="1:4" x14ac:dyDescent="0.2">
      <c r="A1812" t="s">
        <v>931</v>
      </c>
      <c r="B1812" t="s">
        <v>11</v>
      </c>
      <c r="C1812" t="s">
        <v>1566</v>
      </c>
      <c r="D1812" t="s">
        <v>1554</v>
      </c>
    </row>
    <row r="1813" spans="1:4" x14ac:dyDescent="0.2">
      <c r="A1813" t="s">
        <v>931</v>
      </c>
      <c r="B1813" t="s">
        <v>13</v>
      </c>
      <c r="C1813" t="s">
        <v>1567</v>
      </c>
      <c r="D1813" t="s">
        <v>1554</v>
      </c>
    </row>
    <row r="1814" spans="1:4" x14ac:dyDescent="0.2">
      <c r="A1814" t="s">
        <v>931</v>
      </c>
      <c r="B1814" t="s">
        <v>14</v>
      </c>
      <c r="C1814" t="s">
        <v>1568</v>
      </c>
      <c r="D1814" t="s">
        <v>1554</v>
      </c>
    </row>
    <row r="1815" spans="1:4" x14ac:dyDescent="0.2">
      <c r="A1815" t="s">
        <v>931</v>
      </c>
      <c r="B1815" t="s">
        <v>15</v>
      </c>
      <c r="C1815" t="s">
        <v>1569</v>
      </c>
      <c r="D1815" t="s">
        <v>1554</v>
      </c>
    </row>
    <row r="1816" spans="1:4" x14ac:dyDescent="0.2">
      <c r="A1816" t="s">
        <v>931</v>
      </c>
      <c r="B1816" t="s">
        <v>17</v>
      </c>
      <c r="C1816" t="s">
        <v>1560</v>
      </c>
      <c r="D1816" t="s">
        <v>1554</v>
      </c>
    </row>
    <row r="1817" spans="1:4" x14ac:dyDescent="0.2">
      <c r="A1817" t="s">
        <v>931</v>
      </c>
      <c r="B1817" t="s">
        <v>19</v>
      </c>
      <c r="C1817" t="s">
        <v>1570</v>
      </c>
      <c r="D1817" t="s">
        <v>1554</v>
      </c>
    </row>
    <row r="1818" spans="1:4" x14ac:dyDescent="0.2">
      <c r="A1818" t="s">
        <v>931</v>
      </c>
      <c r="B1818" t="s">
        <v>23</v>
      </c>
      <c r="C1818" t="s">
        <v>1556</v>
      </c>
      <c r="D1818" t="s">
        <v>1554</v>
      </c>
    </row>
    <row r="1819" spans="1:4" x14ac:dyDescent="0.2">
      <c r="A1819" t="s">
        <v>931</v>
      </c>
      <c r="B1819" t="s">
        <v>25</v>
      </c>
      <c r="C1819" t="s">
        <v>1557</v>
      </c>
      <c r="D1819" t="s">
        <v>1554</v>
      </c>
    </row>
    <row r="1820" spans="1:4" x14ac:dyDescent="0.2">
      <c r="A1820" t="s">
        <v>937</v>
      </c>
      <c r="B1820" t="s">
        <v>6</v>
      </c>
      <c r="C1820" t="s">
        <v>1564</v>
      </c>
      <c r="D1820" t="s">
        <v>1554</v>
      </c>
    </row>
    <row r="1821" spans="1:4" x14ac:dyDescent="0.2">
      <c r="A1821" t="s">
        <v>937</v>
      </c>
      <c r="B1821" t="s">
        <v>7</v>
      </c>
      <c r="C1821" t="s">
        <v>1565</v>
      </c>
      <c r="D1821" t="s">
        <v>1554</v>
      </c>
    </row>
    <row r="1822" spans="1:4" x14ac:dyDescent="0.2">
      <c r="A1822" t="s">
        <v>937</v>
      </c>
      <c r="B1822" t="s">
        <v>8</v>
      </c>
      <c r="C1822" t="s">
        <v>1561</v>
      </c>
      <c r="D1822" t="s">
        <v>1554</v>
      </c>
    </row>
    <row r="1823" spans="1:4" x14ac:dyDescent="0.2">
      <c r="A1823" t="s">
        <v>937</v>
      </c>
      <c r="B1823" t="s">
        <v>9</v>
      </c>
      <c r="C1823" t="s">
        <v>1553</v>
      </c>
      <c r="D1823" t="s">
        <v>1554</v>
      </c>
    </row>
    <row r="1824" spans="1:4" x14ac:dyDescent="0.2">
      <c r="A1824" t="s">
        <v>937</v>
      </c>
      <c r="B1824" t="s">
        <v>10</v>
      </c>
      <c r="C1824" t="s">
        <v>1555</v>
      </c>
      <c r="D1824" t="s">
        <v>1554</v>
      </c>
    </row>
    <row r="1825" spans="1:4" x14ac:dyDescent="0.2">
      <c r="A1825" t="s">
        <v>937</v>
      </c>
      <c r="B1825" t="s">
        <v>11</v>
      </c>
      <c r="C1825" t="s">
        <v>1566</v>
      </c>
      <c r="D1825" t="s">
        <v>1554</v>
      </c>
    </row>
    <row r="1826" spans="1:4" x14ac:dyDescent="0.2">
      <c r="A1826" t="s">
        <v>937</v>
      </c>
      <c r="B1826" t="s">
        <v>13</v>
      </c>
      <c r="C1826" t="s">
        <v>1567</v>
      </c>
      <c r="D1826" t="s">
        <v>1554</v>
      </c>
    </row>
    <row r="1827" spans="1:4" x14ac:dyDescent="0.2">
      <c r="A1827" t="s">
        <v>937</v>
      </c>
      <c r="B1827" t="s">
        <v>14</v>
      </c>
      <c r="C1827" t="s">
        <v>1568</v>
      </c>
      <c r="D1827" t="s">
        <v>1554</v>
      </c>
    </row>
    <row r="1828" spans="1:4" x14ac:dyDescent="0.2">
      <c r="A1828" t="s">
        <v>937</v>
      </c>
      <c r="B1828" t="s">
        <v>15</v>
      </c>
      <c r="C1828" t="s">
        <v>1569</v>
      </c>
      <c r="D1828" t="s">
        <v>1554</v>
      </c>
    </row>
    <row r="1829" spans="1:4" x14ac:dyDescent="0.2">
      <c r="A1829" t="s">
        <v>937</v>
      </c>
      <c r="B1829" t="s">
        <v>17</v>
      </c>
      <c r="C1829" t="s">
        <v>1560</v>
      </c>
      <c r="D1829" t="s">
        <v>1554</v>
      </c>
    </row>
    <row r="1830" spans="1:4" x14ac:dyDescent="0.2">
      <c r="A1830" t="s">
        <v>937</v>
      </c>
      <c r="B1830" t="s">
        <v>19</v>
      </c>
      <c r="C1830" t="s">
        <v>1570</v>
      </c>
      <c r="D1830" t="s">
        <v>1554</v>
      </c>
    </row>
    <row r="1831" spans="1:4" x14ac:dyDescent="0.2">
      <c r="A1831" t="s">
        <v>937</v>
      </c>
      <c r="B1831" t="s">
        <v>23</v>
      </c>
      <c r="C1831" t="s">
        <v>1556</v>
      </c>
      <c r="D1831" t="s">
        <v>1554</v>
      </c>
    </row>
    <row r="1832" spans="1:4" x14ac:dyDescent="0.2">
      <c r="A1832" t="s">
        <v>937</v>
      </c>
      <c r="B1832" t="s">
        <v>25</v>
      </c>
      <c r="C1832" t="s">
        <v>1557</v>
      </c>
      <c r="D1832" t="s">
        <v>1554</v>
      </c>
    </row>
    <row r="1833" spans="1:4" x14ac:dyDescent="0.2">
      <c r="A1833" t="s">
        <v>937</v>
      </c>
      <c r="B1833" t="s">
        <v>24</v>
      </c>
      <c r="C1833" t="s">
        <v>1558</v>
      </c>
      <c r="D1833" t="s">
        <v>1559</v>
      </c>
    </row>
    <row r="1834" spans="1:4" x14ac:dyDescent="0.2">
      <c r="A1834" t="s">
        <v>943</v>
      </c>
      <c r="B1834" t="s">
        <v>6</v>
      </c>
      <c r="C1834" t="s">
        <v>1564</v>
      </c>
      <c r="D1834" t="s">
        <v>1554</v>
      </c>
    </row>
    <row r="1835" spans="1:4" x14ac:dyDescent="0.2">
      <c r="A1835" t="s">
        <v>943</v>
      </c>
      <c r="B1835" t="s">
        <v>7</v>
      </c>
      <c r="C1835" t="s">
        <v>1565</v>
      </c>
      <c r="D1835" t="s">
        <v>1554</v>
      </c>
    </row>
    <row r="1836" spans="1:4" x14ac:dyDescent="0.2">
      <c r="A1836" t="s">
        <v>943</v>
      </c>
      <c r="B1836" t="s">
        <v>8</v>
      </c>
      <c r="C1836" t="s">
        <v>1561</v>
      </c>
      <c r="D1836" t="s">
        <v>1554</v>
      </c>
    </row>
    <row r="1837" spans="1:4" x14ac:dyDescent="0.2">
      <c r="A1837" t="s">
        <v>943</v>
      </c>
      <c r="B1837" t="s">
        <v>9</v>
      </c>
      <c r="C1837" t="s">
        <v>1553</v>
      </c>
      <c r="D1837" t="s">
        <v>1554</v>
      </c>
    </row>
    <row r="1838" spans="1:4" x14ac:dyDescent="0.2">
      <c r="A1838" t="s">
        <v>943</v>
      </c>
      <c r="B1838" t="s">
        <v>10</v>
      </c>
      <c r="C1838" t="s">
        <v>1555</v>
      </c>
      <c r="D1838" t="s">
        <v>1554</v>
      </c>
    </row>
    <row r="1839" spans="1:4" x14ac:dyDescent="0.2">
      <c r="A1839" t="s">
        <v>943</v>
      </c>
      <c r="B1839" t="s">
        <v>11</v>
      </c>
      <c r="C1839" t="s">
        <v>1566</v>
      </c>
      <c r="D1839" t="s">
        <v>1554</v>
      </c>
    </row>
    <row r="1840" spans="1:4" x14ac:dyDescent="0.2">
      <c r="A1840" t="s">
        <v>943</v>
      </c>
      <c r="B1840" t="s">
        <v>13</v>
      </c>
      <c r="C1840" t="s">
        <v>1567</v>
      </c>
      <c r="D1840" t="s">
        <v>1554</v>
      </c>
    </row>
    <row r="1841" spans="1:4" x14ac:dyDescent="0.2">
      <c r="A1841" t="s">
        <v>943</v>
      </c>
      <c r="B1841" t="s">
        <v>14</v>
      </c>
      <c r="C1841" t="s">
        <v>1568</v>
      </c>
      <c r="D1841" t="s">
        <v>1554</v>
      </c>
    </row>
    <row r="1842" spans="1:4" x14ac:dyDescent="0.2">
      <c r="A1842" t="s">
        <v>943</v>
      </c>
      <c r="B1842" t="s">
        <v>15</v>
      </c>
      <c r="C1842" t="s">
        <v>1569</v>
      </c>
      <c r="D1842" t="s">
        <v>1554</v>
      </c>
    </row>
    <row r="1843" spans="1:4" x14ac:dyDescent="0.2">
      <c r="A1843" t="s">
        <v>943</v>
      </c>
      <c r="B1843" t="s">
        <v>17</v>
      </c>
      <c r="C1843" t="s">
        <v>1560</v>
      </c>
      <c r="D1843" t="s">
        <v>1554</v>
      </c>
    </row>
    <row r="1844" spans="1:4" x14ac:dyDescent="0.2">
      <c r="A1844" t="s">
        <v>943</v>
      </c>
      <c r="B1844" t="s">
        <v>19</v>
      </c>
      <c r="C1844" t="s">
        <v>1570</v>
      </c>
      <c r="D1844" t="s">
        <v>1554</v>
      </c>
    </row>
    <row r="1845" spans="1:4" x14ac:dyDescent="0.2">
      <c r="A1845" t="s">
        <v>943</v>
      </c>
      <c r="B1845" t="s">
        <v>23</v>
      </c>
      <c r="C1845" t="s">
        <v>1556</v>
      </c>
      <c r="D1845" t="s">
        <v>1554</v>
      </c>
    </row>
    <row r="1846" spans="1:4" x14ac:dyDescent="0.2">
      <c r="A1846" t="s">
        <v>943</v>
      </c>
      <c r="B1846" t="s">
        <v>25</v>
      </c>
      <c r="C1846" t="s">
        <v>1557</v>
      </c>
      <c r="D1846" t="s">
        <v>1554</v>
      </c>
    </row>
    <row r="1847" spans="1:4" x14ac:dyDescent="0.2">
      <c r="A1847" t="s">
        <v>943</v>
      </c>
      <c r="B1847" t="s">
        <v>24</v>
      </c>
      <c r="C1847" t="s">
        <v>1558</v>
      </c>
      <c r="D1847" t="s">
        <v>1559</v>
      </c>
    </row>
    <row r="1848" spans="1:4" x14ac:dyDescent="0.2">
      <c r="A1848" t="s">
        <v>949</v>
      </c>
      <c r="B1848" t="s">
        <v>6</v>
      </c>
      <c r="C1848" t="s">
        <v>1564</v>
      </c>
      <c r="D1848" t="s">
        <v>1554</v>
      </c>
    </row>
    <row r="1849" spans="1:4" x14ac:dyDescent="0.2">
      <c r="A1849" t="s">
        <v>949</v>
      </c>
      <c r="B1849" t="s">
        <v>7</v>
      </c>
      <c r="C1849" t="s">
        <v>1565</v>
      </c>
      <c r="D1849" t="s">
        <v>1554</v>
      </c>
    </row>
    <row r="1850" spans="1:4" x14ac:dyDescent="0.2">
      <c r="A1850" t="s">
        <v>949</v>
      </c>
      <c r="B1850" t="s">
        <v>8</v>
      </c>
      <c r="C1850" t="s">
        <v>1561</v>
      </c>
      <c r="D1850" t="s">
        <v>1554</v>
      </c>
    </row>
    <row r="1851" spans="1:4" x14ac:dyDescent="0.2">
      <c r="A1851" t="s">
        <v>949</v>
      </c>
      <c r="B1851" t="s">
        <v>9</v>
      </c>
      <c r="C1851" t="s">
        <v>1553</v>
      </c>
      <c r="D1851" t="s">
        <v>1554</v>
      </c>
    </row>
    <row r="1852" spans="1:4" x14ac:dyDescent="0.2">
      <c r="A1852" t="s">
        <v>949</v>
      </c>
      <c r="B1852" t="s">
        <v>10</v>
      </c>
      <c r="C1852" t="s">
        <v>1555</v>
      </c>
      <c r="D1852" t="s">
        <v>1554</v>
      </c>
    </row>
    <row r="1853" spans="1:4" x14ac:dyDescent="0.2">
      <c r="A1853" t="s">
        <v>949</v>
      </c>
      <c r="B1853" t="s">
        <v>11</v>
      </c>
      <c r="C1853" t="s">
        <v>1566</v>
      </c>
      <c r="D1853" t="s">
        <v>1554</v>
      </c>
    </row>
    <row r="1854" spans="1:4" x14ac:dyDescent="0.2">
      <c r="A1854" t="s">
        <v>949</v>
      </c>
      <c r="B1854" t="s">
        <v>13</v>
      </c>
      <c r="C1854" t="s">
        <v>1567</v>
      </c>
      <c r="D1854" t="s">
        <v>1554</v>
      </c>
    </row>
    <row r="1855" spans="1:4" x14ac:dyDescent="0.2">
      <c r="A1855" t="s">
        <v>949</v>
      </c>
      <c r="B1855" t="s">
        <v>14</v>
      </c>
      <c r="C1855" t="s">
        <v>1568</v>
      </c>
      <c r="D1855" t="s">
        <v>1554</v>
      </c>
    </row>
    <row r="1856" spans="1:4" x14ac:dyDescent="0.2">
      <c r="A1856" t="s">
        <v>949</v>
      </c>
      <c r="B1856" t="s">
        <v>15</v>
      </c>
      <c r="C1856" t="s">
        <v>1569</v>
      </c>
      <c r="D1856" t="s">
        <v>1554</v>
      </c>
    </row>
    <row r="1857" spans="1:4" x14ac:dyDescent="0.2">
      <c r="A1857" t="s">
        <v>949</v>
      </c>
      <c r="B1857" t="s">
        <v>17</v>
      </c>
      <c r="C1857" t="s">
        <v>1560</v>
      </c>
      <c r="D1857" t="s">
        <v>1554</v>
      </c>
    </row>
    <row r="1858" spans="1:4" x14ac:dyDescent="0.2">
      <c r="A1858" t="s">
        <v>949</v>
      </c>
      <c r="B1858" t="s">
        <v>19</v>
      </c>
      <c r="C1858" t="s">
        <v>1570</v>
      </c>
      <c r="D1858" t="s">
        <v>1554</v>
      </c>
    </row>
    <row r="1859" spans="1:4" x14ac:dyDescent="0.2">
      <c r="A1859" t="s">
        <v>949</v>
      </c>
      <c r="B1859" t="s">
        <v>23</v>
      </c>
      <c r="C1859" t="s">
        <v>1556</v>
      </c>
      <c r="D1859" t="s">
        <v>1554</v>
      </c>
    </row>
    <row r="1860" spans="1:4" x14ac:dyDescent="0.2">
      <c r="A1860" t="s">
        <v>949</v>
      </c>
      <c r="B1860" t="s">
        <v>25</v>
      </c>
      <c r="C1860" t="s">
        <v>1557</v>
      </c>
      <c r="D1860" t="s">
        <v>1554</v>
      </c>
    </row>
    <row r="1861" spans="1:4" x14ac:dyDescent="0.2">
      <c r="A1861" t="s">
        <v>949</v>
      </c>
      <c r="B1861" t="s">
        <v>24</v>
      </c>
      <c r="C1861" t="s">
        <v>1558</v>
      </c>
      <c r="D1861" t="s">
        <v>1559</v>
      </c>
    </row>
    <row r="1862" spans="1:4" x14ac:dyDescent="0.2">
      <c r="A1862" t="s">
        <v>955</v>
      </c>
      <c r="B1862" t="s">
        <v>6</v>
      </c>
      <c r="C1862" t="s">
        <v>1564</v>
      </c>
      <c r="D1862" t="s">
        <v>1554</v>
      </c>
    </row>
    <row r="1863" spans="1:4" x14ac:dyDescent="0.2">
      <c r="A1863" t="s">
        <v>955</v>
      </c>
      <c r="B1863" t="s">
        <v>7</v>
      </c>
      <c r="C1863" t="s">
        <v>1565</v>
      </c>
      <c r="D1863" t="s">
        <v>1554</v>
      </c>
    </row>
    <row r="1864" spans="1:4" x14ac:dyDescent="0.2">
      <c r="A1864" t="s">
        <v>955</v>
      </c>
      <c r="B1864" t="s">
        <v>8</v>
      </c>
      <c r="C1864" t="s">
        <v>1561</v>
      </c>
      <c r="D1864" t="s">
        <v>1554</v>
      </c>
    </row>
    <row r="1865" spans="1:4" x14ac:dyDescent="0.2">
      <c r="A1865" t="s">
        <v>955</v>
      </c>
      <c r="B1865" t="s">
        <v>9</v>
      </c>
      <c r="C1865" t="s">
        <v>1553</v>
      </c>
      <c r="D1865" t="s">
        <v>1554</v>
      </c>
    </row>
    <row r="1866" spans="1:4" x14ac:dyDescent="0.2">
      <c r="A1866" t="s">
        <v>955</v>
      </c>
      <c r="B1866" t="s">
        <v>10</v>
      </c>
      <c r="C1866" t="s">
        <v>1555</v>
      </c>
      <c r="D1866" t="s">
        <v>1554</v>
      </c>
    </row>
    <row r="1867" spans="1:4" x14ac:dyDescent="0.2">
      <c r="A1867" t="s">
        <v>955</v>
      </c>
      <c r="B1867" t="s">
        <v>11</v>
      </c>
      <c r="C1867" t="s">
        <v>1566</v>
      </c>
      <c r="D1867" t="s">
        <v>1554</v>
      </c>
    </row>
    <row r="1868" spans="1:4" x14ac:dyDescent="0.2">
      <c r="A1868" t="s">
        <v>955</v>
      </c>
      <c r="B1868" t="s">
        <v>13</v>
      </c>
      <c r="C1868" t="s">
        <v>1567</v>
      </c>
      <c r="D1868" t="s">
        <v>1554</v>
      </c>
    </row>
    <row r="1869" spans="1:4" x14ac:dyDescent="0.2">
      <c r="A1869" t="s">
        <v>955</v>
      </c>
      <c r="B1869" t="s">
        <v>14</v>
      </c>
      <c r="C1869" t="s">
        <v>1568</v>
      </c>
      <c r="D1869" t="s">
        <v>1554</v>
      </c>
    </row>
    <row r="1870" spans="1:4" x14ac:dyDescent="0.2">
      <c r="A1870" t="s">
        <v>955</v>
      </c>
      <c r="B1870" t="s">
        <v>15</v>
      </c>
      <c r="C1870" t="s">
        <v>1569</v>
      </c>
      <c r="D1870" t="s">
        <v>1554</v>
      </c>
    </row>
    <row r="1871" spans="1:4" x14ac:dyDescent="0.2">
      <c r="A1871" t="s">
        <v>955</v>
      </c>
      <c r="B1871" t="s">
        <v>17</v>
      </c>
      <c r="C1871" t="s">
        <v>1560</v>
      </c>
      <c r="D1871" t="s">
        <v>1554</v>
      </c>
    </row>
    <row r="1872" spans="1:4" x14ac:dyDescent="0.2">
      <c r="A1872" t="s">
        <v>955</v>
      </c>
      <c r="B1872" t="s">
        <v>19</v>
      </c>
      <c r="C1872" t="s">
        <v>1570</v>
      </c>
      <c r="D1872" t="s">
        <v>1554</v>
      </c>
    </row>
    <row r="1873" spans="1:4" x14ac:dyDescent="0.2">
      <c r="A1873" t="s">
        <v>955</v>
      </c>
      <c r="B1873" t="s">
        <v>23</v>
      </c>
      <c r="C1873" t="s">
        <v>1556</v>
      </c>
      <c r="D1873" t="s">
        <v>1554</v>
      </c>
    </row>
    <row r="1874" spans="1:4" x14ac:dyDescent="0.2">
      <c r="A1874" t="s">
        <v>955</v>
      </c>
      <c r="B1874" t="s">
        <v>25</v>
      </c>
      <c r="C1874" t="s">
        <v>1557</v>
      </c>
      <c r="D1874" t="s">
        <v>1554</v>
      </c>
    </row>
    <row r="1875" spans="1:4" x14ac:dyDescent="0.2">
      <c r="A1875" t="s">
        <v>955</v>
      </c>
      <c r="B1875" t="s">
        <v>24</v>
      </c>
      <c r="C1875" t="s">
        <v>1558</v>
      </c>
      <c r="D1875" t="s">
        <v>1559</v>
      </c>
    </row>
    <row r="1876" spans="1:4" x14ac:dyDescent="0.2">
      <c r="A1876" t="s">
        <v>961</v>
      </c>
      <c r="B1876" t="s">
        <v>6</v>
      </c>
      <c r="C1876" t="s">
        <v>1564</v>
      </c>
      <c r="D1876" t="s">
        <v>1554</v>
      </c>
    </row>
    <row r="1877" spans="1:4" x14ac:dyDescent="0.2">
      <c r="A1877" t="s">
        <v>961</v>
      </c>
      <c r="B1877" t="s">
        <v>7</v>
      </c>
      <c r="C1877" t="s">
        <v>1565</v>
      </c>
      <c r="D1877" t="s">
        <v>1554</v>
      </c>
    </row>
    <row r="1878" spans="1:4" x14ac:dyDescent="0.2">
      <c r="A1878" t="s">
        <v>961</v>
      </c>
      <c r="B1878" t="s">
        <v>8</v>
      </c>
      <c r="C1878" t="s">
        <v>1561</v>
      </c>
      <c r="D1878" t="s">
        <v>1554</v>
      </c>
    </row>
    <row r="1879" spans="1:4" x14ac:dyDescent="0.2">
      <c r="A1879" t="s">
        <v>961</v>
      </c>
      <c r="B1879" t="s">
        <v>9</v>
      </c>
      <c r="C1879" t="s">
        <v>1553</v>
      </c>
      <c r="D1879" t="s">
        <v>1554</v>
      </c>
    </row>
    <row r="1880" spans="1:4" x14ac:dyDescent="0.2">
      <c r="A1880" t="s">
        <v>961</v>
      </c>
      <c r="B1880" t="s">
        <v>10</v>
      </c>
      <c r="C1880" t="s">
        <v>1555</v>
      </c>
      <c r="D1880" t="s">
        <v>1554</v>
      </c>
    </row>
    <row r="1881" spans="1:4" x14ac:dyDescent="0.2">
      <c r="A1881" t="s">
        <v>961</v>
      </c>
      <c r="B1881" t="s">
        <v>11</v>
      </c>
      <c r="C1881" t="s">
        <v>1566</v>
      </c>
      <c r="D1881" t="s">
        <v>1554</v>
      </c>
    </row>
    <row r="1882" spans="1:4" x14ac:dyDescent="0.2">
      <c r="A1882" t="s">
        <v>961</v>
      </c>
      <c r="B1882" t="s">
        <v>13</v>
      </c>
      <c r="C1882" t="s">
        <v>1567</v>
      </c>
      <c r="D1882" t="s">
        <v>1554</v>
      </c>
    </row>
    <row r="1883" spans="1:4" x14ac:dyDescent="0.2">
      <c r="A1883" t="s">
        <v>961</v>
      </c>
      <c r="B1883" t="s">
        <v>14</v>
      </c>
      <c r="C1883" t="s">
        <v>1568</v>
      </c>
      <c r="D1883" t="s">
        <v>1554</v>
      </c>
    </row>
    <row r="1884" spans="1:4" x14ac:dyDescent="0.2">
      <c r="A1884" t="s">
        <v>961</v>
      </c>
      <c r="B1884" t="s">
        <v>15</v>
      </c>
      <c r="C1884" t="s">
        <v>1569</v>
      </c>
      <c r="D1884" t="s">
        <v>1554</v>
      </c>
    </row>
    <row r="1885" spans="1:4" x14ac:dyDescent="0.2">
      <c r="A1885" t="s">
        <v>961</v>
      </c>
      <c r="B1885" t="s">
        <v>17</v>
      </c>
      <c r="C1885" t="s">
        <v>1560</v>
      </c>
      <c r="D1885" t="s">
        <v>1554</v>
      </c>
    </row>
    <row r="1886" spans="1:4" x14ac:dyDescent="0.2">
      <c r="A1886" t="s">
        <v>961</v>
      </c>
      <c r="B1886" t="s">
        <v>19</v>
      </c>
      <c r="C1886" t="s">
        <v>1570</v>
      </c>
      <c r="D1886" t="s">
        <v>1554</v>
      </c>
    </row>
    <row r="1887" spans="1:4" x14ac:dyDescent="0.2">
      <c r="A1887" t="s">
        <v>961</v>
      </c>
      <c r="B1887" t="s">
        <v>23</v>
      </c>
      <c r="C1887" t="s">
        <v>1556</v>
      </c>
      <c r="D1887" t="s">
        <v>1554</v>
      </c>
    </row>
    <row r="1888" spans="1:4" x14ac:dyDescent="0.2">
      <c r="A1888" t="s">
        <v>961</v>
      </c>
      <c r="B1888" t="s">
        <v>25</v>
      </c>
      <c r="C1888" t="s">
        <v>1557</v>
      </c>
      <c r="D1888" t="s">
        <v>1554</v>
      </c>
    </row>
    <row r="1889" spans="1:4" x14ac:dyDescent="0.2">
      <c r="A1889" t="s">
        <v>961</v>
      </c>
      <c r="B1889" t="s">
        <v>24</v>
      </c>
      <c r="C1889" t="s">
        <v>1558</v>
      </c>
      <c r="D1889" t="s">
        <v>1559</v>
      </c>
    </row>
    <row r="1890" spans="1:4" x14ac:dyDescent="0.2">
      <c r="A1890" t="s">
        <v>967</v>
      </c>
      <c r="B1890" t="s">
        <v>8</v>
      </c>
      <c r="C1890" t="s">
        <v>1561</v>
      </c>
      <c r="D1890" t="s">
        <v>1554</v>
      </c>
    </row>
    <row r="1891" spans="1:4" x14ac:dyDescent="0.2">
      <c r="A1891" t="s">
        <v>967</v>
      </c>
      <c r="B1891" t="s">
        <v>9</v>
      </c>
      <c r="C1891" t="s">
        <v>1553</v>
      </c>
      <c r="D1891" t="s">
        <v>1554</v>
      </c>
    </row>
    <row r="1892" spans="1:4" x14ac:dyDescent="0.2">
      <c r="A1892" t="s">
        <v>967</v>
      </c>
      <c r="B1892" t="s">
        <v>13</v>
      </c>
      <c r="C1892" t="s">
        <v>1567</v>
      </c>
      <c r="D1892" t="s">
        <v>1554</v>
      </c>
    </row>
    <row r="1893" spans="1:4" x14ac:dyDescent="0.2">
      <c r="A1893" t="s">
        <v>967</v>
      </c>
      <c r="B1893" t="s">
        <v>14</v>
      </c>
      <c r="C1893" t="s">
        <v>1568</v>
      </c>
      <c r="D1893" t="s">
        <v>1554</v>
      </c>
    </row>
    <row r="1894" spans="1:4" x14ac:dyDescent="0.2">
      <c r="A1894" t="s">
        <v>967</v>
      </c>
      <c r="B1894" t="s">
        <v>15</v>
      </c>
      <c r="C1894" t="s">
        <v>1569</v>
      </c>
      <c r="D1894" t="s">
        <v>1554</v>
      </c>
    </row>
    <row r="1895" spans="1:4" x14ac:dyDescent="0.2">
      <c r="A1895" t="s">
        <v>967</v>
      </c>
      <c r="B1895" t="s">
        <v>17</v>
      </c>
      <c r="C1895" t="s">
        <v>1560</v>
      </c>
      <c r="D1895" t="s">
        <v>1554</v>
      </c>
    </row>
    <row r="1896" spans="1:4" x14ac:dyDescent="0.2">
      <c r="A1896" t="s">
        <v>967</v>
      </c>
      <c r="B1896" t="s">
        <v>19</v>
      </c>
      <c r="C1896" t="s">
        <v>1570</v>
      </c>
      <c r="D1896" t="s">
        <v>1554</v>
      </c>
    </row>
    <row r="1897" spans="1:4" x14ac:dyDescent="0.2">
      <c r="A1897" t="s">
        <v>967</v>
      </c>
      <c r="B1897" t="s">
        <v>23</v>
      </c>
      <c r="C1897" t="s">
        <v>1556</v>
      </c>
      <c r="D1897" t="s">
        <v>1554</v>
      </c>
    </row>
    <row r="1898" spans="1:4" x14ac:dyDescent="0.2">
      <c r="A1898" t="s">
        <v>967</v>
      </c>
      <c r="B1898" t="s">
        <v>25</v>
      </c>
      <c r="C1898" t="s">
        <v>1557</v>
      </c>
      <c r="D1898" t="s">
        <v>1554</v>
      </c>
    </row>
    <row r="1899" spans="1:4" x14ac:dyDescent="0.2">
      <c r="A1899" t="s">
        <v>967</v>
      </c>
      <c r="B1899" t="s">
        <v>24</v>
      </c>
      <c r="C1899" t="s">
        <v>1558</v>
      </c>
      <c r="D1899" t="s">
        <v>1559</v>
      </c>
    </row>
    <row r="1900" spans="1:4" x14ac:dyDescent="0.2">
      <c r="A1900" t="s">
        <v>974</v>
      </c>
      <c r="B1900" t="s">
        <v>6</v>
      </c>
      <c r="C1900" t="s">
        <v>1564</v>
      </c>
      <c r="D1900" t="s">
        <v>1554</v>
      </c>
    </row>
    <row r="1901" spans="1:4" x14ac:dyDescent="0.2">
      <c r="A1901" t="s">
        <v>974</v>
      </c>
      <c r="B1901" t="s">
        <v>7</v>
      </c>
      <c r="C1901" t="s">
        <v>1565</v>
      </c>
      <c r="D1901" t="s">
        <v>1554</v>
      </c>
    </row>
    <row r="1902" spans="1:4" x14ac:dyDescent="0.2">
      <c r="A1902" t="s">
        <v>974</v>
      </c>
      <c r="B1902" t="s">
        <v>8</v>
      </c>
      <c r="C1902" t="s">
        <v>1561</v>
      </c>
      <c r="D1902" t="s">
        <v>1554</v>
      </c>
    </row>
    <row r="1903" spans="1:4" x14ac:dyDescent="0.2">
      <c r="A1903" t="s">
        <v>974</v>
      </c>
      <c r="B1903" t="s">
        <v>9</v>
      </c>
      <c r="C1903" t="s">
        <v>1553</v>
      </c>
      <c r="D1903" t="s">
        <v>1554</v>
      </c>
    </row>
    <row r="1904" spans="1:4" x14ac:dyDescent="0.2">
      <c r="A1904" t="s">
        <v>974</v>
      </c>
      <c r="B1904" t="s">
        <v>10</v>
      </c>
      <c r="C1904" t="s">
        <v>1555</v>
      </c>
      <c r="D1904" t="s">
        <v>1554</v>
      </c>
    </row>
    <row r="1905" spans="1:4" x14ac:dyDescent="0.2">
      <c r="A1905" t="s">
        <v>974</v>
      </c>
      <c r="B1905" t="s">
        <v>11</v>
      </c>
      <c r="C1905" t="s">
        <v>1566</v>
      </c>
      <c r="D1905" t="s">
        <v>1554</v>
      </c>
    </row>
    <row r="1906" spans="1:4" x14ac:dyDescent="0.2">
      <c r="A1906" t="s">
        <v>974</v>
      </c>
      <c r="B1906" t="s">
        <v>13</v>
      </c>
      <c r="C1906" t="s">
        <v>1567</v>
      </c>
      <c r="D1906" t="s">
        <v>1554</v>
      </c>
    </row>
    <row r="1907" spans="1:4" x14ac:dyDescent="0.2">
      <c r="A1907" t="s">
        <v>974</v>
      </c>
      <c r="B1907" t="s">
        <v>14</v>
      </c>
      <c r="C1907" t="s">
        <v>1568</v>
      </c>
      <c r="D1907" t="s">
        <v>1554</v>
      </c>
    </row>
    <row r="1908" spans="1:4" x14ac:dyDescent="0.2">
      <c r="A1908" t="s">
        <v>974</v>
      </c>
      <c r="B1908" t="s">
        <v>15</v>
      </c>
      <c r="C1908" t="s">
        <v>1569</v>
      </c>
      <c r="D1908" t="s">
        <v>1554</v>
      </c>
    </row>
    <row r="1909" spans="1:4" x14ac:dyDescent="0.2">
      <c r="A1909" t="s">
        <v>974</v>
      </c>
      <c r="B1909" t="s">
        <v>17</v>
      </c>
      <c r="C1909" t="s">
        <v>1560</v>
      </c>
      <c r="D1909" t="s">
        <v>1554</v>
      </c>
    </row>
    <row r="1910" spans="1:4" x14ac:dyDescent="0.2">
      <c r="A1910" t="s">
        <v>974</v>
      </c>
      <c r="B1910" t="s">
        <v>19</v>
      </c>
      <c r="C1910" t="s">
        <v>1570</v>
      </c>
      <c r="D1910" t="s">
        <v>1554</v>
      </c>
    </row>
    <row r="1911" spans="1:4" x14ac:dyDescent="0.2">
      <c r="A1911" t="s">
        <v>974</v>
      </c>
      <c r="B1911" t="s">
        <v>23</v>
      </c>
      <c r="C1911" t="s">
        <v>1556</v>
      </c>
      <c r="D1911" t="s">
        <v>1554</v>
      </c>
    </row>
    <row r="1912" spans="1:4" x14ac:dyDescent="0.2">
      <c r="A1912" t="s">
        <v>974</v>
      </c>
      <c r="B1912" t="s">
        <v>25</v>
      </c>
      <c r="C1912" t="s">
        <v>1557</v>
      </c>
      <c r="D1912" t="s">
        <v>1554</v>
      </c>
    </row>
    <row r="1913" spans="1:4" x14ac:dyDescent="0.2">
      <c r="A1913" t="s">
        <v>974</v>
      </c>
      <c r="B1913" t="s">
        <v>24</v>
      </c>
      <c r="C1913" t="s">
        <v>1558</v>
      </c>
      <c r="D1913" t="s">
        <v>1559</v>
      </c>
    </row>
    <row r="1914" spans="1:4" x14ac:dyDescent="0.2">
      <c r="A1914" t="s">
        <v>980</v>
      </c>
      <c r="B1914" t="s">
        <v>6</v>
      </c>
      <c r="C1914" t="s">
        <v>1564</v>
      </c>
      <c r="D1914" t="s">
        <v>1554</v>
      </c>
    </row>
    <row r="1915" spans="1:4" x14ac:dyDescent="0.2">
      <c r="A1915" t="s">
        <v>980</v>
      </c>
      <c r="B1915" t="s">
        <v>7</v>
      </c>
      <c r="C1915" t="s">
        <v>1565</v>
      </c>
      <c r="D1915" t="s">
        <v>1554</v>
      </c>
    </row>
    <row r="1916" spans="1:4" x14ac:dyDescent="0.2">
      <c r="A1916" t="s">
        <v>980</v>
      </c>
      <c r="B1916" t="s">
        <v>8</v>
      </c>
      <c r="C1916" t="s">
        <v>1561</v>
      </c>
      <c r="D1916" t="s">
        <v>1554</v>
      </c>
    </row>
    <row r="1917" spans="1:4" x14ac:dyDescent="0.2">
      <c r="A1917" t="s">
        <v>980</v>
      </c>
      <c r="B1917" t="s">
        <v>9</v>
      </c>
      <c r="C1917" t="s">
        <v>1553</v>
      </c>
      <c r="D1917" t="s">
        <v>1554</v>
      </c>
    </row>
    <row r="1918" spans="1:4" x14ac:dyDescent="0.2">
      <c r="A1918" t="s">
        <v>980</v>
      </c>
      <c r="B1918" t="s">
        <v>10</v>
      </c>
      <c r="C1918" t="s">
        <v>1555</v>
      </c>
      <c r="D1918" t="s">
        <v>1554</v>
      </c>
    </row>
    <row r="1919" spans="1:4" x14ac:dyDescent="0.2">
      <c r="A1919" t="s">
        <v>980</v>
      </c>
      <c r="B1919" t="s">
        <v>11</v>
      </c>
      <c r="C1919" t="s">
        <v>1566</v>
      </c>
      <c r="D1919" t="s">
        <v>1554</v>
      </c>
    </row>
    <row r="1920" spans="1:4" x14ac:dyDescent="0.2">
      <c r="A1920" t="s">
        <v>980</v>
      </c>
      <c r="B1920" t="s">
        <v>13</v>
      </c>
      <c r="C1920" t="s">
        <v>1567</v>
      </c>
      <c r="D1920" t="s">
        <v>1554</v>
      </c>
    </row>
    <row r="1921" spans="1:4" x14ac:dyDescent="0.2">
      <c r="A1921" t="s">
        <v>980</v>
      </c>
      <c r="B1921" t="s">
        <v>14</v>
      </c>
      <c r="C1921" t="s">
        <v>1568</v>
      </c>
      <c r="D1921" t="s">
        <v>1554</v>
      </c>
    </row>
    <row r="1922" spans="1:4" x14ac:dyDescent="0.2">
      <c r="A1922" t="s">
        <v>980</v>
      </c>
      <c r="B1922" t="s">
        <v>15</v>
      </c>
      <c r="C1922" t="s">
        <v>1569</v>
      </c>
      <c r="D1922" t="s">
        <v>1554</v>
      </c>
    </row>
    <row r="1923" spans="1:4" x14ac:dyDescent="0.2">
      <c r="A1923" t="s">
        <v>980</v>
      </c>
      <c r="B1923" t="s">
        <v>17</v>
      </c>
      <c r="C1923" t="s">
        <v>1560</v>
      </c>
      <c r="D1923" t="s">
        <v>1554</v>
      </c>
    </row>
    <row r="1924" spans="1:4" x14ac:dyDescent="0.2">
      <c r="A1924" t="s">
        <v>980</v>
      </c>
      <c r="B1924" t="s">
        <v>19</v>
      </c>
      <c r="C1924" t="s">
        <v>1570</v>
      </c>
      <c r="D1924" t="s">
        <v>1554</v>
      </c>
    </row>
    <row r="1925" spans="1:4" x14ac:dyDescent="0.2">
      <c r="A1925" t="s">
        <v>980</v>
      </c>
      <c r="B1925" t="s">
        <v>23</v>
      </c>
      <c r="C1925" t="s">
        <v>1556</v>
      </c>
      <c r="D1925" t="s">
        <v>1554</v>
      </c>
    </row>
    <row r="1926" spans="1:4" x14ac:dyDescent="0.2">
      <c r="A1926" t="s">
        <v>980</v>
      </c>
      <c r="B1926" t="s">
        <v>25</v>
      </c>
      <c r="C1926" t="s">
        <v>1557</v>
      </c>
      <c r="D1926" t="s">
        <v>1554</v>
      </c>
    </row>
    <row r="1927" spans="1:4" x14ac:dyDescent="0.2">
      <c r="A1927" t="s">
        <v>980</v>
      </c>
      <c r="B1927" t="s">
        <v>24</v>
      </c>
      <c r="C1927" t="s">
        <v>1558</v>
      </c>
      <c r="D1927" t="s">
        <v>1559</v>
      </c>
    </row>
    <row r="1928" spans="1:4" x14ac:dyDescent="0.2">
      <c r="A1928" t="s">
        <v>986</v>
      </c>
      <c r="B1928" t="s">
        <v>6</v>
      </c>
      <c r="C1928" t="s">
        <v>1564</v>
      </c>
      <c r="D1928" t="s">
        <v>1554</v>
      </c>
    </row>
    <row r="1929" spans="1:4" x14ac:dyDescent="0.2">
      <c r="A1929" t="s">
        <v>986</v>
      </c>
      <c r="B1929" t="s">
        <v>7</v>
      </c>
      <c r="C1929" t="s">
        <v>1565</v>
      </c>
      <c r="D1929" t="s">
        <v>1554</v>
      </c>
    </row>
    <row r="1930" spans="1:4" x14ac:dyDescent="0.2">
      <c r="A1930" t="s">
        <v>986</v>
      </c>
      <c r="B1930" t="s">
        <v>8</v>
      </c>
      <c r="C1930" t="s">
        <v>1561</v>
      </c>
      <c r="D1930" t="s">
        <v>1554</v>
      </c>
    </row>
    <row r="1931" spans="1:4" x14ac:dyDescent="0.2">
      <c r="A1931" t="s">
        <v>986</v>
      </c>
      <c r="B1931" t="s">
        <v>9</v>
      </c>
      <c r="C1931" t="s">
        <v>1553</v>
      </c>
      <c r="D1931" t="s">
        <v>1554</v>
      </c>
    </row>
    <row r="1932" spans="1:4" x14ac:dyDescent="0.2">
      <c r="A1932" t="s">
        <v>986</v>
      </c>
      <c r="B1932" t="s">
        <v>10</v>
      </c>
      <c r="C1932" t="s">
        <v>1555</v>
      </c>
      <c r="D1932" t="s">
        <v>1554</v>
      </c>
    </row>
    <row r="1933" spans="1:4" x14ac:dyDescent="0.2">
      <c r="A1933" t="s">
        <v>986</v>
      </c>
      <c r="B1933" t="s">
        <v>11</v>
      </c>
      <c r="C1933" t="s">
        <v>1566</v>
      </c>
      <c r="D1933" t="s">
        <v>1554</v>
      </c>
    </row>
    <row r="1934" spans="1:4" x14ac:dyDescent="0.2">
      <c r="A1934" t="s">
        <v>986</v>
      </c>
      <c r="B1934" t="s">
        <v>13</v>
      </c>
      <c r="C1934" t="s">
        <v>1567</v>
      </c>
      <c r="D1934" t="s">
        <v>1554</v>
      </c>
    </row>
    <row r="1935" spans="1:4" x14ac:dyDescent="0.2">
      <c r="A1935" t="s">
        <v>986</v>
      </c>
      <c r="B1935" t="s">
        <v>14</v>
      </c>
      <c r="C1935" t="s">
        <v>1568</v>
      </c>
      <c r="D1935" t="s">
        <v>1554</v>
      </c>
    </row>
    <row r="1936" spans="1:4" x14ac:dyDescent="0.2">
      <c r="A1936" t="s">
        <v>986</v>
      </c>
      <c r="B1936" t="s">
        <v>15</v>
      </c>
      <c r="C1936" t="s">
        <v>1569</v>
      </c>
      <c r="D1936" t="s">
        <v>1554</v>
      </c>
    </row>
    <row r="1937" spans="1:4" x14ac:dyDescent="0.2">
      <c r="A1937" t="s">
        <v>986</v>
      </c>
      <c r="B1937" t="s">
        <v>17</v>
      </c>
      <c r="C1937" t="s">
        <v>1560</v>
      </c>
      <c r="D1937" t="s">
        <v>1554</v>
      </c>
    </row>
    <row r="1938" spans="1:4" x14ac:dyDescent="0.2">
      <c r="A1938" t="s">
        <v>986</v>
      </c>
      <c r="B1938" t="s">
        <v>19</v>
      </c>
      <c r="C1938" t="s">
        <v>1570</v>
      </c>
      <c r="D1938" t="s">
        <v>1554</v>
      </c>
    </row>
    <row r="1939" spans="1:4" x14ac:dyDescent="0.2">
      <c r="A1939" t="s">
        <v>986</v>
      </c>
      <c r="B1939" t="s">
        <v>23</v>
      </c>
      <c r="C1939" t="s">
        <v>1556</v>
      </c>
      <c r="D1939" t="s">
        <v>1554</v>
      </c>
    </row>
    <row r="1940" spans="1:4" x14ac:dyDescent="0.2">
      <c r="A1940" t="s">
        <v>986</v>
      </c>
      <c r="B1940" t="s">
        <v>25</v>
      </c>
      <c r="C1940" t="s">
        <v>1557</v>
      </c>
      <c r="D1940" t="s">
        <v>1554</v>
      </c>
    </row>
    <row r="1941" spans="1:4" x14ac:dyDescent="0.2">
      <c r="A1941" t="s">
        <v>986</v>
      </c>
      <c r="B1941" t="s">
        <v>24</v>
      </c>
      <c r="C1941" t="s">
        <v>1558</v>
      </c>
      <c r="D1941" t="s">
        <v>1559</v>
      </c>
    </row>
    <row r="1942" spans="1:4" x14ac:dyDescent="0.2">
      <c r="A1942" t="s">
        <v>992</v>
      </c>
      <c r="B1942" t="s">
        <v>6</v>
      </c>
      <c r="C1942" t="s">
        <v>1564</v>
      </c>
      <c r="D1942" t="s">
        <v>1554</v>
      </c>
    </row>
    <row r="1943" spans="1:4" x14ac:dyDescent="0.2">
      <c r="A1943" t="s">
        <v>992</v>
      </c>
      <c r="B1943" t="s">
        <v>7</v>
      </c>
      <c r="C1943" t="s">
        <v>1565</v>
      </c>
      <c r="D1943" t="s">
        <v>1554</v>
      </c>
    </row>
    <row r="1944" spans="1:4" x14ac:dyDescent="0.2">
      <c r="A1944" t="s">
        <v>992</v>
      </c>
      <c r="B1944" t="s">
        <v>8</v>
      </c>
      <c r="C1944" t="s">
        <v>1561</v>
      </c>
      <c r="D1944" t="s">
        <v>1554</v>
      </c>
    </row>
    <row r="1945" spans="1:4" x14ac:dyDescent="0.2">
      <c r="A1945" t="s">
        <v>992</v>
      </c>
      <c r="B1945" t="s">
        <v>9</v>
      </c>
      <c r="C1945" t="s">
        <v>1553</v>
      </c>
      <c r="D1945" t="s">
        <v>1554</v>
      </c>
    </row>
    <row r="1946" spans="1:4" x14ac:dyDescent="0.2">
      <c r="A1946" t="s">
        <v>992</v>
      </c>
      <c r="B1946" t="s">
        <v>10</v>
      </c>
      <c r="C1946" t="s">
        <v>1555</v>
      </c>
      <c r="D1946" t="s">
        <v>1554</v>
      </c>
    </row>
    <row r="1947" spans="1:4" x14ac:dyDescent="0.2">
      <c r="A1947" t="s">
        <v>992</v>
      </c>
      <c r="B1947" t="s">
        <v>11</v>
      </c>
      <c r="C1947" t="s">
        <v>1566</v>
      </c>
      <c r="D1947" t="s">
        <v>1554</v>
      </c>
    </row>
    <row r="1948" spans="1:4" x14ac:dyDescent="0.2">
      <c r="A1948" t="s">
        <v>992</v>
      </c>
      <c r="B1948" t="s">
        <v>13</v>
      </c>
      <c r="C1948" t="s">
        <v>1567</v>
      </c>
      <c r="D1948" t="s">
        <v>1554</v>
      </c>
    </row>
    <row r="1949" spans="1:4" x14ac:dyDescent="0.2">
      <c r="A1949" t="s">
        <v>992</v>
      </c>
      <c r="B1949" t="s">
        <v>14</v>
      </c>
      <c r="C1949" t="s">
        <v>1568</v>
      </c>
      <c r="D1949" t="s">
        <v>1554</v>
      </c>
    </row>
    <row r="1950" spans="1:4" x14ac:dyDescent="0.2">
      <c r="A1950" t="s">
        <v>992</v>
      </c>
      <c r="B1950" t="s">
        <v>15</v>
      </c>
      <c r="C1950" t="s">
        <v>1569</v>
      </c>
      <c r="D1950" t="s">
        <v>1554</v>
      </c>
    </row>
    <row r="1951" spans="1:4" x14ac:dyDescent="0.2">
      <c r="A1951" t="s">
        <v>992</v>
      </c>
      <c r="B1951" t="s">
        <v>17</v>
      </c>
      <c r="C1951" t="s">
        <v>1560</v>
      </c>
      <c r="D1951" t="s">
        <v>1554</v>
      </c>
    </row>
    <row r="1952" spans="1:4" x14ac:dyDescent="0.2">
      <c r="A1952" t="s">
        <v>992</v>
      </c>
      <c r="B1952" t="s">
        <v>19</v>
      </c>
      <c r="C1952" t="s">
        <v>1570</v>
      </c>
      <c r="D1952" t="s">
        <v>1554</v>
      </c>
    </row>
    <row r="1953" spans="1:4" x14ac:dyDescent="0.2">
      <c r="A1953" t="s">
        <v>992</v>
      </c>
      <c r="B1953" t="s">
        <v>23</v>
      </c>
      <c r="C1953" t="s">
        <v>1556</v>
      </c>
      <c r="D1953" t="s">
        <v>1554</v>
      </c>
    </row>
    <row r="1954" spans="1:4" x14ac:dyDescent="0.2">
      <c r="A1954" t="s">
        <v>992</v>
      </c>
      <c r="B1954" t="s">
        <v>25</v>
      </c>
      <c r="C1954" t="s">
        <v>1557</v>
      </c>
      <c r="D1954" t="s">
        <v>1554</v>
      </c>
    </row>
    <row r="1955" spans="1:4" x14ac:dyDescent="0.2">
      <c r="A1955" t="s">
        <v>992</v>
      </c>
      <c r="B1955" t="s">
        <v>24</v>
      </c>
      <c r="C1955" t="s">
        <v>1558</v>
      </c>
      <c r="D1955" t="s">
        <v>1559</v>
      </c>
    </row>
    <row r="1956" spans="1:4" x14ac:dyDescent="0.2">
      <c r="A1956" t="s">
        <v>998</v>
      </c>
      <c r="B1956" t="s">
        <v>6</v>
      </c>
      <c r="C1956" t="s">
        <v>1564</v>
      </c>
      <c r="D1956" t="s">
        <v>1554</v>
      </c>
    </row>
    <row r="1957" spans="1:4" x14ac:dyDescent="0.2">
      <c r="A1957" t="s">
        <v>998</v>
      </c>
      <c r="B1957" t="s">
        <v>7</v>
      </c>
      <c r="C1957" t="s">
        <v>1565</v>
      </c>
      <c r="D1957" t="s">
        <v>1554</v>
      </c>
    </row>
    <row r="1958" spans="1:4" x14ac:dyDescent="0.2">
      <c r="A1958" t="s">
        <v>998</v>
      </c>
      <c r="B1958" t="s">
        <v>8</v>
      </c>
      <c r="C1958" t="s">
        <v>1561</v>
      </c>
      <c r="D1958" t="s">
        <v>1554</v>
      </c>
    </row>
    <row r="1959" spans="1:4" x14ac:dyDescent="0.2">
      <c r="A1959" t="s">
        <v>998</v>
      </c>
      <c r="B1959" t="s">
        <v>9</v>
      </c>
      <c r="C1959" t="s">
        <v>1553</v>
      </c>
      <c r="D1959" t="s">
        <v>1554</v>
      </c>
    </row>
    <row r="1960" spans="1:4" x14ac:dyDescent="0.2">
      <c r="A1960" t="s">
        <v>998</v>
      </c>
      <c r="B1960" t="s">
        <v>10</v>
      </c>
      <c r="C1960" t="s">
        <v>1555</v>
      </c>
      <c r="D1960" t="s">
        <v>1554</v>
      </c>
    </row>
    <row r="1961" spans="1:4" x14ac:dyDescent="0.2">
      <c r="A1961" t="s">
        <v>998</v>
      </c>
      <c r="B1961" t="s">
        <v>11</v>
      </c>
      <c r="C1961" t="s">
        <v>1566</v>
      </c>
      <c r="D1961" t="s">
        <v>1554</v>
      </c>
    </row>
    <row r="1962" spans="1:4" x14ac:dyDescent="0.2">
      <c r="A1962" t="s">
        <v>998</v>
      </c>
      <c r="B1962" t="s">
        <v>13</v>
      </c>
      <c r="C1962" t="s">
        <v>1567</v>
      </c>
      <c r="D1962" t="s">
        <v>1554</v>
      </c>
    </row>
    <row r="1963" spans="1:4" x14ac:dyDescent="0.2">
      <c r="A1963" t="s">
        <v>998</v>
      </c>
      <c r="B1963" t="s">
        <v>14</v>
      </c>
      <c r="C1963" t="s">
        <v>1568</v>
      </c>
      <c r="D1963" t="s">
        <v>1554</v>
      </c>
    </row>
    <row r="1964" spans="1:4" x14ac:dyDescent="0.2">
      <c r="A1964" t="s">
        <v>998</v>
      </c>
      <c r="B1964" t="s">
        <v>15</v>
      </c>
      <c r="C1964" t="s">
        <v>1569</v>
      </c>
      <c r="D1964" t="s">
        <v>1554</v>
      </c>
    </row>
    <row r="1965" spans="1:4" x14ac:dyDescent="0.2">
      <c r="A1965" t="s">
        <v>998</v>
      </c>
      <c r="B1965" t="s">
        <v>17</v>
      </c>
      <c r="C1965" t="s">
        <v>1560</v>
      </c>
      <c r="D1965" t="s">
        <v>1554</v>
      </c>
    </row>
    <row r="1966" spans="1:4" x14ac:dyDescent="0.2">
      <c r="A1966" t="s">
        <v>998</v>
      </c>
      <c r="B1966" t="s">
        <v>19</v>
      </c>
      <c r="C1966" t="s">
        <v>1570</v>
      </c>
      <c r="D1966" t="s">
        <v>1554</v>
      </c>
    </row>
    <row r="1967" spans="1:4" x14ac:dyDescent="0.2">
      <c r="A1967" t="s">
        <v>998</v>
      </c>
      <c r="B1967" t="s">
        <v>23</v>
      </c>
      <c r="C1967" t="s">
        <v>1556</v>
      </c>
      <c r="D1967" t="s">
        <v>1554</v>
      </c>
    </row>
    <row r="1968" spans="1:4" x14ac:dyDescent="0.2">
      <c r="A1968" t="s">
        <v>998</v>
      </c>
      <c r="B1968" t="s">
        <v>25</v>
      </c>
      <c r="C1968" t="s">
        <v>1557</v>
      </c>
      <c r="D1968" t="s">
        <v>1554</v>
      </c>
    </row>
    <row r="1969" spans="1:4" x14ac:dyDescent="0.2">
      <c r="A1969" t="s">
        <v>998</v>
      </c>
      <c r="B1969" t="s">
        <v>21</v>
      </c>
      <c r="C1969" t="s">
        <v>1571</v>
      </c>
      <c r="D1969" t="s">
        <v>1559</v>
      </c>
    </row>
    <row r="1970" spans="1:4" x14ac:dyDescent="0.2">
      <c r="A1970" t="s">
        <v>998</v>
      </c>
      <c r="B1970" t="s">
        <v>22</v>
      </c>
      <c r="C1970" t="s">
        <v>1572</v>
      </c>
      <c r="D1970" t="s">
        <v>1559</v>
      </c>
    </row>
    <row r="1971" spans="1:4" x14ac:dyDescent="0.2">
      <c r="A1971" t="s">
        <v>998</v>
      </c>
      <c r="B1971" t="s">
        <v>24</v>
      </c>
      <c r="C1971" t="s">
        <v>1558</v>
      </c>
      <c r="D1971" t="s">
        <v>1559</v>
      </c>
    </row>
    <row r="1972" spans="1:4" x14ac:dyDescent="0.2">
      <c r="A1972" t="s">
        <v>1003</v>
      </c>
      <c r="B1972" t="s">
        <v>6</v>
      </c>
      <c r="C1972" t="s">
        <v>1564</v>
      </c>
      <c r="D1972" t="s">
        <v>1554</v>
      </c>
    </row>
    <row r="1973" spans="1:4" x14ac:dyDescent="0.2">
      <c r="A1973" t="s">
        <v>1003</v>
      </c>
      <c r="B1973" t="s">
        <v>7</v>
      </c>
      <c r="C1973" t="s">
        <v>1565</v>
      </c>
      <c r="D1973" t="s">
        <v>1554</v>
      </c>
    </row>
    <row r="1974" spans="1:4" x14ac:dyDescent="0.2">
      <c r="A1974" t="s">
        <v>1003</v>
      </c>
      <c r="B1974" t="s">
        <v>8</v>
      </c>
      <c r="C1974" t="s">
        <v>1561</v>
      </c>
      <c r="D1974" t="s">
        <v>1554</v>
      </c>
    </row>
    <row r="1975" spans="1:4" x14ac:dyDescent="0.2">
      <c r="A1975" t="s">
        <v>1003</v>
      </c>
      <c r="B1975" t="s">
        <v>9</v>
      </c>
      <c r="C1975" t="s">
        <v>1553</v>
      </c>
      <c r="D1975" t="s">
        <v>1554</v>
      </c>
    </row>
    <row r="1976" spans="1:4" x14ac:dyDescent="0.2">
      <c r="A1976" t="s">
        <v>1003</v>
      </c>
      <c r="B1976" t="s">
        <v>10</v>
      </c>
      <c r="C1976" t="s">
        <v>1555</v>
      </c>
      <c r="D1976" t="s">
        <v>1554</v>
      </c>
    </row>
    <row r="1977" spans="1:4" x14ac:dyDescent="0.2">
      <c r="A1977" t="s">
        <v>1003</v>
      </c>
      <c r="B1977" t="s">
        <v>11</v>
      </c>
      <c r="C1977" t="s">
        <v>1566</v>
      </c>
      <c r="D1977" t="s">
        <v>1554</v>
      </c>
    </row>
    <row r="1978" spans="1:4" x14ac:dyDescent="0.2">
      <c r="A1978" t="s">
        <v>1003</v>
      </c>
      <c r="B1978" t="s">
        <v>13</v>
      </c>
      <c r="C1978" t="s">
        <v>1567</v>
      </c>
      <c r="D1978" t="s">
        <v>1554</v>
      </c>
    </row>
    <row r="1979" spans="1:4" x14ac:dyDescent="0.2">
      <c r="A1979" t="s">
        <v>1003</v>
      </c>
      <c r="B1979" t="s">
        <v>14</v>
      </c>
      <c r="C1979" t="s">
        <v>1568</v>
      </c>
      <c r="D1979" t="s">
        <v>1554</v>
      </c>
    </row>
    <row r="1980" spans="1:4" x14ac:dyDescent="0.2">
      <c r="A1980" t="s">
        <v>1003</v>
      </c>
      <c r="B1980" t="s">
        <v>15</v>
      </c>
      <c r="C1980" t="s">
        <v>1569</v>
      </c>
      <c r="D1980" t="s">
        <v>1554</v>
      </c>
    </row>
    <row r="1981" spans="1:4" x14ac:dyDescent="0.2">
      <c r="A1981" t="s">
        <v>1003</v>
      </c>
      <c r="B1981" t="s">
        <v>17</v>
      </c>
      <c r="C1981" t="s">
        <v>1560</v>
      </c>
      <c r="D1981" t="s">
        <v>1554</v>
      </c>
    </row>
    <row r="1982" spans="1:4" x14ac:dyDescent="0.2">
      <c r="A1982" t="s">
        <v>1003</v>
      </c>
      <c r="B1982" t="s">
        <v>19</v>
      </c>
      <c r="C1982" t="s">
        <v>1570</v>
      </c>
      <c r="D1982" t="s">
        <v>1554</v>
      </c>
    </row>
    <row r="1983" spans="1:4" x14ac:dyDescent="0.2">
      <c r="A1983" t="s">
        <v>1003</v>
      </c>
      <c r="B1983" t="s">
        <v>23</v>
      </c>
      <c r="C1983" t="s">
        <v>1556</v>
      </c>
      <c r="D1983" t="s">
        <v>1554</v>
      </c>
    </row>
    <row r="1984" spans="1:4" x14ac:dyDescent="0.2">
      <c r="A1984" t="s">
        <v>1003</v>
      </c>
      <c r="B1984" t="s">
        <v>25</v>
      </c>
      <c r="C1984" t="s">
        <v>1557</v>
      </c>
      <c r="D1984" t="s">
        <v>1554</v>
      </c>
    </row>
    <row r="1985" spans="1:4" x14ac:dyDescent="0.2">
      <c r="A1985" t="s">
        <v>1003</v>
      </c>
      <c r="B1985" t="s">
        <v>21</v>
      </c>
      <c r="C1985" t="s">
        <v>1571</v>
      </c>
      <c r="D1985" t="s">
        <v>1559</v>
      </c>
    </row>
    <row r="1986" spans="1:4" x14ac:dyDescent="0.2">
      <c r="A1986" t="s">
        <v>1003</v>
      </c>
      <c r="B1986" t="s">
        <v>22</v>
      </c>
      <c r="C1986" t="s">
        <v>1572</v>
      </c>
      <c r="D1986" t="s">
        <v>1559</v>
      </c>
    </row>
    <row r="1987" spans="1:4" x14ac:dyDescent="0.2">
      <c r="A1987" t="s">
        <v>1003</v>
      </c>
      <c r="B1987" t="s">
        <v>24</v>
      </c>
      <c r="C1987" t="s">
        <v>1558</v>
      </c>
      <c r="D1987" t="s">
        <v>1559</v>
      </c>
    </row>
    <row r="1988" spans="1:4" x14ac:dyDescent="0.2">
      <c r="A1988" t="s">
        <v>1007</v>
      </c>
      <c r="B1988" t="s">
        <v>6</v>
      </c>
      <c r="C1988" t="s">
        <v>1564</v>
      </c>
      <c r="D1988" t="s">
        <v>1554</v>
      </c>
    </row>
    <row r="1989" spans="1:4" x14ac:dyDescent="0.2">
      <c r="A1989" t="s">
        <v>1007</v>
      </c>
      <c r="B1989" t="s">
        <v>7</v>
      </c>
      <c r="C1989" t="s">
        <v>1565</v>
      </c>
      <c r="D1989" t="s">
        <v>1554</v>
      </c>
    </row>
    <row r="1990" spans="1:4" x14ac:dyDescent="0.2">
      <c r="A1990" t="s">
        <v>1007</v>
      </c>
      <c r="B1990" t="s">
        <v>8</v>
      </c>
      <c r="C1990" t="s">
        <v>1561</v>
      </c>
      <c r="D1990" t="s">
        <v>1554</v>
      </c>
    </row>
    <row r="1991" spans="1:4" x14ac:dyDescent="0.2">
      <c r="A1991" t="s">
        <v>1007</v>
      </c>
      <c r="B1991" t="s">
        <v>9</v>
      </c>
      <c r="C1991" t="s">
        <v>1553</v>
      </c>
      <c r="D1991" t="s">
        <v>1554</v>
      </c>
    </row>
    <row r="1992" spans="1:4" x14ac:dyDescent="0.2">
      <c r="A1992" t="s">
        <v>1007</v>
      </c>
      <c r="B1992" t="s">
        <v>10</v>
      </c>
      <c r="C1992" t="s">
        <v>1555</v>
      </c>
      <c r="D1992" t="s">
        <v>1554</v>
      </c>
    </row>
    <row r="1993" spans="1:4" x14ac:dyDescent="0.2">
      <c r="A1993" t="s">
        <v>1007</v>
      </c>
      <c r="B1993" t="s">
        <v>11</v>
      </c>
      <c r="C1993" t="s">
        <v>1566</v>
      </c>
      <c r="D1993" t="s">
        <v>1554</v>
      </c>
    </row>
    <row r="1994" spans="1:4" x14ac:dyDescent="0.2">
      <c r="A1994" t="s">
        <v>1007</v>
      </c>
      <c r="B1994" t="s">
        <v>13</v>
      </c>
      <c r="C1994" t="s">
        <v>1567</v>
      </c>
      <c r="D1994" t="s">
        <v>1554</v>
      </c>
    </row>
    <row r="1995" spans="1:4" x14ac:dyDescent="0.2">
      <c r="A1995" t="s">
        <v>1007</v>
      </c>
      <c r="B1995" t="s">
        <v>14</v>
      </c>
      <c r="C1995" t="s">
        <v>1568</v>
      </c>
      <c r="D1995" t="s">
        <v>1554</v>
      </c>
    </row>
    <row r="1996" spans="1:4" x14ac:dyDescent="0.2">
      <c r="A1996" t="s">
        <v>1007</v>
      </c>
      <c r="B1996" t="s">
        <v>15</v>
      </c>
      <c r="C1996" t="s">
        <v>1569</v>
      </c>
      <c r="D1996" t="s">
        <v>1554</v>
      </c>
    </row>
    <row r="1997" spans="1:4" x14ac:dyDescent="0.2">
      <c r="A1997" t="s">
        <v>1007</v>
      </c>
      <c r="B1997" t="s">
        <v>17</v>
      </c>
      <c r="C1997" t="s">
        <v>1560</v>
      </c>
      <c r="D1997" t="s">
        <v>1554</v>
      </c>
    </row>
    <row r="1998" spans="1:4" x14ac:dyDescent="0.2">
      <c r="A1998" t="s">
        <v>1007</v>
      </c>
      <c r="B1998" t="s">
        <v>19</v>
      </c>
      <c r="C1998" t="s">
        <v>1570</v>
      </c>
      <c r="D1998" t="s">
        <v>1554</v>
      </c>
    </row>
    <row r="1999" spans="1:4" x14ac:dyDescent="0.2">
      <c r="A1999" t="s">
        <v>1007</v>
      </c>
      <c r="B1999" t="s">
        <v>23</v>
      </c>
      <c r="C1999" t="s">
        <v>1556</v>
      </c>
      <c r="D1999" t="s">
        <v>1554</v>
      </c>
    </row>
    <row r="2000" spans="1:4" x14ac:dyDescent="0.2">
      <c r="A2000" t="s">
        <v>1007</v>
      </c>
      <c r="B2000" t="s">
        <v>25</v>
      </c>
      <c r="C2000" t="s">
        <v>1557</v>
      </c>
      <c r="D2000" t="s">
        <v>1554</v>
      </c>
    </row>
    <row r="2001" spans="1:4" x14ac:dyDescent="0.2">
      <c r="A2001" t="s">
        <v>1007</v>
      </c>
      <c r="B2001" t="s">
        <v>24</v>
      </c>
      <c r="C2001" t="s">
        <v>1558</v>
      </c>
      <c r="D2001" t="s">
        <v>1559</v>
      </c>
    </row>
    <row r="2002" spans="1:4" x14ac:dyDescent="0.2">
      <c r="A2002" t="s">
        <v>1013</v>
      </c>
      <c r="B2002" t="s">
        <v>6</v>
      </c>
      <c r="C2002" t="s">
        <v>1564</v>
      </c>
      <c r="D2002" t="s">
        <v>1554</v>
      </c>
    </row>
    <row r="2003" spans="1:4" x14ac:dyDescent="0.2">
      <c r="A2003" t="s">
        <v>1013</v>
      </c>
      <c r="B2003" t="s">
        <v>7</v>
      </c>
      <c r="C2003" t="s">
        <v>1565</v>
      </c>
      <c r="D2003" t="s">
        <v>1554</v>
      </c>
    </row>
    <row r="2004" spans="1:4" x14ac:dyDescent="0.2">
      <c r="A2004" t="s">
        <v>1013</v>
      </c>
      <c r="B2004" t="s">
        <v>8</v>
      </c>
      <c r="C2004" t="s">
        <v>1561</v>
      </c>
      <c r="D2004" t="s">
        <v>1554</v>
      </c>
    </row>
    <row r="2005" spans="1:4" x14ac:dyDescent="0.2">
      <c r="A2005" t="s">
        <v>1013</v>
      </c>
      <c r="B2005" t="s">
        <v>9</v>
      </c>
      <c r="C2005" t="s">
        <v>1553</v>
      </c>
      <c r="D2005" t="s">
        <v>1554</v>
      </c>
    </row>
    <row r="2006" spans="1:4" x14ac:dyDescent="0.2">
      <c r="A2006" t="s">
        <v>1013</v>
      </c>
      <c r="B2006" t="s">
        <v>10</v>
      </c>
      <c r="C2006" t="s">
        <v>1555</v>
      </c>
      <c r="D2006" t="s">
        <v>1554</v>
      </c>
    </row>
    <row r="2007" spans="1:4" x14ac:dyDescent="0.2">
      <c r="A2007" t="s">
        <v>1013</v>
      </c>
      <c r="B2007" t="s">
        <v>11</v>
      </c>
      <c r="C2007" t="s">
        <v>1566</v>
      </c>
      <c r="D2007" t="s">
        <v>1554</v>
      </c>
    </row>
    <row r="2008" spans="1:4" x14ac:dyDescent="0.2">
      <c r="A2008" t="s">
        <v>1013</v>
      </c>
      <c r="B2008" t="s">
        <v>13</v>
      </c>
      <c r="C2008" t="s">
        <v>1567</v>
      </c>
      <c r="D2008" t="s">
        <v>1554</v>
      </c>
    </row>
    <row r="2009" spans="1:4" x14ac:dyDescent="0.2">
      <c r="A2009" t="s">
        <v>1013</v>
      </c>
      <c r="B2009" t="s">
        <v>14</v>
      </c>
      <c r="C2009" t="s">
        <v>1568</v>
      </c>
      <c r="D2009" t="s">
        <v>1554</v>
      </c>
    </row>
    <row r="2010" spans="1:4" x14ac:dyDescent="0.2">
      <c r="A2010" t="s">
        <v>1013</v>
      </c>
      <c r="B2010" t="s">
        <v>15</v>
      </c>
      <c r="C2010" t="s">
        <v>1569</v>
      </c>
      <c r="D2010" t="s">
        <v>1554</v>
      </c>
    </row>
    <row r="2011" spans="1:4" x14ac:dyDescent="0.2">
      <c r="A2011" t="s">
        <v>1013</v>
      </c>
      <c r="B2011" t="s">
        <v>17</v>
      </c>
      <c r="C2011" t="s">
        <v>1560</v>
      </c>
      <c r="D2011" t="s">
        <v>1554</v>
      </c>
    </row>
    <row r="2012" spans="1:4" x14ac:dyDescent="0.2">
      <c r="A2012" t="s">
        <v>1013</v>
      </c>
      <c r="B2012" t="s">
        <v>19</v>
      </c>
      <c r="C2012" t="s">
        <v>1570</v>
      </c>
      <c r="D2012" t="s">
        <v>1554</v>
      </c>
    </row>
    <row r="2013" spans="1:4" x14ac:dyDescent="0.2">
      <c r="A2013" t="s">
        <v>1013</v>
      </c>
      <c r="B2013" t="s">
        <v>23</v>
      </c>
      <c r="C2013" t="s">
        <v>1556</v>
      </c>
      <c r="D2013" t="s">
        <v>1554</v>
      </c>
    </row>
    <row r="2014" spans="1:4" x14ac:dyDescent="0.2">
      <c r="A2014" t="s">
        <v>1013</v>
      </c>
      <c r="B2014" t="s">
        <v>25</v>
      </c>
      <c r="C2014" t="s">
        <v>1557</v>
      </c>
      <c r="D2014" t="s">
        <v>1554</v>
      </c>
    </row>
    <row r="2015" spans="1:4" x14ac:dyDescent="0.2">
      <c r="A2015" t="s">
        <v>1019</v>
      </c>
      <c r="B2015" t="s">
        <v>6</v>
      </c>
      <c r="C2015" t="s">
        <v>1564</v>
      </c>
      <c r="D2015" t="s">
        <v>1554</v>
      </c>
    </row>
    <row r="2016" spans="1:4" x14ac:dyDescent="0.2">
      <c r="A2016" t="s">
        <v>1019</v>
      </c>
      <c r="B2016" t="s">
        <v>7</v>
      </c>
      <c r="C2016" t="s">
        <v>1565</v>
      </c>
      <c r="D2016" t="s">
        <v>1554</v>
      </c>
    </row>
    <row r="2017" spans="1:4" x14ac:dyDescent="0.2">
      <c r="A2017" t="s">
        <v>1019</v>
      </c>
      <c r="B2017" t="s">
        <v>8</v>
      </c>
      <c r="C2017" t="s">
        <v>1561</v>
      </c>
      <c r="D2017" t="s">
        <v>1554</v>
      </c>
    </row>
    <row r="2018" spans="1:4" x14ac:dyDescent="0.2">
      <c r="A2018" t="s">
        <v>1019</v>
      </c>
      <c r="B2018" t="s">
        <v>9</v>
      </c>
      <c r="C2018" t="s">
        <v>1553</v>
      </c>
      <c r="D2018" t="s">
        <v>1554</v>
      </c>
    </row>
    <row r="2019" spans="1:4" x14ac:dyDescent="0.2">
      <c r="A2019" t="s">
        <v>1019</v>
      </c>
      <c r="B2019" t="s">
        <v>10</v>
      </c>
      <c r="C2019" t="s">
        <v>1555</v>
      </c>
      <c r="D2019" t="s">
        <v>1554</v>
      </c>
    </row>
    <row r="2020" spans="1:4" x14ac:dyDescent="0.2">
      <c r="A2020" t="s">
        <v>1019</v>
      </c>
      <c r="B2020" t="s">
        <v>11</v>
      </c>
      <c r="C2020" t="s">
        <v>1566</v>
      </c>
      <c r="D2020" t="s">
        <v>1554</v>
      </c>
    </row>
    <row r="2021" spans="1:4" x14ac:dyDescent="0.2">
      <c r="A2021" t="s">
        <v>1019</v>
      </c>
      <c r="B2021" t="s">
        <v>13</v>
      </c>
      <c r="C2021" t="s">
        <v>1567</v>
      </c>
      <c r="D2021" t="s">
        <v>1554</v>
      </c>
    </row>
    <row r="2022" spans="1:4" x14ac:dyDescent="0.2">
      <c r="A2022" t="s">
        <v>1019</v>
      </c>
      <c r="B2022" t="s">
        <v>14</v>
      </c>
      <c r="C2022" t="s">
        <v>1568</v>
      </c>
      <c r="D2022" t="s">
        <v>1554</v>
      </c>
    </row>
    <row r="2023" spans="1:4" x14ac:dyDescent="0.2">
      <c r="A2023" t="s">
        <v>1019</v>
      </c>
      <c r="B2023" t="s">
        <v>15</v>
      </c>
      <c r="C2023" t="s">
        <v>1569</v>
      </c>
      <c r="D2023" t="s">
        <v>1554</v>
      </c>
    </row>
    <row r="2024" spans="1:4" x14ac:dyDescent="0.2">
      <c r="A2024" t="s">
        <v>1019</v>
      </c>
      <c r="B2024" t="s">
        <v>17</v>
      </c>
      <c r="C2024" t="s">
        <v>1560</v>
      </c>
      <c r="D2024" t="s">
        <v>1554</v>
      </c>
    </row>
    <row r="2025" spans="1:4" x14ac:dyDescent="0.2">
      <c r="A2025" t="s">
        <v>1019</v>
      </c>
      <c r="B2025" t="s">
        <v>19</v>
      </c>
      <c r="C2025" t="s">
        <v>1570</v>
      </c>
      <c r="D2025" t="s">
        <v>1554</v>
      </c>
    </row>
    <row r="2026" spans="1:4" x14ac:dyDescent="0.2">
      <c r="A2026" t="s">
        <v>1019</v>
      </c>
      <c r="B2026" t="s">
        <v>23</v>
      </c>
      <c r="C2026" t="s">
        <v>1556</v>
      </c>
      <c r="D2026" t="s">
        <v>1554</v>
      </c>
    </row>
    <row r="2027" spans="1:4" x14ac:dyDescent="0.2">
      <c r="A2027" t="s">
        <v>1019</v>
      </c>
      <c r="B2027" t="s">
        <v>25</v>
      </c>
      <c r="C2027" t="s">
        <v>1557</v>
      </c>
      <c r="D2027" t="s">
        <v>1554</v>
      </c>
    </row>
    <row r="2028" spans="1:4" x14ac:dyDescent="0.2">
      <c r="A2028" t="s">
        <v>1019</v>
      </c>
      <c r="B2028" t="s">
        <v>24</v>
      </c>
      <c r="C2028" t="s">
        <v>1558</v>
      </c>
      <c r="D2028" t="s">
        <v>1559</v>
      </c>
    </row>
    <row r="2029" spans="1:4" x14ac:dyDescent="0.2">
      <c r="A2029" t="s">
        <v>1025</v>
      </c>
      <c r="B2029" t="s">
        <v>6</v>
      </c>
      <c r="C2029" t="s">
        <v>1564</v>
      </c>
      <c r="D2029" t="s">
        <v>1554</v>
      </c>
    </row>
    <row r="2030" spans="1:4" x14ac:dyDescent="0.2">
      <c r="A2030" t="s">
        <v>1025</v>
      </c>
      <c r="B2030" t="s">
        <v>7</v>
      </c>
      <c r="C2030" t="s">
        <v>1565</v>
      </c>
      <c r="D2030" t="s">
        <v>1554</v>
      </c>
    </row>
    <row r="2031" spans="1:4" x14ac:dyDescent="0.2">
      <c r="A2031" t="s">
        <v>1025</v>
      </c>
      <c r="B2031" t="s">
        <v>8</v>
      </c>
      <c r="C2031" t="s">
        <v>1561</v>
      </c>
      <c r="D2031" t="s">
        <v>1554</v>
      </c>
    </row>
    <row r="2032" spans="1:4" x14ac:dyDescent="0.2">
      <c r="A2032" t="s">
        <v>1025</v>
      </c>
      <c r="B2032" t="s">
        <v>9</v>
      </c>
      <c r="C2032" t="s">
        <v>1553</v>
      </c>
      <c r="D2032" t="s">
        <v>1554</v>
      </c>
    </row>
    <row r="2033" spans="1:4" x14ac:dyDescent="0.2">
      <c r="A2033" t="s">
        <v>1025</v>
      </c>
      <c r="B2033" t="s">
        <v>10</v>
      </c>
      <c r="C2033" t="s">
        <v>1555</v>
      </c>
      <c r="D2033" t="s">
        <v>1554</v>
      </c>
    </row>
    <row r="2034" spans="1:4" x14ac:dyDescent="0.2">
      <c r="A2034" t="s">
        <v>1025</v>
      </c>
      <c r="B2034" t="s">
        <v>11</v>
      </c>
      <c r="C2034" t="s">
        <v>1566</v>
      </c>
      <c r="D2034" t="s">
        <v>1554</v>
      </c>
    </row>
    <row r="2035" spans="1:4" x14ac:dyDescent="0.2">
      <c r="A2035" t="s">
        <v>1025</v>
      </c>
      <c r="B2035" t="s">
        <v>13</v>
      </c>
      <c r="C2035" t="s">
        <v>1567</v>
      </c>
      <c r="D2035" t="s">
        <v>1554</v>
      </c>
    </row>
    <row r="2036" spans="1:4" x14ac:dyDescent="0.2">
      <c r="A2036" t="s">
        <v>1025</v>
      </c>
      <c r="B2036" t="s">
        <v>14</v>
      </c>
      <c r="C2036" t="s">
        <v>1568</v>
      </c>
      <c r="D2036" t="s">
        <v>1554</v>
      </c>
    </row>
    <row r="2037" spans="1:4" x14ac:dyDescent="0.2">
      <c r="A2037" t="s">
        <v>1025</v>
      </c>
      <c r="B2037" t="s">
        <v>15</v>
      </c>
      <c r="C2037" t="s">
        <v>1569</v>
      </c>
      <c r="D2037" t="s">
        <v>1554</v>
      </c>
    </row>
    <row r="2038" spans="1:4" x14ac:dyDescent="0.2">
      <c r="A2038" t="s">
        <v>1025</v>
      </c>
      <c r="B2038" t="s">
        <v>17</v>
      </c>
      <c r="C2038" t="s">
        <v>1560</v>
      </c>
      <c r="D2038" t="s">
        <v>1554</v>
      </c>
    </row>
    <row r="2039" spans="1:4" x14ac:dyDescent="0.2">
      <c r="A2039" t="s">
        <v>1025</v>
      </c>
      <c r="B2039" t="s">
        <v>19</v>
      </c>
      <c r="C2039" t="s">
        <v>1570</v>
      </c>
      <c r="D2039" t="s">
        <v>1554</v>
      </c>
    </row>
    <row r="2040" spans="1:4" x14ac:dyDescent="0.2">
      <c r="A2040" t="s">
        <v>1025</v>
      </c>
      <c r="B2040" t="s">
        <v>23</v>
      </c>
      <c r="C2040" t="s">
        <v>1556</v>
      </c>
      <c r="D2040" t="s">
        <v>1554</v>
      </c>
    </row>
    <row r="2041" spans="1:4" x14ac:dyDescent="0.2">
      <c r="A2041" t="s">
        <v>1025</v>
      </c>
      <c r="B2041" t="s">
        <v>25</v>
      </c>
      <c r="C2041" t="s">
        <v>1557</v>
      </c>
      <c r="D2041" t="s">
        <v>1554</v>
      </c>
    </row>
    <row r="2042" spans="1:4" x14ac:dyDescent="0.2">
      <c r="A2042" t="s">
        <v>1025</v>
      </c>
      <c r="B2042" t="s">
        <v>24</v>
      </c>
      <c r="C2042" t="s">
        <v>1558</v>
      </c>
      <c r="D2042" t="s">
        <v>1559</v>
      </c>
    </row>
    <row r="2043" spans="1:4" x14ac:dyDescent="0.2">
      <c r="A2043" t="s">
        <v>1031</v>
      </c>
      <c r="B2043" t="s">
        <v>6</v>
      </c>
      <c r="C2043" t="s">
        <v>1564</v>
      </c>
      <c r="D2043" t="s">
        <v>1554</v>
      </c>
    </row>
    <row r="2044" spans="1:4" x14ac:dyDescent="0.2">
      <c r="A2044" t="s">
        <v>1031</v>
      </c>
      <c r="B2044" t="s">
        <v>7</v>
      </c>
      <c r="C2044" t="s">
        <v>1565</v>
      </c>
      <c r="D2044" t="s">
        <v>1554</v>
      </c>
    </row>
    <row r="2045" spans="1:4" x14ac:dyDescent="0.2">
      <c r="A2045" t="s">
        <v>1031</v>
      </c>
      <c r="B2045" t="s">
        <v>8</v>
      </c>
      <c r="C2045" t="s">
        <v>1561</v>
      </c>
      <c r="D2045" t="s">
        <v>1554</v>
      </c>
    </row>
    <row r="2046" spans="1:4" x14ac:dyDescent="0.2">
      <c r="A2046" t="s">
        <v>1031</v>
      </c>
      <c r="B2046" t="s">
        <v>9</v>
      </c>
      <c r="C2046" t="s">
        <v>1553</v>
      </c>
      <c r="D2046" t="s">
        <v>1554</v>
      </c>
    </row>
    <row r="2047" spans="1:4" x14ac:dyDescent="0.2">
      <c r="A2047" t="s">
        <v>1031</v>
      </c>
      <c r="B2047" t="s">
        <v>10</v>
      </c>
      <c r="C2047" t="s">
        <v>1555</v>
      </c>
      <c r="D2047" t="s">
        <v>1554</v>
      </c>
    </row>
    <row r="2048" spans="1:4" x14ac:dyDescent="0.2">
      <c r="A2048" t="s">
        <v>1031</v>
      </c>
      <c r="B2048" t="s">
        <v>11</v>
      </c>
      <c r="C2048" t="s">
        <v>1566</v>
      </c>
      <c r="D2048" t="s">
        <v>1554</v>
      </c>
    </row>
    <row r="2049" spans="1:4" x14ac:dyDescent="0.2">
      <c r="A2049" t="s">
        <v>1031</v>
      </c>
      <c r="B2049" t="s">
        <v>13</v>
      </c>
      <c r="C2049" t="s">
        <v>1567</v>
      </c>
      <c r="D2049" t="s">
        <v>1554</v>
      </c>
    </row>
    <row r="2050" spans="1:4" x14ac:dyDescent="0.2">
      <c r="A2050" t="s">
        <v>1031</v>
      </c>
      <c r="B2050" t="s">
        <v>14</v>
      </c>
      <c r="C2050" t="s">
        <v>1568</v>
      </c>
      <c r="D2050" t="s">
        <v>1554</v>
      </c>
    </row>
    <row r="2051" spans="1:4" x14ac:dyDescent="0.2">
      <c r="A2051" t="s">
        <v>1031</v>
      </c>
      <c r="B2051" t="s">
        <v>15</v>
      </c>
      <c r="C2051" t="s">
        <v>1569</v>
      </c>
      <c r="D2051" t="s">
        <v>1554</v>
      </c>
    </row>
    <row r="2052" spans="1:4" x14ac:dyDescent="0.2">
      <c r="A2052" t="s">
        <v>1031</v>
      </c>
      <c r="B2052" t="s">
        <v>17</v>
      </c>
      <c r="C2052" t="s">
        <v>1560</v>
      </c>
      <c r="D2052" t="s">
        <v>1554</v>
      </c>
    </row>
    <row r="2053" spans="1:4" x14ac:dyDescent="0.2">
      <c r="A2053" t="s">
        <v>1031</v>
      </c>
      <c r="B2053" t="s">
        <v>19</v>
      </c>
      <c r="C2053" t="s">
        <v>1570</v>
      </c>
      <c r="D2053" t="s">
        <v>1554</v>
      </c>
    </row>
    <row r="2054" spans="1:4" x14ac:dyDescent="0.2">
      <c r="A2054" t="s">
        <v>1031</v>
      </c>
      <c r="B2054" t="s">
        <v>23</v>
      </c>
      <c r="C2054" t="s">
        <v>1556</v>
      </c>
      <c r="D2054" t="s">
        <v>1554</v>
      </c>
    </row>
    <row r="2055" spans="1:4" x14ac:dyDescent="0.2">
      <c r="A2055" t="s">
        <v>1031</v>
      </c>
      <c r="B2055" t="s">
        <v>25</v>
      </c>
      <c r="C2055" t="s">
        <v>1557</v>
      </c>
      <c r="D2055" t="s">
        <v>1554</v>
      </c>
    </row>
    <row r="2056" spans="1:4" x14ac:dyDescent="0.2">
      <c r="A2056" t="s">
        <v>1031</v>
      </c>
      <c r="B2056" t="s">
        <v>24</v>
      </c>
      <c r="C2056" t="s">
        <v>1558</v>
      </c>
      <c r="D2056" t="s">
        <v>1559</v>
      </c>
    </row>
    <row r="2057" spans="1:4" x14ac:dyDescent="0.2">
      <c r="A2057" t="s">
        <v>1037</v>
      </c>
      <c r="B2057" t="s">
        <v>6</v>
      </c>
      <c r="C2057" t="s">
        <v>1564</v>
      </c>
      <c r="D2057" t="s">
        <v>1554</v>
      </c>
    </row>
    <row r="2058" spans="1:4" x14ac:dyDescent="0.2">
      <c r="A2058" t="s">
        <v>1037</v>
      </c>
      <c r="B2058" t="s">
        <v>7</v>
      </c>
      <c r="C2058" t="s">
        <v>1565</v>
      </c>
      <c r="D2058" t="s">
        <v>1554</v>
      </c>
    </row>
    <row r="2059" spans="1:4" x14ac:dyDescent="0.2">
      <c r="A2059" t="s">
        <v>1037</v>
      </c>
      <c r="B2059" t="s">
        <v>8</v>
      </c>
      <c r="C2059" t="s">
        <v>1561</v>
      </c>
      <c r="D2059" t="s">
        <v>1554</v>
      </c>
    </row>
    <row r="2060" spans="1:4" x14ac:dyDescent="0.2">
      <c r="A2060" t="s">
        <v>1037</v>
      </c>
      <c r="B2060" t="s">
        <v>9</v>
      </c>
      <c r="C2060" t="s">
        <v>1553</v>
      </c>
      <c r="D2060" t="s">
        <v>1554</v>
      </c>
    </row>
    <row r="2061" spans="1:4" x14ac:dyDescent="0.2">
      <c r="A2061" t="s">
        <v>1037</v>
      </c>
      <c r="B2061" t="s">
        <v>10</v>
      </c>
      <c r="C2061" t="s">
        <v>1555</v>
      </c>
      <c r="D2061" t="s">
        <v>1554</v>
      </c>
    </row>
    <row r="2062" spans="1:4" x14ac:dyDescent="0.2">
      <c r="A2062" t="s">
        <v>1037</v>
      </c>
      <c r="B2062" t="s">
        <v>11</v>
      </c>
      <c r="C2062" t="s">
        <v>1566</v>
      </c>
      <c r="D2062" t="s">
        <v>1554</v>
      </c>
    </row>
    <row r="2063" spans="1:4" x14ac:dyDescent="0.2">
      <c r="A2063" t="s">
        <v>1037</v>
      </c>
      <c r="B2063" t="s">
        <v>13</v>
      </c>
      <c r="C2063" t="s">
        <v>1567</v>
      </c>
      <c r="D2063" t="s">
        <v>1554</v>
      </c>
    </row>
    <row r="2064" spans="1:4" x14ac:dyDescent="0.2">
      <c r="A2064" t="s">
        <v>1037</v>
      </c>
      <c r="B2064" t="s">
        <v>14</v>
      </c>
      <c r="C2064" t="s">
        <v>1568</v>
      </c>
      <c r="D2064" t="s">
        <v>1554</v>
      </c>
    </row>
    <row r="2065" spans="1:4" x14ac:dyDescent="0.2">
      <c r="A2065" t="s">
        <v>1037</v>
      </c>
      <c r="B2065" t="s">
        <v>15</v>
      </c>
      <c r="C2065" t="s">
        <v>1569</v>
      </c>
      <c r="D2065" t="s">
        <v>1554</v>
      </c>
    </row>
    <row r="2066" spans="1:4" x14ac:dyDescent="0.2">
      <c r="A2066" t="s">
        <v>1037</v>
      </c>
      <c r="B2066" t="s">
        <v>17</v>
      </c>
      <c r="C2066" t="s">
        <v>1560</v>
      </c>
      <c r="D2066" t="s">
        <v>1554</v>
      </c>
    </row>
    <row r="2067" spans="1:4" x14ac:dyDescent="0.2">
      <c r="A2067" t="s">
        <v>1037</v>
      </c>
      <c r="B2067" t="s">
        <v>19</v>
      </c>
      <c r="C2067" t="s">
        <v>1570</v>
      </c>
      <c r="D2067" t="s">
        <v>1554</v>
      </c>
    </row>
    <row r="2068" spans="1:4" x14ac:dyDescent="0.2">
      <c r="A2068" t="s">
        <v>1037</v>
      </c>
      <c r="B2068" t="s">
        <v>23</v>
      </c>
      <c r="C2068" t="s">
        <v>1556</v>
      </c>
      <c r="D2068" t="s">
        <v>1554</v>
      </c>
    </row>
    <row r="2069" spans="1:4" x14ac:dyDescent="0.2">
      <c r="A2069" t="s">
        <v>1037</v>
      </c>
      <c r="B2069" t="s">
        <v>25</v>
      </c>
      <c r="C2069" t="s">
        <v>1557</v>
      </c>
      <c r="D2069" t="s">
        <v>1554</v>
      </c>
    </row>
    <row r="2070" spans="1:4" x14ac:dyDescent="0.2">
      <c r="A2070" t="s">
        <v>1037</v>
      </c>
      <c r="B2070" t="s">
        <v>24</v>
      </c>
      <c r="C2070" t="s">
        <v>1558</v>
      </c>
      <c r="D2070" t="s">
        <v>1559</v>
      </c>
    </row>
    <row r="2071" spans="1:4" x14ac:dyDescent="0.2">
      <c r="A2071" t="s">
        <v>1043</v>
      </c>
      <c r="B2071" t="s">
        <v>6</v>
      </c>
      <c r="C2071" t="s">
        <v>1564</v>
      </c>
      <c r="D2071" t="s">
        <v>1554</v>
      </c>
    </row>
    <row r="2072" spans="1:4" x14ac:dyDescent="0.2">
      <c r="A2072" t="s">
        <v>1043</v>
      </c>
      <c r="B2072" t="s">
        <v>7</v>
      </c>
      <c r="C2072" t="s">
        <v>1565</v>
      </c>
      <c r="D2072" t="s">
        <v>1554</v>
      </c>
    </row>
    <row r="2073" spans="1:4" x14ac:dyDescent="0.2">
      <c r="A2073" t="s">
        <v>1043</v>
      </c>
      <c r="B2073" t="s">
        <v>8</v>
      </c>
      <c r="C2073" t="s">
        <v>1561</v>
      </c>
      <c r="D2073" t="s">
        <v>1554</v>
      </c>
    </row>
    <row r="2074" spans="1:4" x14ac:dyDescent="0.2">
      <c r="A2074" t="s">
        <v>1043</v>
      </c>
      <c r="B2074" t="s">
        <v>9</v>
      </c>
      <c r="C2074" t="s">
        <v>1553</v>
      </c>
      <c r="D2074" t="s">
        <v>1554</v>
      </c>
    </row>
    <row r="2075" spans="1:4" x14ac:dyDescent="0.2">
      <c r="A2075" t="s">
        <v>1043</v>
      </c>
      <c r="B2075" t="s">
        <v>10</v>
      </c>
      <c r="C2075" t="s">
        <v>1555</v>
      </c>
      <c r="D2075" t="s">
        <v>1554</v>
      </c>
    </row>
    <row r="2076" spans="1:4" x14ac:dyDescent="0.2">
      <c r="A2076" t="s">
        <v>1043</v>
      </c>
      <c r="B2076" t="s">
        <v>11</v>
      </c>
      <c r="C2076" t="s">
        <v>1566</v>
      </c>
      <c r="D2076" t="s">
        <v>1554</v>
      </c>
    </row>
    <row r="2077" spans="1:4" x14ac:dyDescent="0.2">
      <c r="A2077" t="s">
        <v>1043</v>
      </c>
      <c r="B2077" t="s">
        <v>13</v>
      </c>
      <c r="C2077" t="s">
        <v>1567</v>
      </c>
      <c r="D2077" t="s">
        <v>1554</v>
      </c>
    </row>
    <row r="2078" spans="1:4" x14ac:dyDescent="0.2">
      <c r="A2078" t="s">
        <v>1043</v>
      </c>
      <c r="B2078" t="s">
        <v>14</v>
      </c>
      <c r="C2078" t="s">
        <v>1568</v>
      </c>
      <c r="D2078" t="s">
        <v>1554</v>
      </c>
    </row>
    <row r="2079" spans="1:4" x14ac:dyDescent="0.2">
      <c r="A2079" t="s">
        <v>1043</v>
      </c>
      <c r="B2079" t="s">
        <v>15</v>
      </c>
      <c r="C2079" t="s">
        <v>1569</v>
      </c>
      <c r="D2079" t="s">
        <v>1554</v>
      </c>
    </row>
    <row r="2080" spans="1:4" x14ac:dyDescent="0.2">
      <c r="A2080" t="s">
        <v>1043</v>
      </c>
      <c r="B2080" t="s">
        <v>17</v>
      </c>
      <c r="C2080" t="s">
        <v>1560</v>
      </c>
      <c r="D2080" t="s">
        <v>1554</v>
      </c>
    </row>
    <row r="2081" spans="1:4" x14ac:dyDescent="0.2">
      <c r="A2081" t="s">
        <v>1043</v>
      </c>
      <c r="B2081" t="s">
        <v>19</v>
      </c>
      <c r="C2081" t="s">
        <v>1570</v>
      </c>
      <c r="D2081" t="s">
        <v>1554</v>
      </c>
    </row>
    <row r="2082" spans="1:4" x14ac:dyDescent="0.2">
      <c r="A2082" t="s">
        <v>1043</v>
      </c>
      <c r="B2082" t="s">
        <v>23</v>
      </c>
      <c r="C2082" t="s">
        <v>1556</v>
      </c>
      <c r="D2082" t="s">
        <v>1554</v>
      </c>
    </row>
    <row r="2083" spans="1:4" x14ac:dyDescent="0.2">
      <c r="A2083" t="s">
        <v>1043</v>
      </c>
      <c r="B2083" t="s">
        <v>25</v>
      </c>
      <c r="C2083" t="s">
        <v>1557</v>
      </c>
      <c r="D2083" t="s">
        <v>1554</v>
      </c>
    </row>
    <row r="2084" spans="1:4" x14ac:dyDescent="0.2">
      <c r="A2084" t="s">
        <v>1043</v>
      </c>
      <c r="B2084" t="s">
        <v>21</v>
      </c>
      <c r="C2084" t="s">
        <v>1571</v>
      </c>
      <c r="D2084" t="s">
        <v>1559</v>
      </c>
    </row>
    <row r="2085" spans="1:4" x14ac:dyDescent="0.2">
      <c r="A2085" t="s">
        <v>1043</v>
      </c>
      <c r="B2085" t="s">
        <v>22</v>
      </c>
      <c r="C2085" t="s">
        <v>1572</v>
      </c>
      <c r="D2085" t="s">
        <v>1559</v>
      </c>
    </row>
    <row r="2086" spans="1:4" x14ac:dyDescent="0.2">
      <c r="A2086" t="s">
        <v>1043</v>
      </c>
      <c r="B2086" t="s">
        <v>24</v>
      </c>
      <c r="C2086" t="s">
        <v>1558</v>
      </c>
      <c r="D2086" t="s">
        <v>1559</v>
      </c>
    </row>
    <row r="2087" spans="1:4" x14ac:dyDescent="0.2">
      <c r="A2087" t="s">
        <v>1048</v>
      </c>
      <c r="B2087" t="s">
        <v>8</v>
      </c>
      <c r="C2087" t="s">
        <v>1561</v>
      </c>
      <c r="D2087" t="s">
        <v>1554</v>
      </c>
    </row>
    <row r="2088" spans="1:4" x14ac:dyDescent="0.2">
      <c r="A2088" t="s">
        <v>1048</v>
      </c>
      <c r="B2088" t="s">
        <v>9</v>
      </c>
      <c r="C2088" t="s">
        <v>1553</v>
      </c>
      <c r="D2088" t="s">
        <v>1554</v>
      </c>
    </row>
    <row r="2089" spans="1:4" x14ac:dyDescent="0.2">
      <c r="A2089" t="s">
        <v>1048</v>
      </c>
      <c r="B2089" t="s">
        <v>15</v>
      </c>
      <c r="C2089" t="s">
        <v>1569</v>
      </c>
      <c r="D2089" t="s">
        <v>1554</v>
      </c>
    </row>
    <row r="2090" spans="1:4" x14ac:dyDescent="0.2">
      <c r="A2090" t="s">
        <v>1048</v>
      </c>
      <c r="B2090" t="s">
        <v>17</v>
      </c>
      <c r="C2090" t="s">
        <v>1560</v>
      </c>
      <c r="D2090" t="s">
        <v>1554</v>
      </c>
    </row>
    <row r="2091" spans="1:4" x14ac:dyDescent="0.2">
      <c r="A2091" t="s">
        <v>1048</v>
      </c>
      <c r="B2091" t="s">
        <v>19</v>
      </c>
      <c r="C2091" t="s">
        <v>1570</v>
      </c>
      <c r="D2091" t="s">
        <v>1554</v>
      </c>
    </row>
    <row r="2092" spans="1:4" x14ac:dyDescent="0.2">
      <c r="A2092" t="s">
        <v>1048</v>
      </c>
      <c r="B2092" t="s">
        <v>23</v>
      </c>
      <c r="C2092" t="s">
        <v>1556</v>
      </c>
      <c r="D2092" t="s">
        <v>1554</v>
      </c>
    </row>
    <row r="2093" spans="1:4" x14ac:dyDescent="0.2">
      <c r="A2093" t="s">
        <v>1048</v>
      </c>
      <c r="B2093" t="s">
        <v>25</v>
      </c>
      <c r="C2093" t="s">
        <v>1557</v>
      </c>
      <c r="D2093" t="s">
        <v>1554</v>
      </c>
    </row>
    <row r="2094" spans="1:4" x14ac:dyDescent="0.2">
      <c r="A2094" t="s">
        <v>1048</v>
      </c>
      <c r="B2094" t="s">
        <v>24</v>
      </c>
      <c r="C2094" t="s">
        <v>1558</v>
      </c>
      <c r="D2094" t="s">
        <v>1559</v>
      </c>
    </row>
    <row r="2095" spans="1:4" x14ac:dyDescent="0.2">
      <c r="A2095" t="s">
        <v>1055</v>
      </c>
      <c r="B2095" t="s">
        <v>9</v>
      </c>
      <c r="C2095" t="s">
        <v>1553</v>
      </c>
      <c r="D2095" t="s">
        <v>1554</v>
      </c>
    </row>
    <row r="2096" spans="1:4" x14ac:dyDescent="0.2">
      <c r="A2096" t="s">
        <v>1055</v>
      </c>
      <c r="B2096" t="s">
        <v>10</v>
      </c>
      <c r="C2096" t="s">
        <v>1555</v>
      </c>
      <c r="D2096" t="s">
        <v>1554</v>
      </c>
    </row>
    <row r="2097" spans="1:4" x14ac:dyDescent="0.2">
      <c r="A2097" t="s">
        <v>1055</v>
      </c>
      <c r="B2097" t="s">
        <v>13</v>
      </c>
      <c r="C2097" t="s">
        <v>1567</v>
      </c>
      <c r="D2097" t="s">
        <v>1554</v>
      </c>
    </row>
    <row r="2098" spans="1:4" x14ac:dyDescent="0.2">
      <c r="A2098" t="s">
        <v>1055</v>
      </c>
      <c r="B2098" t="s">
        <v>14</v>
      </c>
      <c r="C2098" t="s">
        <v>1568</v>
      </c>
      <c r="D2098" t="s">
        <v>1554</v>
      </c>
    </row>
    <row r="2099" spans="1:4" x14ac:dyDescent="0.2">
      <c r="A2099" t="s">
        <v>1055</v>
      </c>
      <c r="B2099" t="s">
        <v>15</v>
      </c>
      <c r="C2099" t="s">
        <v>1569</v>
      </c>
      <c r="D2099" t="s">
        <v>1554</v>
      </c>
    </row>
    <row r="2100" spans="1:4" x14ac:dyDescent="0.2">
      <c r="A2100" t="s">
        <v>1055</v>
      </c>
      <c r="B2100" t="s">
        <v>17</v>
      </c>
      <c r="C2100" t="s">
        <v>1560</v>
      </c>
      <c r="D2100" t="s">
        <v>1554</v>
      </c>
    </row>
    <row r="2101" spans="1:4" x14ac:dyDescent="0.2">
      <c r="A2101" t="s">
        <v>1055</v>
      </c>
      <c r="B2101" t="s">
        <v>19</v>
      </c>
      <c r="C2101" t="s">
        <v>1570</v>
      </c>
      <c r="D2101" t="s">
        <v>1554</v>
      </c>
    </row>
    <row r="2102" spans="1:4" x14ac:dyDescent="0.2">
      <c r="A2102" t="s">
        <v>1055</v>
      </c>
      <c r="B2102" t="s">
        <v>23</v>
      </c>
      <c r="C2102" t="s">
        <v>1556</v>
      </c>
      <c r="D2102" t="s">
        <v>1554</v>
      </c>
    </row>
    <row r="2103" spans="1:4" x14ac:dyDescent="0.2">
      <c r="A2103" t="s">
        <v>1055</v>
      </c>
      <c r="B2103" t="s">
        <v>25</v>
      </c>
      <c r="C2103" t="s">
        <v>1557</v>
      </c>
      <c r="D2103" t="s">
        <v>1554</v>
      </c>
    </row>
    <row r="2104" spans="1:4" x14ac:dyDescent="0.2">
      <c r="A2104" t="s">
        <v>1055</v>
      </c>
      <c r="B2104" t="s">
        <v>21</v>
      </c>
      <c r="C2104" t="s">
        <v>1571</v>
      </c>
      <c r="D2104" t="s">
        <v>1559</v>
      </c>
    </row>
    <row r="2105" spans="1:4" x14ac:dyDescent="0.2">
      <c r="A2105" t="s">
        <v>1055</v>
      </c>
      <c r="B2105" t="s">
        <v>22</v>
      </c>
      <c r="C2105" t="s">
        <v>1572</v>
      </c>
      <c r="D2105" t="s">
        <v>1559</v>
      </c>
    </row>
    <row r="2106" spans="1:4" x14ac:dyDescent="0.2">
      <c r="A2106" t="s">
        <v>1055</v>
      </c>
      <c r="B2106" t="s">
        <v>24</v>
      </c>
      <c r="C2106" t="s">
        <v>1558</v>
      </c>
      <c r="D2106" t="s">
        <v>1559</v>
      </c>
    </row>
    <row r="2107" spans="1:4" x14ac:dyDescent="0.2">
      <c r="A2107" t="s">
        <v>1060</v>
      </c>
      <c r="B2107" t="s">
        <v>7</v>
      </c>
      <c r="C2107" t="s">
        <v>1565</v>
      </c>
      <c r="D2107" t="s">
        <v>1554</v>
      </c>
    </row>
    <row r="2108" spans="1:4" x14ac:dyDescent="0.2">
      <c r="A2108" t="s">
        <v>1060</v>
      </c>
      <c r="B2108" t="s">
        <v>9</v>
      </c>
      <c r="C2108" t="s">
        <v>1553</v>
      </c>
      <c r="D2108" t="s">
        <v>1554</v>
      </c>
    </row>
    <row r="2109" spans="1:4" x14ac:dyDescent="0.2">
      <c r="A2109" t="s">
        <v>1060</v>
      </c>
      <c r="B2109" t="s">
        <v>11</v>
      </c>
      <c r="C2109" t="s">
        <v>1566</v>
      </c>
      <c r="D2109" t="s">
        <v>1554</v>
      </c>
    </row>
    <row r="2110" spans="1:4" x14ac:dyDescent="0.2">
      <c r="A2110" t="s">
        <v>1060</v>
      </c>
      <c r="B2110" t="s">
        <v>13</v>
      </c>
      <c r="C2110" t="s">
        <v>1567</v>
      </c>
      <c r="D2110" t="s">
        <v>1554</v>
      </c>
    </row>
    <row r="2111" spans="1:4" x14ac:dyDescent="0.2">
      <c r="A2111" t="s">
        <v>1060</v>
      </c>
      <c r="B2111" t="s">
        <v>14</v>
      </c>
      <c r="C2111" t="s">
        <v>1568</v>
      </c>
      <c r="D2111" t="s">
        <v>1554</v>
      </c>
    </row>
    <row r="2112" spans="1:4" x14ac:dyDescent="0.2">
      <c r="A2112" t="s">
        <v>1060</v>
      </c>
      <c r="B2112" t="s">
        <v>15</v>
      </c>
      <c r="C2112" t="s">
        <v>1569</v>
      </c>
      <c r="D2112" t="s">
        <v>1554</v>
      </c>
    </row>
    <row r="2113" spans="1:4" x14ac:dyDescent="0.2">
      <c r="A2113" t="s">
        <v>1060</v>
      </c>
      <c r="B2113" t="s">
        <v>17</v>
      </c>
      <c r="C2113" t="s">
        <v>1560</v>
      </c>
      <c r="D2113" t="s">
        <v>1554</v>
      </c>
    </row>
    <row r="2114" spans="1:4" x14ac:dyDescent="0.2">
      <c r="A2114" t="s">
        <v>1060</v>
      </c>
      <c r="B2114" t="s">
        <v>19</v>
      </c>
      <c r="C2114" t="s">
        <v>1570</v>
      </c>
      <c r="D2114" t="s">
        <v>1554</v>
      </c>
    </row>
    <row r="2115" spans="1:4" x14ac:dyDescent="0.2">
      <c r="A2115" t="s">
        <v>1060</v>
      </c>
      <c r="B2115" t="s">
        <v>23</v>
      </c>
      <c r="C2115" t="s">
        <v>1556</v>
      </c>
      <c r="D2115" t="s">
        <v>1554</v>
      </c>
    </row>
    <row r="2116" spans="1:4" x14ac:dyDescent="0.2">
      <c r="A2116" t="s">
        <v>1060</v>
      </c>
      <c r="B2116" t="s">
        <v>25</v>
      </c>
      <c r="C2116" t="s">
        <v>1557</v>
      </c>
      <c r="D2116" t="s">
        <v>1554</v>
      </c>
    </row>
    <row r="2117" spans="1:4" x14ac:dyDescent="0.2">
      <c r="A2117" t="s">
        <v>1060</v>
      </c>
      <c r="B2117" t="s">
        <v>21</v>
      </c>
      <c r="C2117" t="s">
        <v>1571</v>
      </c>
      <c r="D2117" t="s">
        <v>1559</v>
      </c>
    </row>
    <row r="2118" spans="1:4" x14ac:dyDescent="0.2">
      <c r="A2118" t="s">
        <v>1060</v>
      </c>
      <c r="B2118" t="s">
        <v>22</v>
      </c>
      <c r="C2118" t="s">
        <v>1572</v>
      </c>
      <c r="D2118" t="s">
        <v>1559</v>
      </c>
    </row>
    <row r="2119" spans="1:4" x14ac:dyDescent="0.2">
      <c r="A2119" t="s">
        <v>1060</v>
      </c>
      <c r="B2119" t="s">
        <v>24</v>
      </c>
      <c r="C2119" t="s">
        <v>1558</v>
      </c>
      <c r="D2119" t="s">
        <v>1559</v>
      </c>
    </row>
    <row r="2120" spans="1:4" x14ac:dyDescent="0.2">
      <c r="A2120" t="s">
        <v>1066</v>
      </c>
      <c r="B2120" t="s">
        <v>6</v>
      </c>
      <c r="C2120" t="s">
        <v>1564</v>
      </c>
      <c r="D2120" t="s">
        <v>1554</v>
      </c>
    </row>
    <row r="2121" spans="1:4" x14ac:dyDescent="0.2">
      <c r="A2121" t="s">
        <v>1066</v>
      </c>
      <c r="B2121" t="s">
        <v>7</v>
      </c>
      <c r="C2121" t="s">
        <v>1565</v>
      </c>
      <c r="D2121" t="s">
        <v>1554</v>
      </c>
    </row>
    <row r="2122" spans="1:4" x14ac:dyDescent="0.2">
      <c r="A2122" t="s">
        <v>1066</v>
      </c>
      <c r="B2122" t="s">
        <v>8</v>
      </c>
      <c r="C2122" t="s">
        <v>1561</v>
      </c>
      <c r="D2122" t="s">
        <v>1554</v>
      </c>
    </row>
    <row r="2123" spans="1:4" x14ac:dyDescent="0.2">
      <c r="A2123" t="s">
        <v>1066</v>
      </c>
      <c r="B2123" t="s">
        <v>9</v>
      </c>
      <c r="C2123" t="s">
        <v>1553</v>
      </c>
      <c r="D2123" t="s">
        <v>1554</v>
      </c>
    </row>
    <row r="2124" spans="1:4" x14ac:dyDescent="0.2">
      <c r="A2124" t="s">
        <v>1066</v>
      </c>
      <c r="B2124" t="s">
        <v>10</v>
      </c>
      <c r="C2124" t="s">
        <v>1555</v>
      </c>
      <c r="D2124" t="s">
        <v>1554</v>
      </c>
    </row>
    <row r="2125" spans="1:4" x14ac:dyDescent="0.2">
      <c r="A2125" t="s">
        <v>1066</v>
      </c>
      <c r="B2125" t="s">
        <v>13</v>
      </c>
      <c r="C2125" t="s">
        <v>1567</v>
      </c>
      <c r="D2125" t="s">
        <v>1554</v>
      </c>
    </row>
    <row r="2126" spans="1:4" x14ac:dyDescent="0.2">
      <c r="A2126" t="s">
        <v>1066</v>
      </c>
      <c r="B2126" t="s">
        <v>14</v>
      </c>
      <c r="C2126" t="s">
        <v>1568</v>
      </c>
      <c r="D2126" t="s">
        <v>1554</v>
      </c>
    </row>
    <row r="2127" spans="1:4" x14ac:dyDescent="0.2">
      <c r="A2127" t="s">
        <v>1066</v>
      </c>
      <c r="B2127" t="s">
        <v>15</v>
      </c>
      <c r="C2127" t="s">
        <v>1569</v>
      </c>
      <c r="D2127" t="s">
        <v>1554</v>
      </c>
    </row>
    <row r="2128" spans="1:4" x14ac:dyDescent="0.2">
      <c r="A2128" t="s">
        <v>1066</v>
      </c>
      <c r="B2128" t="s">
        <v>17</v>
      </c>
      <c r="C2128" t="s">
        <v>1560</v>
      </c>
      <c r="D2128" t="s">
        <v>1554</v>
      </c>
    </row>
    <row r="2129" spans="1:4" x14ac:dyDescent="0.2">
      <c r="A2129" t="s">
        <v>1066</v>
      </c>
      <c r="B2129" t="s">
        <v>19</v>
      </c>
      <c r="C2129" t="s">
        <v>1570</v>
      </c>
      <c r="D2129" t="s">
        <v>1554</v>
      </c>
    </row>
    <row r="2130" spans="1:4" x14ac:dyDescent="0.2">
      <c r="A2130" t="s">
        <v>1066</v>
      </c>
      <c r="B2130" t="s">
        <v>23</v>
      </c>
      <c r="C2130" t="s">
        <v>1556</v>
      </c>
      <c r="D2130" t="s">
        <v>1554</v>
      </c>
    </row>
    <row r="2131" spans="1:4" x14ac:dyDescent="0.2">
      <c r="A2131" t="s">
        <v>1066</v>
      </c>
      <c r="B2131" t="s">
        <v>25</v>
      </c>
      <c r="C2131" t="s">
        <v>1557</v>
      </c>
      <c r="D2131" t="s">
        <v>1554</v>
      </c>
    </row>
    <row r="2132" spans="1:4" x14ac:dyDescent="0.2">
      <c r="A2132" t="s">
        <v>1066</v>
      </c>
      <c r="B2132" t="s">
        <v>21</v>
      </c>
      <c r="C2132" t="s">
        <v>1571</v>
      </c>
      <c r="D2132" t="s">
        <v>1559</v>
      </c>
    </row>
    <row r="2133" spans="1:4" x14ac:dyDescent="0.2">
      <c r="A2133" t="s">
        <v>1066</v>
      </c>
      <c r="B2133" t="s">
        <v>22</v>
      </c>
      <c r="C2133" t="s">
        <v>1572</v>
      </c>
      <c r="D2133" t="s">
        <v>1559</v>
      </c>
    </row>
    <row r="2134" spans="1:4" x14ac:dyDescent="0.2">
      <c r="A2134" t="s">
        <v>1066</v>
      </c>
      <c r="B2134" t="s">
        <v>24</v>
      </c>
      <c r="C2134" t="s">
        <v>1558</v>
      </c>
      <c r="D2134" t="s">
        <v>1559</v>
      </c>
    </row>
    <row r="2135" spans="1:4" x14ac:dyDescent="0.2">
      <c r="A2135" t="s">
        <v>1072</v>
      </c>
      <c r="B2135" t="s">
        <v>6</v>
      </c>
      <c r="C2135" t="s">
        <v>1564</v>
      </c>
      <c r="D2135" t="s">
        <v>1554</v>
      </c>
    </row>
    <row r="2136" spans="1:4" x14ac:dyDescent="0.2">
      <c r="A2136" t="s">
        <v>1072</v>
      </c>
      <c r="B2136" t="s">
        <v>7</v>
      </c>
      <c r="C2136" t="s">
        <v>1565</v>
      </c>
      <c r="D2136" t="s">
        <v>1554</v>
      </c>
    </row>
    <row r="2137" spans="1:4" x14ac:dyDescent="0.2">
      <c r="A2137" t="s">
        <v>1072</v>
      </c>
      <c r="B2137" t="s">
        <v>8</v>
      </c>
      <c r="C2137" t="s">
        <v>1561</v>
      </c>
      <c r="D2137" t="s">
        <v>1554</v>
      </c>
    </row>
    <row r="2138" spans="1:4" x14ac:dyDescent="0.2">
      <c r="A2138" t="s">
        <v>1072</v>
      </c>
      <c r="B2138" t="s">
        <v>9</v>
      </c>
      <c r="C2138" t="s">
        <v>1553</v>
      </c>
      <c r="D2138" t="s">
        <v>1554</v>
      </c>
    </row>
    <row r="2139" spans="1:4" x14ac:dyDescent="0.2">
      <c r="A2139" t="s">
        <v>1072</v>
      </c>
      <c r="B2139" t="s">
        <v>10</v>
      </c>
      <c r="C2139" t="s">
        <v>1555</v>
      </c>
      <c r="D2139" t="s">
        <v>1554</v>
      </c>
    </row>
    <row r="2140" spans="1:4" x14ac:dyDescent="0.2">
      <c r="A2140" t="s">
        <v>1072</v>
      </c>
      <c r="B2140" t="s">
        <v>11</v>
      </c>
      <c r="C2140" t="s">
        <v>1566</v>
      </c>
      <c r="D2140" t="s">
        <v>1554</v>
      </c>
    </row>
    <row r="2141" spans="1:4" x14ac:dyDescent="0.2">
      <c r="A2141" t="s">
        <v>1072</v>
      </c>
      <c r="B2141" t="s">
        <v>13</v>
      </c>
      <c r="C2141" t="s">
        <v>1567</v>
      </c>
      <c r="D2141" t="s">
        <v>1554</v>
      </c>
    </row>
    <row r="2142" spans="1:4" x14ac:dyDescent="0.2">
      <c r="A2142" t="s">
        <v>1072</v>
      </c>
      <c r="B2142" t="s">
        <v>14</v>
      </c>
      <c r="C2142" t="s">
        <v>1568</v>
      </c>
      <c r="D2142" t="s">
        <v>1554</v>
      </c>
    </row>
    <row r="2143" spans="1:4" x14ac:dyDescent="0.2">
      <c r="A2143" t="s">
        <v>1072</v>
      </c>
      <c r="B2143" t="s">
        <v>15</v>
      </c>
      <c r="C2143" t="s">
        <v>1569</v>
      </c>
      <c r="D2143" t="s">
        <v>1554</v>
      </c>
    </row>
    <row r="2144" spans="1:4" x14ac:dyDescent="0.2">
      <c r="A2144" t="s">
        <v>1072</v>
      </c>
      <c r="B2144" t="s">
        <v>17</v>
      </c>
      <c r="C2144" t="s">
        <v>1560</v>
      </c>
      <c r="D2144" t="s">
        <v>1554</v>
      </c>
    </row>
    <row r="2145" spans="1:4" x14ac:dyDescent="0.2">
      <c r="A2145" t="s">
        <v>1072</v>
      </c>
      <c r="B2145" t="s">
        <v>19</v>
      </c>
      <c r="C2145" t="s">
        <v>1570</v>
      </c>
      <c r="D2145" t="s">
        <v>1554</v>
      </c>
    </row>
    <row r="2146" spans="1:4" x14ac:dyDescent="0.2">
      <c r="A2146" t="s">
        <v>1072</v>
      </c>
      <c r="B2146" t="s">
        <v>23</v>
      </c>
      <c r="C2146" t="s">
        <v>1556</v>
      </c>
      <c r="D2146" t="s">
        <v>1554</v>
      </c>
    </row>
    <row r="2147" spans="1:4" x14ac:dyDescent="0.2">
      <c r="A2147" t="s">
        <v>1072</v>
      </c>
      <c r="B2147" t="s">
        <v>25</v>
      </c>
      <c r="C2147" t="s">
        <v>1557</v>
      </c>
      <c r="D2147" t="s">
        <v>1554</v>
      </c>
    </row>
    <row r="2148" spans="1:4" x14ac:dyDescent="0.2">
      <c r="A2148" t="s">
        <v>1072</v>
      </c>
      <c r="B2148" t="s">
        <v>21</v>
      </c>
      <c r="C2148" t="s">
        <v>1571</v>
      </c>
      <c r="D2148" t="s">
        <v>1559</v>
      </c>
    </row>
    <row r="2149" spans="1:4" x14ac:dyDescent="0.2">
      <c r="A2149" t="s">
        <v>1072</v>
      </c>
      <c r="B2149" t="s">
        <v>22</v>
      </c>
      <c r="C2149" t="s">
        <v>1572</v>
      </c>
      <c r="D2149" t="s">
        <v>1559</v>
      </c>
    </row>
    <row r="2150" spans="1:4" x14ac:dyDescent="0.2">
      <c r="A2150" t="s">
        <v>1072</v>
      </c>
      <c r="B2150" t="s">
        <v>24</v>
      </c>
      <c r="C2150" t="s">
        <v>1558</v>
      </c>
      <c r="D2150" t="s">
        <v>1559</v>
      </c>
    </row>
    <row r="2151" spans="1:4" x14ac:dyDescent="0.2">
      <c r="A2151" t="s">
        <v>1078</v>
      </c>
      <c r="B2151" t="s">
        <v>6</v>
      </c>
      <c r="C2151" t="s">
        <v>1564</v>
      </c>
      <c r="D2151" t="s">
        <v>1554</v>
      </c>
    </row>
    <row r="2152" spans="1:4" x14ac:dyDescent="0.2">
      <c r="A2152" t="s">
        <v>1078</v>
      </c>
      <c r="B2152" t="s">
        <v>7</v>
      </c>
      <c r="C2152" t="s">
        <v>1565</v>
      </c>
      <c r="D2152" t="s">
        <v>1554</v>
      </c>
    </row>
    <row r="2153" spans="1:4" x14ac:dyDescent="0.2">
      <c r="A2153" t="s">
        <v>1078</v>
      </c>
      <c r="B2153" t="s">
        <v>8</v>
      </c>
      <c r="C2153" t="s">
        <v>1561</v>
      </c>
      <c r="D2153" t="s">
        <v>1554</v>
      </c>
    </row>
    <row r="2154" spans="1:4" x14ac:dyDescent="0.2">
      <c r="A2154" t="s">
        <v>1078</v>
      </c>
      <c r="B2154" t="s">
        <v>9</v>
      </c>
      <c r="C2154" t="s">
        <v>1553</v>
      </c>
      <c r="D2154" t="s">
        <v>1554</v>
      </c>
    </row>
    <row r="2155" spans="1:4" x14ac:dyDescent="0.2">
      <c r="A2155" t="s">
        <v>1078</v>
      </c>
      <c r="B2155" t="s">
        <v>10</v>
      </c>
      <c r="C2155" t="s">
        <v>1555</v>
      </c>
      <c r="D2155" t="s">
        <v>1554</v>
      </c>
    </row>
    <row r="2156" spans="1:4" x14ac:dyDescent="0.2">
      <c r="A2156" t="s">
        <v>1078</v>
      </c>
      <c r="B2156" t="s">
        <v>13</v>
      </c>
      <c r="C2156" t="s">
        <v>1567</v>
      </c>
      <c r="D2156" t="s">
        <v>1554</v>
      </c>
    </row>
    <row r="2157" spans="1:4" x14ac:dyDescent="0.2">
      <c r="A2157" t="s">
        <v>1078</v>
      </c>
      <c r="B2157" t="s">
        <v>14</v>
      </c>
      <c r="C2157" t="s">
        <v>1568</v>
      </c>
      <c r="D2157" t="s">
        <v>1554</v>
      </c>
    </row>
    <row r="2158" spans="1:4" x14ac:dyDescent="0.2">
      <c r="A2158" t="s">
        <v>1078</v>
      </c>
      <c r="B2158" t="s">
        <v>15</v>
      </c>
      <c r="C2158" t="s">
        <v>1569</v>
      </c>
      <c r="D2158" t="s">
        <v>1554</v>
      </c>
    </row>
    <row r="2159" spans="1:4" x14ac:dyDescent="0.2">
      <c r="A2159" t="s">
        <v>1078</v>
      </c>
      <c r="B2159" t="s">
        <v>17</v>
      </c>
      <c r="C2159" t="s">
        <v>1560</v>
      </c>
      <c r="D2159" t="s">
        <v>1554</v>
      </c>
    </row>
    <row r="2160" spans="1:4" x14ac:dyDescent="0.2">
      <c r="A2160" t="s">
        <v>1078</v>
      </c>
      <c r="B2160" t="s">
        <v>19</v>
      </c>
      <c r="C2160" t="s">
        <v>1570</v>
      </c>
      <c r="D2160" t="s">
        <v>1554</v>
      </c>
    </row>
    <row r="2161" spans="1:4" x14ac:dyDescent="0.2">
      <c r="A2161" t="s">
        <v>1078</v>
      </c>
      <c r="B2161" t="s">
        <v>23</v>
      </c>
      <c r="C2161" t="s">
        <v>1556</v>
      </c>
      <c r="D2161" t="s">
        <v>1554</v>
      </c>
    </row>
    <row r="2162" spans="1:4" x14ac:dyDescent="0.2">
      <c r="A2162" t="s">
        <v>1078</v>
      </c>
      <c r="B2162" t="s">
        <v>25</v>
      </c>
      <c r="C2162" t="s">
        <v>1557</v>
      </c>
      <c r="D2162" t="s">
        <v>1554</v>
      </c>
    </row>
    <row r="2163" spans="1:4" x14ac:dyDescent="0.2">
      <c r="A2163" t="s">
        <v>1078</v>
      </c>
      <c r="B2163" t="s">
        <v>24</v>
      </c>
      <c r="C2163" t="s">
        <v>1558</v>
      </c>
      <c r="D2163" t="s">
        <v>1559</v>
      </c>
    </row>
    <row r="2164" spans="1:4" x14ac:dyDescent="0.2">
      <c r="A2164" t="s">
        <v>1085</v>
      </c>
      <c r="B2164" t="s">
        <v>3</v>
      </c>
      <c r="C2164" t="s">
        <v>1562</v>
      </c>
      <c r="D2164" t="s">
        <v>1554</v>
      </c>
    </row>
    <row r="2165" spans="1:4" x14ac:dyDescent="0.2">
      <c r="A2165" t="s">
        <v>1085</v>
      </c>
      <c r="B2165" t="s">
        <v>5</v>
      </c>
      <c r="C2165" t="s">
        <v>1563</v>
      </c>
      <c r="D2165" t="s">
        <v>1554</v>
      </c>
    </row>
    <row r="2166" spans="1:4" x14ac:dyDescent="0.2">
      <c r="A2166" t="s">
        <v>1085</v>
      </c>
      <c r="B2166" t="s">
        <v>6</v>
      </c>
      <c r="C2166" t="s">
        <v>1564</v>
      </c>
      <c r="D2166" t="s">
        <v>1554</v>
      </c>
    </row>
    <row r="2167" spans="1:4" x14ac:dyDescent="0.2">
      <c r="A2167" t="s">
        <v>1085</v>
      </c>
      <c r="B2167" t="s">
        <v>7</v>
      </c>
      <c r="C2167" t="s">
        <v>1565</v>
      </c>
      <c r="D2167" t="s">
        <v>1554</v>
      </c>
    </row>
    <row r="2168" spans="1:4" x14ac:dyDescent="0.2">
      <c r="A2168" t="s">
        <v>1085</v>
      </c>
      <c r="B2168" t="s">
        <v>8</v>
      </c>
      <c r="C2168" t="s">
        <v>1561</v>
      </c>
      <c r="D2168" t="s">
        <v>1554</v>
      </c>
    </row>
    <row r="2169" spans="1:4" x14ac:dyDescent="0.2">
      <c r="A2169" t="s">
        <v>1085</v>
      </c>
      <c r="B2169" t="s">
        <v>9</v>
      </c>
      <c r="C2169" t="s">
        <v>1553</v>
      </c>
      <c r="D2169" t="s">
        <v>1554</v>
      </c>
    </row>
    <row r="2170" spans="1:4" x14ac:dyDescent="0.2">
      <c r="A2170" t="s">
        <v>1085</v>
      </c>
      <c r="B2170" t="s">
        <v>10</v>
      </c>
      <c r="C2170" t="s">
        <v>1555</v>
      </c>
      <c r="D2170" t="s">
        <v>1554</v>
      </c>
    </row>
    <row r="2171" spans="1:4" x14ac:dyDescent="0.2">
      <c r="A2171" t="s">
        <v>1085</v>
      </c>
      <c r="B2171" t="s">
        <v>11</v>
      </c>
      <c r="C2171" t="s">
        <v>1566</v>
      </c>
      <c r="D2171" t="s">
        <v>1554</v>
      </c>
    </row>
    <row r="2172" spans="1:4" x14ac:dyDescent="0.2">
      <c r="A2172" t="s">
        <v>1085</v>
      </c>
      <c r="B2172" t="s">
        <v>13</v>
      </c>
      <c r="C2172" t="s">
        <v>1567</v>
      </c>
      <c r="D2172" t="s">
        <v>1554</v>
      </c>
    </row>
    <row r="2173" spans="1:4" x14ac:dyDescent="0.2">
      <c r="A2173" t="s">
        <v>1085</v>
      </c>
      <c r="B2173" t="s">
        <v>14</v>
      </c>
      <c r="C2173" t="s">
        <v>1568</v>
      </c>
      <c r="D2173" t="s">
        <v>1554</v>
      </c>
    </row>
    <row r="2174" spans="1:4" x14ac:dyDescent="0.2">
      <c r="A2174" t="s">
        <v>1085</v>
      </c>
      <c r="B2174" t="s">
        <v>15</v>
      </c>
      <c r="C2174" t="s">
        <v>1569</v>
      </c>
      <c r="D2174" t="s">
        <v>1554</v>
      </c>
    </row>
    <row r="2175" spans="1:4" x14ac:dyDescent="0.2">
      <c r="A2175" t="s">
        <v>1085</v>
      </c>
      <c r="B2175" t="s">
        <v>17</v>
      </c>
      <c r="C2175" t="s">
        <v>1560</v>
      </c>
      <c r="D2175" t="s">
        <v>1554</v>
      </c>
    </row>
    <row r="2176" spans="1:4" x14ac:dyDescent="0.2">
      <c r="A2176" t="s">
        <v>1085</v>
      </c>
      <c r="B2176" t="s">
        <v>19</v>
      </c>
      <c r="C2176" t="s">
        <v>1570</v>
      </c>
      <c r="D2176" t="s">
        <v>1554</v>
      </c>
    </row>
    <row r="2177" spans="1:4" x14ac:dyDescent="0.2">
      <c r="A2177" t="s">
        <v>1085</v>
      </c>
      <c r="B2177" t="s">
        <v>23</v>
      </c>
      <c r="C2177" t="s">
        <v>1556</v>
      </c>
      <c r="D2177" t="s">
        <v>1554</v>
      </c>
    </row>
    <row r="2178" spans="1:4" x14ac:dyDescent="0.2">
      <c r="A2178" t="s">
        <v>1085</v>
      </c>
      <c r="B2178" t="s">
        <v>25</v>
      </c>
      <c r="C2178" t="s">
        <v>1557</v>
      </c>
      <c r="D2178" t="s">
        <v>1554</v>
      </c>
    </row>
    <row r="2179" spans="1:4" x14ac:dyDescent="0.2">
      <c r="A2179" t="s">
        <v>1085</v>
      </c>
      <c r="B2179" t="s">
        <v>21</v>
      </c>
      <c r="C2179" t="s">
        <v>1571</v>
      </c>
      <c r="D2179" t="s">
        <v>1559</v>
      </c>
    </row>
    <row r="2180" spans="1:4" x14ac:dyDescent="0.2">
      <c r="A2180" t="s">
        <v>1085</v>
      </c>
      <c r="B2180" t="s">
        <v>22</v>
      </c>
      <c r="C2180" t="s">
        <v>1572</v>
      </c>
      <c r="D2180" t="s">
        <v>1559</v>
      </c>
    </row>
    <row r="2181" spans="1:4" x14ac:dyDescent="0.2">
      <c r="A2181" t="s">
        <v>1085</v>
      </c>
      <c r="B2181" t="s">
        <v>24</v>
      </c>
      <c r="C2181" t="s">
        <v>1558</v>
      </c>
      <c r="D2181" t="s">
        <v>1559</v>
      </c>
    </row>
    <row r="2182" spans="1:4" x14ac:dyDescent="0.2">
      <c r="A2182" t="s">
        <v>1089</v>
      </c>
      <c r="B2182" t="s">
        <v>3</v>
      </c>
      <c r="C2182" t="s">
        <v>1562</v>
      </c>
      <c r="D2182" t="s">
        <v>1554</v>
      </c>
    </row>
    <row r="2183" spans="1:4" x14ac:dyDescent="0.2">
      <c r="A2183" t="s">
        <v>1089</v>
      </c>
      <c r="B2183" t="s">
        <v>5</v>
      </c>
      <c r="C2183" t="s">
        <v>1563</v>
      </c>
      <c r="D2183" t="s">
        <v>1554</v>
      </c>
    </row>
    <row r="2184" spans="1:4" x14ac:dyDescent="0.2">
      <c r="A2184" t="s">
        <v>1089</v>
      </c>
      <c r="B2184" t="s">
        <v>6</v>
      </c>
      <c r="C2184" t="s">
        <v>1564</v>
      </c>
      <c r="D2184" t="s">
        <v>1554</v>
      </c>
    </row>
    <row r="2185" spans="1:4" x14ac:dyDescent="0.2">
      <c r="A2185" t="s">
        <v>1089</v>
      </c>
      <c r="B2185" t="s">
        <v>7</v>
      </c>
      <c r="C2185" t="s">
        <v>1565</v>
      </c>
      <c r="D2185" t="s">
        <v>1554</v>
      </c>
    </row>
    <row r="2186" spans="1:4" x14ac:dyDescent="0.2">
      <c r="A2186" t="s">
        <v>1089</v>
      </c>
      <c r="B2186" t="s">
        <v>8</v>
      </c>
      <c r="C2186" t="s">
        <v>1561</v>
      </c>
      <c r="D2186" t="s">
        <v>1554</v>
      </c>
    </row>
    <row r="2187" spans="1:4" x14ac:dyDescent="0.2">
      <c r="A2187" t="s">
        <v>1089</v>
      </c>
      <c r="B2187" t="s">
        <v>9</v>
      </c>
      <c r="C2187" t="s">
        <v>1553</v>
      </c>
      <c r="D2187" t="s">
        <v>1554</v>
      </c>
    </row>
    <row r="2188" spans="1:4" x14ac:dyDescent="0.2">
      <c r="A2188" t="s">
        <v>1089</v>
      </c>
      <c r="B2188" t="s">
        <v>10</v>
      </c>
      <c r="C2188" t="s">
        <v>1555</v>
      </c>
      <c r="D2188" t="s">
        <v>1554</v>
      </c>
    </row>
    <row r="2189" spans="1:4" x14ac:dyDescent="0.2">
      <c r="A2189" t="s">
        <v>1089</v>
      </c>
      <c r="B2189" t="s">
        <v>11</v>
      </c>
      <c r="C2189" t="s">
        <v>1566</v>
      </c>
      <c r="D2189" t="s">
        <v>1554</v>
      </c>
    </row>
    <row r="2190" spans="1:4" x14ac:dyDescent="0.2">
      <c r="A2190" t="s">
        <v>1089</v>
      </c>
      <c r="B2190" t="s">
        <v>13</v>
      </c>
      <c r="C2190" t="s">
        <v>1567</v>
      </c>
      <c r="D2190" t="s">
        <v>1554</v>
      </c>
    </row>
    <row r="2191" spans="1:4" x14ac:dyDescent="0.2">
      <c r="A2191" t="s">
        <v>1089</v>
      </c>
      <c r="B2191" t="s">
        <v>14</v>
      </c>
      <c r="C2191" t="s">
        <v>1568</v>
      </c>
      <c r="D2191" t="s">
        <v>1554</v>
      </c>
    </row>
    <row r="2192" spans="1:4" x14ac:dyDescent="0.2">
      <c r="A2192" t="s">
        <v>1089</v>
      </c>
      <c r="B2192" t="s">
        <v>15</v>
      </c>
      <c r="C2192" t="s">
        <v>1569</v>
      </c>
      <c r="D2192" t="s">
        <v>1554</v>
      </c>
    </row>
    <row r="2193" spans="1:4" x14ac:dyDescent="0.2">
      <c r="A2193" t="s">
        <v>1089</v>
      </c>
      <c r="B2193" t="s">
        <v>17</v>
      </c>
      <c r="C2193" t="s">
        <v>1560</v>
      </c>
      <c r="D2193" t="s">
        <v>1554</v>
      </c>
    </row>
    <row r="2194" spans="1:4" x14ac:dyDescent="0.2">
      <c r="A2194" t="s">
        <v>1089</v>
      </c>
      <c r="B2194" t="s">
        <v>19</v>
      </c>
      <c r="C2194" t="s">
        <v>1570</v>
      </c>
      <c r="D2194" t="s">
        <v>1554</v>
      </c>
    </row>
    <row r="2195" spans="1:4" x14ac:dyDescent="0.2">
      <c r="A2195" t="s">
        <v>1089</v>
      </c>
      <c r="B2195" t="s">
        <v>23</v>
      </c>
      <c r="C2195" t="s">
        <v>1556</v>
      </c>
      <c r="D2195" t="s">
        <v>1554</v>
      </c>
    </row>
    <row r="2196" spans="1:4" x14ac:dyDescent="0.2">
      <c r="A2196" t="s">
        <v>1089</v>
      </c>
      <c r="B2196" t="s">
        <v>25</v>
      </c>
      <c r="C2196" t="s">
        <v>1557</v>
      </c>
      <c r="D2196" t="s">
        <v>1554</v>
      </c>
    </row>
    <row r="2197" spans="1:4" x14ac:dyDescent="0.2">
      <c r="A2197" t="s">
        <v>1089</v>
      </c>
      <c r="B2197" t="s">
        <v>21</v>
      </c>
      <c r="C2197" t="s">
        <v>1571</v>
      </c>
      <c r="D2197" t="s">
        <v>1559</v>
      </c>
    </row>
    <row r="2198" spans="1:4" x14ac:dyDescent="0.2">
      <c r="A2198" t="s">
        <v>1089</v>
      </c>
      <c r="B2198" t="s">
        <v>22</v>
      </c>
      <c r="C2198" t="s">
        <v>1572</v>
      </c>
      <c r="D2198" t="s">
        <v>1559</v>
      </c>
    </row>
    <row r="2199" spans="1:4" x14ac:dyDescent="0.2">
      <c r="A2199" t="s">
        <v>1089</v>
      </c>
      <c r="B2199" t="s">
        <v>24</v>
      </c>
      <c r="C2199" t="s">
        <v>1558</v>
      </c>
      <c r="D2199" t="s">
        <v>1559</v>
      </c>
    </row>
    <row r="2200" spans="1:4" x14ac:dyDescent="0.2">
      <c r="A2200" t="s">
        <v>1091</v>
      </c>
      <c r="B2200" t="s">
        <v>3</v>
      </c>
      <c r="C2200" t="s">
        <v>1562</v>
      </c>
      <c r="D2200" t="s">
        <v>1554</v>
      </c>
    </row>
    <row r="2201" spans="1:4" x14ac:dyDescent="0.2">
      <c r="A2201" t="s">
        <v>1091</v>
      </c>
      <c r="B2201" t="s">
        <v>5</v>
      </c>
      <c r="C2201" t="s">
        <v>1563</v>
      </c>
      <c r="D2201" t="s">
        <v>1554</v>
      </c>
    </row>
    <row r="2202" spans="1:4" x14ac:dyDescent="0.2">
      <c r="A2202" t="s">
        <v>1091</v>
      </c>
      <c r="B2202" t="s">
        <v>6</v>
      </c>
      <c r="C2202" t="s">
        <v>1564</v>
      </c>
      <c r="D2202" t="s">
        <v>1554</v>
      </c>
    </row>
    <row r="2203" spans="1:4" x14ac:dyDescent="0.2">
      <c r="A2203" t="s">
        <v>1091</v>
      </c>
      <c r="B2203" t="s">
        <v>7</v>
      </c>
      <c r="C2203" t="s">
        <v>1565</v>
      </c>
      <c r="D2203" t="s">
        <v>1554</v>
      </c>
    </row>
    <row r="2204" spans="1:4" x14ac:dyDescent="0.2">
      <c r="A2204" t="s">
        <v>1091</v>
      </c>
      <c r="B2204" t="s">
        <v>8</v>
      </c>
      <c r="C2204" t="s">
        <v>1561</v>
      </c>
      <c r="D2204" t="s">
        <v>1554</v>
      </c>
    </row>
    <row r="2205" spans="1:4" x14ac:dyDescent="0.2">
      <c r="A2205" t="s">
        <v>1091</v>
      </c>
      <c r="B2205" t="s">
        <v>9</v>
      </c>
      <c r="C2205" t="s">
        <v>1553</v>
      </c>
      <c r="D2205" t="s">
        <v>1554</v>
      </c>
    </row>
    <row r="2206" spans="1:4" x14ac:dyDescent="0.2">
      <c r="A2206" t="s">
        <v>1091</v>
      </c>
      <c r="B2206" t="s">
        <v>10</v>
      </c>
      <c r="C2206" t="s">
        <v>1555</v>
      </c>
      <c r="D2206" t="s">
        <v>1554</v>
      </c>
    </row>
    <row r="2207" spans="1:4" x14ac:dyDescent="0.2">
      <c r="A2207" t="s">
        <v>1091</v>
      </c>
      <c r="B2207" t="s">
        <v>11</v>
      </c>
      <c r="C2207" t="s">
        <v>1566</v>
      </c>
      <c r="D2207" t="s">
        <v>1554</v>
      </c>
    </row>
    <row r="2208" spans="1:4" x14ac:dyDescent="0.2">
      <c r="A2208" t="s">
        <v>1091</v>
      </c>
      <c r="B2208" t="s">
        <v>13</v>
      </c>
      <c r="C2208" t="s">
        <v>1567</v>
      </c>
      <c r="D2208" t="s">
        <v>1554</v>
      </c>
    </row>
    <row r="2209" spans="1:4" x14ac:dyDescent="0.2">
      <c r="A2209" t="s">
        <v>1091</v>
      </c>
      <c r="B2209" t="s">
        <v>14</v>
      </c>
      <c r="C2209" t="s">
        <v>1568</v>
      </c>
      <c r="D2209" t="s">
        <v>1554</v>
      </c>
    </row>
    <row r="2210" spans="1:4" x14ac:dyDescent="0.2">
      <c r="A2210" t="s">
        <v>1091</v>
      </c>
      <c r="B2210" t="s">
        <v>15</v>
      </c>
      <c r="C2210" t="s">
        <v>1569</v>
      </c>
      <c r="D2210" t="s">
        <v>1554</v>
      </c>
    </row>
    <row r="2211" spans="1:4" x14ac:dyDescent="0.2">
      <c r="A2211" t="s">
        <v>1091</v>
      </c>
      <c r="B2211" t="s">
        <v>17</v>
      </c>
      <c r="C2211" t="s">
        <v>1560</v>
      </c>
      <c r="D2211" t="s">
        <v>1554</v>
      </c>
    </row>
    <row r="2212" spans="1:4" x14ac:dyDescent="0.2">
      <c r="A2212" t="s">
        <v>1091</v>
      </c>
      <c r="B2212" t="s">
        <v>19</v>
      </c>
      <c r="C2212" t="s">
        <v>1570</v>
      </c>
      <c r="D2212" t="s">
        <v>1554</v>
      </c>
    </row>
    <row r="2213" spans="1:4" x14ac:dyDescent="0.2">
      <c r="A2213" t="s">
        <v>1091</v>
      </c>
      <c r="B2213" t="s">
        <v>23</v>
      </c>
      <c r="C2213" t="s">
        <v>1556</v>
      </c>
      <c r="D2213" t="s">
        <v>1554</v>
      </c>
    </row>
    <row r="2214" spans="1:4" x14ac:dyDescent="0.2">
      <c r="A2214" t="s">
        <v>1091</v>
      </c>
      <c r="B2214" t="s">
        <v>25</v>
      </c>
      <c r="C2214" t="s">
        <v>1557</v>
      </c>
      <c r="D2214" t="s">
        <v>1554</v>
      </c>
    </row>
    <row r="2215" spans="1:4" x14ac:dyDescent="0.2">
      <c r="A2215" t="s">
        <v>1091</v>
      </c>
      <c r="B2215" t="s">
        <v>21</v>
      </c>
      <c r="C2215" t="s">
        <v>1571</v>
      </c>
      <c r="D2215" t="s">
        <v>1559</v>
      </c>
    </row>
    <row r="2216" spans="1:4" x14ac:dyDescent="0.2">
      <c r="A2216" t="s">
        <v>1091</v>
      </c>
      <c r="B2216" t="s">
        <v>22</v>
      </c>
      <c r="C2216" t="s">
        <v>1572</v>
      </c>
      <c r="D2216" t="s">
        <v>1559</v>
      </c>
    </row>
    <row r="2217" spans="1:4" x14ac:dyDescent="0.2">
      <c r="A2217" t="s">
        <v>1091</v>
      </c>
      <c r="B2217" t="s">
        <v>24</v>
      </c>
      <c r="C2217" t="s">
        <v>1558</v>
      </c>
      <c r="D2217" t="s">
        <v>1559</v>
      </c>
    </row>
    <row r="2218" spans="1:4" x14ac:dyDescent="0.2">
      <c r="A2218" t="s">
        <v>1093</v>
      </c>
      <c r="B2218" t="s">
        <v>3</v>
      </c>
      <c r="C2218" t="s">
        <v>1562</v>
      </c>
      <c r="D2218" t="s">
        <v>1554</v>
      </c>
    </row>
    <row r="2219" spans="1:4" x14ac:dyDescent="0.2">
      <c r="A2219" t="s">
        <v>1093</v>
      </c>
      <c r="B2219" t="s">
        <v>5</v>
      </c>
      <c r="C2219" t="s">
        <v>1563</v>
      </c>
      <c r="D2219" t="s">
        <v>1554</v>
      </c>
    </row>
    <row r="2220" spans="1:4" x14ac:dyDescent="0.2">
      <c r="A2220" t="s">
        <v>1093</v>
      </c>
      <c r="B2220" t="s">
        <v>6</v>
      </c>
      <c r="C2220" t="s">
        <v>1564</v>
      </c>
      <c r="D2220" t="s">
        <v>1554</v>
      </c>
    </row>
    <row r="2221" spans="1:4" x14ac:dyDescent="0.2">
      <c r="A2221" t="s">
        <v>1093</v>
      </c>
      <c r="B2221" t="s">
        <v>7</v>
      </c>
      <c r="C2221" t="s">
        <v>1565</v>
      </c>
      <c r="D2221" t="s">
        <v>1554</v>
      </c>
    </row>
    <row r="2222" spans="1:4" x14ac:dyDescent="0.2">
      <c r="A2222" t="s">
        <v>1093</v>
      </c>
      <c r="B2222" t="s">
        <v>8</v>
      </c>
      <c r="C2222" t="s">
        <v>1561</v>
      </c>
      <c r="D2222" t="s">
        <v>1554</v>
      </c>
    </row>
    <row r="2223" spans="1:4" x14ac:dyDescent="0.2">
      <c r="A2223" t="s">
        <v>1093</v>
      </c>
      <c r="B2223" t="s">
        <v>9</v>
      </c>
      <c r="C2223" t="s">
        <v>1553</v>
      </c>
      <c r="D2223" t="s">
        <v>1554</v>
      </c>
    </row>
    <row r="2224" spans="1:4" x14ac:dyDescent="0.2">
      <c r="A2224" t="s">
        <v>1093</v>
      </c>
      <c r="B2224" t="s">
        <v>10</v>
      </c>
      <c r="C2224" t="s">
        <v>1555</v>
      </c>
      <c r="D2224" t="s">
        <v>1554</v>
      </c>
    </row>
    <row r="2225" spans="1:4" x14ac:dyDescent="0.2">
      <c r="A2225" t="s">
        <v>1093</v>
      </c>
      <c r="B2225" t="s">
        <v>11</v>
      </c>
      <c r="C2225" t="s">
        <v>1566</v>
      </c>
      <c r="D2225" t="s">
        <v>1554</v>
      </c>
    </row>
    <row r="2226" spans="1:4" x14ac:dyDescent="0.2">
      <c r="A2226" t="s">
        <v>1093</v>
      </c>
      <c r="B2226" t="s">
        <v>13</v>
      </c>
      <c r="C2226" t="s">
        <v>1567</v>
      </c>
      <c r="D2226" t="s">
        <v>1554</v>
      </c>
    </row>
    <row r="2227" spans="1:4" x14ac:dyDescent="0.2">
      <c r="A2227" t="s">
        <v>1093</v>
      </c>
      <c r="B2227" t="s">
        <v>14</v>
      </c>
      <c r="C2227" t="s">
        <v>1568</v>
      </c>
      <c r="D2227" t="s">
        <v>1554</v>
      </c>
    </row>
    <row r="2228" spans="1:4" x14ac:dyDescent="0.2">
      <c r="A2228" t="s">
        <v>1093</v>
      </c>
      <c r="B2228" t="s">
        <v>15</v>
      </c>
      <c r="C2228" t="s">
        <v>1569</v>
      </c>
      <c r="D2228" t="s">
        <v>1554</v>
      </c>
    </row>
    <row r="2229" spans="1:4" x14ac:dyDescent="0.2">
      <c r="A2229" t="s">
        <v>1093</v>
      </c>
      <c r="B2229" t="s">
        <v>17</v>
      </c>
      <c r="C2229" t="s">
        <v>1560</v>
      </c>
      <c r="D2229" t="s">
        <v>1554</v>
      </c>
    </row>
    <row r="2230" spans="1:4" x14ac:dyDescent="0.2">
      <c r="A2230" t="s">
        <v>1093</v>
      </c>
      <c r="B2230" t="s">
        <v>19</v>
      </c>
      <c r="C2230" t="s">
        <v>1570</v>
      </c>
      <c r="D2230" t="s">
        <v>1554</v>
      </c>
    </row>
    <row r="2231" spans="1:4" x14ac:dyDescent="0.2">
      <c r="A2231" t="s">
        <v>1093</v>
      </c>
      <c r="B2231" t="s">
        <v>23</v>
      </c>
      <c r="C2231" t="s">
        <v>1556</v>
      </c>
      <c r="D2231" t="s">
        <v>1554</v>
      </c>
    </row>
    <row r="2232" spans="1:4" x14ac:dyDescent="0.2">
      <c r="A2232" t="s">
        <v>1093</v>
      </c>
      <c r="B2232" t="s">
        <v>25</v>
      </c>
      <c r="C2232" t="s">
        <v>1557</v>
      </c>
      <c r="D2232" t="s">
        <v>1554</v>
      </c>
    </row>
    <row r="2233" spans="1:4" x14ac:dyDescent="0.2">
      <c r="A2233" t="s">
        <v>1093</v>
      </c>
      <c r="B2233" t="s">
        <v>21</v>
      </c>
      <c r="C2233" t="s">
        <v>1571</v>
      </c>
      <c r="D2233" t="s">
        <v>1559</v>
      </c>
    </row>
    <row r="2234" spans="1:4" x14ac:dyDescent="0.2">
      <c r="A2234" t="s">
        <v>1093</v>
      </c>
      <c r="B2234" t="s">
        <v>22</v>
      </c>
      <c r="C2234" t="s">
        <v>1572</v>
      </c>
      <c r="D2234" t="s">
        <v>1559</v>
      </c>
    </row>
    <row r="2235" spans="1:4" x14ac:dyDescent="0.2">
      <c r="A2235" t="s">
        <v>1093</v>
      </c>
      <c r="B2235" t="s">
        <v>24</v>
      </c>
      <c r="C2235" t="s">
        <v>1558</v>
      </c>
      <c r="D2235" t="s">
        <v>1559</v>
      </c>
    </row>
    <row r="2236" spans="1:4" x14ac:dyDescent="0.2">
      <c r="A2236" t="s">
        <v>1095</v>
      </c>
      <c r="B2236" t="s">
        <v>3</v>
      </c>
      <c r="C2236" t="s">
        <v>1562</v>
      </c>
      <c r="D2236" t="s">
        <v>1554</v>
      </c>
    </row>
    <row r="2237" spans="1:4" x14ac:dyDescent="0.2">
      <c r="A2237" t="s">
        <v>1095</v>
      </c>
      <c r="B2237" t="s">
        <v>5</v>
      </c>
      <c r="C2237" t="s">
        <v>1563</v>
      </c>
      <c r="D2237" t="s">
        <v>1554</v>
      </c>
    </row>
    <row r="2238" spans="1:4" x14ac:dyDescent="0.2">
      <c r="A2238" t="s">
        <v>1095</v>
      </c>
      <c r="B2238" t="s">
        <v>6</v>
      </c>
      <c r="C2238" t="s">
        <v>1564</v>
      </c>
      <c r="D2238" t="s">
        <v>1554</v>
      </c>
    </row>
    <row r="2239" spans="1:4" x14ac:dyDescent="0.2">
      <c r="A2239" t="s">
        <v>1095</v>
      </c>
      <c r="B2239" t="s">
        <v>7</v>
      </c>
      <c r="C2239" t="s">
        <v>1565</v>
      </c>
      <c r="D2239" t="s">
        <v>1554</v>
      </c>
    </row>
    <row r="2240" spans="1:4" x14ac:dyDescent="0.2">
      <c r="A2240" t="s">
        <v>1095</v>
      </c>
      <c r="B2240" t="s">
        <v>8</v>
      </c>
      <c r="C2240" t="s">
        <v>1561</v>
      </c>
      <c r="D2240" t="s">
        <v>1554</v>
      </c>
    </row>
    <row r="2241" spans="1:4" x14ac:dyDescent="0.2">
      <c r="A2241" t="s">
        <v>1095</v>
      </c>
      <c r="B2241" t="s">
        <v>9</v>
      </c>
      <c r="C2241" t="s">
        <v>1553</v>
      </c>
      <c r="D2241" t="s">
        <v>1554</v>
      </c>
    </row>
    <row r="2242" spans="1:4" x14ac:dyDescent="0.2">
      <c r="A2242" t="s">
        <v>1095</v>
      </c>
      <c r="B2242" t="s">
        <v>10</v>
      </c>
      <c r="C2242" t="s">
        <v>1555</v>
      </c>
      <c r="D2242" t="s">
        <v>1554</v>
      </c>
    </row>
    <row r="2243" spans="1:4" x14ac:dyDescent="0.2">
      <c r="A2243" t="s">
        <v>1095</v>
      </c>
      <c r="B2243" t="s">
        <v>11</v>
      </c>
      <c r="C2243" t="s">
        <v>1566</v>
      </c>
      <c r="D2243" t="s">
        <v>1554</v>
      </c>
    </row>
    <row r="2244" spans="1:4" x14ac:dyDescent="0.2">
      <c r="A2244" t="s">
        <v>1095</v>
      </c>
      <c r="B2244" t="s">
        <v>13</v>
      </c>
      <c r="C2244" t="s">
        <v>1567</v>
      </c>
      <c r="D2244" t="s">
        <v>1554</v>
      </c>
    </row>
    <row r="2245" spans="1:4" x14ac:dyDescent="0.2">
      <c r="A2245" t="s">
        <v>1095</v>
      </c>
      <c r="B2245" t="s">
        <v>14</v>
      </c>
      <c r="C2245" t="s">
        <v>1568</v>
      </c>
      <c r="D2245" t="s">
        <v>1554</v>
      </c>
    </row>
    <row r="2246" spans="1:4" x14ac:dyDescent="0.2">
      <c r="A2246" t="s">
        <v>1095</v>
      </c>
      <c r="B2246" t="s">
        <v>15</v>
      </c>
      <c r="C2246" t="s">
        <v>1569</v>
      </c>
      <c r="D2246" t="s">
        <v>1554</v>
      </c>
    </row>
    <row r="2247" spans="1:4" x14ac:dyDescent="0.2">
      <c r="A2247" t="s">
        <v>1095</v>
      </c>
      <c r="B2247" t="s">
        <v>17</v>
      </c>
      <c r="C2247" t="s">
        <v>1560</v>
      </c>
      <c r="D2247" t="s">
        <v>1554</v>
      </c>
    </row>
    <row r="2248" spans="1:4" x14ac:dyDescent="0.2">
      <c r="A2248" t="s">
        <v>1095</v>
      </c>
      <c r="B2248" t="s">
        <v>19</v>
      </c>
      <c r="C2248" t="s">
        <v>1570</v>
      </c>
      <c r="D2248" t="s">
        <v>1554</v>
      </c>
    </row>
    <row r="2249" spans="1:4" x14ac:dyDescent="0.2">
      <c r="A2249" t="s">
        <v>1095</v>
      </c>
      <c r="B2249" t="s">
        <v>23</v>
      </c>
      <c r="C2249" t="s">
        <v>1556</v>
      </c>
      <c r="D2249" t="s">
        <v>1554</v>
      </c>
    </row>
    <row r="2250" spans="1:4" x14ac:dyDescent="0.2">
      <c r="A2250" t="s">
        <v>1095</v>
      </c>
      <c r="B2250" t="s">
        <v>25</v>
      </c>
      <c r="C2250" t="s">
        <v>1557</v>
      </c>
      <c r="D2250" t="s">
        <v>1554</v>
      </c>
    </row>
    <row r="2251" spans="1:4" x14ac:dyDescent="0.2">
      <c r="A2251" t="s">
        <v>1095</v>
      </c>
      <c r="B2251" t="s">
        <v>21</v>
      </c>
      <c r="C2251" t="s">
        <v>1571</v>
      </c>
      <c r="D2251" t="s">
        <v>1559</v>
      </c>
    </row>
    <row r="2252" spans="1:4" x14ac:dyDescent="0.2">
      <c r="A2252" t="s">
        <v>1095</v>
      </c>
      <c r="B2252" t="s">
        <v>22</v>
      </c>
      <c r="C2252" t="s">
        <v>1572</v>
      </c>
      <c r="D2252" t="s">
        <v>1559</v>
      </c>
    </row>
    <row r="2253" spans="1:4" x14ac:dyDescent="0.2">
      <c r="A2253" t="s">
        <v>1095</v>
      </c>
      <c r="B2253" t="s">
        <v>24</v>
      </c>
      <c r="C2253" t="s">
        <v>1558</v>
      </c>
      <c r="D2253" t="s">
        <v>1559</v>
      </c>
    </row>
    <row r="2254" spans="1:4" x14ac:dyDescent="0.2">
      <c r="A2254" t="s">
        <v>1097</v>
      </c>
      <c r="B2254" t="s">
        <v>3</v>
      </c>
      <c r="C2254" t="s">
        <v>1562</v>
      </c>
      <c r="D2254" t="s">
        <v>1554</v>
      </c>
    </row>
    <row r="2255" spans="1:4" x14ac:dyDescent="0.2">
      <c r="A2255" t="s">
        <v>1097</v>
      </c>
      <c r="B2255" t="s">
        <v>5</v>
      </c>
      <c r="C2255" t="s">
        <v>1563</v>
      </c>
      <c r="D2255" t="s">
        <v>1554</v>
      </c>
    </row>
    <row r="2256" spans="1:4" x14ac:dyDescent="0.2">
      <c r="A2256" t="s">
        <v>1097</v>
      </c>
      <c r="B2256" t="s">
        <v>6</v>
      </c>
      <c r="C2256" t="s">
        <v>1564</v>
      </c>
      <c r="D2256" t="s">
        <v>1554</v>
      </c>
    </row>
    <row r="2257" spans="1:4" x14ac:dyDescent="0.2">
      <c r="A2257" t="s">
        <v>1097</v>
      </c>
      <c r="B2257" t="s">
        <v>7</v>
      </c>
      <c r="C2257" t="s">
        <v>1565</v>
      </c>
      <c r="D2257" t="s">
        <v>1554</v>
      </c>
    </row>
    <row r="2258" spans="1:4" x14ac:dyDescent="0.2">
      <c r="A2258" t="s">
        <v>1097</v>
      </c>
      <c r="B2258" t="s">
        <v>8</v>
      </c>
      <c r="C2258" t="s">
        <v>1561</v>
      </c>
      <c r="D2258" t="s">
        <v>1554</v>
      </c>
    </row>
    <row r="2259" spans="1:4" x14ac:dyDescent="0.2">
      <c r="A2259" t="s">
        <v>1097</v>
      </c>
      <c r="B2259" t="s">
        <v>9</v>
      </c>
      <c r="C2259" t="s">
        <v>1553</v>
      </c>
      <c r="D2259" t="s">
        <v>1554</v>
      </c>
    </row>
    <row r="2260" spans="1:4" x14ac:dyDescent="0.2">
      <c r="A2260" t="s">
        <v>1097</v>
      </c>
      <c r="B2260" t="s">
        <v>10</v>
      </c>
      <c r="C2260" t="s">
        <v>1555</v>
      </c>
      <c r="D2260" t="s">
        <v>1554</v>
      </c>
    </row>
    <row r="2261" spans="1:4" x14ac:dyDescent="0.2">
      <c r="A2261" t="s">
        <v>1097</v>
      </c>
      <c r="B2261" t="s">
        <v>11</v>
      </c>
      <c r="C2261" t="s">
        <v>1566</v>
      </c>
      <c r="D2261" t="s">
        <v>1554</v>
      </c>
    </row>
    <row r="2262" spans="1:4" x14ac:dyDescent="0.2">
      <c r="A2262" t="s">
        <v>1097</v>
      </c>
      <c r="B2262" t="s">
        <v>13</v>
      </c>
      <c r="C2262" t="s">
        <v>1567</v>
      </c>
      <c r="D2262" t="s">
        <v>1554</v>
      </c>
    </row>
    <row r="2263" spans="1:4" x14ac:dyDescent="0.2">
      <c r="A2263" t="s">
        <v>1097</v>
      </c>
      <c r="B2263" t="s">
        <v>14</v>
      </c>
      <c r="C2263" t="s">
        <v>1568</v>
      </c>
      <c r="D2263" t="s">
        <v>1554</v>
      </c>
    </row>
    <row r="2264" spans="1:4" x14ac:dyDescent="0.2">
      <c r="A2264" t="s">
        <v>1097</v>
      </c>
      <c r="B2264" t="s">
        <v>15</v>
      </c>
      <c r="C2264" t="s">
        <v>1569</v>
      </c>
      <c r="D2264" t="s">
        <v>1554</v>
      </c>
    </row>
    <row r="2265" spans="1:4" x14ac:dyDescent="0.2">
      <c r="A2265" t="s">
        <v>1097</v>
      </c>
      <c r="B2265" t="s">
        <v>17</v>
      </c>
      <c r="C2265" t="s">
        <v>1560</v>
      </c>
      <c r="D2265" t="s">
        <v>1554</v>
      </c>
    </row>
    <row r="2266" spans="1:4" x14ac:dyDescent="0.2">
      <c r="A2266" t="s">
        <v>1097</v>
      </c>
      <c r="B2266" t="s">
        <v>19</v>
      </c>
      <c r="C2266" t="s">
        <v>1570</v>
      </c>
      <c r="D2266" t="s">
        <v>1554</v>
      </c>
    </row>
    <row r="2267" spans="1:4" x14ac:dyDescent="0.2">
      <c r="A2267" t="s">
        <v>1097</v>
      </c>
      <c r="B2267" t="s">
        <v>23</v>
      </c>
      <c r="C2267" t="s">
        <v>1556</v>
      </c>
      <c r="D2267" t="s">
        <v>1554</v>
      </c>
    </row>
    <row r="2268" spans="1:4" x14ac:dyDescent="0.2">
      <c r="A2268" t="s">
        <v>1097</v>
      </c>
      <c r="B2268" t="s">
        <v>25</v>
      </c>
      <c r="C2268" t="s">
        <v>1557</v>
      </c>
      <c r="D2268" t="s">
        <v>1554</v>
      </c>
    </row>
    <row r="2269" spans="1:4" x14ac:dyDescent="0.2">
      <c r="A2269" t="s">
        <v>1097</v>
      </c>
      <c r="B2269" t="s">
        <v>21</v>
      </c>
      <c r="C2269" t="s">
        <v>1571</v>
      </c>
      <c r="D2269" t="s">
        <v>1559</v>
      </c>
    </row>
    <row r="2270" spans="1:4" x14ac:dyDescent="0.2">
      <c r="A2270" t="s">
        <v>1097</v>
      </c>
      <c r="B2270" t="s">
        <v>22</v>
      </c>
      <c r="C2270" t="s">
        <v>1572</v>
      </c>
      <c r="D2270" t="s">
        <v>1559</v>
      </c>
    </row>
    <row r="2271" spans="1:4" x14ac:dyDescent="0.2">
      <c r="A2271" t="s">
        <v>1097</v>
      </c>
      <c r="B2271" t="s">
        <v>24</v>
      </c>
      <c r="C2271" t="s">
        <v>1558</v>
      </c>
      <c r="D2271" t="s">
        <v>1559</v>
      </c>
    </row>
    <row r="2272" spans="1:4" x14ac:dyDescent="0.2">
      <c r="A2272" t="s">
        <v>1099</v>
      </c>
      <c r="B2272" t="s">
        <v>3</v>
      </c>
      <c r="C2272" t="s">
        <v>1562</v>
      </c>
      <c r="D2272" t="s">
        <v>1554</v>
      </c>
    </row>
    <row r="2273" spans="1:4" x14ac:dyDescent="0.2">
      <c r="A2273" t="s">
        <v>1099</v>
      </c>
      <c r="B2273" t="s">
        <v>5</v>
      </c>
      <c r="C2273" t="s">
        <v>1563</v>
      </c>
      <c r="D2273" t="s">
        <v>1554</v>
      </c>
    </row>
    <row r="2274" spans="1:4" x14ac:dyDescent="0.2">
      <c r="A2274" t="s">
        <v>1099</v>
      </c>
      <c r="B2274" t="s">
        <v>6</v>
      </c>
      <c r="C2274" t="s">
        <v>1564</v>
      </c>
      <c r="D2274" t="s">
        <v>1554</v>
      </c>
    </row>
    <row r="2275" spans="1:4" x14ac:dyDescent="0.2">
      <c r="A2275" t="s">
        <v>1099</v>
      </c>
      <c r="B2275" t="s">
        <v>7</v>
      </c>
      <c r="C2275" t="s">
        <v>1565</v>
      </c>
      <c r="D2275" t="s">
        <v>1554</v>
      </c>
    </row>
    <row r="2276" spans="1:4" x14ac:dyDescent="0.2">
      <c r="A2276" t="s">
        <v>1099</v>
      </c>
      <c r="B2276" t="s">
        <v>8</v>
      </c>
      <c r="C2276" t="s">
        <v>1561</v>
      </c>
      <c r="D2276" t="s">
        <v>1554</v>
      </c>
    </row>
    <row r="2277" spans="1:4" x14ac:dyDescent="0.2">
      <c r="A2277" t="s">
        <v>1099</v>
      </c>
      <c r="B2277" t="s">
        <v>9</v>
      </c>
      <c r="C2277" t="s">
        <v>1553</v>
      </c>
      <c r="D2277" t="s">
        <v>1554</v>
      </c>
    </row>
    <row r="2278" spans="1:4" x14ac:dyDescent="0.2">
      <c r="A2278" t="s">
        <v>1099</v>
      </c>
      <c r="B2278" t="s">
        <v>10</v>
      </c>
      <c r="C2278" t="s">
        <v>1555</v>
      </c>
      <c r="D2278" t="s">
        <v>1554</v>
      </c>
    </row>
    <row r="2279" spans="1:4" x14ac:dyDescent="0.2">
      <c r="A2279" t="s">
        <v>1099</v>
      </c>
      <c r="B2279" t="s">
        <v>11</v>
      </c>
      <c r="C2279" t="s">
        <v>1566</v>
      </c>
      <c r="D2279" t="s">
        <v>1554</v>
      </c>
    </row>
    <row r="2280" spans="1:4" x14ac:dyDescent="0.2">
      <c r="A2280" t="s">
        <v>1099</v>
      </c>
      <c r="B2280" t="s">
        <v>13</v>
      </c>
      <c r="C2280" t="s">
        <v>1567</v>
      </c>
      <c r="D2280" t="s">
        <v>1554</v>
      </c>
    </row>
    <row r="2281" spans="1:4" x14ac:dyDescent="0.2">
      <c r="A2281" t="s">
        <v>1099</v>
      </c>
      <c r="B2281" t="s">
        <v>14</v>
      </c>
      <c r="C2281" t="s">
        <v>1568</v>
      </c>
      <c r="D2281" t="s">
        <v>1554</v>
      </c>
    </row>
    <row r="2282" spans="1:4" x14ac:dyDescent="0.2">
      <c r="A2282" t="s">
        <v>1099</v>
      </c>
      <c r="B2282" t="s">
        <v>15</v>
      </c>
      <c r="C2282" t="s">
        <v>1569</v>
      </c>
      <c r="D2282" t="s">
        <v>1554</v>
      </c>
    </row>
    <row r="2283" spans="1:4" x14ac:dyDescent="0.2">
      <c r="A2283" t="s">
        <v>1099</v>
      </c>
      <c r="B2283" t="s">
        <v>17</v>
      </c>
      <c r="C2283" t="s">
        <v>1560</v>
      </c>
      <c r="D2283" t="s">
        <v>1554</v>
      </c>
    </row>
    <row r="2284" spans="1:4" x14ac:dyDescent="0.2">
      <c r="A2284" t="s">
        <v>1099</v>
      </c>
      <c r="B2284" t="s">
        <v>19</v>
      </c>
      <c r="C2284" t="s">
        <v>1570</v>
      </c>
      <c r="D2284" t="s">
        <v>1554</v>
      </c>
    </row>
    <row r="2285" spans="1:4" x14ac:dyDescent="0.2">
      <c r="A2285" t="s">
        <v>1099</v>
      </c>
      <c r="B2285" t="s">
        <v>23</v>
      </c>
      <c r="C2285" t="s">
        <v>1556</v>
      </c>
      <c r="D2285" t="s">
        <v>1554</v>
      </c>
    </row>
    <row r="2286" spans="1:4" x14ac:dyDescent="0.2">
      <c r="A2286" t="s">
        <v>1099</v>
      </c>
      <c r="B2286" t="s">
        <v>25</v>
      </c>
      <c r="C2286" t="s">
        <v>1557</v>
      </c>
      <c r="D2286" t="s">
        <v>1554</v>
      </c>
    </row>
    <row r="2287" spans="1:4" x14ac:dyDescent="0.2">
      <c r="A2287" t="s">
        <v>1099</v>
      </c>
      <c r="B2287" t="s">
        <v>21</v>
      </c>
      <c r="C2287" t="s">
        <v>1571</v>
      </c>
      <c r="D2287" t="s">
        <v>1559</v>
      </c>
    </row>
    <row r="2288" spans="1:4" x14ac:dyDescent="0.2">
      <c r="A2288" t="s">
        <v>1099</v>
      </c>
      <c r="B2288" t="s">
        <v>22</v>
      </c>
      <c r="C2288" t="s">
        <v>1572</v>
      </c>
      <c r="D2288" t="s">
        <v>1559</v>
      </c>
    </row>
    <row r="2289" spans="1:4" x14ac:dyDescent="0.2">
      <c r="A2289" t="s">
        <v>1099</v>
      </c>
      <c r="B2289" t="s">
        <v>24</v>
      </c>
      <c r="C2289" t="s">
        <v>1558</v>
      </c>
      <c r="D2289" t="s">
        <v>1559</v>
      </c>
    </row>
    <row r="2290" spans="1:4" x14ac:dyDescent="0.2">
      <c r="A2290" t="s">
        <v>1101</v>
      </c>
      <c r="B2290" t="s">
        <v>3</v>
      </c>
      <c r="C2290" t="s">
        <v>1562</v>
      </c>
      <c r="D2290" t="s">
        <v>1554</v>
      </c>
    </row>
    <row r="2291" spans="1:4" x14ac:dyDescent="0.2">
      <c r="A2291" t="s">
        <v>1101</v>
      </c>
      <c r="B2291" t="s">
        <v>5</v>
      </c>
      <c r="C2291" t="s">
        <v>1563</v>
      </c>
      <c r="D2291" t="s">
        <v>1554</v>
      </c>
    </row>
    <row r="2292" spans="1:4" x14ac:dyDescent="0.2">
      <c r="A2292" t="s">
        <v>1101</v>
      </c>
      <c r="B2292" t="s">
        <v>6</v>
      </c>
      <c r="C2292" t="s">
        <v>1564</v>
      </c>
      <c r="D2292" t="s">
        <v>1554</v>
      </c>
    </row>
    <row r="2293" spans="1:4" x14ac:dyDescent="0.2">
      <c r="A2293" t="s">
        <v>1101</v>
      </c>
      <c r="B2293" t="s">
        <v>7</v>
      </c>
      <c r="C2293" t="s">
        <v>1565</v>
      </c>
      <c r="D2293" t="s">
        <v>1554</v>
      </c>
    </row>
    <row r="2294" spans="1:4" x14ac:dyDescent="0.2">
      <c r="A2294" t="s">
        <v>1101</v>
      </c>
      <c r="B2294" t="s">
        <v>8</v>
      </c>
      <c r="C2294" t="s">
        <v>1561</v>
      </c>
      <c r="D2294" t="s">
        <v>1554</v>
      </c>
    </row>
    <row r="2295" spans="1:4" x14ac:dyDescent="0.2">
      <c r="A2295" t="s">
        <v>1101</v>
      </c>
      <c r="B2295" t="s">
        <v>9</v>
      </c>
      <c r="C2295" t="s">
        <v>1553</v>
      </c>
      <c r="D2295" t="s">
        <v>1554</v>
      </c>
    </row>
    <row r="2296" spans="1:4" x14ac:dyDescent="0.2">
      <c r="A2296" t="s">
        <v>1101</v>
      </c>
      <c r="B2296" t="s">
        <v>10</v>
      </c>
      <c r="C2296" t="s">
        <v>1555</v>
      </c>
      <c r="D2296" t="s">
        <v>1554</v>
      </c>
    </row>
    <row r="2297" spans="1:4" x14ac:dyDescent="0.2">
      <c r="A2297" t="s">
        <v>1101</v>
      </c>
      <c r="B2297" t="s">
        <v>11</v>
      </c>
      <c r="C2297" t="s">
        <v>1566</v>
      </c>
      <c r="D2297" t="s">
        <v>1554</v>
      </c>
    </row>
    <row r="2298" spans="1:4" x14ac:dyDescent="0.2">
      <c r="A2298" t="s">
        <v>1101</v>
      </c>
      <c r="B2298" t="s">
        <v>13</v>
      </c>
      <c r="C2298" t="s">
        <v>1567</v>
      </c>
      <c r="D2298" t="s">
        <v>1554</v>
      </c>
    </row>
    <row r="2299" spans="1:4" x14ac:dyDescent="0.2">
      <c r="A2299" t="s">
        <v>1101</v>
      </c>
      <c r="B2299" t="s">
        <v>14</v>
      </c>
      <c r="C2299" t="s">
        <v>1568</v>
      </c>
      <c r="D2299" t="s">
        <v>1554</v>
      </c>
    </row>
    <row r="2300" spans="1:4" x14ac:dyDescent="0.2">
      <c r="A2300" t="s">
        <v>1101</v>
      </c>
      <c r="B2300" t="s">
        <v>15</v>
      </c>
      <c r="C2300" t="s">
        <v>1569</v>
      </c>
      <c r="D2300" t="s">
        <v>1554</v>
      </c>
    </row>
    <row r="2301" spans="1:4" x14ac:dyDescent="0.2">
      <c r="A2301" t="s">
        <v>1101</v>
      </c>
      <c r="B2301" t="s">
        <v>17</v>
      </c>
      <c r="C2301" t="s">
        <v>1560</v>
      </c>
      <c r="D2301" t="s">
        <v>1554</v>
      </c>
    </row>
    <row r="2302" spans="1:4" x14ac:dyDescent="0.2">
      <c r="A2302" t="s">
        <v>1101</v>
      </c>
      <c r="B2302" t="s">
        <v>19</v>
      </c>
      <c r="C2302" t="s">
        <v>1570</v>
      </c>
      <c r="D2302" t="s">
        <v>1554</v>
      </c>
    </row>
    <row r="2303" spans="1:4" x14ac:dyDescent="0.2">
      <c r="A2303" t="s">
        <v>1101</v>
      </c>
      <c r="B2303" t="s">
        <v>23</v>
      </c>
      <c r="C2303" t="s">
        <v>1556</v>
      </c>
      <c r="D2303" t="s">
        <v>1554</v>
      </c>
    </row>
    <row r="2304" spans="1:4" x14ac:dyDescent="0.2">
      <c r="A2304" t="s">
        <v>1101</v>
      </c>
      <c r="B2304" t="s">
        <v>25</v>
      </c>
      <c r="C2304" t="s">
        <v>1557</v>
      </c>
      <c r="D2304" t="s">
        <v>1554</v>
      </c>
    </row>
    <row r="2305" spans="1:4" x14ac:dyDescent="0.2">
      <c r="A2305" t="s">
        <v>1101</v>
      </c>
      <c r="B2305" t="s">
        <v>21</v>
      </c>
      <c r="C2305" t="s">
        <v>1571</v>
      </c>
      <c r="D2305" t="s">
        <v>1559</v>
      </c>
    </row>
    <row r="2306" spans="1:4" x14ac:dyDescent="0.2">
      <c r="A2306" t="s">
        <v>1101</v>
      </c>
      <c r="B2306" t="s">
        <v>22</v>
      </c>
      <c r="C2306" t="s">
        <v>1572</v>
      </c>
      <c r="D2306" t="s">
        <v>1559</v>
      </c>
    </row>
    <row r="2307" spans="1:4" x14ac:dyDescent="0.2">
      <c r="A2307" t="s">
        <v>1101</v>
      </c>
      <c r="B2307" t="s">
        <v>24</v>
      </c>
      <c r="C2307" t="s">
        <v>1558</v>
      </c>
      <c r="D2307" t="s">
        <v>1559</v>
      </c>
    </row>
    <row r="2308" spans="1:4" x14ac:dyDescent="0.2">
      <c r="A2308" t="s">
        <v>1103</v>
      </c>
      <c r="B2308" t="s">
        <v>3</v>
      </c>
      <c r="C2308" t="s">
        <v>1562</v>
      </c>
      <c r="D2308" t="s">
        <v>1554</v>
      </c>
    </row>
    <row r="2309" spans="1:4" x14ac:dyDescent="0.2">
      <c r="A2309" t="s">
        <v>1103</v>
      </c>
      <c r="B2309" t="s">
        <v>5</v>
      </c>
      <c r="C2309" t="s">
        <v>1563</v>
      </c>
      <c r="D2309" t="s">
        <v>1554</v>
      </c>
    </row>
    <row r="2310" spans="1:4" x14ac:dyDescent="0.2">
      <c r="A2310" t="s">
        <v>1103</v>
      </c>
      <c r="B2310" t="s">
        <v>6</v>
      </c>
      <c r="C2310" t="s">
        <v>1564</v>
      </c>
      <c r="D2310" t="s">
        <v>1554</v>
      </c>
    </row>
    <row r="2311" spans="1:4" x14ac:dyDescent="0.2">
      <c r="A2311" t="s">
        <v>1103</v>
      </c>
      <c r="B2311" t="s">
        <v>7</v>
      </c>
      <c r="C2311" t="s">
        <v>1565</v>
      </c>
      <c r="D2311" t="s">
        <v>1554</v>
      </c>
    </row>
    <row r="2312" spans="1:4" x14ac:dyDescent="0.2">
      <c r="A2312" t="s">
        <v>1103</v>
      </c>
      <c r="B2312" t="s">
        <v>8</v>
      </c>
      <c r="C2312" t="s">
        <v>1561</v>
      </c>
      <c r="D2312" t="s">
        <v>1554</v>
      </c>
    </row>
    <row r="2313" spans="1:4" x14ac:dyDescent="0.2">
      <c r="A2313" t="s">
        <v>1103</v>
      </c>
      <c r="B2313" t="s">
        <v>9</v>
      </c>
      <c r="C2313" t="s">
        <v>1553</v>
      </c>
      <c r="D2313" t="s">
        <v>1554</v>
      </c>
    </row>
    <row r="2314" spans="1:4" x14ac:dyDescent="0.2">
      <c r="A2314" t="s">
        <v>1103</v>
      </c>
      <c r="B2314" t="s">
        <v>10</v>
      </c>
      <c r="C2314" t="s">
        <v>1555</v>
      </c>
      <c r="D2314" t="s">
        <v>1554</v>
      </c>
    </row>
    <row r="2315" spans="1:4" x14ac:dyDescent="0.2">
      <c r="A2315" t="s">
        <v>1103</v>
      </c>
      <c r="B2315" t="s">
        <v>11</v>
      </c>
      <c r="C2315" t="s">
        <v>1566</v>
      </c>
      <c r="D2315" t="s">
        <v>1554</v>
      </c>
    </row>
    <row r="2316" spans="1:4" x14ac:dyDescent="0.2">
      <c r="A2316" t="s">
        <v>1103</v>
      </c>
      <c r="B2316" t="s">
        <v>13</v>
      </c>
      <c r="C2316" t="s">
        <v>1567</v>
      </c>
      <c r="D2316" t="s">
        <v>1554</v>
      </c>
    </row>
    <row r="2317" spans="1:4" x14ac:dyDescent="0.2">
      <c r="A2317" t="s">
        <v>1103</v>
      </c>
      <c r="B2317" t="s">
        <v>14</v>
      </c>
      <c r="C2317" t="s">
        <v>1568</v>
      </c>
      <c r="D2317" t="s">
        <v>1554</v>
      </c>
    </row>
    <row r="2318" spans="1:4" x14ac:dyDescent="0.2">
      <c r="A2318" t="s">
        <v>1103</v>
      </c>
      <c r="B2318" t="s">
        <v>15</v>
      </c>
      <c r="C2318" t="s">
        <v>1569</v>
      </c>
      <c r="D2318" t="s">
        <v>1554</v>
      </c>
    </row>
    <row r="2319" spans="1:4" x14ac:dyDescent="0.2">
      <c r="A2319" t="s">
        <v>1103</v>
      </c>
      <c r="B2319" t="s">
        <v>17</v>
      </c>
      <c r="C2319" t="s">
        <v>1560</v>
      </c>
      <c r="D2319" t="s">
        <v>1554</v>
      </c>
    </row>
    <row r="2320" spans="1:4" x14ac:dyDescent="0.2">
      <c r="A2320" t="s">
        <v>1103</v>
      </c>
      <c r="B2320" t="s">
        <v>19</v>
      </c>
      <c r="C2320" t="s">
        <v>1570</v>
      </c>
      <c r="D2320" t="s">
        <v>1554</v>
      </c>
    </row>
    <row r="2321" spans="1:4" x14ac:dyDescent="0.2">
      <c r="A2321" t="s">
        <v>1103</v>
      </c>
      <c r="B2321" t="s">
        <v>23</v>
      </c>
      <c r="C2321" t="s">
        <v>1556</v>
      </c>
      <c r="D2321" t="s">
        <v>1554</v>
      </c>
    </row>
    <row r="2322" spans="1:4" x14ac:dyDescent="0.2">
      <c r="A2322" t="s">
        <v>1103</v>
      </c>
      <c r="B2322" t="s">
        <v>25</v>
      </c>
      <c r="C2322" t="s">
        <v>1557</v>
      </c>
      <c r="D2322" t="s">
        <v>1554</v>
      </c>
    </row>
    <row r="2323" spans="1:4" x14ac:dyDescent="0.2">
      <c r="A2323" t="s">
        <v>1103</v>
      </c>
      <c r="B2323" t="s">
        <v>21</v>
      </c>
      <c r="C2323" t="s">
        <v>1571</v>
      </c>
      <c r="D2323" t="s">
        <v>1559</v>
      </c>
    </row>
    <row r="2324" spans="1:4" x14ac:dyDescent="0.2">
      <c r="A2324" t="s">
        <v>1103</v>
      </c>
      <c r="B2324" t="s">
        <v>22</v>
      </c>
      <c r="C2324" t="s">
        <v>1572</v>
      </c>
      <c r="D2324" t="s">
        <v>1559</v>
      </c>
    </row>
    <row r="2325" spans="1:4" x14ac:dyDescent="0.2">
      <c r="A2325" t="s">
        <v>1103</v>
      </c>
      <c r="B2325" t="s">
        <v>24</v>
      </c>
      <c r="C2325" t="s">
        <v>1558</v>
      </c>
      <c r="D2325" t="s">
        <v>1559</v>
      </c>
    </row>
    <row r="2326" spans="1:4" x14ac:dyDescent="0.2">
      <c r="A2326" t="s">
        <v>1107</v>
      </c>
      <c r="B2326" t="s">
        <v>6</v>
      </c>
      <c r="C2326" t="s">
        <v>1564</v>
      </c>
      <c r="D2326" t="s">
        <v>1554</v>
      </c>
    </row>
    <row r="2327" spans="1:4" x14ac:dyDescent="0.2">
      <c r="A2327" t="s">
        <v>1107</v>
      </c>
      <c r="B2327" t="s">
        <v>7</v>
      </c>
      <c r="C2327" t="s">
        <v>1565</v>
      </c>
      <c r="D2327" t="s">
        <v>1554</v>
      </c>
    </row>
    <row r="2328" spans="1:4" x14ac:dyDescent="0.2">
      <c r="A2328" t="s">
        <v>1107</v>
      </c>
      <c r="B2328" t="s">
        <v>8</v>
      </c>
      <c r="C2328" t="s">
        <v>1561</v>
      </c>
      <c r="D2328" t="s">
        <v>1554</v>
      </c>
    </row>
    <row r="2329" spans="1:4" x14ac:dyDescent="0.2">
      <c r="A2329" t="s">
        <v>1107</v>
      </c>
      <c r="B2329" t="s">
        <v>9</v>
      </c>
      <c r="C2329" t="s">
        <v>1553</v>
      </c>
      <c r="D2329" t="s">
        <v>1554</v>
      </c>
    </row>
    <row r="2330" spans="1:4" x14ac:dyDescent="0.2">
      <c r="A2330" t="s">
        <v>1107</v>
      </c>
      <c r="B2330" t="s">
        <v>10</v>
      </c>
      <c r="C2330" t="s">
        <v>1555</v>
      </c>
      <c r="D2330" t="s">
        <v>1554</v>
      </c>
    </row>
    <row r="2331" spans="1:4" x14ac:dyDescent="0.2">
      <c r="A2331" t="s">
        <v>1107</v>
      </c>
      <c r="B2331" t="s">
        <v>11</v>
      </c>
      <c r="C2331" t="s">
        <v>1566</v>
      </c>
      <c r="D2331" t="s">
        <v>1554</v>
      </c>
    </row>
    <row r="2332" spans="1:4" x14ac:dyDescent="0.2">
      <c r="A2332" t="s">
        <v>1107</v>
      </c>
      <c r="B2332" t="s">
        <v>13</v>
      </c>
      <c r="C2332" t="s">
        <v>1567</v>
      </c>
      <c r="D2332" t="s">
        <v>1554</v>
      </c>
    </row>
    <row r="2333" spans="1:4" x14ac:dyDescent="0.2">
      <c r="A2333" t="s">
        <v>1107</v>
      </c>
      <c r="B2333" t="s">
        <v>14</v>
      </c>
      <c r="C2333" t="s">
        <v>1568</v>
      </c>
      <c r="D2333" t="s">
        <v>1554</v>
      </c>
    </row>
    <row r="2334" spans="1:4" x14ac:dyDescent="0.2">
      <c r="A2334" t="s">
        <v>1107</v>
      </c>
      <c r="B2334" t="s">
        <v>15</v>
      </c>
      <c r="C2334" t="s">
        <v>1569</v>
      </c>
      <c r="D2334" t="s">
        <v>1554</v>
      </c>
    </row>
    <row r="2335" spans="1:4" x14ac:dyDescent="0.2">
      <c r="A2335" t="s">
        <v>1107</v>
      </c>
      <c r="B2335" t="s">
        <v>17</v>
      </c>
      <c r="C2335" t="s">
        <v>1560</v>
      </c>
      <c r="D2335" t="s">
        <v>1554</v>
      </c>
    </row>
    <row r="2336" spans="1:4" x14ac:dyDescent="0.2">
      <c r="A2336" t="s">
        <v>1107</v>
      </c>
      <c r="B2336" t="s">
        <v>19</v>
      </c>
      <c r="C2336" t="s">
        <v>1570</v>
      </c>
      <c r="D2336" t="s">
        <v>1554</v>
      </c>
    </row>
    <row r="2337" spans="1:4" x14ac:dyDescent="0.2">
      <c r="A2337" t="s">
        <v>1107</v>
      </c>
      <c r="B2337" t="s">
        <v>23</v>
      </c>
      <c r="C2337" t="s">
        <v>1556</v>
      </c>
      <c r="D2337" t="s">
        <v>1554</v>
      </c>
    </row>
    <row r="2338" spans="1:4" x14ac:dyDescent="0.2">
      <c r="A2338" t="s">
        <v>1107</v>
      </c>
      <c r="B2338" t="s">
        <v>25</v>
      </c>
      <c r="C2338" t="s">
        <v>1557</v>
      </c>
      <c r="D2338" t="s">
        <v>1554</v>
      </c>
    </row>
    <row r="2339" spans="1:4" x14ac:dyDescent="0.2">
      <c r="A2339" t="s">
        <v>1113</v>
      </c>
      <c r="B2339" t="s">
        <v>6</v>
      </c>
      <c r="C2339" t="s">
        <v>1564</v>
      </c>
      <c r="D2339" t="s">
        <v>1554</v>
      </c>
    </row>
    <row r="2340" spans="1:4" x14ac:dyDescent="0.2">
      <c r="A2340" t="s">
        <v>1113</v>
      </c>
      <c r="B2340" t="s">
        <v>7</v>
      </c>
      <c r="C2340" t="s">
        <v>1565</v>
      </c>
      <c r="D2340" t="s">
        <v>1554</v>
      </c>
    </row>
    <row r="2341" spans="1:4" x14ac:dyDescent="0.2">
      <c r="A2341" t="s">
        <v>1113</v>
      </c>
      <c r="B2341" t="s">
        <v>8</v>
      </c>
      <c r="C2341" t="s">
        <v>1561</v>
      </c>
      <c r="D2341" t="s">
        <v>1554</v>
      </c>
    </row>
    <row r="2342" spans="1:4" x14ac:dyDescent="0.2">
      <c r="A2342" t="s">
        <v>1113</v>
      </c>
      <c r="B2342" t="s">
        <v>9</v>
      </c>
      <c r="C2342" t="s">
        <v>1553</v>
      </c>
      <c r="D2342" t="s">
        <v>1554</v>
      </c>
    </row>
    <row r="2343" spans="1:4" x14ac:dyDescent="0.2">
      <c r="A2343" t="s">
        <v>1113</v>
      </c>
      <c r="B2343" t="s">
        <v>10</v>
      </c>
      <c r="C2343" t="s">
        <v>1555</v>
      </c>
      <c r="D2343" t="s">
        <v>1554</v>
      </c>
    </row>
    <row r="2344" spans="1:4" x14ac:dyDescent="0.2">
      <c r="A2344" t="s">
        <v>1113</v>
      </c>
      <c r="B2344" t="s">
        <v>11</v>
      </c>
      <c r="C2344" t="s">
        <v>1566</v>
      </c>
      <c r="D2344" t="s">
        <v>1554</v>
      </c>
    </row>
    <row r="2345" spans="1:4" x14ac:dyDescent="0.2">
      <c r="A2345" t="s">
        <v>1113</v>
      </c>
      <c r="B2345" t="s">
        <v>13</v>
      </c>
      <c r="C2345" t="s">
        <v>1567</v>
      </c>
      <c r="D2345" t="s">
        <v>1554</v>
      </c>
    </row>
    <row r="2346" spans="1:4" x14ac:dyDescent="0.2">
      <c r="A2346" t="s">
        <v>1113</v>
      </c>
      <c r="B2346" t="s">
        <v>14</v>
      </c>
      <c r="C2346" t="s">
        <v>1568</v>
      </c>
      <c r="D2346" t="s">
        <v>1554</v>
      </c>
    </row>
    <row r="2347" spans="1:4" x14ac:dyDescent="0.2">
      <c r="A2347" t="s">
        <v>1113</v>
      </c>
      <c r="B2347" t="s">
        <v>15</v>
      </c>
      <c r="C2347" t="s">
        <v>1569</v>
      </c>
      <c r="D2347" t="s">
        <v>1554</v>
      </c>
    </row>
    <row r="2348" spans="1:4" x14ac:dyDescent="0.2">
      <c r="A2348" t="s">
        <v>1113</v>
      </c>
      <c r="B2348" t="s">
        <v>17</v>
      </c>
      <c r="C2348" t="s">
        <v>1560</v>
      </c>
      <c r="D2348" t="s">
        <v>1554</v>
      </c>
    </row>
    <row r="2349" spans="1:4" x14ac:dyDescent="0.2">
      <c r="A2349" t="s">
        <v>1113</v>
      </c>
      <c r="B2349" t="s">
        <v>19</v>
      </c>
      <c r="C2349" t="s">
        <v>1570</v>
      </c>
      <c r="D2349" t="s">
        <v>1554</v>
      </c>
    </row>
    <row r="2350" spans="1:4" x14ac:dyDescent="0.2">
      <c r="A2350" t="s">
        <v>1113</v>
      </c>
      <c r="B2350" t="s">
        <v>23</v>
      </c>
      <c r="C2350" t="s">
        <v>1556</v>
      </c>
      <c r="D2350" t="s">
        <v>1554</v>
      </c>
    </row>
    <row r="2351" spans="1:4" x14ac:dyDescent="0.2">
      <c r="A2351" t="s">
        <v>1113</v>
      </c>
      <c r="B2351" t="s">
        <v>25</v>
      </c>
      <c r="C2351" t="s">
        <v>1557</v>
      </c>
      <c r="D2351" t="s">
        <v>1554</v>
      </c>
    </row>
    <row r="2352" spans="1:4" x14ac:dyDescent="0.2">
      <c r="A2352" t="s">
        <v>1113</v>
      </c>
      <c r="B2352" t="s">
        <v>21</v>
      </c>
      <c r="C2352" t="s">
        <v>1571</v>
      </c>
      <c r="D2352" t="s">
        <v>1559</v>
      </c>
    </row>
    <row r="2353" spans="1:4" x14ac:dyDescent="0.2">
      <c r="A2353" t="s">
        <v>1113</v>
      </c>
      <c r="B2353" t="s">
        <v>22</v>
      </c>
      <c r="C2353" t="s">
        <v>1572</v>
      </c>
      <c r="D2353" t="s">
        <v>1559</v>
      </c>
    </row>
    <row r="2354" spans="1:4" x14ac:dyDescent="0.2">
      <c r="A2354" t="s">
        <v>1113</v>
      </c>
      <c r="B2354" t="s">
        <v>24</v>
      </c>
      <c r="C2354" t="s">
        <v>1558</v>
      </c>
      <c r="D2354" t="s">
        <v>1559</v>
      </c>
    </row>
    <row r="2355" spans="1:4" x14ac:dyDescent="0.2">
      <c r="A2355" t="s">
        <v>1117</v>
      </c>
      <c r="B2355" t="s">
        <v>6</v>
      </c>
      <c r="C2355" t="s">
        <v>1564</v>
      </c>
      <c r="D2355" t="s">
        <v>1554</v>
      </c>
    </row>
    <row r="2356" spans="1:4" x14ac:dyDescent="0.2">
      <c r="A2356" t="s">
        <v>1117</v>
      </c>
      <c r="B2356" t="s">
        <v>7</v>
      </c>
      <c r="C2356" t="s">
        <v>1565</v>
      </c>
      <c r="D2356" t="s">
        <v>1554</v>
      </c>
    </row>
    <row r="2357" spans="1:4" x14ac:dyDescent="0.2">
      <c r="A2357" t="s">
        <v>1117</v>
      </c>
      <c r="B2357" t="s">
        <v>8</v>
      </c>
      <c r="C2357" t="s">
        <v>1561</v>
      </c>
      <c r="D2357" t="s">
        <v>1554</v>
      </c>
    </row>
    <row r="2358" spans="1:4" x14ac:dyDescent="0.2">
      <c r="A2358" t="s">
        <v>1117</v>
      </c>
      <c r="B2358" t="s">
        <v>9</v>
      </c>
      <c r="C2358" t="s">
        <v>1553</v>
      </c>
      <c r="D2358" t="s">
        <v>1554</v>
      </c>
    </row>
    <row r="2359" spans="1:4" x14ac:dyDescent="0.2">
      <c r="A2359" t="s">
        <v>1117</v>
      </c>
      <c r="B2359" t="s">
        <v>10</v>
      </c>
      <c r="C2359" t="s">
        <v>1555</v>
      </c>
      <c r="D2359" t="s">
        <v>1554</v>
      </c>
    </row>
    <row r="2360" spans="1:4" x14ac:dyDescent="0.2">
      <c r="A2360" t="s">
        <v>1117</v>
      </c>
      <c r="B2360" t="s">
        <v>11</v>
      </c>
      <c r="C2360" t="s">
        <v>1566</v>
      </c>
      <c r="D2360" t="s">
        <v>1554</v>
      </c>
    </row>
    <row r="2361" spans="1:4" x14ac:dyDescent="0.2">
      <c r="A2361" t="s">
        <v>1117</v>
      </c>
      <c r="B2361" t="s">
        <v>13</v>
      </c>
      <c r="C2361" t="s">
        <v>1567</v>
      </c>
      <c r="D2361" t="s">
        <v>1554</v>
      </c>
    </row>
    <row r="2362" spans="1:4" x14ac:dyDescent="0.2">
      <c r="A2362" t="s">
        <v>1117</v>
      </c>
      <c r="B2362" t="s">
        <v>14</v>
      </c>
      <c r="C2362" t="s">
        <v>1568</v>
      </c>
      <c r="D2362" t="s">
        <v>1554</v>
      </c>
    </row>
    <row r="2363" spans="1:4" x14ac:dyDescent="0.2">
      <c r="A2363" t="s">
        <v>1117</v>
      </c>
      <c r="B2363" t="s">
        <v>15</v>
      </c>
      <c r="C2363" t="s">
        <v>1569</v>
      </c>
      <c r="D2363" t="s">
        <v>1554</v>
      </c>
    </row>
    <row r="2364" spans="1:4" x14ac:dyDescent="0.2">
      <c r="A2364" t="s">
        <v>1117</v>
      </c>
      <c r="B2364" t="s">
        <v>17</v>
      </c>
      <c r="C2364" t="s">
        <v>1560</v>
      </c>
      <c r="D2364" t="s">
        <v>1554</v>
      </c>
    </row>
    <row r="2365" spans="1:4" x14ac:dyDescent="0.2">
      <c r="A2365" t="s">
        <v>1117</v>
      </c>
      <c r="B2365" t="s">
        <v>19</v>
      </c>
      <c r="C2365" t="s">
        <v>1570</v>
      </c>
      <c r="D2365" t="s">
        <v>1554</v>
      </c>
    </row>
    <row r="2366" spans="1:4" x14ac:dyDescent="0.2">
      <c r="A2366" t="s">
        <v>1117</v>
      </c>
      <c r="B2366" t="s">
        <v>23</v>
      </c>
      <c r="C2366" t="s">
        <v>1556</v>
      </c>
      <c r="D2366" t="s">
        <v>1554</v>
      </c>
    </row>
    <row r="2367" spans="1:4" x14ac:dyDescent="0.2">
      <c r="A2367" t="s">
        <v>1117</v>
      </c>
      <c r="B2367" t="s">
        <v>25</v>
      </c>
      <c r="C2367" t="s">
        <v>1557</v>
      </c>
      <c r="D2367" t="s">
        <v>1554</v>
      </c>
    </row>
    <row r="2368" spans="1:4" x14ac:dyDescent="0.2">
      <c r="A2368" t="s">
        <v>1123</v>
      </c>
      <c r="B2368" t="s">
        <v>8</v>
      </c>
      <c r="C2368" t="s">
        <v>1561</v>
      </c>
      <c r="D2368" t="s">
        <v>1554</v>
      </c>
    </row>
    <row r="2369" spans="1:4" x14ac:dyDescent="0.2">
      <c r="A2369" t="s">
        <v>1123</v>
      </c>
      <c r="B2369" t="s">
        <v>10</v>
      </c>
      <c r="C2369" t="s">
        <v>1555</v>
      </c>
      <c r="D2369" t="s">
        <v>1554</v>
      </c>
    </row>
    <row r="2370" spans="1:4" x14ac:dyDescent="0.2">
      <c r="A2370" t="s">
        <v>1123</v>
      </c>
      <c r="B2370" t="s">
        <v>15</v>
      </c>
      <c r="C2370" t="s">
        <v>1569</v>
      </c>
      <c r="D2370" t="s">
        <v>1554</v>
      </c>
    </row>
    <row r="2371" spans="1:4" x14ac:dyDescent="0.2">
      <c r="A2371" t="s">
        <v>1123</v>
      </c>
      <c r="B2371" t="s">
        <v>17</v>
      </c>
      <c r="C2371" t="s">
        <v>1560</v>
      </c>
      <c r="D2371" t="s">
        <v>1554</v>
      </c>
    </row>
    <row r="2372" spans="1:4" x14ac:dyDescent="0.2">
      <c r="A2372" t="s">
        <v>1123</v>
      </c>
      <c r="B2372" t="s">
        <v>19</v>
      </c>
      <c r="C2372" t="s">
        <v>1570</v>
      </c>
      <c r="D2372" t="s">
        <v>1554</v>
      </c>
    </row>
    <row r="2373" spans="1:4" x14ac:dyDescent="0.2">
      <c r="A2373" t="s">
        <v>1123</v>
      </c>
      <c r="B2373" t="s">
        <v>23</v>
      </c>
      <c r="C2373" t="s">
        <v>1556</v>
      </c>
      <c r="D2373" t="s">
        <v>1554</v>
      </c>
    </row>
    <row r="2374" spans="1:4" x14ac:dyDescent="0.2">
      <c r="A2374" t="s">
        <v>1123</v>
      </c>
      <c r="B2374" t="s">
        <v>25</v>
      </c>
      <c r="C2374" t="s">
        <v>1557</v>
      </c>
      <c r="D2374" t="s">
        <v>1554</v>
      </c>
    </row>
    <row r="2375" spans="1:4" x14ac:dyDescent="0.2">
      <c r="A2375" t="s">
        <v>1123</v>
      </c>
      <c r="B2375" t="s">
        <v>24</v>
      </c>
      <c r="C2375" t="s">
        <v>1558</v>
      </c>
      <c r="D2375" t="s">
        <v>1559</v>
      </c>
    </row>
    <row r="2376" spans="1:4" x14ac:dyDescent="0.2">
      <c r="A2376" t="s">
        <v>1130</v>
      </c>
      <c r="B2376" t="s">
        <v>3</v>
      </c>
      <c r="C2376" t="s">
        <v>1562</v>
      </c>
      <c r="D2376" t="s">
        <v>1554</v>
      </c>
    </row>
    <row r="2377" spans="1:4" x14ac:dyDescent="0.2">
      <c r="A2377" t="s">
        <v>1130</v>
      </c>
      <c r="B2377" t="s">
        <v>5</v>
      </c>
      <c r="C2377" t="s">
        <v>1563</v>
      </c>
      <c r="D2377" t="s">
        <v>1554</v>
      </c>
    </row>
    <row r="2378" spans="1:4" x14ac:dyDescent="0.2">
      <c r="A2378" t="s">
        <v>1130</v>
      </c>
      <c r="B2378" t="s">
        <v>6</v>
      </c>
      <c r="C2378" t="s">
        <v>1564</v>
      </c>
      <c r="D2378" t="s">
        <v>1554</v>
      </c>
    </row>
    <row r="2379" spans="1:4" x14ac:dyDescent="0.2">
      <c r="A2379" t="s">
        <v>1130</v>
      </c>
      <c r="B2379" t="s">
        <v>7</v>
      </c>
      <c r="C2379" t="s">
        <v>1565</v>
      </c>
      <c r="D2379" t="s">
        <v>1554</v>
      </c>
    </row>
    <row r="2380" spans="1:4" x14ac:dyDescent="0.2">
      <c r="A2380" t="s">
        <v>1130</v>
      </c>
      <c r="B2380" t="s">
        <v>8</v>
      </c>
      <c r="C2380" t="s">
        <v>1561</v>
      </c>
      <c r="D2380" t="s">
        <v>1554</v>
      </c>
    </row>
    <row r="2381" spans="1:4" x14ac:dyDescent="0.2">
      <c r="A2381" t="s">
        <v>1130</v>
      </c>
      <c r="B2381" t="s">
        <v>9</v>
      </c>
      <c r="C2381" t="s">
        <v>1553</v>
      </c>
      <c r="D2381" t="s">
        <v>1554</v>
      </c>
    </row>
    <row r="2382" spans="1:4" x14ac:dyDescent="0.2">
      <c r="A2382" t="s">
        <v>1130</v>
      </c>
      <c r="B2382" t="s">
        <v>10</v>
      </c>
      <c r="C2382" t="s">
        <v>1555</v>
      </c>
      <c r="D2382" t="s">
        <v>1554</v>
      </c>
    </row>
    <row r="2383" spans="1:4" x14ac:dyDescent="0.2">
      <c r="A2383" t="s">
        <v>1130</v>
      </c>
      <c r="B2383" t="s">
        <v>11</v>
      </c>
      <c r="C2383" t="s">
        <v>1566</v>
      </c>
      <c r="D2383" t="s">
        <v>1554</v>
      </c>
    </row>
    <row r="2384" spans="1:4" x14ac:dyDescent="0.2">
      <c r="A2384" t="s">
        <v>1130</v>
      </c>
      <c r="B2384" t="s">
        <v>13</v>
      </c>
      <c r="C2384" t="s">
        <v>1567</v>
      </c>
      <c r="D2384" t="s">
        <v>1554</v>
      </c>
    </row>
    <row r="2385" spans="1:4" x14ac:dyDescent="0.2">
      <c r="A2385" t="s">
        <v>1130</v>
      </c>
      <c r="B2385" t="s">
        <v>14</v>
      </c>
      <c r="C2385" t="s">
        <v>1568</v>
      </c>
      <c r="D2385" t="s">
        <v>1554</v>
      </c>
    </row>
    <row r="2386" spans="1:4" x14ac:dyDescent="0.2">
      <c r="A2386" t="s">
        <v>1130</v>
      </c>
      <c r="B2386" t="s">
        <v>15</v>
      </c>
      <c r="C2386" t="s">
        <v>1569</v>
      </c>
      <c r="D2386" t="s">
        <v>1554</v>
      </c>
    </row>
    <row r="2387" spans="1:4" x14ac:dyDescent="0.2">
      <c r="A2387" t="s">
        <v>1130</v>
      </c>
      <c r="B2387" t="s">
        <v>17</v>
      </c>
      <c r="C2387" t="s">
        <v>1560</v>
      </c>
      <c r="D2387" t="s">
        <v>1554</v>
      </c>
    </row>
    <row r="2388" spans="1:4" x14ac:dyDescent="0.2">
      <c r="A2388" t="s">
        <v>1130</v>
      </c>
      <c r="B2388" t="s">
        <v>19</v>
      </c>
      <c r="C2388" t="s">
        <v>1570</v>
      </c>
      <c r="D2388" t="s">
        <v>1554</v>
      </c>
    </row>
    <row r="2389" spans="1:4" x14ac:dyDescent="0.2">
      <c r="A2389" t="s">
        <v>1130</v>
      </c>
      <c r="B2389" t="s">
        <v>23</v>
      </c>
      <c r="C2389" t="s">
        <v>1556</v>
      </c>
      <c r="D2389" t="s">
        <v>1554</v>
      </c>
    </row>
    <row r="2390" spans="1:4" x14ac:dyDescent="0.2">
      <c r="A2390" t="s">
        <v>1130</v>
      </c>
      <c r="B2390" t="s">
        <v>25</v>
      </c>
      <c r="C2390" t="s">
        <v>1557</v>
      </c>
      <c r="D2390" t="s">
        <v>1554</v>
      </c>
    </row>
    <row r="2391" spans="1:4" x14ac:dyDescent="0.2">
      <c r="A2391" t="s">
        <v>1130</v>
      </c>
      <c r="B2391" t="s">
        <v>21</v>
      </c>
      <c r="C2391" t="s">
        <v>1571</v>
      </c>
      <c r="D2391" t="s">
        <v>1559</v>
      </c>
    </row>
    <row r="2392" spans="1:4" x14ac:dyDescent="0.2">
      <c r="A2392" t="s">
        <v>1130</v>
      </c>
      <c r="B2392" t="s">
        <v>22</v>
      </c>
      <c r="C2392" t="s">
        <v>1572</v>
      </c>
      <c r="D2392" t="s">
        <v>1559</v>
      </c>
    </row>
    <row r="2393" spans="1:4" x14ac:dyDescent="0.2">
      <c r="A2393" t="s">
        <v>1130</v>
      </c>
      <c r="B2393" t="s">
        <v>24</v>
      </c>
      <c r="C2393" t="s">
        <v>1558</v>
      </c>
      <c r="D2393" t="s">
        <v>1559</v>
      </c>
    </row>
    <row r="2394" spans="1:4" x14ac:dyDescent="0.2">
      <c r="A2394" t="s">
        <v>1135</v>
      </c>
      <c r="B2394" t="s">
        <v>3</v>
      </c>
      <c r="C2394" t="s">
        <v>1562</v>
      </c>
      <c r="D2394" t="s">
        <v>1554</v>
      </c>
    </row>
    <row r="2395" spans="1:4" x14ac:dyDescent="0.2">
      <c r="A2395" t="s">
        <v>1135</v>
      </c>
      <c r="B2395" t="s">
        <v>5</v>
      </c>
      <c r="C2395" t="s">
        <v>1563</v>
      </c>
      <c r="D2395" t="s">
        <v>1554</v>
      </c>
    </row>
    <row r="2396" spans="1:4" x14ac:dyDescent="0.2">
      <c r="A2396" t="s">
        <v>1135</v>
      </c>
      <c r="B2396" t="s">
        <v>6</v>
      </c>
      <c r="C2396" t="s">
        <v>1564</v>
      </c>
      <c r="D2396" t="s">
        <v>1554</v>
      </c>
    </row>
    <row r="2397" spans="1:4" x14ac:dyDescent="0.2">
      <c r="A2397" t="s">
        <v>1135</v>
      </c>
      <c r="B2397" t="s">
        <v>7</v>
      </c>
      <c r="C2397" t="s">
        <v>1565</v>
      </c>
      <c r="D2397" t="s">
        <v>1554</v>
      </c>
    </row>
    <row r="2398" spans="1:4" x14ac:dyDescent="0.2">
      <c r="A2398" t="s">
        <v>1135</v>
      </c>
      <c r="B2398" t="s">
        <v>8</v>
      </c>
      <c r="C2398" t="s">
        <v>1561</v>
      </c>
      <c r="D2398" t="s">
        <v>1554</v>
      </c>
    </row>
    <row r="2399" spans="1:4" x14ac:dyDescent="0.2">
      <c r="A2399" t="s">
        <v>1135</v>
      </c>
      <c r="B2399" t="s">
        <v>9</v>
      </c>
      <c r="C2399" t="s">
        <v>1553</v>
      </c>
      <c r="D2399" t="s">
        <v>1554</v>
      </c>
    </row>
    <row r="2400" spans="1:4" x14ac:dyDescent="0.2">
      <c r="A2400" t="s">
        <v>1135</v>
      </c>
      <c r="B2400" t="s">
        <v>10</v>
      </c>
      <c r="C2400" t="s">
        <v>1555</v>
      </c>
      <c r="D2400" t="s">
        <v>1554</v>
      </c>
    </row>
    <row r="2401" spans="1:4" x14ac:dyDescent="0.2">
      <c r="A2401" t="s">
        <v>1135</v>
      </c>
      <c r="B2401" t="s">
        <v>11</v>
      </c>
      <c r="C2401" t="s">
        <v>1566</v>
      </c>
      <c r="D2401" t="s">
        <v>1554</v>
      </c>
    </row>
    <row r="2402" spans="1:4" x14ac:dyDescent="0.2">
      <c r="A2402" t="s">
        <v>1135</v>
      </c>
      <c r="B2402" t="s">
        <v>13</v>
      </c>
      <c r="C2402" t="s">
        <v>1567</v>
      </c>
      <c r="D2402" t="s">
        <v>1554</v>
      </c>
    </row>
    <row r="2403" spans="1:4" x14ac:dyDescent="0.2">
      <c r="A2403" t="s">
        <v>1135</v>
      </c>
      <c r="B2403" t="s">
        <v>14</v>
      </c>
      <c r="C2403" t="s">
        <v>1568</v>
      </c>
      <c r="D2403" t="s">
        <v>1554</v>
      </c>
    </row>
    <row r="2404" spans="1:4" x14ac:dyDescent="0.2">
      <c r="A2404" t="s">
        <v>1135</v>
      </c>
      <c r="B2404" t="s">
        <v>15</v>
      </c>
      <c r="C2404" t="s">
        <v>1569</v>
      </c>
      <c r="D2404" t="s">
        <v>1554</v>
      </c>
    </row>
    <row r="2405" spans="1:4" x14ac:dyDescent="0.2">
      <c r="A2405" t="s">
        <v>1135</v>
      </c>
      <c r="B2405" t="s">
        <v>17</v>
      </c>
      <c r="C2405" t="s">
        <v>1560</v>
      </c>
      <c r="D2405" t="s">
        <v>1554</v>
      </c>
    </row>
    <row r="2406" spans="1:4" x14ac:dyDescent="0.2">
      <c r="A2406" t="s">
        <v>1135</v>
      </c>
      <c r="B2406" t="s">
        <v>19</v>
      </c>
      <c r="C2406" t="s">
        <v>1570</v>
      </c>
      <c r="D2406" t="s">
        <v>1554</v>
      </c>
    </row>
    <row r="2407" spans="1:4" x14ac:dyDescent="0.2">
      <c r="A2407" t="s">
        <v>1135</v>
      </c>
      <c r="B2407" t="s">
        <v>23</v>
      </c>
      <c r="C2407" t="s">
        <v>1556</v>
      </c>
      <c r="D2407" t="s">
        <v>1554</v>
      </c>
    </row>
    <row r="2408" spans="1:4" x14ac:dyDescent="0.2">
      <c r="A2408" t="s">
        <v>1135</v>
      </c>
      <c r="B2408" t="s">
        <v>25</v>
      </c>
      <c r="C2408" t="s">
        <v>1557</v>
      </c>
      <c r="D2408" t="s">
        <v>1554</v>
      </c>
    </row>
    <row r="2409" spans="1:4" x14ac:dyDescent="0.2">
      <c r="A2409" t="s">
        <v>1135</v>
      </c>
      <c r="B2409" t="s">
        <v>24</v>
      </c>
      <c r="C2409" t="s">
        <v>1558</v>
      </c>
      <c r="D2409" t="s">
        <v>1559</v>
      </c>
    </row>
    <row r="2410" spans="1:4" x14ac:dyDescent="0.2">
      <c r="A2410" t="s">
        <v>1141</v>
      </c>
      <c r="B2410" t="s">
        <v>9</v>
      </c>
      <c r="C2410" t="s">
        <v>1553</v>
      </c>
      <c r="D2410" t="s">
        <v>1554</v>
      </c>
    </row>
    <row r="2411" spans="1:4" x14ac:dyDescent="0.2">
      <c r="A2411" t="s">
        <v>1141</v>
      </c>
      <c r="B2411" t="s">
        <v>10</v>
      </c>
      <c r="C2411" t="s">
        <v>1555</v>
      </c>
      <c r="D2411" t="s">
        <v>1554</v>
      </c>
    </row>
    <row r="2412" spans="1:4" x14ac:dyDescent="0.2">
      <c r="A2412" t="s">
        <v>1141</v>
      </c>
      <c r="B2412" t="s">
        <v>13</v>
      </c>
      <c r="C2412" t="s">
        <v>1567</v>
      </c>
      <c r="D2412" t="s">
        <v>1554</v>
      </c>
    </row>
    <row r="2413" spans="1:4" x14ac:dyDescent="0.2">
      <c r="A2413" t="s">
        <v>1141</v>
      </c>
      <c r="B2413" t="s">
        <v>14</v>
      </c>
      <c r="C2413" t="s">
        <v>1568</v>
      </c>
      <c r="D2413" t="s">
        <v>1554</v>
      </c>
    </row>
    <row r="2414" spans="1:4" x14ac:dyDescent="0.2">
      <c r="A2414" t="s">
        <v>1141</v>
      </c>
      <c r="B2414" t="s">
        <v>15</v>
      </c>
      <c r="C2414" t="s">
        <v>1569</v>
      </c>
      <c r="D2414" t="s">
        <v>1554</v>
      </c>
    </row>
    <row r="2415" spans="1:4" x14ac:dyDescent="0.2">
      <c r="A2415" t="s">
        <v>1141</v>
      </c>
      <c r="B2415" t="s">
        <v>17</v>
      </c>
      <c r="C2415" t="s">
        <v>1560</v>
      </c>
      <c r="D2415" t="s">
        <v>1554</v>
      </c>
    </row>
    <row r="2416" spans="1:4" x14ac:dyDescent="0.2">
      <c r="A2416" t="s">
        <v>1141</v>
      </c>
      <c r="B2416" t="s">
        <v>19</v>
      </c>
      <c r="C2416" t="s">
        <v>1570</v>
      </c>
      <c r="D2416" t="s">
        <v>1554</v>
      </c>
    </row>
    <row r="2417" spans="1:4" x14ac:dyDescent="0.2">
      <c r="A2417" t="s">
        <v>1141</v>
      </c>
      <c r="B2417" t="s">
        <v>23</v>
      </c>
      <c r="C2417" t="s">
        <v>1556</v>
      </c>
      <c r="D2417" t="s">
        <v>1554</v>
      </c>
    </row>
    <row r="2418" spans="1:4" x14ac:dyDescent="0.2">
      <c r="A2418" t="s">
        <v>1141</v>
      </c>
      <c r="B2418" t="s">
        <v>25</v>
      </c>
      <c r="C2418" t="s">
        <v>1557</v>
      </c>
      <c r="D2418" t="s">
        <v>1554</v>
      </c>
    </row>
    <row r="2419" spans="1:4" x14ac:dyDescent="0.2">
      <c r="A2419" t="s">
        <v>1148</v>
      </c>
      <c r="B2419" t="s">
        <v>9</v>
      </c>
      <c r="C2419" t="s">
        <v>1553</v>
      </c>
      <c r="D2419" t="s">
        <v>1554</v>
      </c>
    </row>
    <row r="2420" spans="1:4" x14ac:dyDescent="0.2">
      <c r="A2420" t="s">
        <v>1148</v>
      </c>
      <c r="B2420" t="s">
        <v>10</v>
      </c>
      <c r="C2420" t="s">
        <v>1555</v>
      </c>
      <c r="D2420" t="s">
        <v>1554</v>
      </c>
    </row>
    <row r="2421" spans="1:4" x14ac:dyDescent="0.2">
      <c r="A2421" t="s">
        <v>1148</v>
      </c>
      <c r="B2421" t="s">
        <v>11</v>
      </c>
      <c r="C2421" t="s">
        <v>1566</v>
      </c>
      <c r="D2421" t="s">
        <v>1554</v>
      </c>
    </row>
    <row r="2422" spans="1:4" x14ac:dyDescent="0.2">
      <c r="A2422" t="s">
        <v>1148</v>
      </c>
      <c r="B2422" t="s">
        <v>13</v>
      </c>
      <c r="C2422" t="s">
        <v>1567</v>
      </c>
      <c r="D2422" t="s">
        <v>1554</v>
      </c>
    </row>
    <row r="2423" spans="1:4" x14ac:dyDescent="0.2">
      <c r="A2423" t="s">
        <v>1148</v>
      </c>
      <c r="B2423" t="s">
        <v>14</v>
      </c>
      <c r="C2423" t="s">
        <v>1568</v>
      </c>
      <c r="D2423" t="s">
        <v>1554</v>
      </c>
    </row>
    <row r="2424" spans="1:4" x14ac:dyDescent="0.2">
      <c r="A2424" t="s">
        <v>1148</v>
      </c>
      <c r="B2424" t="s">
        <v>15</v>
      </c>
      <c r="C2424" t="s">
        <v>1569</v>
      </c>
      <c r="D2424" t="s">
        <v>1554</v>
      </c>
    </row>
    <row r="2425" spans="1:4" x14ac:dyDescent="0.2">
      <c r="A2425" t="s">
        <v>1148</v>
      </c>
      <c r="B2425" t="s">
        <v>17</v>
      </c>
      <c r="C2425" t="s">
        <v>1560</v>
      </c>
      <c r="D2425" t="s">
        <v>1554</v>
      </c>
    </row>
    <row r="2426" spans="1:4" x14ac:dyDescent="0.2">
      <c r="A2426" t="s">
        <v>1148</v>
      </c>
      <c r="B2426" t="s">
        <v>19</v>
      </c>
      <c r="C2426" t="s">
        <v>1570</v>
      </c>
      <c r="D2426" t="s">
        <v>1554</v>
      </c>
    </row>
    <row r="2427" spans="1:4" x14ac:dyDescent="0.2">
      <c r="A2427" t="s">
        <v>1148</v>
      </c>
      <c r="B2427" t="s">
        <v>23</v>
      </c>
      <c r="C2427" t="s">
        <v>1556</v>
      </c>
      <c r="D2427" t="s">
        <v>1554</v>
      </c>
    </row>
    <row r="2428" spans="1:4" x14ac:dyDescent="0.2">
      <c r="A2428" t="s">
        <v>1148</v>
      </c>
      <c r="B2428" t="s">
        <v>25</v>
      </c>
      <c r="C2428" t="s">
        <v>1557</v>
      </c>
      <c r="D2428" t="s">
        <v>1554</v>
      </c>
    </row>
    <row r="2429" spans="1:4" x14ac:dyDescent="0.2">
      <c r="A2429" t="s">
        <v>1148</v>
      </c>
      <c r="B2429" t="s">
        <v>24</v>
      </c>
      <c r="C2429" t="s">
        <v>1558</v>
      </c>
      <c r="D2429" t="s">
        <v>1559</v>
      </c>
    </row>
    <row r="2430" spans="1:4" x14ac:dyDescent="0.2">
      <c r="A2430" t="s">
        <v>1155</v>
      </c>
      <c r="B2430" t="s">
        <v>3</v>
      </c>
      <c r="C2430" t="s">
        <v>1562</v>
      </c>
      <c r="D2430" t="s">
        <v>1554</v>
      </c>
    </row>
    <row r="2431" spans="1:4" x14ac:dyDescent="0.2">
      <c r="A2431" t="s">
        <v>1155</v>
      </c>
      <c r="B2431" t="s">
        <v>5</v>
      </c>
      <c r="C2431" t="s">
        <v>1563</v>
      </c>
      <c r="D2431" t="s">
        <v>1554</v>
      </c>
    </row>
    <row r="2432" spans="1:4" x14ac:dyDescent="0.2">
      <c r="A2432" t="s">
        <v>1155</v>
      </c>
      <c r="B2432" t="s">
        <v>6</v>
      </c>
      <c r="C2432" t="s">
        <v>1564</v>
      </c>
      <c r="D2432" t="s">
        <v>1554</v>
      </c>
    </row>
    <row r="2433" spans="1:4" x14ac:dyDescent="0.2">
      <c r="A2433" t="s">
        <v>1155</v>
      </c>
      <c r="B2433" t="s">
        <v>7</v>
      </c>
      <c r="C2433" t="s">
        <v>1565</v>
      </c>
      <c r="D2433" t="s">
        <v>1554</v>
      </c>
    </row>
    <row r="2434" spans="1:4" x14ac:dyDescent="0.2">
      <c r="A2434" t="s">
        <v>1155</v>
      </c>
      <c r="B2434" t="s">
        <v>8</v>
      </c>
      <c r="C2434" t="s">
        <v>1561</v>
      </c>
      <c r="D2434" t="s">
        <v>1554</v>
      </c>
    </row>
    <row r="2435" spans="1:4" x14ac:dyDescent="0.2">
      <c r="A2435" t="s">
        <v>1155</v>
      </c>
      <c r="B2435" t="s">
        <v>9</v>
      </c>
      <c r="C2435" t="s">
        <v>1553</v>
      </c>
      <c r="D2435" t="s">
        <v>1554</v>
      </c>
    </row>
    <row r="2436" spans="1:4" x14ac:dyDescent="0.2">
      <c r="A2436" t="s">
        <v>1155</v>
      </c>
      <c r="B2436" t="s">
        <v>10</v>
      </c>
      <c r="C2436" t="s">
        <v>1555</v>
      </c>
      <c r="D2436" t="s">
        <v>1554</v>
      </c>
    </row>
    <row r="2437" spans="1:4" x14ac:dyDescent="0.2">
      <c r="A2437" t="s">
        <v>1155</v>
      </c>
      <c r="B2437" t="s">
        <v>11</v>
      </c>
      <c r="C2437" t="s">
        <v>1566</v>
      </c>
      <c r="D2437" t="s">
        <v>1554</v>
      </c>
    </row>
    <row r="2438" spans="1:4" x14ac:dyDescent="0.2">
      <c r="A2438" t="s">
        <v>1155</v>
      </c>
      <c r="B2438" t="s">
        <v>13</v>
      </c>
      <c r="C2438" t="s">
        <v>1567</v>
      </c>
      <c r="D2438" t="s">
        <v>1554</v>
      </c>
    </row>
    <row r="2439" spans="1:4" x14ac:dyDescent="0.2">
      <c r="A2439" t="s">
        <v>1155</v>
      </c>
      <c r="B2439" t="s">
        <v>14</v>
      </c>
      <c r="C2439" t="s">
        <v>1568</v>
      </c>
      <c r="D2439" t="s">
        <v>1554</v>
      </c>
    </row>
    <row r="2440" spans="1:4" x14ac:dyDescent="0.2">
      <c r="A2440" t="s">
        <v>1155</v>
      </c>
      <c r="B2440" t="s">
        <v>15</v>
      </c>
      <c r="C2440" t="s">
        <v>1569</v>
      </c>
      <c r="D2440" t="s">
        <v>1554</v>
      </c>
    </row>
    <row r="2441" spans="1:4" x14ac:dyDescent="0.2">
      <c r="A2441" t="s">
        <v>1155</v>
      </c>
      <c r="B2441" t="s">
        <v>17</v>
      </c>
      <c r="C2441" t="s">
        <v>1560</v>
      </c>
      <c r="D2441" t="s">
        <v>1554</v>
      </c>
    </row>
    <row r="2442" spans="1:4" x14ac:dyDescent="0.2">
      <c r="A2442" t="s">
        <v>1155</v>
      </c>
      <c r="B2442" t="s">
        <v>19</v>
      </c>
      <c r="C2442" t="s">
        <v>1570</v>
      </c>
      <c r="D2442" t="s">
        <v>1554</v>
      </c>
    </row>
    <row r="2443" spans="1:4" x14ac:dyDescent="0.2">
      <c r="A2443" t="s">
        <v>1155</v>
      </c>
      <c r="B2443" t="s">
        <v>23</v>
      </c>
      <c r="C2443" t="s">
        <v>1556</v>
      </c>
      <c r="D2443" t="s">
        <v>1554</v>
      </c>
    </row>
    <row r="2444" spans="1:4" x14ac:dyDescent="0.2">
      <c r="A2444" t="s">
        <v>1155</v>
      </c>
      <c r="B2444" t="s">
        <v>25</v>
      </c>
      <c r="C2444" t="s">
        <v>1557</v>
      </c>
      <c r="D2444" t="s">
        <v>1554</v>
      </c>
    </row>
    <row r="2445" spans="1:4" x14ac:dyDescent="0.2">
      <c r="A2445" t="s">
        <v>1155</v>
      </c>
      <c r="B2445" t="s">
        <v>24</v>
      </c>
      <c r="C2445" t="s">
        <v>1558</v>
      </c>
      <c r="D2445" t="s">
        <v>1559</v>
      </c>
    </row>
    <row r="2446" spans="1:4" x14ac:dyDescent="0.2">
      <c r="A2446" t="s">
        <v>1161</v>
      </c>
      <c r="B2446" t="s">
        <v>3</v>
      </c>
      <c r="C2446" t="s">
        <v>1562</v>
      </c>
      <c r="D2446" t="s">
        <v>1554</v>
      </c>
    </row>
    <row r="2447" spans="1:4" x14ac:dyDescent="0.2">
      <c r="A2447" t="s">
        <v>1161</v>
      </c>
      <c r="B2447" t="s">
        <v>5</v>
      </c>
      <c r="C2447" t="s">
        <v>1563</v>
      </c>
      <c r="D2447" t="s">
        <v>1554</v>
      </c>
    </row>
    <row r="2448" spans="1:4" x14ac:dyDescent="0.2">
      <c r="A2448" t="s">
        <v>1161</v>
      </c>
      <c r="B2448" t="s">
        <v>6</v>
      </c>
      <c r="C2448" t="s">
        <v>1564</v>
      </c>
      <c r="D2448" t="s">
        <v>1554</v>
      </c>
    </row>
    <row r="2449" spans="1:4" x14ac:dyDescent="0.2">
      <c r="A2449" t="s">
        <v>1161</v>
      </c>
      <c r="B2449" t="s">
        <v>7</v>
      </c>
      <c r="C2449" t="s">
        <v>1565</v>
      </c>
      <c r="D2449" t="s">
        <v>1554</v>
      </c>
    </row>
    <row r="2450" spans="1:4" x14ac:dyDescent="0.2">
      <c r="A2450" t="s">
        <v>1161</v>
      </c>
      <c r="B2450" t="s">
        <v>8</v>
      </c>
      <c r="C2450" t="s">
        <v>1561</v>
      </c>
      <c r="D2450" t="s">
        <v>1554</v>
      </c>
    </row>
    <row r="2451" spans="1:4" x14ac:dyDescent="0.2">
      <c r="A2451" t="s">
        <v>1161</v>
      </c>
      <c r="B2451" t="s">
        <v>9</v>
      </c>
      <c r="C2451" t="s">
        <v>1553</v>
      </c>
      <c r="D2451" t="s">
        <v>1554</v>
      </c>
    </row>
    <row r="2452" spans="1:4" x14ac:dyDescent="0.2">
      <c r="A2452" t="s">
        <v>1161</v>
      </c>
      <c r="B2452" t="s">
        <v>10</v>
      </c>
      <c r="C2452" t="s">
        <v>1555</v>
      </c>
      <c r="D2452" t="s">
        <v>1554</v>
      </c>
    </row>
    <row r="2453" spans="1:4" x14ac:dyDescent="0.2">
      <c r="A2453" t="s">
        <v>1161</v>
      </c>
      <c r="B2453" t="s">
        <v>11</v>
      </c>
      <c r="C2453" t="s">
        <v>1566</v>
      </c>
      <c r="D2453" t="s">
        <v>1554</v>
      </c>
    </row>
    <row r="2454" spans="1:4" x14ac:dyDescent="0.2">
      <c r="A2454" t="s">
        <v>1161</v>
      </c>
      <c r="B2454" t="s">
        <v>13</v>
      </c>
      <c r="C2454" t="s">
        <v>1567</v>
      </c>
      <c r="D2454" t="s">
        <v>1554</v>
      </c>
    </row>
    <row r="2455" spans="1:4" x14ac:dyDescent="0.2">
      <c r="A2455" t="s">
        <v>1161</v>
      </c>
      <c r="B2455" t="s">
        <v>14</v>
      </c>
      <c r="C2455" t="s">
        <v>1568</v>
      </c>
      <c r="D2455" t="s">
        <v>1554</v>
      </c>
    </row>
    <row r="2456" spans="1:4" x14ac:dyDescent="0.2">
      <c r="A2456" t="s">
        <v>1161</v>
      </c>
      <c r="B2456" t="s">
        <v>15</v>
      </c>
      <c r="C2456" t="s">
        <v>1569</v>
      </c>
      <c r="D2456" t="s">
        <v>1554</v>
      </c>
    </row>
    <row r="2457" spans="1:4" x14ac:dyDescent="0.2">
      <c r="A2457" t="s">
        <v>1161</v>
      </c>
      <c r="B2457" t="s">
        <v>17</v>
      </c>
      <c r="C2457" t="s">
        <v>1560</v>
      </c>
      <c r="D2457" t="s">
        <v>1554</v>
      </c>
    </row>
    <row r="2458" spans="1:4" x14ac:dyDescent="0.2">
      <c r="A2458" t="s">
        <v>1161</v>
      </c>
      <c r="B2458" t="s">
        <v>19</v>
      </c>
      <c r="C2458" t="s">
        <v>1570</v>
      </c>
      <c r="D2458" t="s">
        <v>1554</v>
      </c>
    </row>
    <row r="2459" spans="1:4" x14ac:dyDescent="0.2">
      <c r="A2459" t="s">
        <v>1161</v>
      </c>
      <c r="B2459" t="s">
        <v>23</v>
      </c>
      <c r="C2459" t="s">
        <v>1556</v>
      </c>
      <c r="D2459" t="s">
        <v>1554</v>
      </c>
    </row>
    <row r="2460" spans="1:4" x14ac:dyDescent="0.2">
      <c r="A2460" t="s">
        <v>1161</v>
      </c>
      <c r="B2460" t="s">
        <v>25</v>
      </c>
      <c r="C2460" t="s">
        <v>1557</v>
      </c>
      <c r="D2460" t="s">
        <v>1554</v>
      </c>
    </row>
    <row r="2461" spans="1:4" x14ac:dyDescent="0.2">
      <c r="A2461" t="s">
        <v>1161</v>
      </c>
      <c r="B2461" t="s">
        <v>24</v>
      </c>
      <c r="C2461" t="s">
        <v>1558</v>
      </c>
      <c r="D2461" t="s">
        <v>1559</v>
      </c>
    </row>
    <row r="2462" spans="1:4" x14ac:dyDescent="0.2">
      <c r="A2462" t="s">
        <v>1167</v>
      </c>
      <c r="B2462" t="s">
        <v>3</v>
      </c>
      <c r="C2462" t="s">
        <v>1562</v>
      </c>
      <c r="D2462" t="s">
        <v>1554</v>
      </c>
    </row>
    <row r="2463" spans="1:4" x14ac:dyDescent="0.2">
      <c r="A2463" t="s">
        <v>1167</v>
      </c>
      <c r="B2463" t="s">
        <v>5</v>
      </c>
      <c r="C2463" t="s">
        <v>1563</v>
      </c>
      <c r="D2463" t="s">
        <v>1554</v>
      </c>
    </row>
    <row r="2464" spans="1:4" x14ac:dyDescent="0.2">
      <c r="A2464" t="s">
        <v>1167</v>
      </c>
      <c r="B2464" t="s">
        <v>6</v>
      </c>
      <c r="C2464" t="s">
        <v>1564</v>
      </c>
      <c r="D2464" t="s">
        <v>1554</v>
      </c>
    </row>
    <row r="2465" spans="1:4" x14ac:dyDescent="0.2">
      <c r="A2465" t="s">
        <v>1167</v>
      </c>
      <c r="B2465" t="s">
        <v>7</v>
      </c>
      <c r="C2465" t="s">
        <v>1565</v>
      </c>
      <c r="D2465" t="s">
        <v>1554</v>
      </c>
    </row>
    <row r="2466" spans="1:4" x14ac:dyDescent="0.2">
      <c r="A2466" t="s">
        <v>1167</v>
      </c>
      <c r="B2466" t="s">
        <v>8</v>
      </c>
      <c r="C2466" t="s">
        <v>1561</v>
      </c>
      <c r="D2466" t="s">
        <v>1554</v>
      </c>
    </row>
    <row r="2467" spans="1:4" x14ac:dyDescent="0.2">
      <c r="A2467" t="s">
        <v>1167</v>
      </c>
      <c r="B2467" t="s">
        <v>9</v>
      </c>
      <c r="C2467" t="s">
        <v>1553</v>
      </c>
      <c r="D2467" t="s">
        <v>1554</v>
      </c>
    </row>
    <row r="2468" spans="1:4" x14ac:dyDescent="0.2">
      <c r="A2468" t="s">
        <v>1167</v>
      </c>
      <c r="B2468" t="s">
        <v>10</v>
      </c>
      <c r="C2468" t="s">
        <v>1555</v>
      </c>
      <c r="D2468" t="s">
        <v>1554</v>
      </c>
    </row>
    <row r="2469" spans="1:4" x14ac:dyDescent="0.2">
      <c r="A2469" t="s">
        <v>1167</v>
      </c>
      <c r="B2469" t="s">
        <v>11</v>
      </c>
      <c r="C2469" t="s">
        <v>1566</v>
      </c>
      <c r="D2469" t="s">
        <v>1554</v>
      </c>
    </row>
    <row r="2470" spans="1:4" x14ac:dyDescent="0.2">
      <c r="A2470" t="s">
        <v>1167</v>
      </c>
      <c r="B2470" t="s">
        <v>13</v>
      </c>
      <c r="C2470" t="s">
        <v>1567</v>
      </c>
      <c r="D2470" t="s">
        <v>1554</v>
      </c>
    </row>
    <row r="2471" spans="1:4" x14ac:dyDescent="0.2">
      <c r="A2471" t="s">
        <v>1167</v>
      </c>
      <c r="B2471" t="s">
        <v>14</v>
      </c>
      <c r="C2471" t="s">
        <v>1568</v>
      </c>
      <c r="D2471" t="s">
        <v>1554</v>
      </c>
    </row>
    <row r="2472" spans="1:4" x14ac:dyDescent="0.2">
      <c r="A2472" t="s">
        <v>1167</v>
      </c>
      <c r="B2472" t="s">
        <v>15</v>
      </c>
      <c r="C2472" t="s">
        <v>1569</v>
      </c>
      <c r="D2472" t="s">
        <v>1554</v>
      </c>
    </row>
    <row r="2473" spans="1:4" x14ac:dyDescent="0.2">
      <c r="A2473" t="s">
        <v>1167</v>
      </c>
      <c r="B2473" t="s">
        <v>17</v>
      </c>
      <c r="C2473" t="s">
        <v>1560</v>
      </c>
      <c r="D2473" t="s">
        <v>1554</v>
      </c>
    </row>
    <row r="2474" spans="1:4" x14ac:dyDescent="0.2">
      <c r="A2474" t="s">
        <v>1167</v>
      </c>
      <c r="B2474" t="s">
        <v>19</v>
      </c>
      <c r="C2474" t="s">
        <v>1570</v>
      </c>
      <c r="D2474" t="s">
        <v>1554</v>
      </c>
    </row>
    <row r="2475" spans="1:4" x14ac:dyDescent="0.2">
      <c r="A2475" t="s">
        <v>1167</v>
      </c>
      <c r="B2475" t="s">
        <v>23</v>
      </c>
      <c r="C2475" t="s">
        <v>1556</v>
      </c>
      <c r="D2475" t="s">
        <v>1554</v>
      </c>
    </row>
    <row r="2476" spans="1:4" x14ac:dyDescent="0.2">
      <c r="A2476" t="s">
        <v>1167</v>
      </c>
      <c r="B2476" t="s">
        <v>25</v>
      </c>
      <c r="C2476" t="s">
        <v>1557</v>
      </c>
      <c r="D2476" t="s">
        <v>1554</v>
      </c>
    </row>
    <row r="2477" spans="1:4" x14ac:dyDescent="0.2">
      <c r="A2477" t="s">
        <v>1167</v>
      </c>
      <c r="B2477" t="s">
        <v>24</v>
      </c>
      <c r="C2477" t="s">
        <v>1558</v>
      </c>
      <c r="D2477" t="s">
        <v>1559</v>
      </c>
    </row>
    <row r="2478" spans="1:4" x14ac:dyDescent="0.2">
      <c r="A2478" t="s">
        <v>1173</v>
      </c>
      <c r="B2478" t="s">
        <v>3</v>
      </c>
      <c r="C2478" t="s">
        <v>1562</v>
      </c>
      <c r="D2478" t="s">
        <v>1554</v>
      </c>
    </row>
    <row r="2479" spans="1:4" x14ac:dyDescent="0.2">
      <c r="A2479" t="s">
        <v>1173</v>
      </c>
      <c r="B2479" t="s">
        <v>5</v>
      </c>
      <c r="C2479" t="s">
        <v>1563</v>
      </c>
      <c r="D2479" t="s">
        <v>1554</v>
      </c>
    </row>
    <row r="2480" spans="1:4" x14ac:dyDescent="0.2">
      <c r="A2480" t="s">
        <v>1173</v>
      </c>
      <c r="B2480" t="s">
        <v>6</v>
      </c>
      <c r="C2480" t="s">
        <v>1564</v>
      </c>
      <c r="D2480" t="s">
        <v>1554</v>
      </c>
    </row>
    <row r="2481" spans="1:4" x14ac:dyDescent="0.2">
      <c r="A2481" t="s">
        <v>1173</v>
      </c>
      <c r="B2481" t="s">
        <v>7</v>
      </c>
      <c r="C2481" t="s">
        <v>1565</v>
      </c>
      <c r="D2481" t="s">
        <v>1554</v>
      </c>
    </row>
    <row r="2482" spans="1:4" x14ac:dyDescent="0.2">
      <c r="A2482" t="s">
        <v>1173</v>
      </c>
      <c r="B2482" t="s">
        <v>8</v>
      </c>
      <c r="C2482" t="s">
        <v>1561</v>
      </c>
      <c r="D2482" t="s">
        <v>1554</v>
      </c>
    </row>
    <row r="2483" spans="1:4" x14ac:dyDescent="0.2">
      <c r="A2483" t="s">
        <v>1173</v>
      </c>
      <c r="B2483" t="s">
        <v>9</v>
      </c>
      <c r="C2483" t="s">
        <v>1553</v>
      </c>
      <c r="D2483" t="s">
        <v>1554</v>
      </c>
    </row>
    <row r="2484" spans="1:4" x14ac:dyDescent="0.2">
      <c r="A2484" t="s">
        <v>1173</v>
      </c>
      <c r="B2484" t="s">
        <v>10</v>
      </c>
      <c r="C2484" t="s">
        <v>1555</v>
      </c>
      <c r="D2484" t="s">
        <v>1554</v>
      </c>
    </row>
    <row r="2485" spans="1:4" x14ac:dyDescent="0.2">
      <c r="A2485" t="s">
        <v>1173</v>
      </c>
      <c r="B2485" t="s">
        <v>11</v>
      </c>
      <c r="C2485" t="s">
        <v>1566</v>
      </c>
      <c r="D2485" t="s">
        <v>1554</v>
      </c>
    </row>
    <row r="2486" spans="1:4" x14ac:dyDescent="0.2">
      <c r="A2486" t="s">
        <v>1173</v>
      </c>
      <c r="B2486" t="s">
        <v>13</v>
      </c>
      <c r="C2486" t="s">
        <v>1567</v>
      </c>
      <c r="D2486" t="s">
        <v>1554</v>
      </c>
    </row>
    <row r="2487" spans="1:4" x14ac:dyDescent="0.2">
      <c r="A2487" t="s">
        <v>1173</v>
      </c>
      <c r="B2487" t="s">
        <v>14</v>
      </c>
      <c r="C2487" t="s">
        <v>1568</v>
      </c>
      <c r="D2487" t="s">
        <v>1554</v>
      </c>
    </row>
    <row r="2488" spans="1:4" x14ac:dyDescent="0.2">
      <c r="A2488" t="s">
        <v>1173</v>
      </c>
      <c r="B2488" t="s">
        <v>15</v>
      </c>
      <c r="C2488" t="s">
        <v>1569</v>
      </c>
      <c r="D2488" t="s">
        <v>1554</v>
      </c>
    </row>
    <row r="2489" spans="1:4" x14ac:dyDescent="0.2">
      <c r="A2489" t="s">
        <v>1173</v>
      </c>
      <c r="B2489" t="s">
        <v>17</v>
      </c>
      <c r="C2489" t="s">
        <v>1560</v>
      </c>
      <c r="D2489" t="s">
        <v>1554</v>
      </c>
    </row>
    <row r="2490" spans="1:4" x14ac:dyDescent="0.2">
      <c r="A2490" t="s">
        <v>1173</v>
      </c>
      <c r="B2490" t="s">
        <v>19</v>
      </c>
      <c r="C2490" t="s">
        <v>1570</v>
      </c>
      <c r="D2490" t="s">
        <v>1554</v>
      </c>
    </row>
    <row r="2491" spans="1:4" x14ac:dyDescent="0.2">
      <c r="A2491" t="s">
        <v>1173</v>
      </c>
      <c r="B2491" t="s">
        <v>23</v>
      </c>
      <c r="C2491" t="s">
        <v>1556</v>
      </c>
      <c r="D2491" t="s">
        <v>1554</v>
      </c>
    </row>
    <row r="2492" spans="1:4" x14ac:dyDescent="0.2">
      <c r="A2492" t="s">
        <v>1173</v>
      </c>
      <c r="B2492" t="s">
        <v>25</v>
      </c>
      <c r="C2492" t="s">
        <v>1557</v>
      </c>
      <c r="D2492" t="s">
        <v>1554</v>
      </c>
    </row>
    <row r="2493" spans="1:4" x14ac:dyDescent="0.2">
      <c r="A2493" t="s">
        <v>1173</v>
      </c>
      <c r="B2493" t="s">
        <v>21</v>
      </c>
      <c r="C2493" t="s">
        <v>1571</v>
      </c>
      <c r="D2493" t="s">
        <v>1559</v>
      </c>
    </row>
    <row r="2494" spans="1:4" x14ac:dyDescent="0.2">
      <c r="A2494" t="s">
        <v>1173</v>
      </c>
      <c r="B2494" t="s">
        <v>22</v>
      </c>
      <c r="C2494" t="s">
        <v>1572</v>
      </c>
      <c r="D2494" t="s">
        <v>1559</v>
      </c>
    </row>
    <row r="2495" spans="1:4" x14ac:dyDescent="0.2">
      <c r="A2495" t="s">
        <v>1173</v>
      </c>
      <c r="B2495" t="s">
        <v>24</v>
      </c>
      <c r="C2495" t="s">
        <v>1558</v>
      </c>
      <c r="D2495" t="s">
        <v>1559</v>
      </c>
    </row>
    <row r="2496" spans="1:4" x14ac:dyDescent="0.2">
      <c r="A2496" t="s">
        <v>1178</v>
      </c>
      <c r="B2496" t="s">
        <v>8</v>
      </c>
      <c r="C2496" t="s">
        <v>1561</v>
      </c>
      <c r="D2496" t="s">
        <v>1554</v>
      </c>
    </row>
    <row r="2497" spans="1:4" x14ac:dyDescent="0.2">
      <c r="A2497" t="s">
        <v>1178</v>
      </c>
      <c r="B2497" t="s">
        <v>9</v>
      </c>
      <c r="C2497" t="s">
        <v>1553</v>
      </c>
      <c r="D2497" t="s">
        <v>1554</v>
      </c>
    </row>
    <row r="2498" spans="1:4" x14ac:dyDescent="0.2">
      <c r="A2498" t="s">
        <v>1178</v>
      </c>
      <c r="B2498" t="s">
        <v>10</v>
      </c>
      <c r="C2498" t="s">
        <v>1555</v>
      </c>
      <c r="D2498" t="s">
        <v>1554</v>
      </c>
    </row>
    <row r="2499" spans="1:4" x14ac:dyDescent="0.2">
      <c r="A2499" t="s">
        <v>1178</v>
      </c>
      <c r="B2499" t="s">
        <v>13</v>
      </c>
      <c r="C2499" t="s">
        <v>1567</v>
      </c>
      <c r="D2499" t="s">
        <v>1554</v>
      </c>
    </row>
    <row r="2500" spans="1:4" x14ac:dyDescent="0.2">
      <c r="A2500" t="s">
        <v>1178</v>
      </c>
      <c r="B2500" t="s">
        <v>14</v>
      </c>
      <c r="C2500" t="s">
        <v>1568</v>
      </c>
      <c r="D2500" t="s">
        <v>1554</v>
      </c>
    </row>
    <row r="2501" spans="1:4" x14ac:dyDescent="0.2">
      <c r="A2501" t="s">
        <v>1178</v>
      </c>
      <c r="B2501" t="s">
        <v>15</v>
      </c>
      <c r="C2501" t="s">
        <v>1569</v>
      </c>
      <c r="D2501" t="s">
        <v>1554</v>
      </c>
    </row>
    <row r="2502" spans="1:4" x14ac:dyDescent="0.2">
      <c r="A2502" t="s">
        <v>1178</v>
      </c>
      <c r="B2502" t="s">
        <v>17</v>
      </c>
      <c r="C2502" t="s">
        <v>1560</v>
      </c>
      <c r="D2502" t="s">
        <v>1554</v>
      </c>
    </row>
    <row r="2503" spans="1:4" x14ac:dyDescent="0.2">
      <c r="A2503" t="s">
        <v>1178</v>
      </c>
      <c r="B2503" t="s">
        <v>19</v>
      </c>
      <c r="C2503" t="s">
        <v>1570</v>
      </c>
      <c r="D2503" t="s">
        <v>1554</v>
      </c>
    </row>
    <row r="2504" spans="1:4" x14ac:dyDescent="0.2">
      <c r="A2504" t="s">
        <v>1178</v>
      </c>
      <c r="B2504" t="s">
        <v>23</v>
      </c>
      <c r="C2504" t="s">
        <v>1556</v>
      </c>
      <c r="D2504" t="s">
        <v>1554</v>
      </c>
    </row>
    <row r="2505" spans="1:4" x14ac:dyDescent="0.2">
      <c r="A2505" t="s">
        <v>1178</v>
      </c>
      <c r="B2505" t="s">
        <v>25</v>
      </c>
      <c r="C2505" t="s">
        <v>1557</v>
      </c>
      <c r="D2505" t="s">
        <v>1554</v>
      </c>
    </row>
    <row r="2506" spans="1:4" x14ac:dyDescent="0.2">
      <c r="A2506" t="s">
        <v>1184</v>
      </c>
      <c r="B2506" t="s">
        <v>8</v>
      </c>
      <c r="C2506" t="s">
        <v>1561</v>
      </c>
      <c r="D2506" t="s">
        <v>1554</v>
      </c>
    </row>
    <row r="2507" spans="1:4" x14ac:dyDescent="0.2">
      <c r="A2507" t="s">
        <v>1184</v>
      </c>
      <c r="B2507" t="s">
        <v>9</v>
      </c>
      <c r="C2507" t="s">
        <v>1553</v>
      </c>
      <c r="D2507" t="s">
        <v>1554</v>
      </c>
    </row>
    <row r="2508" spans="1:4" x14ac:dyDescent="0.2">
      <c r="A2508" t="s">
        <v>1184</v>
      </c>
      <c r="B2508" t="s">
        <v>10</v>
      </c>
      <c r="C2508" t="s">
        <v>1555</v>
      </c>
      <c r="D2508" t="s">
        <v>1554</v>
      </c>
    </row>
    <row r="2509" spans="1:4" x14ac:dyDescent="0.2">
      <c r="A2509" t="s">
        <v>1184</v>
      </c>
      <c r="B2509" t="s">
        <v>15</v>
      </c>
      <c r="C2509" t="s">
        <v>1569</v>
      </c>
      <c r="D2509" t="s">
        <v>1554</v>
      </c>
    </row>
    <row r="2510" spans="1:4" x14ac:dyDescent="0.2">
      <c r="A2510" t="s">
        <v>1184</v>
      </c>
      <c r="B2510" t="s">
        <v>17</v>
      </c>
      <c r="C2510" t="s">
        <v>1560</v>
      </c>
      <c r="D2510" t="s">
        <v>1554</v>
      </c>
    </row>
    <row r="2511" spans="1:4" x14ac:dyDescent="0.2">
      <c r="A2511" t="s">
        <v>1184</v>
      </c>
      <c r="B2511" t="s">
        <v>19</v>
      </c>
      <c r="C2511" t="s">
        <v>1570</v>
      </c>
      <c r="D2511" t="s">
        <v>1554</v>
      </c>
    </row>
    <row r="2512" spans="1:4" x14ac:dyDescent="0.2">
      <c r="A2512" t="s">
        <v>1184</v>
      </c>
      <c r="B2512" t="s">
        <v>23</v>
      </c>
      <c r="C2512" t="s">
        <v>1556</v>
      </c>
      <c r="D2512" t="s">
        <v>1554</v>
      </c>
    </row>
    <row r="2513" spans="1:4" x14ac:dyDescent="0.2">
      <c r="A2513" t="s">
        <v>1184</v>
      </c>
      <c r="B2513" t="s">
        <v>25</v>
      </c>
      <c r="C2513" t="s">
        <v>1557</v>
      </c>
      <c r="D2513" t="s">
        <v>1554</v>
      </c>
    </row>
    <row r="2514" spans="1:4" x14ac:dyDescent="0.2">
      <c r="A2514" t="s">
        <v>1184</v>
      </c>
      <c r="B2514" t="s">
        <v>24</v>
      </c>
      <c r="C2514" t="s">
        <v>1558</v>
      </c>
      <c r="D2514" t="s">
        <v>1559</v>
      </c>
    </row>
    <row r="2515" spans="1:4" x14ac:dyDescent="0.2">
      <c r="A2515" t="s">
        <v>1191</v>
      </c>
      <c r="B2515" t="s">
        <v>3</v>
      </c>
      <c r="C2515" t="s">
        <v>1562</v>
      </c>
      <c r="D2515" t="s">
        <v>1554</v>
      </c>
    </row>
    <row r="2516" spans="1:4" x14ac:dyDescent="0.2">
      <c r="A2516" t="s">
        <v>1191</v>
      </c>
      <c r="B2516" t="s">
        <v>5</v>
      </c>
      <c r="C2516" t="s">
        <v>1563</v>
      </c>
      <c r="D2516" t="s">
        <v>1554</v>
      </c>
    </row>
    <row r="2517" spans="1:4" x14ac:dyDescent="0.2">
      <c r="A2517" t="s">
        <v>1191</v>
      </c>
      <c r="B2517" t="s">
        <v>6</v>
      </c>
      <c r="C2517" t="s">
        <v>1564</v>
      </c>
      <c r="D2517" t="s">
        <v>1554</v>
      </c>
    </row>
    <row r="2518" spans="1:4" x14ac:dyDescent="0.2">
      <c r="A2518" t="s">
        <v>1191</v>
      </c>
      <c r="B2518" t="s">
        <v>7</v>
      </c>
      <c r="C2518" t="s">
        <v>1565</v>
      </c>
      <c r="D2518" t="s">
        <v>1554</v>
      </c>
    </row>
    <row r="2519" spans="1:4" x14ac:dyDescent="0.2">
      <c r="A2519" t="s">
        <v>1191</v>
      </c>
      <c r="B2519" t="s">
        <v>8</v>
      </c>
      <c r="C2519" t="s">
        <v>1561</v>
      </c>
      <c r="D2519" t="s">
        <v>1554</v>
      </c>
    </row>
    <row r="2520" spans="1:4" x14ac:dyDescent="0.2">
      <c r="A2520" t="s">
        <v>1191</v>
      </c>
      <c r="B2520" t="s">
        <v>9</v>
      </c>
      <c r="C2520" t="s">
        <v>1553</v>
      </c>
      <c r="D2520" t="s">
        <v>1554</v>
      </c>
    </row>
    <row r="2521" spans="1:4" x14ac:dyDescent="0.2">
      <c r="A2521" t="s">
        <v>1191</v>
      </c>
      <c r="B2521" t="s">
        <v>10</v>
      </c>
      <c r="C2521" t="s">
        <v>1555</v>
      </c>
      <c r="D2521" t="s">
        <v>1554</v>
      </c>
    </row>
    <row r="2522" spans="1:4" x14ac:dyDescent="0.2">
      <c r="A2522" t="s">
        <v>1191</v>
      </c>
      <c r="B2522" t="s">
        <v>11</v>
      </c>
      <c r="C2522" t="s">
        <v>1566</v>
      </c>
      <c r="D2522" t="s">
        <v>1554</v>
      </c>
    </row>
    <row r="2523" spans="1:4" x14ac:dyDescent="0.2">
      <c r="A2523" t="s">
        <v>1191</v>
      </c>
      <c r="B2523" t="s">
        <v>13</v>
      </c>
      <c r="C2523" t="s">
        <v>1567</v>
      </c>
      <c r="D2523" t="s">
        <v>1554</v>
      </c>
    </row>
    <row r="2524" spans="1:4" x14ac:dyDescent="0.2">
      <c r="A2524" t="s">
        <v>1191</v>
      </c>
      <c r="B2524" t="s">
        <v>14</v>
      </c>
      <c r="C2524" t="s">
        <v>1568</v>
      </c>
      <c r="D2524" t="s">
        <v>1554</v>
      </c>
    </row>
    <row r="2525" spans="1:4" x14ac:dyDescent="0.2">
      <c r="A2525" t="s">
        <v>1191</v>
      </c>
      <c r="B2525" t="s">
        <v>15</v>
      </c>
      <c r="C2525" t="s">
        <v>1569</v>
      </c>
      <c r="D2525" t="s">
        <v>1554</v>
      </c>
    </row>
    <row r="2526" spans="1:4" x14ac:dyDescent="0.2">
      <c r="A2526" t="s">
        <v>1191</v>
      </c>
      <c r="B2526" t="s">
        <v>17</v>
      </c>
      <c r="C2526" t="s">
        <v>1560</v>
      </c>
      <c r="D2526" t="s">
        <v>1554</v>
      </c>
    </row>
    <row r="2527" spans="1:4" x14ac:dyDescent="0.2">
      <c r="A2527" t="s">
        <v>1191</v>
      </c>
      <c r="B2527" t="s">
        <v>19</v>
      </c>
      <c r="C2527" t="s">
        <v>1570</v>
      </c>
      <c r="D2527" t="s">
        <v>1554</v>
      </c>
    </row>
    <row r="2528" spans="1:4" x14ac:dyDescent="0.2">
      <c r="A2528" t="s">
        <v>1191</v>
      </c>
      <c r="B2528" t="s">
        <v>23</v>
      </c>
      <c r="C2528" t="s">
        <v>1556</v>
      </c>
      <c r="D2528" t="s">
        <v>1554</v>
      </c>
    </row>
    <row r="2529" spans="1:4" x14ac:dyDescent="0.2">
      <c r="A2529" t="s">
        <v>1191</v>
      </c>
      <c r="B2529" t="s">
        <v>25</v>
      </c>
      <c r="C2529" t="s">
        <v>1557</v>
      </c>
      <c r="D2529" t="s">
        <v>1554</v>
      </c>
    </row>
    <row r="2530" spans="1:4" x14ac:dyDescent="0.2">
      <c r="A2530" t="s">
        <v>1191</v>
      </c>
      <c r="B2530" t="s">
        <v>21</v>
      </c>
      <c r="C2530" t="s">
        <v>1571</v>
      </c>
      <c r="D2530" t="s">
        <v>1559</v>
      </c>
    </row>
    <row r="2531" spans="1:4" x14ac:dyDescent="0.2">
      <c r="A2531" t="s">
        <v>1191</v>
      </c>
      <c r="B2531" t="s">
        <v>22</v>
      </c>
      <c r="C2531" t="s">
        <v>1572</v>
      </c>
      <c r="D2531" t="s">
        <v>1559</v>
      </c>
    </row>
    <row r="2532" spans="1:4" x14ac:dyDescent="0.2">
      <c r="A2532" t="s">
        <v>1191</v>
      </c>
      <c r="B2532" t="s">
        <v>24</v>
      </c>
      <c r="C2532" t="s">
        <v>1558</v>
      </c>
      <c r="D2532" t="s">
        <v>1559</v>
      </c>
    </row>
    <row r="2533" spans="1:4" x14ac:dyDescent="0.2">
      <c r="A2533" t="s">
        <v>1195</v>
      </c>
      <c r="B2533" t="s">
        <v>3</v>
      </c>
      <c r="C2533" t="s">
        <v>1562</v>
      </c>
      <c r="D2533" t="s">
        <v>1554</v>
      </c>
    </row>
    <row r="2534" spans="1:4" x14ac:dyDescent="0.2">
      <c r="A2534" t="s">
        <v>1195</v>
      </c>
      <c r="B2534" t="s">
        <v>5</v>
      </c>
      <c r="C2534" t="s">
        <v>1563</v>
      </c>
      <c r="D2534" t="s">
        <v>1554</v>
      </c>
    </row>
    <row r="2535" spans="1:4" x14ac:dyDescent="0.2">
      <c r="A2535" t="s">
        <v>1195</v>
      </c>
      <c r="B2535" t="s">
        <v>6</v>
      </c>
      <c r="C2535" t="s">
        <v>1564</v>
      </c>
      <c r="D2535" t="s">
        <v>1554</v>
      </c>
    </row>
    <row r="2536" spans="1:4" x14ac:dyDescent="0.2">
      <c r="A2536" t="s">
        <v>1195</v>
      </c>
      <c r="B2536" t="s">
        <v>7</v>
      </c>
      <c r="C2536" t="s">
        <v>1565</v>
      </c>
      <c r="D2536" t="s">
        <v>1554</v>
      </c>
    </row>
    <row r="2537" spans="1:4" x14ac:dyDescent="0.2">
      <c r="A2537" t="s">
        <v>1195</v>
      </c>
      <c r="B2537" t="s">
        <v>8</v>
      </c>
      <c r="C2537" t="s">
        <v>1561</v>
      </c>
      <c r="D2537" t="s">
        <v>1554</v>
      </c>
    </row>
    <row r="2538" spans="1:4" x14ac:dyDescent="0.2">
      <c r="A2538" t="s">
        <v>1195</v>
      </c>
      <c r="B2538" t="s">
        <v>9</v>
      </c>
      <c r="C2538" t="s">
        <v>1553</v>
      </c>
      <c r="D2538" t="s">
        <v>1554</v>
      </c>
    </row>
    <row r="2539" spans="1:4" x14ac:dyDescent="0.2">
      <c r="A2539" t="s">
        <v>1195</v>
      </c>
      <c r="B2539" t="s">
        <v>10</v>
      </c>
      <c r="C2539" t="s">
        <v>1555</v>
      </c>
      <c r="D2539" t="s">
        <v>1554</v>
      </c>
    </row>
    <row r="2540" spans="1:4" x14ac:dyDescent="0.2">
      <c r="A2540" t="s">
        <v>1195</v>
      </c>
      <c r="B2540" t="s">
        <v>11</v>
      </c>
      <c r="C2540" t="s">
        <v>1566</v>
      </c>
      <c r="D2540" t="s">
        <v>1554</v>
      </c>
    </row>
    <row r="2541" spans="1:4" x14ac:dyDescent="0.2">
      <c r="A2541" t="s">
        <v>1195</v>
      </c>
      <c r="B2541" t="s">
        <v>13</v>
      </c>
      <c r="C2541" t="s">
        <v>1567</v>
      </c>
      <c r="D2541" t="s">
        <v>1554</v>
      </c>
    </row>
    <row r="2542" spans="1:4" x14ac:dyDescent="0.2">
      <c r="A2542" t="s">
        <v>1195</v>
      </c>
      <c r="B2542" t="s">
        <v>14</v>
      </c>
      <c r="C2542" t="s">
        <v>1568</v>
      </c>
      <c r="D2542" t="s">
        <v>1554</v>
      </c>
    </row>
    <row r="2543" spans="1:4" x14ac:dyDescent="0.2">
      <c r="A2543" t="s">
        <v>1195</v>
      </c>
      <c r="B2543" t="s">
        <v>15</v>
      </c>
      <c r="C2543" t="s">
        <v>1569</v>
      </c>
      <c r="D2543" t="s">
        <v>1554</v>
      </c>
    </row>
    <row r="2544" spans="1:4" x14ac:dyDescent="0.2">
      <c r="A2544" t="s">
        <v>1195</v>
      </c>
      <c r="B2544" t="s">
        <v>17</v>
      </c>
      <c r="C2544" t="s">
        <v>1560</v>
      </c>
      <c r="D2544" t="s">
        <v>1554</v>
      </c>
    </row>
    <row r="2545" spans="1:4" x14ac:dyDescent="0.2">
      <c r="A2545" t="s">
        <v>1195</v>
      </c>
      <c r="B2545" t="s">
        <v>19</v>
      </c>
      <c r="C2545" t="s">
        <v>1570</v>
      </c>
      <c r="D2545" t="s">
        <v>1554</v>
      </c>
    </row>
    <row r="2546" spans="1:4" x14ac:dyDescent="0.2">
      <c r="A2546" t="s">
        <v>1195</v>
      </c>
      <c r="B2546" t="s">
        <v>23</v>
      </c>
      <c r="C2546" t="s">
        <v>1556</v>
      </c>
      <c r="D2546" t="s">
        <v>1554</v>
      </c>
    </row>
    <row r="2547" spans="1:4" x14ac:dyDescent="0.2">
      <c r="A2547" t="s">
        <v>1195</v>
      </c>
      <c r="B2547" t="s">
        <v>25</v>
      </c>
      <c r="C2547" t="s">
        <v>1557</v>
      </c>
      <c r="D2547" t="s">
        <v>1554</v>
      </c>
    </row>
    <row r="2548" spans="1:4" x14ac:dyDescent="0.2">
      <c r="A2548" t="s">
        <v>1195</v>
      </c>
      <c r="B2548" t="s">
        <v>24</v>
      </c>
      <c r="C2548" t="s">
        <v>1558</v>
      </c>
      <c r="D2548" t="s">
        <v>1559</v>
      </c>
    </row>
    <row r="2549" spans="1:4" x14ac:dyDescent="0.2">
      <c r="A2549" t="s">
        <v>1201</v>
      </c>
      <c r="B2549" t="s">
        <v>3</v>
      </c>
      <c r="C2549" t="s">
        <v>1562</v>
      </c>
      <c r="D2549" t="s">
        <v>1554</v>
      </c>
    </row>
    <row r="2550" spans="1:4" x14ac:dyDescent="0.2">
      <c r="A2550" t="s">
        <v>1201</v>
      </c>
      <c r="B2550" t="s">
        <v>5</v>
      </c>
      <c r="C2550" t="s">
        <v>1563</v>
      </c>
      <c r="D2550" t="s">
        <v>1554</v>
      </c>
    </row>
    <row r="2551" spans="1:4" x14ac:dyDescent="0.2">
      <c r="A2551" t="s">
        <v>1201</v>
      </c>
      <c r="B2551" t="s">
        <v>6</v>
      </c>
      <c r="C2551" t="s">
        <v>1564</v>
      </c>
      <c r="D2551" t="s">
        <v>1554</v>
      </c>
    </row>
    <row r="2552" spans="1:4" x14ac:dyDescent="0.2">
      <c r="A2552" t="s">
        <v>1201</v>
      </c>
      <c r="B2552" t="s">
        <v>7</v>
      </c>
      <c r="C2552" t="s">
        <v>1565</v>
      </c>
      <c r="D2552" t="s">
        <v>1554</v>
      </c>
    </row>
    <row r="2553" spans="1:4" x14ac:dyDescent="0.2">
      <c r="A2553" t="s">
        <v>1201</v>
      </c>
      <c r="B2553" t="s">
        <v>8</v>
      </c>
      <c r="C2553" t="s">
        <v>1561</v>
      </c>
      <c r="D2553" t="s">
        <v>1554</v>
      </c>
    </row>
    <row r="2554" spans="1:4" x14ac:dyDescent="0.2">
      <c r="A2554" t="s">
        <v>1201</v>
      </c>
      <c r="B2554" t="s">
        <v>9</v>
      </c>
      <c r="C2554" t="s">
        <v>1553</v>
      </c>
      <c r="D2554" t="s">
        <v>1554</v>
      </c>
    </row>
    <row r="2555" spans="1:4" x14ac:dyDescent="0.2">
      <c r="A2555" t="s">
        <v>1201</v>
      </c>
      <c r="B2555" t="s">
        <v>10</v>
      </c>
      <c r="C2555" t="s">
        <v>1555</v>
      </c>
      <c r="D2555" t="s">
        <v>1554</v>
      </c>
    </row>
    <row r="2556" spans="1:4" x14ac:dyDescent="0.2">
      <c r="A2556" t="s">
        <v>1201</v>
      </c>
      <c r="B2556" t="s">
        <v>11</v>
      </c>
      <c r="C2556" t="s">
        <v>1566</v>
      </c>
      <c r="D2556" t="s">
        <v>1554</v>
      </c>
    </row>
    <row r="2557" spans="1:4" x14ac:dyDescent="0.2">
      <c r="A2557" t="s">
        <v>1201</v>
      </c>
      <c r="B2557" t="s">
        <v>13</v>
      </c>
      <c r="C2557" t="s">
        <v>1567</v>
      </c>
      <c r="D2557" t="s">
        <v>1554</v>
      </c>
    </row>
    <row r="2558" spans="1:4" x14ac:dyDescent="0.2">
      <c r="A2558" t="s">
        <v>1201</v>
      </c>
      <c r="B2558" t="s">
        <v>14</v>
      </c>
      <c r="C2558" t="s">
        <v>1568</v>
      </c>
      <c r="D2558" t="s">
        <v>1554</v>
      </c>
    </row>
    <row r="2559" spans="1:4" x14ac:dyDescent="0.2">
      <c r="A2559" t="s">
        <v>1201</v>
      </c>
      <c r="B2559" t="s">
        <v>15</v>
      </c>
      <c r="C2559" t="s">
        <v>1569</v>
      </c>
      <c r="D2559" t="s">
        <v>1554</v>
      </c>
    </row>
    <row r="2560" spans="1:4" x14ac:dyDescent="0.2">
      <c r="A2560" t="s">
        <v>1201</v>
      </c>
      <c r="B2560" t="s">
        <v>17</v>
      </c>
      <c r="C2560" t="s">
        <v>1560</v>
      </c>
      <c r="D2560" t="s">
        <v>1554</v>
      </c>
    </row>
    <row r="2561" spans="1:4" x14ac:dyDescent="0.2">
      <c r="A2561" t="s">
        <v>1201</v>
      </c>
      <c r="B2561" t="s">
        <v>19</v>
      </c>
      <c r="C2561" t="s">
        <v>1570</v>
      </c>
      <c r="D2561" t="s">
        <v>1554</v>
      </c>
    </row>
    <row r="2562" spans="1:4" x14ac:dyDescent="0.2">
      <c r="A2562" t="s">
        <v>1201</v>
      </c>
      <c r="B2562" t="s">
        <v>23</v>
      </c>
      <c r="C2562" t="s">
        <v>1556</v>
      </c>
      <c r="D2562" t="s">
        <v>1554</v>
      </c>
    </row>
    <row r="2563" spans="1:4" x14ac:dyDescent="0.2">
      <c r="A2563" t="s">
        <v>1201</v>
      </c>
      <c r="B2563" t="s">
        <v>25</v>
      </c>
      <c r="C2563" t="s">
        <v>1557</v>
      </c>
      <c r="D2563" t="s">
        <v>1554</v>
      </c>
    </row>
    <row r="2564" spans="1:4" x14ac:dyDescent="0.2">
      <c r="A2564" t="s">
        <v>1201</v>
      </c>
      <c r="B2564" t="s">
        <v>21</v>
      </c>
      <c r="C2564" t="s">
        <v>1571</v>
      </c>
      <c r="D2564" t="s">
        <v>1559</v>
      </c>
    </row>
    <row r="2565" spans="1:4" x14ac:dyDescent="0.2">
      <c r="A2565" t="s">
        <v>1201</v>
      </c>
      <c r="B2565" t="s">
        <v>22</v>
      </c>
      <c r="C2565" t="s">
        <v>1572</v>
      </c>
      <c r="D2565" t="s">
        <v>1559</v>
      </c>
    </row>
    <row r="2566" spans="1:4" x14ac:dyDescent="0.2">
      <c r="A2566" t="s">
        <v>1201</v>
      </c>
      <c r="B2566" t="s">
        <v>24</v>
      </c>
      <c r="C2566" t="s">
        <v>1558</v>
      </c>
      <c r="D2566" t="s">
        <v>1559</v>
      </c>
    </row>
    <row r="2567" spans="1:4" x14ac:dyDescent="0.2">
      <c r="A2567" t="s">
        <v>1205</v>
      </c>
      <c r="B2567" t="s">
        <v>3</v>
      </c>
      <c r="C2567" t="s">
        <v>1562</v>
      </c>
      <c r="D2567" t="s">
        <v>1554</v>
      </c>
    </row>
    <row r="2568" spans="1:4" x14ac:dyDescent="0.2">
      <c r="A2568" t="s">
        <v>1205</v>
      </c>
      <c r="B2568" t="s">
        <v>5</v>
      </c>
      <c r="C2568" t="s">
        <v>1563</v>
      </c>
      <c r="D2568" t="s">
        <v>1554</v>
      </c>
    </row>
    <row r="2569" spans="1:4" x14ac:dyDescent="0.2">
      <c r="A2569" t="s">
        <v>1205</v>
      </c>
      <c r="B2569" t="s">
        <v>6</v>
      </c>
      <c r="C2569" t="s">
        <v>1564</v>
      </c>
      <c r="D2569" t="s">
        <v>1554</v>
      </c>
    </row>
    <row r="2570" spans="1:4" x14ac:dyDescent="0.2">
      <c r="A2570" t="s">
        <v>1205</v>
      </c>
      <c r="B2570" t="s">
        <v>7</v>
      </c>
      <c r="C2570" t="s">
        <v>1565</v>
      </c>
      <c r="D2570" t="s">
        <v>1554</v>
      </c>
    </row>
    <row r="2571" spans="1:4" x14ac:dyDescent="0.2">
      <c r="A2571" t="s">
        <v>1205</v>
      </c>
      <c r="B2571" t="s">
        <v>8</v>
      </c>
      <c r="C2571" t="s">
        <v>1561</v>
      </c>
      <c r="D2571" t="s">
        <v>1554</v>
      </c>
    </row>
    <row r="2572" spans="1:4" x14ac:dyDescent="0.2">
      <c r="A2572" t="s">
        <v>1205</v>
      </c>
      <c r="B2572" t="s">
        <v>9</v>
      </c>
      <c r="C2572" t="s">
        <v>1553</v>
      </c>
      <c r="D2572" t="s">
        <v>1554</v>
      </c>
    </row>
    <row r="2573" spans="1:4" x14ac:dyDescent="0.2">
      <c r="A2573" t="s">
        <v>1205</v>
      </c>
      <c r="B2573" t="s">
        <v>10</v>
      </c>
      <c r="C2573" t="s">
        <v>1555</v>
      </c>
      <c r="D2573" t="s">
        <v>1554</v>
      </c>
    </row>
    <row r="2574" spans="1:4" x14ac:dyDescent="0.2">
      <c r="A2574" t="s">
        <v>1205</v>
      </c>
      <c r="B2574" t="s">
        <v>11</v>
      </c>
      <c r="C2574" t="s">
        <v>1566</v>
      </c>
      <c r="D2574" t="s">
        <v>1554</v>
      </c>
    </row>
    <row r="2575" spans="1:4" x14ac:dyDescent="0.2">
      <c r="A2575" t="s">
        <v>1205</v>
      </c>
      <c r="B2575" t="s">
        <v>13</v>
      </c>
      <c r="C2575" t="s">
        <v>1567</v>
      </c>
      <c r="D2575" t="s">
        <v>1554</v>
      </c>
    </row>
    <row r="2576" spans="1:4" x14ac:dyDescent="0.2">
      <c r="A2576" t="s">
        <v>1205</v>
      </c>
      <c r="B2576" t="s">
        <v>14</v>
      </c>
      <c r="C2576" t="s">
        <v>1568</v>
      </c>
      <c r="D2576" t="s">
        <v>1554</v>
      </c>
    </row>
    <row r="2577" spans="1:4" x14ac:dyDescent="0.2">
      <c r="A2577" t="s">
        <v>1205</v>
      </c>
      <c r="B2577" t="s">
        <v>15</v>
      </c>
      <c r="C2577" t="s">
        <v>1569</v>
      </c>
      <c r="D2577" t="s">
        <v>1554</v>
      </c>
    </row>
    <row r="2578" spans="1:4" x14ac:dyDescent="0.2">
      <c r="A2578" t="s">
        <v>1205</v>
      </c>
      <c r="B2578" t="s">
        <v>17</v>
      </c>
      <c r="C2578" t="s">
        <v>1560</v>
      </c>
      <c r="D2578" t="s">
        <v>1554</v>
      </c>
    </row>
    <row r="2579" spans="1:4" x14ac:dyDescent="0.2">
      <c r="A2579" t="s">
        <v>1205</v>
      </c>
      <c r="B2579" t="s">
        <v>19</v>
      </c>
      <c r="C2579" t="s">
        <v>1570</v>
      </c>
      <c r="D2579" t="s">
        <v>1554</v>
      </c>
    </row>
    <row r="2580" spans="1:4" x14ac:dyDescent="0.2">
      <c r="A2580" t="s">
        <v>1205</v>
      </c>
      <c r="B2580" t="s">
        <v>23</v>
      </c>
      <c r="C2580" t="s">
        <v>1556</v>
      </c>
      <c r="D2580" t="s">
        <v>1554</v>
      </c>
    </row>
    <row r="2581" spans="1:4" x14ac:dyDescent="0.2">
      <c r="A2581" t="s">
        <v>1205</v>
      </c>
      <c r="B2581" t="s">
        <v>25</v>
      </c>
      <c r="C2581" t="s">
        <v>1557</v>
      </c>
      <c r="D2581" t="s">
        <v>1554</v>
      </c>
    </row>
    <row r="2582" spans="1:4" x14ac:dyDescent="0.2">
      <c r="A2582" t="s">
        <v>1205</v>
      </c>
      <c r="B2582" t="s">
        <v>21</v>
      </c>
      <c r="C2582" t="s">
        <v>1571</v>
      </c>
      <c r="D2582" t="s">
        <v>1559</v>
      </c>
    </row>
    <row r="2583" spans="1:4" x14ac:dyDescent="0.2">
      <c r="A2583" t="s">
        <v>1205</v>
      </c>
      <c r="B2583" t="s">
        <v>22</v>
      </c>
      <c r="C2583" t="s">
        <v>1572</v>
      </c>
      <c r="D2583" t="s">
        <v>1559</v>
      </c>
    </row>
    <row r="2584" spans="1:4" x14ac:dyDescent="0.2">
      <c r="A2584" t="s">
        <v>1205</v>
      </c>
      <c r="B2584" t="s">
        <v>24</v>
      </c>
      <c r="C2584" t="s">
        <v>1558</v>
      </c>
      <c r="D2584" t="s">
        <v>1559</v>
      </c>
    </row>
    <row r="2585" spans="1:4" x14ac:dyDescent="0.2">
      <c r="A2585" t="s">
        <v>1210</v>
      </c>
      <c r="B2585" t="s">
        <v>3</v>
      </c>
      <c r="C2585" t="s">
        <v>1562</v>
      </c>
      <c r="D2585" t="s">
        <v>1554</v>
      </c>
    </row>
    <row r="2586" spans="1:4" x14ac:dyDescent="0.2">
      <c r="A2586" t="s">
        <v>1210</v>
      </c>
      <c r="B2586" t="s">
        <v>5</v>
      </c>
      <c r="C2586" t="s">
        <v>1563</v>
      </c>
      <c r="D2586" t="s">
        <v>1554</v>
      </c>
    </row>
    <row r="2587" spans="1:4" x14ac:dyDescent="0.2">
      <c r="A2587" t="s">
        <v>1210</v>
      </c>
      <c r="B2587" t="s">
        <v>6</v>
      </c>
      <c r="C2587" t="s">
        <v>1564</v>
      </c>
      <c r="D2587" t="s">
        <v>1554</v>
      </c>
    </row>
    <row r="2588" spans="1:4" x14ac:dyDescent="0.2">
      <c r="A2588" t="s">
        <v>1210</v>
      </c>
      <c r="B2588" t="s">
        <v>7</v>
      </c>
      <c r="C2588" t="s">
        <v>1565</v>
      </c>
      <c r="D2588" t="s">
        <v>1554</v>
      </c>
    </row>
    <row r="2589" spans="1:4" x14ac:dyDescent="0.2">
      <c r="A2589" t="s">
        <v>1210</v>
      </c>
      <c r="B2589" t="s">
        <v>8</v>
      </c>
      <c r="C2589" t="s">
        <v>1561</v>
      </c>
      <c r="D2589" t="s">
        <v>1554</v>
      </c>
    </row>
    <row r="2590" spans="1:4" x14ac:dyDescent="0.2">
      <c r="A2590" t="s">
        <v>1210</v>
      </c>
      <c r="B2590" t="s">
        <v>9</v>
      </c>
      <c r="C2590" t="s">
        <v>1553</v>
      </c>
      <c r="D2590" t="s">
        <v>1554</v>
      </c>
    </row>
    <row r="2591" spans="1:4" x14ac:dyDescent="0.2">
      <c r="A2591" t="s">
        <v>1210</v>
      </c>
      <c r="B2591" t="s">
        <v>10</v>
      </c>
      <c r="C2591" t="s">
        <v>1555</v>
      </c>
      <c r="D2591" t="s">
        <v>1554</v>
      </c>
    </row>
    <row r="2592" spans="1:4" x14ac:dyDescent="0.2">
      <c r="A2592" t="s">
        <v>1210</v>
      </c>
      <c r="B2592" t="s">
        <v>11</v>
      </c>
      <c r="C2592" t="s">
        <v>1566</v>
      </c>
      <c r="D2592" t="s">
        <v>1554</v>
      </c>
    </row>
    <row r="2593" spans="1:4" x14ac:dyDescent="0.2">
      <c r="A2593" t="s">
        <v>1210</v>
      </c>
      <c r="B2593" t="s">
        <v>13</v>
      </c>
      <c r="C2593" t="s">
        <v>1567</v>
      </c>
      <c r="D2593" t="s">
        <v>1554</v>
      </c>
    </row>
    <row r="2594" spans="1:4" x14ac:dyDescent="0.2">
      <c r="A2594" t="s">
        <v>1210</v>
      </c>
      <c r="B2594" t="s">
        <v>14</v>
      </c>
      <c r="C2594" t="s">
        <v>1568</v>
      </c>
      <c r="D2594" t="s">
        <v>1554</v>
      </c>
    </row>
    <row r="2595" spans="1:4" x14ac:dyDescent="0.2">
      <c r="A2595" t="s">
        <v>1210</v>
      </c>
      <c r="B2595" t="s">
        <v>15</v>
      </c>
      <c r="C2595" t="s">
        <v>1569</v>
      </c>
      <c r="D2595" t="s">
        <v>1554</v>
      </c>
    </row>
    <row r="2596" spans="1:4" x14ac:dyDescent="0.2">
      <c r="A2596" t="s">
        <v>1210</v>
      </c>
      <c r="B2596" t="s">
        <v>17</v>
      </c>
      <c r="C2596" t="s">
        <v>1560</v>
      </c>
      <c r="D2596" t="s">
        <v>1554</v>
      </c>
    </row>
    <row r="2597" spans="1:4" x14ac:dyDescent="0.2">
      <c r="A2597" t="s">
        <v>1210</v>
      </c>
      <c r="B2597" t="s">
        <v>19</v>
      </c>
      <c r="C2597" t="s">
        <v>1570</v>
      </c>
      <c r="D2597" t="s">
        <v>1554</v>
      </c>
    </row>
    <row r="2598" spans="1:4" x14ac:dyDescent="0.2">
      <c r="A2598" t="s">
        <v>1210</v>
      </c>
      <c r="B2598" t="s">
        <v>23</v>
      </c>
      <c r="C2598" t="s">
        <v>1556</v>
      </c>
      <c r="D2598" t="s">
        <v>1554</v>
      </c>
    </row>
    <row r="2599" spans="1:4" x14ac:dyDescent="0.2">
      <c r="A2599" t="s">
        <v>1210</v>
      </c>
      <c r="B2599" t="s">
        <v>25</v>
      </c>
      <c r="C2599" t="s">
        <v>1557</v>
      </c>
      <c r="D2599" t="s">
        <v>1554</v>
      </c>
    </row>
    <row r="2600" spans="1:4" x14ac:dyDescent="0.2">
      <c r="A2600" t="s">
        <v>1210</v>
      </c>
      <c r="B2600" t="s">
        <v>21</v>
      </c>
      <c r="C2600" t="s">
        <v>1571</v>
      </c>
      <c r="D2600" t="s">
        <v>1559</v>
      </c>
    </row>
    <row r="2601" spans="1:4" x14ac:dyDescent="0.2">
      <c r="A2601" t="s">
        <v>1210</v>
      </c>
      <c r="B2601" t="s">
        <v>22</v>
      </c>
      <c r="C2601" t="s">
        <v>1572</v>
      </c>
      <c r="D2601" t="s">
        <v>1559</v>
      </c>
    </row>
    <row r="2602" spans="1:4" x14ac:dyDescent="0.2">
      <c r="A2602" t="s">
        <v>1210</v>
      </c>
      <c r="B2602" t="s">
        <v>24</v>
      </c>
      <c r="C2602" t="s">
        <v>1558</v>
      </c>
      <c r="D2602" t="s">
        <v>1559</v>
      </c>
    </row>
    <row r="2603" spans="1:4" x14ac:dyDescent="0.2">
      <c r="A2603" t="s">
        <v>1214</v>
      </c>
      <c r="B2603" t="s">
        <v>3</v>
      </c>
      <c r="C2603" t="s">
        <v>1562</v>
      </c>
      <c r="D2603" t="s">
        <v>1554</v>
      </c>
    </row>
    <row r="2604" spans="1:4" x14ac:dyDescent="0.2">
      <c r="A2604" t="s">
        <v>1214</v>
      </c>
      <c r="B2604" t="s">
        <v>5</v>
      </c>
      <c r="C2604" t="s">
        <v>1563</v>
      </c>
      <c r="D2604" t="s">
        <v>1554</v>
      </c>
    </row>
    <row r="2605" spans="1:4" x14ac:dyDescent="0.2">
      <c r="A2605" t="s">
        <v>1214</v>
      </c>
      <c r="B2605" t="s">
        <v>6</v>
      </c>
      <c r="C2605" t="s">
        <v>1564</v>
      </c>
      <c r="D2605" t="s">
        <v>1554</v>
      </c>
    </row>
    <row r="2606" spans="1:4" x14ac:dyDescent="0.2">
      <c r="A2606" t="s">
        <v>1214</v>
      </c>
      <c r="B2606" t="s">
        <v>7</v>
      </c>
      <c r="C2606" t="s">
        <v>1565</v>
      </c>
      <c r="D2606" t="s">
        <v>1554</v>
      </c>
    </row>
    <row r="2607" spans="1:4" x14ac:dyDescent="0.2">
      <c r="A2607" t="s">
        <v>1214</v>
      </c>
      <c r="B2607" t="s">
        <v>8</v>
      </c>
      <c r="C2607" t="s">
        <v>1561</v>
      </c>
      <c r="D2607" t="s">
        <v>1554</v>
      </c>
    </row>
    <row r="2608" spans="1:4" x14ac:dyDescent="0.2">
      <c r="A2608" t="s">
        <v>1214</v>
      </c>
      <c r="B2608" t="s">
        <v>9</v>
      </c>
      <c r="C2608" t="s">
        <v>1553</v>
      </c>
      <c r="D2608" t="s">
        <v>1554</v>
      </c>
    </row>
    <row r="2609" spans="1:4" x14ac:dyDescent="0.2">
      <c r="A2609" t="s">
        <v>1214</v>
      </c>
      <c r="B2609" t="s">
        <v>10</v>
      </c>
      <c r="C2609" t="s">
        <v>1555</v>
      </c>
      <c r="D2609" t="s">
        <v>1554</v>
      </c>
    </row>
    <row r="2610" spans="1:4" x14ac:dyDescent="0.2">
      <c r="A2610" t="s">
        <v>1214</v>
      </c>
      <c r="B2610" t="s">
        <v>11</v>
      </c>
      <c r="C2610" t="s">
        <v>1566</v>
      </c>
      <c r="D2610" t="s">
        <v>1554</v>
      </c>
    </row>
    <row r="2611" spans="1:4" x14ac:dyDescent="0.2">
      <c r="A2611" t="s">
        <v>1214</v>
      </c>
      <c r="B2611" t="s">
        <v>13</v>
      </c>
      <c r="C2611" t="s">
        <v>1567</v>
      </c>
      <c r="D2611" t="s">
        <v>1554</v>
      </c>
    </row>
    <row r="2612" spans="1:4" x14ac:dyDescent="0.2">
      <c r="A2612" t="s">
        <v>1214</v>
      </c>
      <c r="B2612" t="s">
        <v>14</v>
      </c>
      <c r="C2612" t="s">
        <v>1568</v>
      </c>
      <c r="D2612" t="s">
        <v>1554</v>
      </c>
    </row>
    <row r="2613" spans="1:4" x14ac:dyDescent="0.2">
      <c r="A2613" t="s">
        <v>1214</v>
      </c>
      <c r="B2613" t="s">
        <v>15</v>
      </c>
      <c r="C2613" t="s">
        <v>1569</v>
      </c>
      <c r="D2613" t="s">
        <v>1554</v>
      </c>
    </row>
    <row r="2614" spans="1:4" x14ac:dyDescent="0.2">
      <c r="A2614" t="s">
        <v>1214</v>
      </c>
      <c r="B2614" t="s">
        <v>17</v>
      </c>
      <c r="C2614" t="s">
        <v>1560</v>
      </c>
      <c r="D2614" t="s">
        <v>1554</v>
      </c>
    </row>
    <row r="2615" spans="1:4" x14ac:dyDescent="0.2">
      <c r="A2615" t="s">
        <v>1214</v>
      </c>
      <c r="B2615" t="s">
        <v>19</v>
      </c>
      <c r="C2615" t="s">
        <v>1570</v>
      </c>
      <c r="D2615" t="s">
        <v>1554</v>
      </c>
    </row>
    <row r="2616" spans="1:4" x14ac:dyDescent="0.2">
      <c r="A2616" t="s">
        <v>1214</v>
      </c>
      <c r="B2616" t="s">
        <v>23</v>
      </c>
      <c r="C2616" t="s">
        <v>1556</v>
      </c>
      <c r="D2616" t="s">
        <v>1554</v>
      </c>
    </row>
    <row r="2617" spans="1:4" x14ac:dyDescent="0.2">
      <c r="A2617" t="s">
        <v>1214</v>
      </c>
      <c r="B2617" t="s">
        <v>25</v>
      </c>
      <c r="C2617" t="s">
        <v>1557</v>
      </c>
      <c r="D2617" t="s">
        <v>1554</v>
      </c>
    </row>
    <row r="2618" spans="1:4" x14ac:dyDescent="0.2">
      <c r="A2618" t="s">
        <v>1214</v>
      </c>
      <c r="B2618" t="s">
        <v>24</v>
      </c>
      <c r="C2618" t="s">
        <v>1558</v>
      </c>
      <c r="D2618" t="s">
        <v>1559</v>
      </c>
    </row>
    <row r="2619" spans="1:4" x14ac:dyDescent="0.2">
      <c r="A2619" t="s">
        <v>1220</v>
      </c>
      <c r="B2619" t="s">
        <v>3</v>
      </c>
      <c r="C2619" t="s">
        <v>1562</v>
      </c>
      <c r="D2619" t="s">
        <v>1554</v>
      </c>
    </row>
    <row r="2620" spans="1:4" x14ac:dyDescent="0.2">
      <c r="A2620" t="s">
        <v>1220</v>
      </c>
      <c r="B2620" t="s">
        <v>5</v>
      </c>
      <c r="C2620" t="s">
        <v>1563</v>
      </c>
      <c r="D2620" t="s">
        <v>1554</v>
      </c>
    </row>
    <row r="2621" spans="1:4" x14ac:dyDescent="0.2">
      <c r="A2621" t="s">
        <v>1220</v>
      </c>
      <c r="B2621" t="s">
        <v>6</v>
      </c>
      <c r="C2621" t="s">
        <v>1564</v>
      </c>
      <c r="D2621" t="s">
        <v>1554</v>
      </c>
    </row>
    <row r="2622" spans="1:4" x14ac:dyDescent="0.2">
      <c r="A2622" t="s">
        <v>1220</v>
      </c>
      <c r="B2622" t="s">
        <v>7</v>
      </c>
      <c r="C2622" t="s">
        <v>1565</v>
      </c>
      <c r="D2622" t="s">
        <v>1554</v>
      </c>
    </row>
    <row r="2623" spans="1:4" x14ac:dyDescent="0.2">
      <c r="A2623" t="s">
        <v>1220</v>
      </c>
      <c r="B2623" t="s">
        <v>8</v>
      </c>
      <c r="C2623" t="s">
        <v>1561</v>
      </c>
      <c r="D2623" t="s">
        <v>1554</v>
      </c>
    </row>
    <row r="2624" spans="1:4" x14ac:dyDescent="0.2">
      <c r="A2624" t="s">
        <v>1220</v>
      </c>
      <c r="B2624" t="s">
        <v>9</v>
      </c>
      <c r="C2624" t="s">
        <v>1553</v>
      </c>
      <c r="D2624" t="s">
        <v>1554</v>
      </c>
    </row>
    <row r="2625" spans="1:4" x14ac:dyDescent="0.2">
      <c r="A2625" t="s">
        <v>1220</v>
      </c>
      <c r="B2625" t="s">
        <v>10</v>
      </c>
      <c r="C2625" t="s">
        <v>1555</v>
      </c>
      <c r="D2625" t="s">
        <v>1554</v>
      </c>
    </row>
    <row r="2626" spans="1:4" x14ac:dyDescent="0.2">
      <c r="A2626" t="s">
        <v>1220</v>
      </c>
      <c r="B2626" t="s">
        <v>11</v>
      </c>
      <c r="C2626" t="s">
        <v>1566</v>
      </c>
      <c r="D2626" t="s">
        <v>1554</v>
      </c>
    </row>
    <row r="2627" spans="1:4" x14ac:dyDescent="0.2">
      <c r="A2627" t="s">
        <v>1220</v>
      </c>
      <c r="B2627" t="s">
        <v>13</v>
      </c>
      <c r="C2627" t="s">
        <v>1567</v>
      </c>
      <c r="D2627" t="s">
        <v>1554</v>
      </c>
    </row>
    <row r="2628" spans="1:4" x14ac:dyDescent="0.2">
      <c r="A2628" t="s">
        <v>1220</v>
      </c>
      <c r="B2628" t="s">
        <v>14</v>
      </c>
      <c r="C2628" t="s">
        <v>1568</v>
      </c>
      <c r="D2628" t="s">
        <v>1554</v>
      </c>
    </row>
    <row r="2629" spans="1:4" x14ac:dyDescent="0.2">
      <c r="A2629" t="s">
        <v>1220</v>
      </c>
      <c r="B2629" t="s">
        <v>15</v>
      </c>
      <c r="C2629" t="s">
        <v>1569</v>
      </c>
      <c r="D2629" t="s">
        <v>1554</v>
      </c>
    </row>
    <row r="2630" spans="1:4" x14ac:dyDescent="0.2">
      <c r="A2630" t="s">
        <v>1220</v>
      </c>
      <c r="B2630" t="s">
        <v>17</v>
      </c>
      <c r="C2630" t="s">
        <v>1560</v>
      </c>
      <c r="D2630" t="s">
        <v>1554</v>
      </c>
    </row>
    <row r="2631" spans="1:4" x14ac:dyDescent="0.2">
      <c r="A2631" t="s">
        <v>1220</v>
      </c>
      <c r="B2631" t="s">
        <v>19</v>
      </c>
      <c r="C2631" t="s">
        <v>1570</v>
      </c>
      <c r="D2631" t="s">
        <v>1554</v>
      </c>
    </row>
    <row r="2632" spans="1:4" x14ac:dyDescent="0.2">
      <c r="A2632" t="s">
        <v>1220</v>
      </c>
      <c r="B2632" t="s">
        <v>23</v>
      </c>
      <c r="C2632" t="s">
        <v>1556</v>
      </c>
      <c r="D2632" t="s">
        <v>1554</v>
      </c>
    </row>
    <row r="2633" spans="1:4" x14ac:dyDescent="0.2">
      <c r="A2633" t="s">
        <v>1220</v>
      </c>
      <c r="B2633" t="s">
        <v>25</v>
      </c>
      <c r="C2633" t="s">
        <v>1557</v>
      </c>
      <c r="D2633" t="s">
        <v>1554</v>
      </c>
    </row>
    <row r="2634" spans="1:4" x14ac:dyDescent="0.2">
      <c r="A2634" t="s">
        <v>1220</v>
      </c>
      <c r="B2634" t="s">
        <v>21</v>
      </c>
      <c r="C2634" t="s">
        <v>1571</v>
      </c>
      <c r="D2634" t="s">
        <v>1559</v>
      </c>
    </row>
    <row r="2635" spans="1:4" x14ac:dyDescent="0.2">
      <c r="A2635" t="s">
        <v>1220</v>
      </c>
      <c r="B2635" t="s">
        <v>22</v>
      </c>
      <c r="C2635" t="s">
        <v>1572</v>
      </c>
      <c r="D2635" t="s">
        <v>1559</v>
      </c>
    </row>
    <row r="2636" spans="1:4" x14ac:dyDescent="0.2">
      <c r="A2636" t="s">
        <v>1220</v>
      </c>
      <c r="B2636" t="s">
        <v>24</v>
      </c>
      <c r="C2636" t="s">
        <v>1558</v>
      </c>
      <c r="D2636" t="s">
        <v>1559</v>
      </c>
    </row>
    <row r="2637" spans="1:4" x14ac:dyDescent="0.2">
      <c r="A2637" t="s">
        <v>1225</v>
      </c>
      <c r="B2637" t="s">
        <v>3</v>
      </c>
      <c r="C2637" t="s">
        <v>1562</v>
      </c>
      <c r="D2637" t="s">
        <v>1554</v>
      </c>
    </row>
    <row r="2638" spans="1:4" x14ac:dyDescent="0.2">
      <c r="A2638" t="s">
        <v>1225</v>
      </c>
      <c r="B2638" t="s">
        <v>5</v>
      </c>
      <c r="C2638" t="s">
        <v>1563</v>
      </c>
      <c r="D2638" t="s">
        <v>1554</v>
      </c>
    </row>
    <row r="2639" spans="1:4" x14ac:dyDescent="0.2">
      <c r="A2639" t="s">
        <v>1225</v>
      </c>
      <c r="B2639" t="s">
        <v>6</v>
      </c>
      <c r="C2639" t="s">
        <v>1564</v>
      </c>
      <c r="D2639" t="s">
        <v>1554</v>
      </c>
    </row>
    <row r="2640" spans="1:4" x14ac:dyDescent="0.2">
      <c r="A2640" t="s">
        <v>1225</v>
      </c>
      <c r="B2640" t="s">
        <v>7</v>
      </c>
      <c r="C2640" t="s">
        <v>1565</v>
      </c>
      <c r="D2640" t="s">
        <v>1554</v>
      </c>
    </row>
    <row r="2641" spans="1:4" x14ac:dyDescent="0.2">
      <c r="A2641" t="s">
        <v>1225</v>
      </c>
      <c r="B2641" t="s">
        <v>8</v>
      </c>
      <c r="C2641" t="s">
        <v>1561</v>
      </c>
      <c r="D2641" t="s">
        <v>1554</v>
      </c>
    </row>
    <row r="2642" spans="1:4" x14ac:dyDescent="0.2">
      <c r="A2642" t="s">
        <v>1225</v>
      </c>
      <c r="B2642" t="s">
        <v>9</v>
      </c>
      <c r="C2642" t="s">
        <v>1553</v>
      </c>
      <c r="D2642" t="s">
        <v>1554</v>
      </c>
    </row>
    <row r="2643" spans="1:4" x14ac:dyDescent="0.2">
      <c r="A2643" t="s">
        <v>1225</v>
      </c>
      <c r="B2643" t="s">
        <v>10</v>
      </c>
      <c r="C2643" t="s">
        <v>1555</v>
      </c>
      <c r="D2643" t="s">
        <v>1554</v>
      </c>
    </row>
    <row r="2644" spans="1:4" x14ac:dyDescent="0.2">
      <c r="A2644" t="s">
        <v>1225</v>
      </c>
      <c r="B2644" t="s">
        <v>11</v>
      </c>
      <c r="C2644" t="s">
        <v>1566</v>
      </c>
      <c r="D2644" t="s">
        <v>1554</v>
      </c>
    </row>
    <row r="2645" spans="1:4" x14ac:dyDescent="0.2">
      <c r="A2645" t="s">
        <v>1225</v>
      </c>
      <c r="B2645" t="s">
        <v>13</v>
      </c>
      <c r="C2645" t="s">
        <v>1567</v>
      </c>
      <c r="D2645" t="s">
        <v>1554</v>
      </c>
    </row>
    <row r="2646" spans="1:4" x14ac:dyDescent="0.2">
      <c r="A2646" t="s">
        <v>1225</v>
      </c>
      <c r="B2646" t="s">
        <v>14</v>
      </c>
      <c r="C2646" t="s">
        <v>1568</v>
      </c>
      <c r="D2646" t="s">
        <v>1554</v>
      </c>
    </row>
    <row r="2647" spans="1:4" x14ac:dyDescent="0.2">
      <c r="A2647" t="s">
        <v>1225</v>
      </c>
      <c r="B2647" t="s">
        <v>15</v>
      </c>
      <c r="C2647" t="s">
        <v>1569</v>
      </c>
      <c r="D2647" t="s">
        <v>1554</v>
      </c>
    </row>
    <row r="2648" spans="1:4" x14ac:dyDescent="0.2">
      <c r="A2648" t="s">
        <v>1225</v>
      </c>
      <c r="B2648" t="s">
        <v>17</v>
      </c>
      <c r="C2648" t="s">
        <v>1560</v>
      </c>
      <c r="D2648" t="s">
        <v>1554</v>
      </c>
    </row>
    <row r="2649" spans="1:4" x14ac:dyDescent="0.2">
      <c r="A2649" t="s">
        <v>1225</v>
      </c>
      <c r="B2649" t="s">
        <v>19</v>
      </c>
      <c r="C2649" t="s">
        <v>1570</v>
      </c>
      <c r="D2649" t="s">
        <v>1554</v>
      </c>
    </row>
    <row r="2650" spans="1:4" x14ac:dyDescent="0.2">
      <c r="A2650" t="s">
        <v>1225</v>
      </c>
      <c r="B2650" t="s">
        <v>23</v>
      </c>
      <c r="C2650" t="s">
        <v>1556</v>
      </c>
      <c r="D2650" t="s">
        <v>1554</v>
      </c>
    </row>
    <row r="2651" spans="1:4" x14ac:dyDescent="0.2">
      <c r="A2651" t="s">
        <v>1225</v>
      </c>
      <c r="B2651" t="s">
        <v>25</v>
      </c>
      <c r="C2651" t="s">
        <v>1557</v>
      </c>
      <c r="D2651" t="s">
        <v>1554</v>
      </c>
    </row>
    <row r="2652" spans="1:4" x14ac:dyDescent="0.2">
      <c r="A2652" t="s">
        <v>1225</v>
      </c>
      <c r="B2652" t="s">
        <v>21</v>
      </c>
      <c r="C2652" t="s">
        <v>1571</v>
      </c>
      <c r="D2652" t="s">
        <v>1559</v>
      </c>
    </row>
    <row r="2653" spans="1:4" x14ac:dyDescent="0.2">
      <c r="A2653" t="s">
        <v>1225</v>
      </c>
      <c r="B2653" t="s">
        <v>22</v>
      </c>
      <c r="C2653" t="s">
        <v>1572</v>
      </c>
      <c r="D2653" t="s">
        <v>1559</v>
      </c>
    </row>
    <row r="2654" spans="1:4" x14ac:dyDescent="0.2">
      <c r="A2654" t="s">
        <v>1225</v>
      </c>
      <c r="B2654" t="s">
        <v>24</v>
      </c>
      <c r="C2654" t="s">
        <v>1558</v>
      </c>
      <c r="D2654" t="s">
        <v>1559</v>
      </c>
    </row>
    <row r="2655" spans="1:4" x14ac:dyDescent="0.2">
      <c r="A2655" t="s">
        <v>1230</v>
      </c>
      <c r="B2655" t="s">
        <v>3</v>
      </c>
      <c r="C2655" t="s">
        <v>1562</v>
      </c>
      <c r="D2655" t="s">
        <v>1554</v>
      </c>
    </row>
    <row r="2656" spans="1:4" x14ac:dyDescent="0.2">
      <c r="A2656" t="s">
        <v>1230</v>
      </c>
      <c r="B2656" t="s">
        <v>5</v>
      </c>
      <c r="C2656" t="s">
        <v>1563</v>
      </c>
      <c r="D2656" t="s">
        <v>1554</v>
      </c>
    </row>
    <row r="2657" spans="1:4" x14ac:dyDescent="0.2">
      <c r="A2657" t="s">
        <v>1230</v>
      </c>
      <c r="B2657" t="s">
        <v>6</v>
      </c>
      <c r="C2657" t="s">
        <v>1564</v>
      </c>
      <c r="D2657" t="s">
        <v>1554</v>
      </c>
    </row>
    <row r="2658" spans="1:4" x14ac:dyDescent="0.2">
      <c r="A2658" t="s">
        <v>1230</v>
      </c>
      <c r="B2658" t="s">
        <v>7</v>
      </c>
      <c r="C2658" t="s">
        <v>1565</v>
      </c>
      <c r="D2658" t="s">
        <v>1554</v>
      </c>
    </row>
    <row r="2659" spans="1:4" x14ac:dyDescent="0.2">
      <c r="A2659" t="s">
        <v>1230</v>
      </c>
      <c r="B2659" t="s">
        <v>8</v>
      </c>
      <c r="C2659" t="s">
        <v>1561</v>
      </c>
      <c r="D2659" t="s">
        <v>1554</v>
      </c>
    </row>
    <row r="2660" spans="1:4" x14ac:dyDescent="0.2">
      <c r="A2660" t="s">
        <v>1230</v>
      </c>
      <c r="B2660" t="s">
        <v>9</v>
      </c>
      <c r="C2660" t="s">
        <v>1553</v>
      </c>
      <c r="D2660" t="s">
        <v>1554</v>
      </c>
    </row>
    <row r="2661" spans="1:4" x14ac:dyDescent="0.2">
      <c r="A2661" t="s">
        <v>1230</v>
      </c>
      <c r="B2661" t="s">
        <v>10</v>
      </c>
      <c r="C2661" t="s">
        <v>1555</v>
      </c>
      <c r="D2661" t="s">
        <v>1554</v>
      </c>
    </row>
    <row r="2662" spans="1:4" x14ac:dyDescent="0.2">
      <c r="A2662" t="s">
        <v>1230</v>
      </c>
      <c r="B2662" t="s">
        <v>11</v>
      </c>
      <c r="C2662" t="s">
        <v>1566</v>
      </c>
      <c r="D2662" t="s">
        <v>1554</v>
      </c>
    </row>
    <row r="2663" spans="1:4" x14ac:dyDescent="0.2">
      <c r="A2663" t="s">
        <v>1230</v>
      </c>
      <c r="B2663" t="s">
        <v>13</v>
      </c>
      <c r="C2663" t="s">
        <v>1567</v>
      </c>
      <c r="D2663" t="s">
        <v>1554</v>
      </c>
    </row>
    <row r="2664" spans="1:4" x14ac:dyDescent="0.2">
      <c r="A2664" t="s">
        <v>1230</v>
      </c>
      <c r="B2664" t="s">
        <v>14</v>
      </c>
      <c r="C2664" t="s">
        <v>1568</v>
      </c>
      <c r="D2664" t="s">
        <v>1554</v>
      </c>
    </row>
    <row r="2665" spans="1:4" x14ac:dyDescent="0.2">
      <c r="A2665" t="s">
        <v>1230</v>
      </c>
      <c r="B2665" t="s">
        <v>15</v>
      </c>
      <c r="C2665" t="s">
        <v>1569</v>
      </c>
      <c r="D2665" t="s">
        <v>1554</v>
      </c>
    </row>
    <row r="2666" spans="1:4" x14ac:dyDescent="0.2">
      <c r="A2666" t="s">
        <v>1230</v>
      </c>
      <c r="B2666" t="s">
        <v>17</v>
      </c>
      <c r="C2666" t="s">
        <v>1560</v>
      </c>
      <c r="D2666" t="s">
        <v>1554</v>
      </c>
    </row>
    <row r="2667" spans="1:4" x14ac:dyDescent="0.2">
      <c r="A2667" t="s">
        <v>1230</v>
      </c>
      <c r="B2667" t="s">
        <v>19</v>
      </c>
      <c r="C2667" t="s">
        <v>1570</v>
      </c>
      <c r="D2667" t="s">
        <v>1554</v>
      </c>
    </row>
    <row r="2668" spans="1:4" x14ac:dyDescent="0.2">
      <c r="A2668" t="s">
        <v>1230</v>
      </c>
      <c r="B2668" t="s">
        <v>23</v>
      </c>
      <c r="C2668" t="s">
        <v>1556</v>
      </c>
      <c r="D2668" t="s">
        <v>1554</v>
      </c>
    </row>
    <row r="2669" spans="1:4" x14ac:dyDescent="0.2">
      <c r="A2669" t="s">
        <v>1230</v>
      </c>
      <c r="B2669" t="s">
        <v>25</v>
      </c>
      <c r="C2669" t="s">
        <v>1557</v>
      </c>
      <c r="D2669" t="s">
        <v>1554</v>
      </c>
    </row>
    <row r="2670" spans="1:4" x14ac:dyDescent="0.2">
      <c r="A2670" t="s">
        <v>1230</v>
      </c>
      <c r="B2670" t="s">
        <v>24</v>
      </c>
      <c r="C2670" t="s">
        <v>1558</v>
      </c>
      <c r="D2670" t="s">
        <v>1559</v>
      </c>
    </row>
    <row r="2671" spans="1:4" x14ac:dyDescent="0.2">
      <c r="A2671" t="s">
        <v>1236</v>
      </c>
      <c r="B2671" t="s">
        <v>3</v>
      </c>
      <c r="C2671" t="s">
        <v>1562</v>
      </c>
      <c r="D2671" t="s">
        <v>1554</v>
      </c>
    </row>
    <row r="2672" spans="1:4" x14ac:dyDescent="0.2">
      <c r="A2672" t="s">
        <v>1236</v>
      </c>
      <c r="B2672" t="s">
        <v>5</v>
      </c>
      <c r="C2672" t="s">
        <v>1563</v>
      </c>
      <c r="D2672" t="s">
        <v>1554</v>
      </c>
    </row>
    <row r="2673" spans="1:4" x14ac:dyDescent="0.2">
      <c r="A2673" t="s">
        <v>1236</v>
      </c>
      <c r="B2673" t="s">
        <v>6</v>
      </c>
      <c r="C2673" t="s">
        <v>1564</v>
      </c>
      <c r="D2673" t="s">
        <v>1554</v>
      </c>
    </row>
    <row r="2674" spans="1:4" x14ac:dyDescent="0.2">
      <c r="A2674" t="s">
        <v>1236</v>
      </c>
      <c r="B2674" t="s">
        <v>7</v>
      </c>
      <c r="C2674" t="s">
        <v>1565</v>
      </c>
      <c r="D2674" t="s">
        <v>1554</v>
      </c>
    </row>
    <row r="2675" spans="1:4" x14ac:dyDescent="0.2">
      <c r="A2675" t="s">
        <v>1236</v>
      </c>
      <c r="B2675" t="s">
        <v>8</v>
      </c>
      <c r="C2675" t="s">
        <v>1561</v>
      </c>
      <c r="D2675" t="s">
        <v>1554</v>
      </c>
    </row>
    <row r="2676" spans="1:4" x14ac:dyDescent="0.2">
      <c r="A2676" t="s">
        <v>1236</v>
      </c>
      <c r="B2676" t="s">
        <v>9</v>
      </c>
      <c r="C2676" t="s">
        <v>1553</v>
      </c>
      <c r="D2676" t="s">
        <v>1554</v>
      </c>
    </row>
    <row r="2677" spans="1:4" x14ac:dyDescent="0.2">
      <c r="A2677" t="s">
        <v>1236</v>
      </c>
      <c r="B2677" t="s">
        <v>10</v>
      </c>
      <c r="C2677" t="s">
        <v>1555</v>
      </c>
      <c r="D2677" t="s">
        <v>1554</v>
      </c>
    </row>
    <row r="2678" spans="1:4" x14ac:dyDescent="0.2">
      <c r="A2678" t="s">
        <v>1236</v>
      </c>
      <c r="B2678" t="s">
        <v>11</v>
      </c>
      <c r="C2678" t="s">
        <v>1566</v>
      </c>
      <c r="D2678" t="s">
        <v>1554</v>
      </c>
    </row>
    <row r="2679" spans="1:4" x14ac:dyDescent="0.2">
      <c r="A2679" t="s">
        <v>1236</v>
      </c>
      <c r="B2679" t="s">
        <v>13</v>
      </c>
      <c r="C2679" t="s">
        <v>1567</v>
      </c>
      <c r="D2679" t="s">
        <v>1554</v>
      </c>
    </row>
    <row r="2680" spans="1:4" x14ac:dyDescent="0.2">
      <c r="A2680" t="s">
        <v>1236</v>
      </c>
      <c r="B2680" t="s">
        <v>14</v>
      </c>
      <c r="C2680" t="s">
        <v>1568</v>
      </c>
      <c r="D2680" t="s">
        <v>1554</v>
      </c>
    </row>
    <row r="2681" spans="1:4" x14ac:dyDescent="0.2">
      <c r="A2681" t="s">
        <v>1236</v>
      </c>
      <c r="B2681" t="s">
        <v>15</v>
      </c>
      <c r="C2681" t="s">
        <v>1569</v>
      </c>
      <c r="D2681" t="s">
        <v>1554</v>
      </c>
    </row>
    <row r="2682" spans="1:4" x14ac:dyDescent="0.2">
      <c r="A2682" t="s">
        <v>1236</v>
      </c>
      <c r="B2682" t="s">
        <v>17</v>
      </c>
      <c r="C2682" t="s">
        <v>1560</v>
      </c>
      <c r="D2682" t="s">
        <v>1554</v>
      </c>
    </row>
    <row r="2683" spans="1:4" x14ac:dyDescent="0.2">
      <c r="A2683" t="s">
        <v>1236</v>
      </c>
      <c r="B2683" t="s">
        <v>19</v>
      </c>
      <c r="C2683" t="s">
        <v>1570</v>
      </c>
      <c r="D2683" t="s">
        <v>1554</v>
      </c>
    </row>
    <row r="2684" spans="1:4" x14ac:dyDescent="0.2">
      <c r="A2684" t="s">
        <v>1236</v>
      </c>
      <c r="B2684" t="s">
        <v>23</v>
      </c>
      <c r="C2684" t="s">
        <v>1556</v>
      </c>
      <c r="D2684" t="s">
        <v>1554</v>
      </c>
    </row>
    <row r="2685" spans="1:4" x14ac:dyDescent="0.2">
      <c r="A2685" t="s">
        <v>1236</v>
      </c>
      <c r="B2685" t="s">
        <v>25</v>
      </c>
      <c r="C2685" t="s">
        <v>1557</v>
      </c>
      <c r="D2685" t="s">
        <v>1554</v>
      </c>
    </row>
    <row r="2686" spans="1:4" x14ac:dyDescent="0.2">
      <c r="A2686" t="s">
        <v>1236</v>
      </c>
      <c r="B2686" t="s">
        <v>24</v>
      </c>
      <c r="C2686" t="s">
        <v>1558</v>
      </c>
      <c r="D2686" t="s">
        <v>1559</v>
      </c>
    </row>
    <row r="2687" spans="1:4" x14ac:dyDescent="0.2">
      <c r="A2687" t="s">
        <v>1242</v>
      </c>
      <c r="B2687" t="s">
        <v>3</v>
      </c>
      <c r="C2687" t="s">
        <v>1562</v>
      </c>
      <c r="D2687" t="s">
        <v>1554</v>
      </c>
    </row>
    <row r="2688" spans="1:4" x14ac:dyDescent="0.2">
      <c r="A2688" t="s">
        <v>1242</v>
      </c>
      <c r="B2688" t="s">
        <v>5</v>
      </c>
      <c r="C2688" t="s">
        <v>1563</v>
      </c>
      <c r="D2688" t="s">
        <v>1554</v>
      </c>
    </row>
    <row r="2689" spans="1:4" x14ac:dyDescent="0.2">
      <c r="A2689" t="s">
        <v>1242</v>
      </c>
      <c r="B2689" t="s">
        <v>6</v>
      </c>
      <c r="C2689" t="s">
        <v>1564</v>
      </c>
      <c r="D2689" t="s">
        <v>1554</v>
      </c>
    </row>
    <row r="2690" spans="1:4" x14ac:dyDescent="0.2">
      <c r="A2690" t="s">
        <v>1242</v>
      </c>
      <c r="B2690" t="s">
        <v>7</v>
      </c>
      <c r="C2690" t="s">
        <v>1565</v>
      </c>
      <c r="D2690" t="s">
        <v>1554</v>
      </c>
    </row>
    <row r="2691" spans="1:4" x14ac:dyDescent="0.2">
      <c r="A2691" t="s">
        <v>1242</v>
      </c>
      <c r="B2691" t="s">
        <v>8</v>
      </c>
      <c r="C2691" t="s">
        <v>1561</v>
      </c>
      <c r="D2691" t="s">
        <v>1554</v>
      </c>
    </row>
    <row r="2692" spans="1:4" x14ac:dyDescent="0.2">
      <c r="A2692" t="s">
        <v>1242</v>
      </c>
      <c r="B2692" t="s">
        <v>9</v>
      </c>
      <c r="C2692" t="s">
        <v>1553</v>
      </c>
      <c r="D2692" t="s">
        <v>1554</v>
      </c>
    </row>
    <row r="2693" spans="1:4" x14ac:dyDescent="0.2">
      <c r="A2693" t="s">
        <v>1242</v>
      </c>
      <c r="B2693" t="s">
        <v>10</v>
      </c>
      <c r="C2693" t="s">
        <v>1555</v>
      </c>
      <c r="D2693" t="s">
        <v>1554</v>
      </c>
    </row>
    <row r="2694" spans="1:4" x14ac:dyDescent="0.2">
      <c r="A2694" t="s">
        <v>1242</v>
      </c>
      <c r="B2694" t="s">
        <v>11</v>
      </c>
      <c r="C2694" t="s">
        <v>1566</v>
      </c>
      <c r="D2694" t="s">
        <v>1554</v>
      </c>
    </row>
    <row r="2695" spans="1:4" x14ac:dyDescent="0.2">
      <c r="A2695" t="s">
        <v>1242</v>
      </c>
      <c r="B2695" t="s">
        <v>13</v>
      </c>
      <c r="C2695" t="s">
        <v>1567</v>
      </c>
      <c r="D2695" t="s">
        <v>1554</v>
      </c>
    </row>
    <row r="2696" spans="1:4" x14ac:dyDescent="0.2">
      <c r="A2696" t="s">
        <v>1242</v>
      </c>
      <c r="B2696" t="s">
        <v>14</v>
      </c>
      <c r="C2696" t="s">
        <v>1568</v>
      </c>
      <c r="D2696" t="s">
        <v>1554</v>
      </c>
    </row>
    <row r="2697" spans="1:4" x14ac:dyDescent="0.2">
      <c r="A2697" t="s">
        <v>1242</v>
      </c>
      <c r="B2697" t="s">
        <v>15</v>
      </c>
      <c r="C2697" t="s">
        <v>1569</v>
      </c>
      <c r="D2697" t="s">
        <v>1554</v>
      </c>
    </row>
    <row r="2698" spans="1:4" x14ac:dyDescent="0.2">
      <c r="A2698" t="s">
        <v>1242</v>
      </c>
      <c r="B2698" t="s">
        <v>17</v>
      </c>
      <c r="C2698" t="s">
        <v>1560</v>
      </c>
      <c r="D2698" t="s">
        <v>1554</v>
      </c>
    </row>
    <row r="2699" spans="1:4" x14ac:dyDescent="0.2">
      <c r="A2699" t="s">
        <v>1242</v>
      </c>
      <c r="B2699" t="s">
        <v>19</v>
      </c>
      <c r="C2699" t="s">
        <v>1570</v>
      </c>
      <c r="D2699" t="s">
        <v>1554</v>
      </c>
    </row>
    <row r="2700" spans="1:4" x14ac:dyDescent="0.2">
      <c r="A2700" t="s">
        <v>1242</v>
      </c>
      <c r="B2700" t="s">
        <v>23</v>
      </c>
      <c r="C2700" t="s">
        <v>1556</v>
      </c>
      <c r="D2700" t="s">
        <v>1554</v>
      </c>
    </row>
    <row r="2701" spans="1:4" x14ac:dyDescent="0.2">
      <c r="A2701" t="s">
        <v>1242</v>
      </c>
      <c r="B2701" t="s">
        <v>25</v>
      </c>
      <c r="C2701" t="s">
        <v>1557</v>
      </c>
      <c r="D2701" t="s">
        <v>1554</v>
      </c>
    </row>
    <row r="2702" spans="1:4" x14ac:dyDescent="0.2">
      <c r="A2702" t="s">
        <v>1242</v>
      </c>
      <c r="B2702" t="s">
        <v>21</v>
      </c>
      <c r="C2702" t="s">
        <v>1571</v>
      </c>
      <c r="D2702" t="s">
        <v>1559</v>
      </c>
    </row>
    <row r="2703" spans="1:4" x14ac:dyDescent="0.2">
      <c r="A2703" t="s">
        <v>1242</v>
      </c>
      <c r="B2703" t="s">
        <v>22</v>
      </c>
      <c r="C2703" t="s">
        <v>1572</v>
      </c>
      <c r="D2703" t="s">
        <v>1559</v>
      </c>
    </row>
    <row r="2704" spans="1:4" x14ac:dyDescent="0.2">
      <c r="A2704" t="s">
        <v>1242</v>
      </c>
      <c r="B2704" t="s">
        <v>24</v>
      </c>
      <c r="C2704" t="s">
        <v>1558</v>
      </c>
      <c r="D2704" t="s">
        <v>1559</v>
      </c>
    </row>
    <row r="2705" spans="1:4" x14ac:dyDescent="0.2">
      <c r="A2705" t="s">
        <v>1247</v>
      </c>
      <c r="B2705" t="s">
        <v>6</v>
      </c>
      <c r="C2705" t="s">
        <v>1564</v>
      </c>
      <c r="D2705" t="s">
        <v>1554</v>
      </c>
    </row>
    <row r="2706" spans="1:4" x14ac:dyDescent="0.2">
      <c r="A2706" t="s">
        <v>1247</v>
      </c>
      <c r="B2706" t="s">
        <v>7</v>
      </c>
      <c r="C2706" t="s">
        <v>1565</v>
      </c>
      <c r="D2706" t="s">
        <v>1554</v>
      </c>
    </row>
    <row r="2707" spans="1:4" x14ac:dyDescent="0.2">
      <c r="A2707" t="s">
        <v>1247</v>
      </c>
      <c r="B2707" t="s">
        <v>8</v>
      </c>
      <c r="C2707" t="s">
        <v>1561</v>
      </c>
      <c r="D2707" t="s">
        <v>1554</v>
      </c>
    </row>
    <row r="2708" spans="1:4" x14ac:dyDescent="0.2">
      <c r="A2708" t="s">
        <v>1247</v>
      </c>
      <c r="B2708" t="s">
        <v>9</v>
      </c>
      <c r="C2708" t="s">
        <v>1553</v>
      </c>
      <c r="D2708" t="s">
        <v>1554</v>
      </c>
    </row>
    <row r="2709" spans="1:4" x14ac:dyDescent="0.2">
      <c r="A2709" t="s">
        <v>1247</v>
      </c>
      <c r="B2709" t="s">
        <v>10</v>
      </c>
      <c r="C2709" t="s">
        <v>1555</v>
      </c>
      <c r="D2709" t="s">
        <v>1554</v>
      </c>
    </row>
    <row r="2710" spans="1:4" x14ac:dyDescent="0.2">
      <c r="A2710" t="s">
        <v>1247</v>
      </c>
      <c r="B2710" t="s">
        <v>11</v>
      </c>
      <c r="C2710" t="s">
        <v>1566</v>
      </c>
      <c r="D2710" t="s">
        <v>1554</v>
      </c>
    </row>
    <row r="2711" spans="1:4" x14ac:dyDescent="0.2">
      <c r="A2711" t="s">
        <v>1247</v>
      </c>
      <c r="B2711" t="s">
        <v>13</v>
      </c>
      <c r="C2711" t="s">
        <v>1567</v>
      </c>
      <c r="D2711" t="s">
        <v>1554</v>
      </c>
    </row>
    <row r="2712" spans="1:4" x14ac:dyDescent="0.2">
      <c r="A2712" t="s">
        <v>1247</v>
      </c>
      <c r="B2712" t="s">
        <v>14</v>
      </c>
      <c r="C2712" t="s">
        <v>1568</v>
      </c>
      <c r="D2712" t="s">
        <v>1554</v>
      </c>
    </row>
    <row r="2713" spans="1:4" x14ac:dyDescent="0.2">
      <c r="A2713" t="s">
        <v>1247</v>
      </c>
      <c r="B2713" t="s">
        <v>15</v>
      </c>
      <c r="C2713" t="s">
        <v>1569</v>
      </c>
      <c r="D2713" t="s">
        <v>1554</v>
      </c>
    </row>
    <row r="2714" spans="1:4" x14ac:dyDescent="0.2">
      <c r="A2714" t="s">
        <v>1247</v>
      </c>
      <c r="B2714" t="s">
        <v>17</v>
      </c>
      <c r="C2714" t="s">
        <v>1560</v>
      </c>
      <c r="D2714" t="s">
        <v>1554</v>
      </c>
    </row>
    <row r="2715" spans="1:4" x14ac:dyDescent="0.2">
      <c r="A2715" t="s">
        <v>1247</v>
      </c>
      <c r="B2715" t="s">
        <v>19</v>
      </c>
      <c r="C2715" t="s">
        <v>1570</v>
      </c>
      <c r="D2715" t="s">
        <v>1554</v>
      </c>
    </row>
    <row r="2716" spans="1:4" x14ac:dyDescent="0.2">
      <c r="A2716" t="s">
        <v>1247</v>
      </c>
      <c r="B2716" t="s">
        <v>23</v>
      </c>
      <c r="C2716" t="s">
        <v>1556</v>
      </c>
      <c r="D2716" t="s">
        <v>1554</v>
      </c>
    </row>
    <row r="2717" spans="1:4" x14ac:dyDescent="0.2">
      <c r="A2717" t="s">
        <v>1247</v>
      </c>
      <c r="B2717" t="s">
        <v>25</v>
      </c>
      <c r="C2717" t="s">
        <v>1557</v>
      </c>
      <c r="D2717" t="s">
        <v>1554</v>
      </c>
    </row>
    <row r="2718" spans="1:4" x14ac:dyDescent="0.2">
      <c r="A2718" t="s">
        <v>1247</v>
      </c>
      <c r="B2718" t="s">
        <v>24</v>
      </c>
      <c r="C2718" t="s">
        <v>1558</v>
      </c>
      <c r="D2718" t="s">
        <v>1559</v>
      </c>
    </row>
    <row r="2719" spans="1:4" x14ac:dyDescent="0.2">
      <c r="A2719" t="s">
        <v>1253</v>
      </c>
      <c r="B2719" t="s">
        <v>3</v>
      </c>
      <c r="C2719" t="s">
        <v>1562</v>
      </c>
      <c r="D2719" t="s">
        <v>1554</v>
      </c>
    </row>
    <row r="2720" spans="1:4" x14ac:dyDescent="0.2">
      <c r="A2720" t="s">
        <v>1253</v>
      </c>
      <c r="B2720" t="s">
        <v>5</v>
      </c>
      <c r="C2720" t="s">
        <v>1563</v>
      </c>
      <c r="D2720" t="s">
        <v>1554</v>
      </c>
    </row>
    <row r="2721" spans="1:4" x14ac:dyDescent="0.2">
      <c r="A2721" t="s">
        <v>1253</v>
      </c>
      <c r="B2721" t="s">
        <v>6</v>
      </c>
      <c r="C2721" t="s">
        <v>1564</v>
      </c>
      <c r="D2721" t="s">
        <v>1554</v>
      </c>
    </row>
    <row r="2722" spans="1:4" x14ac:dyDescent="0.2">
      <c r="A2722" t="s">
        <v>1253</v>
      </c>
      <c r="B2722" t="s">
        <v>7</v>
      </c>
      <c r="C2722" t="s">
        <v>1565</v>
      </c>
      <c r="D2722" t="s">
        <v>1554</v>
      </c>
    </row>
    <row r="2723" spans="1:4" x14ac:dyDescent="0.2">
      <c r="A2723" t="s">
        <v>1253</v>
      </c>
      <c r="B2723" t="s">
        <v>8</v>
      </c>
      <c r="C2723" t="s">
        <v>1561</v>
      </c>
      <c r="D2723" t="s">
        <v>1554</v>
      </c>
    </row>
    <row r="2724" spans="1:4" x14ac:dyDescent="0.2">
      <c r="A2724" t="s">
        <v>1253</v>
      </c>
      <c r="B2724" t="s">
        <v>9</v>
      </c>
      <c r="C2724" t="s">
        <v>1553</v>
      </c>
      <c r="D2724" t="s">
        <v>1554</v>
      </c>
    </row>
    <row r="2725" spans="1:4" x14ac:dyDescent="0.2">
      <c r="A2725" t="s">
        <v>1253</v>
      </c>
      <c r="B2725" t="s">
        <v>10</v>
      </c>
      <c r="C2725" t="s">
        <v>1555</v>
      </c>
      <c r="D2725" t="s">
        <v>1554</v>
      </c>
    </row>
    <row r="2726" spans="1:4" x14ac:dyDescent="0.2">
      <c r="A2726" t="s">
        <v>1253</v>
      </c>
      <c r="B2726" t="s">
        <v>11</v>
      </c>
      <c r="C2726" t="s">
        <v>1566</v>
      </c>
      <c r="D2726" t="s">
        <v>1554</v>
      </c>
    </row>
    <row r="2727" spans="1:4" x14ac:dyDescent="0.2">
      <c r="A2727" t="s">
        <v>1253</v>
      </c>
      <c r="B2727" t="s">
        <v>13</v>
      </c>
      <c r="C2727" t="s">
        <v>1567</v>
      </c>
      <c r="D2727" t="s">
        <v>1554</v>
      </c>
    </row>
    <row r="2728" spans="1:4" x14ac:dyDescent="0.2">
      <c r="A2728" t="s">
        <v>1253</v>
      </c>
      <c r="B2728" t="s">
        <v>14</v>
      </c>
      <c r="C2728" t="s">
        <v>1568</v>
      </c>
      <c r="D2728" t="s">
        <v>1554</v>
      </c>
    </row>
    <row r="2729" spans="1:4" x14ac:dyDescent="0.2">
      <c r="A2729" t="s">
        <v>1253</v>
      </c>
      <c r="B2729" t="s">
        <v>15</v>
      </c>
      <c r="C2729" t="s">
        <v>1569</v>
      </c>
      <c r="D2729" t="s">
        <v>1554</v>
      </c>
    </row>
    <row r="2730" spans="1:4" x14ac:dyDescent="0.2">
      <c r="A2730" t="s">
        <v>1253</v>
      </c>
      <c r="B2730" t="s">
        <v>17</v>
      </c>
      <c r="C2730" t="s">
        <v>1560</v>
      </c>
      <c r="D2730" t="s">
        <v>1554</v>
      </c>
    </row>
    <row r="2731" spans="1:4" x14ac:dyDescent="0.2">
      <c r="A2731" t="s">
        <v>1253</v>
      </c>
      <c r="B2731" t="s">
        <v>19</v>
      </c>
      <c r="C2731" t="s">
        <v>1570</v>
      </c>
      <c r="D2731" t="s">
        <v>1554</v>
      </c>
    </row>
    <row r="2732" spans="1:4" x14ac:dyDescent="0.2">
      <c r="A2732" t="s">
        <v>1253</v>
      </c>
      <c r="B2732" t="s">
        <v>23</v>
      </c>
      <c r="C2732" t="s">
        <v>1556</v>
      </c>
      <c r="D2732" t="s">
        <v>1554</v>
      </c>
    </row>
    <row r="2733" spans="1:4" x14ac:dyDescent="0.2">
      <c r="A2733" t="s">
        <v>1253</v>
      </c>
      <c r="B2733" t="s">
        <v>25</v>
      </c>
      <c r="C2733" t="s">
        <v>1557</v>
      </c>
      <c r="D2733" t="s">
        <v>1554</v>
      </c>
    </row>
    <row r="2734" spans="1:4" x14ac:dyDescent="0.2">
      <c r="A2734" t="s">
        <v>1253</v>
      </c>
      <c r="B2734" t="s">
        <v>24</v>
      </c>
      <c r="C2734" t="s">
        <v>1558</v>
      </c>
      <c r="D2734" t="s">
        <v>1559</v>
      </c>
    </row>
    <row r="2735" spans="1:4" x14ac:dyDescent="0.2">
      <c r="A2735" t="s">
        <v>1259</v>
      </c>
      <c r="B2735" t="s">
        <v>3</v>
      </c>
      <c r="C2735" t="s">
        <v>1562</v>
      </c>
      <c r="D2735" t="s">
        <v>1554</v>
      </c>
    </row>
    <row r="2736" spans="1:4" x14ac:dyDescent="0.2">
      <c r="A2736" t="s">
        <v>1259</v>
      </c>
      <c r="B2736" t="s">
        <v>5</v>
      </c>
      <c r="C2736" t="s">
        <v>1563</v>
      </c>
      <c r="D2736" t="s">
        <v>1554</v>
      </c>
    </row>
    <row r="2737" spans="1:4" x14ac:dyDescent="0.2">
      <c r="A2737" t="s">
        <v>1259</v>
      </c>
      <c r="B2737" t="s">
        <v>6</v>
      </c>
      <c r="C2737" t="s">
        <v>1564</v>
      </c>
      <c r="D2737" t="s">
        <v>1554</v>
      </c>
    </row>
    <row r="2738" spans="1:4" x14ac:dyDescent="0.2">
      <c r="A2738" t="s">
        <v>1259</v>
      </c>
      <c r="B2738" t="s">
        <v>7</v>
      </c>
      <c r="C2738" t="s">
        <v>1565</v>
      </c>
      <c r="D2738" t="s">
        <v>1554</v>
      </c>
    </row>
    <row r="2739" spans="1:4" x14ac:dyDescent="0.2">
      <c r="A2739" t="s">
        <v>1259</v>
      </c>
      <c r="B2739" t="s">
        <v>8</v>
      </c>
      <c r="C2739" t="s">
        <v>1561</v>
      </c>
      <c r="D2739" t="s">
        <v>1554</v>
      </c>
    </row>
    <row r="2740" spans="1:4" x14ac:dyDescent="0.2">
      <c r="A2740" t="s">
        <v>1259</v>
      </c>
      <c r="B2740" t="s">
        <v>9</v>
      </c>
      <c r="C2740" t="s">
        <v>1553</v>
      </c>
      <c r="D2740" t="s">
        <v>1554</v>
      </c>
    </row>
    <row r="2741" spans="1:4" x14ac:dyDescent="0.2">
      <c r="A2741" t="s">
        <v>1259</v>
      </c>
      <c r="B2741" t="s">
        <v>10</v>
      </c>
      <c r="C2741" t="s">
        <v>1555</v>
      </c>
      <c r="D2741" t="s">
        <v>1554</v>
      </c>
    </row>
    <row r="2742" spans="1:4" x14ac:dyDescent="0.2">
      <c r="A2742" t="s">
        <v>1259</v>
      </c>
      <c r="B2742" t="s">
        <v>11</v>
      </c>
      <c r="C2742" t="s">
        <v>1566</v>
      </c>
      <c r="D2742" t="s">
        <v>1554</v>
      </c>
    </row>
    <row r="2743" spans="1:4" x14ac:dyDescent="0.2">
      <c r="A2743" t="s">
        <v>1259</v>
      </c>
      <c r="B2743" t="s">
        <v>13</v>
      </c>
      <c r="C2743" t="s">
        <v>1567</v>
      </c>
      <c r="D2743" t="s">
        <v>1554</v>
      </c>
    </row>
    <row r="2744" spans="1:4" x14ac:dyDescent="0.2">
      <c r="A2744" t="s">
        <v>1259</v>
      </c>
      <c r="B2744" t="s">
        <v>14</v>
      </c>
      <c r="C2744" t="s">
        <v>1568</v>
      </c>
      <c r="D2744" t="s">
        <v>1554</v>
      </c>
    </row>
    <row r="2745" spans="1:4" x14ac:dyDescent="0.2">
      <c r="A2745" t="s">
        <v>1259</v>
      </c>
      <c r="B2745" t="s">
        <v>15</v>
      </c>
      <c r="C2745" t="s">
        <v>1569</v>
      </c>
      <c r="D2745" t="s">
        <v>1554</v>
      </c>
    </row>
    <row r="2746" spans="1:4" x14ac:dyDescent="0.2">
      <c r="A2746" t="s">
        <v>1259</v>
      </c>
      <c r="B2746" t="s">
        <v>17</v>
      </c>
      <c r="C2746" t="s">
        <v>1560</v>
      </c>
      <c r="D2746" t="s">
        <v>1554</v>
      </c>
    </row>
    <row r="2747" spans="1:4" x14ac:dyDescent="0.2">
      <c r="A2747" t="s">
        <v>1259</v>
      </c>
      <c r="B2747" t="s">
        <v>19</v>
      </c>
      <c r="C2747" t="s">
        <v>1570</v>
      </c>
      <c r="D2747" t="s">
        <v>1554</v>
      </c>
    </row>
    <row r="2748" spans="1:4" x14ac:dyDescent="0.2">
      <c r="A2748" t="s">
        <v>1259</v>
      </c>
      <c r="B2748" t="s">
        <v>23</v>
      </c>
      <c r="C2748" t="s">
        <v>1556</v>
      </c>
      <c r="D2748" t="s">
        <v>1554</v>
      </c>
    </row>
    <row r="2749" spans="1:4" x14ac:dyDescent="0.2">
      <c r="A2749" t="s">
        <v>1259</v>
      </c>
      <c r="B2749" t="s">
        <v>25</v>
      </c>
      <c r="C2749" t="s">
        <v>1557</v>
      </c>
      <c r="D2749" t="s">
        <v>1554</v>
      </c>
    </row>
    <row r="2750" spans="1:4" x14ac:dyDescent="0.2">
      <c r="A2750" t="s">
        <v>1259</v>
      </c>
      <c r="B2750" t="s">
        <v>24</v>
      </c>
      <c r="C2750" t="s">
        <v>1558</v>
      </c>
      <c r="D2750" t="s">
        <v>1559</v>
      </c>
    </row>
    <row r="2751" spans="1:4" x14ac:dyDescent="0.2">
      <c r="A2751" t="s">
        <v>1265</v>
      </c>
      <c r="B2751" t="s">
        <v>3</v>
      </c>
      <c r="C2751" t="s">
        <v>1562</v>
      </c>
      <c r="D2751" t="s">
        <v>1554</v>
      </c>
    </row>
    <row r="2752" spans="1:4" x14ac:dyDescent="0.2">
      <c r="A2752" t="s">
        <v>1265</v>
      </c>
      <c r="B2752" t="s">
        <v>5</v>
      </c>
      <c r="C2752" t="s">
        <v>1563</v>
      </c>
      <c r="D2752" t="s">
        <v>1554</v>
      </c>
    </row>
    <row r="2753" spans="1:4" x14ac:dyDescent="0.2">
      <c r="A2753" t="s">
        <v>1265</v>
      </c>
      <c r="B2753" t="s">
        <v>6</v>
      </c>
      <c r="C2753" t="s">
        <v>1564</v>
      </c>
      <c r="D2753" t="s">
        <v>1554</v>
      </c>
    </row>
    <row r="2754" spans="1:4" x14ac:dyDescent="0.2">
      <c r="A2754" t="s">
        <v>1265</v>
      </c>
      <c r="B2754" t="s">
        <v>7</v>
      </c>
      <c r="C2754" t="s">
        <v>1565</v>
      </c>
      <c r="D2754" t="s">
        <v>1554</v>
      </c>
    </row>
    <row r="2755" spans="1:4" x14ac:dyDescent="0.2">
      <c r="A2755" t="s">
        <v>1265</v>
      </c>
      <c r="B2755" t="s">
        <v>8</v>
      </c>
      <c r="C2755" t="s">
        <v>1561</v>
      </c>
      <c r="D2755" t="s">
        <v>1554</v>
      </c>
    </row>
    <row r="2756" spans="1:4" x14ac:dyDescent="0.2">
      <c r="A2756" t="s">
        <v>1265</v>
      </c>
      <c r="B2756" t="s">
        <v>9</v>
      </c>
      <c r="C2756" t="s">
        <v>1553</v>
      </c>
      <c r="D2756" t="s">
        <v>1554</v>
      </c>
    </row>
    <row r="2757" spans="1:4" x14ac:dyDescent="0.2">
      <c r="A2757" t="s">
        <v>1265</v>
      </c>
      <c r="B2757" t="s">
        <v>10</v>
      </c>
      <c r="C2757" t="s">
        <v>1555</v>
      </c>
      <c r="D2757" t="s">
        <v>1554</v>
      </c>
    </row>
    <row r="2758" spans="1:4" x14ac:dyDescent="0.2">
      <c r="A2758" t="s">
        <v>1265</v>
      </c>
      <c r="B2758" t="s">
        <v>11</v>
      </c>
      <c r="C2758" t="s">
        <v>1566</v>
      </c>
      <c r="D2758" t="s">
        <v>1554</v>
      </c>
    </row>
    <row r="2759" spans="1:4" x14ac:dyDescent="0.2">
      <c r="A2759" t="s">
        <v>1265</v>
      </c>
      <c r="B2759" t="s">
        <v>13</v>
      </c>
      <c r="C2759" t="s">
        <v>1567</v>
      </c>
      <c r="D2759" t="s">
        <v>1554</v>
      </c>
    </row>
    <row r="2760" spans="1:4" x14ac:dyDescent="0.2">
      <c r="A2760" t="s">
        <v>1265</v>
      </c>
      <c r="B2760" t="s">
        <v>14</v>
      </c>
      <c r="C2760" t="s">
        <v>1568</v>
      </c>
      <c r="D2760" t="s">
        <v>1554</v>
      </c>
    </row>
    <row r="2761" spans="1:4" x14ac:dyDescent="0.2">
      <c r="A2761" t="s">
        <v>1265</v>
      </c>
      <c r="B2761" t="s">
        <v>15</v>
      </c>
      <c r="C2761" t="s">
        <v>1569</v>
      </c>
      <c r="D2761" t="s">
        <v>1554</v>
      </c>
    </row>
    <row r="2762" spans="1:4" x14ac:dyDescent="0.2">
      <c r="A2762" t="s">
        <v>1265</v>
      </c>
      <c r="B2762" t="s">
        <v>17</v>
      </c>
      <c r="C2762" t="s">
        <v>1560</v>
      </c>
      <c r="D2762" t="s">
        <v>1554</v>
      </c>
    </row>
    <row r="2763" spans="1:4" x14ac:dyDescent="0.2">
      <c r="A2763" t="s">
        <v>1265</v>
      </c>
      <c r="B2763" t="s">
        <v>19</v>
      </c>
      <c r="C2763" t="s">
        <v>1570</v>
      </c>
      <c r="D2763" t="s">
        <v>1554</v>
      </c>
    </row>
    <row r="2764" spans="1:4" x14ac:dyDescent="0.2">
      <c r="A2764" t="s">
        <v>1265</v>
      </c>
      <c r="B2764" t="s">
        <v>23</v>
      </c>
      <c r="C2764" t="s">
        <v>1556</v>
      </c>
      <c r="D2764" t="s">
        <v>1554</v>
      </c>
    </row>
    <row r="2765" spans="1:4" x14ac:dyDescent="0.2">
      <c r="A2765" t="s">
        <v>1265</v>
      </c>
      <c r="B2765" t="s">
        <v>25</v>
      </c>
      <c r="C2765" t="s">
        <v>1557</v>
      </c>
      <c r="D2765" t="s">
        <v>1554</v>
      </c>
    </row>
    <row r="2766" spans="1:4" x14ac:dyDescent="0.2">
      <c r="A2766" t="s">
        <v>1265</v>
      </c>
      <c r="B2766" t="s">
        <v>21</v>
      </c>
      <c r="C2766" t="s">
        <v>1571</v>
      </c>
      <c r="D2766" t="s">
        <v>1559</v>
      </c>
    </row>
    <row r="2767" spans="1:4" x14ac:dyDescent="0.2">
      <c r="A2767" t="s">
        <v>1265</v>
      </c>
      <c r="B2767" t="s">
        <v>22</v>
      </c>
      <c r="C2767" t="s">
        <v>1572</v>
      </c>
      <c r="D2767" t="s">
        <v>1559</v>
      </c>
    </row>
    <row r="2768" spans="1:4" x14ac:dyDescent="0.2">
      <c r="A2768" t="s">
        <v>1265</v>
      </c>
      <c r="B2768" t="s">
        <v>24</v>
      </c>
      <c r="C2768" t="s">
        <v>1558</v>
      </c>
      <c r="D2768" t="s">
        <v>1559</v>
      </c>
    </row>
    <row r="2769" spans="1:4" x14ac:dyDescent="0.2">
      <c r="A2769" t="s">
        <v>1269</v>
      </c>
      <c r="B2769" t="s">
        <v>3</v>
      </c>
      <c r="C2769" t="s">
        <v>1562</v>
      </c>
      <c r="D2769" t="s">
        <v>1554</v>
      </c>
    </row>
    <row r="2770" spans="1:4" x14ac:dyDescent="0.2">
      <c r="A2770" t="s">
        <v>1269</v>
      </c>
      <c r="B2770" t="s">
        <v>5</v>
      </c>
      <c r="C2770" t="s">
        <v>1563</v>
      </c>
      <c r="D2770" t="s">
        <v>1554</v>
      </c>
    </row>
    <row r="2771" spans="1:4" x14ac:dyDescent="0.2">
      <c r="A2771" t="s">
        <v>1269</v>
      </c>
      <c r="B2771" t="s">
        <v>6</v>
      </c>
      <c r="C2771" t="s">
        <v>1564</v>
      </c>
      <c r="D2771" t="s">
        <v>1554</v>
      </c>
    </row>
    <row r="2772" spans="1:4" x14ac:dyDescent="0.2">
      <c r="A2772" t="s">
        <v>1269</v>
      </c>
      <c r="B2772" t="s">
        <v>7</v>
      </c>
      <c r="C2772" t="s">
        <v>1565</v>
      </c>
      <c r="D2772" t="s">
        <v>1554</v>
      </c>
    </row>
    <row r="2773" spans="1:4" x14ac:dyDescent="0.2">
      <c r="A2773" t="s">
        <v>1269</v>
      </c>
      <c r="B2773" t="s">
        <v>8</v>
      </c>
      <c r="C2773" t="s">
        <v>1561</v>
      </c>
      <c r="D2773" t="s">
        <v>1554</v>
      </c>
    </row>
    <row r="2774" spans="1:4" x14ac:dyDescent="0.2">
      <c r="A2774" t="s">
        <v>1269</v>
      </c>
      <c r="B2774" t="s">
        <v>9</v>
      </c>
      <c r="C2774" t="s">
        <v>1553</v>
      </c>
      <c r="D2774" t="s">
        <v>1554</v>
      </c>
    </row>
    <row r="2775" spans="1:4" x14ac:dyDescent="0.2">
      <c r="A2775" t="s">
        <v>1269</v>
      </c>
      <c r="B2775" t="s">
        <v>10</v>
      </c>
      <c r="C2775" t="s">
        <v>1555</v>
      </c>
      <c r="D2775" t="s">
        <v>1554</v>
      </c>
    </row>
    <row r="2776" spans="1:4" x14ac:dyDescent="0.2">
      <c r="A2776" t="s">
        <v>1269</v>
      </c>
      <c r="B2776" t="s">
        <v>11</v>
      </c>
      <c r="C2776" t="s">
        <v>1566</v>
      </c>
      <c r="D2776" t="s">
        <v>1554</v>
      </c>
    </row>
    <row r="2777" spans="1:4" x14ac:dyDescent="0.2">
      <c r="A2777" t="s">
        <v>1269</v>
      </c>
      <c r="B2777" t="s">
        <v>13</v>
      </c>
      <c r="C2777" t="s">
        <v>1567</v>
      </c>
      <c r="D2777" t="s">
        <v>1554</v>
      </c>
    </row>
    <row r="2778" spans="1:4" x14ac:dyDescent="0.2">
      <c r="A2778" t="s">
        <v>1269</v>
      </c>
      <c r="B2778" t="s">
        <v>14</v>
      </c>
      <c r="C2778" t="s">
        <v>1568</v>
      </c>
      <c r="D2778" t="s">
        <v>1554</v>
      </c>
    </row>
    <row r="2779" spans="1:4" x14ac:dyDescent="0.2">
      <c r="A2779" t="s">
        <v>1269</v>
      </c>
      <c r="B2779" t="s">
        <v>15</v>
      </c>
      <c r="C2779" t="s">
        <v>1569</v>
      </c>
      <c r="D2779" t="s">
        <v>1554</v>
      </c>
    </row>
    <row r="2780" spans="1:4" x14ac:dyDescent="0.2">
      <c r="A2780" t="s">
        <v>1269</v>
      </c>
      <c r="B2780" t="s">
        <v>17</v>
      </c>
      <c r="C2780" t="s">
        <v>1560</v>
      </c>
      <c r="D2780" t="s">
        <v>1554</v>
      </c>
    </row>
    <row r="2781" spans="1:4" x14ac:dyDescent="0.2">
      <c r="A2781" t="s">
        <v>1269</v>
      </c>
      <c r="B2781" t="s">
        <v>19</v>
      </c>
      <c r="C2781" t="s">
        <v>1570</v>
      </c>
      <c r="D2781" t="s">
        <v>1554</v>
      </c>
    </row>
    <row r="2782" spans="1:4" x14ac:dyDescent="0.2">
      <c r="A2782" t="s">
        <v>1269</v>
      </c>
      <c r="B2782" t="s">
        <v>23</v>
      </c>
      <c r="C2782" t="s">
        <v>1556</v>
      </c>
      <c r="D2782" t="s">
        <v>1554</v>
      </c>
    </row>
    <row r="2783" spans="1:4" x14ac:dyDescent="0.2">
      <c r="A2783" t="s">
        <v>1269</v>
      </c>
      <c r="B2783" t="s">
        <v>25</v>
      </c>
      <c r="C2783" t="s">
        <v>1557</v>
      </c>
      <c r="D2783" t="s">
        <v>1554</v>
      </c>
    </row>
    <row r="2784" spans="1:4" x14ac:dyDescent="0.2">
      <c r="A2784" t="s">
        <v>1269</v>
      </c>
      <c r="B2784" t="s">
        <v>21</v>
      </c>
      <c r="C2784" t="s">
        <v>1571</v>
      </c>
      <c r="D2784" t="s">
        <v>1559</v>
      </c>
    </row>
    <row r="2785" spans="1:4" x14ac:dyDescent="0.2">
      <c r="A2785" t="s">
        <v>1269</v>
      </c>
      <c r="B2785" t="s">
        <v>22</v>
      </c>
      <c r="C2785" t="s">
        <v>1572</v>
      </c>
      <c r="D2785" t="s">
        <v>1559</v>
      </c>
    </row>
    <row r="2786" spans="1:4" x14ac:dyDescent="0.2">
      <c r="A2786" t="s">
        <v>1269</v>
      </c>
      <c r="B2786" t="s">
        <v>24</v>
      </c>
      <c r="C2786" t="s">
        <v>1558</v>
      </c>
      <c r="D2786" t="s">
        <v>1559</v>
      </c>
    </row>
    <row r="2787" spans="1:4" x14ac:dyDescent="0.2">
      <c r="A2787" t="s">
        <v>1273</v>
      </c>
      <c r="B2787" t="s">
        <v>6</v>
      </c>
      <c r="C2787" t="s">
        <v>1564</v>
      </c>
      <c r="D2787" t="s">
        <v>1554</v>
      </c>
    </row>
    <row r="2788" spans="1:4" x14ac:dyDescent="0.2">
      <c r="A2788" t="s">
        <v>1273</v>
      </c>
      <c r="B2788" t="s">
        <v>7</v>
      </c>
      <c r="C2788" t="s">
        <v>1565</v>
      </c>
      <c r="D2788" t="s">
        <v>1554</v>
      </c>
    </row>
    <row r="2789" spans="1:4" x14ac:dyDescent="0.2">
      <c r="A2789" t="s">
        <v>1273</v>
      </c>
      <c r="B2789" t="s">
        <v>8</v>
      </c>
      <c r="C2789" t="s">
        <v>1561</v>
      </c>
      <c r="D2789" t="s">
        <v>1554</v>
      </c>
    </row>
    <row r="2790" spans="1:4" x14ac:dyDescent="0.2">
      <c r="A2790" t="s">
        <v>1273</v>
      </c>
      <c r="B2790" t="s">
        <v>9</v>
      </c>
      <c r="C2790" t="s">
        <v>1553</v>
      </c>
      <c r="D2790" t="s">
        <v>1554</v>
      </c>
    </row>
    <row r="2791" spans="1:4" x14ac:dyDescent="0.2">
      <c r="A2791" t="s">
        <v>1273</v>
      </c>
      <c r="B2791" t="s">
        <v>10</v>
      </c>
      <c r="C2791" t="s">
        <v>1555</v>
      </c>
      <c r="D2791" t="s">
        <v>1554</v>
      </c>
    </row>
    <row r="2792" spans="1:4" x14ac:dyDescent="0.2">
      <c r="A2792" t="s">
        <v>1273</v>
      </c>
      <c r="B2792" t="s">
        <v>11</v>
      </c>
      <c r="C2792" t="s">
        <v>1566</v>
      </c>
      <c r="D2792" t="s">
        <v>1554</v>
      </c>
    </row>
    <row r="2793" spans="1:4" x14ac:dyDescent="0.2">
      <c r="A2793" t="s">
        <v>1273</v>
      </c>
      <c r="B2793" t="s">
        <v>13</v>
      </c>
      <c r="C2793" t="s">
        <v>1567</v>
      </c>
      <c r="D2793" t="s">
        <v>1554</v>
      </c>
    </row>
    <row r="2794" spans="1:4" x14ac:dyDescent="0.2">
      <c r="A2794" t="s">
        <v>1273</v>
      </c>
      <c r="B2794" t="s">
        <v>14</v>
      </c>
      <c r="C2794" t="s">
        <v>1568</v>
      </c>
      <c r="D2794" t="s">
        <v>1554</v>
      </c>
    </row>
    <row r="2795" spans="1:4" x14ac:dyDescent="0.2">
      <c r="A2795" t="s">
        <v>1273</v>
      </c>
      <c r="B2795" t="s">
        <v>15</v>
      </c>
      <c r="C2795" t="s">
        <v>1569</v>
      </c>
      <c r="D2795" t="s">
        <v>1554</v>
      </c>
    </row>
    <row r="2796" spans="1:4" x14ac:dyDescent="0.2">
      <c r="A2796" t="s">
        <v>1273</v>
      </c>
      <c r="B2796" t="s">
        <v>17</v>
      </c>
      <c r="C2796" t="s">
        <v>1560</v>
      </c>
      <c r="D2796" t="s">
        <v>1554</v>
      </c>
    </row>
    <row r="2797" spans="1:4" x14ac:dyDescent="0.2">
      <c r="A2797" t="s">
        <v>1273</v>
      </c>
      <c r="B2797" t="s">
        <v>19</v>
      </c>
      <c r="C2797" t="s">
        <v>1570</v>
      </c>
      <c r="D2797" t="s">
        <v>1554</v>
      </c>
    </row>
    <row r="2798" spans="1:4" x14ac:dyDescent="0.2">
      <c r="A2798" t="s">
        <v>1273</v>
      </c>
      <c r="B2798" t="s">
        <v>23</v>
      </c>
      <c r="C2798" t="s">
        <v>1556</v>
      </c>
      <c r="D2798" t="s">
        <v>1554</v>
      </c>
    </row>
    <row r="2799" spans="1:4" x14ac:dyDescent="0.2">
      <c r="A2799" t="s">
        <v>1273</v>
      </c>
      <c r="B2799" t="s">
        <v>25</v>
      </c>
      <c r="C2799" t="s">
        <v>1557</v>
      </c>
      <c r="D2799" t="s">
        <v>1554</v>
      </c>
    </row>
    <row r="2800" spans="1:4" x14ac:dyDescent="0.2">
      <c r="A2800" t="s">
        <v>1273</v>
      </c>
      <c r="B2800" t="s">
        <v>21</v>
      </c>
      <c r="C2800" t="s">
        <v>1571</v>
      </c>
      <c r="D2800" t="s">
        <v>1559</v>
      </c>
    </row>
    <row r="2801" spans="1:4" x14ac:dyDescent="0.2">
      <c r="A2801" t="s">
        <v>1273</v>
      </c>
      <c r="B2801" t="s">
        <v>22</v>
      </c>
      <c r="C2801" t="s">
        <v>1572</v>
      </c>
      <c r="D2801" t="s">
        <v>1559</v>
      </c>
    </row>
    <row r="2802" spans="1:4" x14ac:dyDescent="0.2">
      <c r="A2802" t="s">
        <v>1273</v>
      </c>
      <c r="B2802" t="s">
        <v>24</v>
      </c>
      <c r="C2802" t="s">
        <v>1558</v>
      </c>
      <c r="D2802" t="s">
        <v>1559</v>
      </c>
    </row>
    <row r="2803" spans="1:4" x14ac:dyDescent="0.2">
      <c r="A2803" t="s">
        <v>1278</v>
      </c>
      <c r="B2803" t="s">
        <v>6</v>
      </c>
      <c r="C2803" t="s">
        <v>1564</v>
      </c>
      <c r="D2803" t="s">
        <v>1554</v>
      </c>
    </row>
    <row r="2804" spans="1:4" x14ac:dyDescent="0.2">
      <c r="A2804" t="s">
        <v>1278</v>
      </c>
      <c r="B2804" t="s">
        <v>7</v>
      </c>
      <c r="C2804" t="s">
        <v>1565</v>
      </c>
      <c r="D2804" t="s">
        <v>1554</v>
      </c>
    </row>
    <row r="2805" spans="1:4" x14ac:dyDescent="0.2">
      <c r="A2805" t="s">
        <v>1278</v>
      </c>
      <c r="B2805" t="s">
        <v>8</v>
      </c>
      <c r="C2805" t="s">
        <v>1561</v>
      </c>
      <c r="D2805" t="s">
        <v>1554</v>
      </c>
    </row>
    <row r="2806" spans="1:4" x14ac:dyDescent="0.2">
      <c r="A2806" t="s">
        <v>1278</v>
      </c>
      <c r="B2806" t="s">
        <v>9</v>
      </c>
      <c r="C2806" t="s">
        <v>1553</v>
      </c>
      <c r="D2806" t="s">
        <v>1554</v>
      </c>
    </row>
    <row r="2807" spans="1:4" x14ac:dyDescent="0.2">
      <c r="A2807" t="s">
        <v>1278</v>
      </c>
      <c r="B2807" t="s">
        <v>10</v>
      </c>
      <c r="C2807" t="s">
        <v>1555</v>
      </c>
      <c r="D2807" t="s">
        <v>1554</v>
      </c>
    </row>
    <row r="2808" spans="1:4" x14ac:dyDescent="0.2">
      <c r="A2808" t="s">
        <v>1278</v>
      </c>
      <c r="B2808" t="s">
        <v>11</v>
      </c>
      <c r="C2808" t="s">
        <v>1566</v>
      </c>
      <c r="D2808" t="s">
        <v>1554</v>
      </c>
    </row>
    <row r="2809" spans="1:4" x14ac:dyDescent="0.2">
      <c r="A2809" t="s">
        <v>1278</v>
      </c>
      <c r="B2809" t="s">
        <v>13</v>
      </c>
      <c r="C2809" t="s">
        <v>1567</v>
      </c>
      <c r="D2809" t="s">
        <v>1554</v>
      </c>
    </row>
    <row r="2810" spans="1:4" x14ac:dyDescent="0.2">
      <c r="A2810" t="s">
        <v>1278</v>
      </c>
      <c r="B2810" t="s">
        <v>14</v>
      </c>
      <c r="C2810" t="s">
        <v>1568</v>
      </c>
      <c r="D2810" t="s">
        <v>1554</v>
      </c>
    </row>
    <row r="2811" spans="1:4" x14ac:dyDescent="0.2">
      <c r="A2811" t="s">
        <v>1278</v>
      </c>
      <c r="B2811" t="s">
        <v>15</v>
      </c>
      <c r="C2811" t="s">
        <v>1569</v>
      </c>
      <c r="D2811" t="s">
        <v>1554</v>
      </c>
    </row>
    <row r="2812" spans="1:4" x14ac:dyDescent="0.2">
      <c r="A2812" t="s">
        <v>1278</v>
      </c>
      <c r="B2812" t="s">
        <v>17</v>
      </c>
      <c r="C2812" t="s">
        <v>1560</v>
      </c>
      <c r="D2812" t="s">
        <v>1554</v>
      </c>
    </row>
    <row r="2813" spans="1:4" x14ac:dyDescent="0.2">
      <c r="A2813" t="s">
        <v>1278</v>
      </c>
      <c r="B2813" t="s">
        <v>19</v>
      </c>
      <c r="C2813" t="s">
        <v>1570</v>
      </c>
      <c r="D2813" t="s">
        <v>1554</v>
      </c>
    </row>
    <row r="2814" spans="1:4" x14ac:dyDescent="0.2">
      <c r="A2814" t="s">
        <v>1278</v>
      </c>
      <c r="B2814" t="s">
        <v>23</v>
      </c>
      <c r="C2814" t="s">
        <v>1556</v>
      </c>
      <c r="D2814" t="s">
        <v>1554</v>
      </c>
    </row>
    <row r="2815" spans="1:4" x14ac:dyDescent="0.2">
      <c r="A2815" t="s">
        <v>1278</v>
      </c>
      <c r="B2815" t="s">
        <v>25</v>
      </c>
      <c r="C2815" t="s">
        <v>1557</v>
      </c>
      <c r="D2815" t="s">
        <v>1554</v>
      </c>
    </row>
    <row r="2816" spans="1:4" x14ac:dyDescent="0.2">
      <c r="A2816" t="s">
        <v>1278</v>
      </c>
      <c r="B2816" t="s">
        <v>21</v>
      </c>
      <c r="C2816" t="s">
        <v>1571</v>
      </c>
      <c r="D2816" t="s">
        <v>1559</v>
      </c>
    </row>
    <row r="2817" spans="1:4" x14ac:dyDescent="0.2">
      <c r="A2817" t="s">
        <v>1278</v>
      </c>
      <c r="B2817" t="s">
        <v>22</v>
      </c>
      <c r="C2817" t="s">
        <v>1572</v>
      </c>
      <c r="D2817" t="s">
        <v>1559</v>
      </c>
    </row>
    <row r="2818" spans="1:4" x14ac:dyDescent="0.2">
      <c r="A2818" t="s">
        <v>1278</v>
      </c>
      <c r="B2818" t="s">
        <v>24</v>
      </c>
      <c r="C2818" t="s">
        <v>1558</v>
      </c>
      <c r="D2818" t="s">
        <v>1559</v>
      </c>
    </row>
    <row r="2819" spans="1:4" x14ac:dyDescent="0.2">
      <c r="A2819" t="s">
        <v>1283</v>
      </c>
      <c r="B2819" t="s">
        <v>6</v>
      </c>
      <c r="C2819" t="s">
        <v>1564</v>
      </c>
      <c r="D2819" t="s">
        <v>1554</v>
      </c>
    </row>
    <row r="2820" spans="1:4" x14ac:dyDescent="0.2">
      <c r="A2820" t="s">
        <v>1283</v>
      </c>
      <c r="B2820" t="s">
        <v>7</v>
      </c>
      <c r="C2820" t="s">
        <v>1565</v>
      </c>
      <c r="D2820" t="s">
        <v>1554</v>
      </c>
    </row>
    <row r="2821" spans="1:4" x14ac:dyDescent="0.2">
      <c r="A2821" t="s">
        <v>1283</v>
      </c>
      <c r="B2821" t="s">
        <v>8</v>
      </c>
      <c r="C2821" t="s">
        <v>1561</v>
      </c>
      <c r="D2821" t="s">
        <v>1554</v>
      </c>
    </row>
    <row r="2822" spans="1:4" x14ac:dyDescent="0.2">
      <c r="A2822" t="s">
        <v>1283</v>
      </c>
      <c r="B2822" t="s">
        <v>9</v>
      </c>
      <c r="C2822" t="s">
        <v>1553</v>
      </c>
      <c r="D2822" t="s">
        <v>1554</v>
      </c>
    </row>
    <row r="2823" spans="1:4" x14ac:dyDescent="0.2">
      <c r="A2823" t="s">
        <v>1283</v>
      </c>
      <c r="B2823" t="s">
        <v>10</v>
      </c>
      <c r="C2823" t="s">
        <v>1555</v>
      </c>
      <c r="D2823" t="s">
        <v>1554</v>
      </c>
    </row>
    <row r="2824" spans="1:4" x14ac:dyDescent="0.2">
      <c r="A2824" t="s">
        <v>1283</v>
      </c>
      <c r="B2824" t="s">
        <v>11</v>
      </c>
      <c r="C2824" t="s">
        <v>1566</v>
      </c>
      <c r="D2824" t="s">
        <v>1554</v>
      </c>
    </row>
    <row r="2825" spans="1:4" x14ac:dyDescent="0.2">
      <c r="A2825" t="s">
        <v>1283</v>
      </c>
      <c r="B2825" t="s">
        <v>13</v>
      </c>
      <c r="C2825" t="s">
        <v>1567</v>
      </c>
      <c r="D2825" t="s">
        <v>1554</v>
      </c>
    </row>
    <row r="2826" spans="1:4" x14ac:dyDescent="0.2">
      <c r="A2826" t="s">
        <v>1283</v>
      </c>
      <c r="B2826" t="s">
        <v>14</v>
      </c>
      <c r="C2826" t="s">
        <v>1568</v>
      </c>
      <c r="D2826" t="s">
        <v>1554</v>
      </c>
    </row>
    <row r="2827" spans="1:4" x14ac:dyDescent="0.2">
      <c r="A2827" t="s">
        <v>1283</v>
      </c>
      <c r="B2827" t="s">
        <v>15</v>
      </c>
      <c r="C2827" t="s">
        <v>1569</v>
      </c>
      <c r="D2827" t="s">
        <v>1554</v>
      </c>
    </row>
    <row r="2828" spans="1:4" x14ac:dyDescent="0.2">
      <c r="A2828" t="s">
        <v>1283</v>
      </c>
      <c r="B2828" t="s">
        <v>17</v>
      </c>
      <c r="C2828" t="s">
        <v>1560</v>
      </c>
      <c r="D2828" t="s">
        <v>1554</v>
      </c>
    </row>
    <row r="2829" spans="1:4" x14ac:dyDescent="0.2">
      <c r="A2829" t="s">
        <v>1283</v>
      </c>
      <c r="B2829" t="s">
        <v>19</v>
      </c>
      <c r="C2829" t="s">
        <v>1570</v>
      </c>
      <c r="D2829" t="s">
        <v>1554</v>
      </c>
    </row>
    <row r="2830" spans="1:4" x14ac:dyDescent="0.2">
      <c r="A2830" t="s">
        <v>1283</v>
      </c>
      <c r="B2830" t="s">
        <v>23</v>
      </c>
      <c r="C2830" t="s">
        <v>1556</v>
      </c>
      <c r="D2830" t="s">
        <v>1554</v>
      </c>
    </row>
    <row r="2831" spans="1:4" x14ac:dyDescent="0.2">
      <c r="A2831" t="s">
        <v>1283</v>
      </c>
      <c r="B2831" t="s">
        <v>25</v>
      </c>
      <c r="C2831" t="s">
        <v>1557</v>
      </c>
      <c r="D2831" t="s">
        <v>1554</v>
      </c>
    </row>
    <row r="2832" spans="1:4" x14ac:dyDescent="0.2">
      <c r="A2832" t="s">
        <v>1283</v>
      </c>
      <c r="B2832" t="s">
        <v>21</v>
      </c>
      <c r="C2832" t="s">
        <v>1571</v>
      </c>
      <c r="D2832" t="s">
        <v>1559</v>
      </c>
    </row>
    <row r="2833" spans="1:4" x14ac:dyDescent="0.2">
      <c r="A2833" t="s">
        <v>1283</v>
      </c>
      <c r="B2833" t="s">
        <v>22</v>
      </c>
      <c r="C2833" t="s">
        <v>1572</v>
      </c>
      <c r="D2833" t="s">
        <v>1559</v>
      </c>
    </row>
    <row r="2834" spans="1:4" x14ac:dyDescent="0.2">
      <c r="A2834" t="s">
        <v>1283</v>
      </c>
      <c r="B2834" t="s">
        <v>24</v>
      </c>
      <c r="C2834" t="s">
        <v>1558</v>
      </c>
      <c r="D2834" t="s">
        <v>1559</v>
      </c>
    </row>
    <row r="2835" spans="1:4" x14ac:dyDescent="0.2">
      <c r="A2835" t="s">
        <v>1287</v>
      </c>
      <c r="B2835" t="s">
        <v>3</v>
      </c>
      <c r="C2835" t="s">
        <v>1562</v>
      </c>
      <c r="D2835" t="s">
        <v>1554</v>
      </c>
    </row>
    <row r="2836" spans="1:4" x14ac:dyDescent="0.2">
      <c r="A2836" t="s">
        <v>1287</v>
      </c>
      <c r="B2836" t="s">
        <v>5</v>
      </c>
      <c r="C2836" t="s">
        <v>1563</v>
      </c>
      <c r="D2836" t="s">
        <v>1554</v>
      </c>
    </row>
    <row r="2837" spans="1:4" x14ac:dyDescent="0.2">
      <c r="A2837" t="s">
        <v>1287</v>
      </c>
      <c r="B2837" t="s">
        <v>6</v>
      </c>
      <c r="C2837" t="s">
        <v>1564</v>
      </c>
      <c r="D2837" t="s">
        <v>1554</v>
      </c>
    </row>
    <row r="2838" spans="1:4" x14ac:dyDescent="0.2">
      <c r="A2838" t="s">
        <v>1287</v>
      </c>
      <c r="B2838" t="s">
        <v>7</v>
      </c>
      <c r="C2838" t="s">
        <v>1565</v>
      </c>
      <c r="D2838" t="s">
        <v>1554</v>
      </c>
    </row>
    <row r="2839" spans="1:4" x14ac:dyDescent="0.2">
      <c r="A2839" t="s">
        <v>1287</v>
      </c>
      <c r="B2839" t="s">
        <v>8</v>
      </c>
      <c r="C2839" t="s">
        <v>1561</v>
      </c>
      <c r="D2839" t="s">
        <v>1554</v>
      </c>
    </row>
    <row r="2840" spans="1:4" x14ac:dyDescent="0.2">
      <c r="A2840" t="s">
        <v>1287</v>
      </c>
      <c r="B2840" t="s">
        <v>9</v>
      </c>
      <c r="C2840" t="s">
        <v>1553</v>
      </c>
      <c r="D2840" t="s">
        <v>1554</v>
      </c>
    </row>
    <row r="2841" spans="1:4" x14ac:dyDescent="0.2">
      <c r="A2841" t="s">
        <v>1287</v>
      </c>
      <c r="B2841" t="s">
        <v>10</v>
      </c>
      <c r="C2841" t="s">
        <v>1555</v>
      </c>
      <c r="D2841" t="s">
        <v>1554</v>
      </c>
    </row>
    <row r="2842" spans="1:4" x14ac:dyDescent="0.2">
      <c r="A2842" t="s">
        <v>1287</v>
      </c>
      <c r="B2842" t="s">
        <v>11</v>
      </c>
      <c r="C2842" t="s">
        <v>1566</v>
      </c>
      <c r="D2842" t="s">
        <v>1554</v>
      </c>
    </row>
    <row r="2843" spans="1:4" x14ac:dyDescent="0.2">
      <c r="A2843" t="s">
        <v>1287</v>
      </c>
      <c r="B2843" t="s">
        <v>13</v>
      </c>
      <c r="C2843" t="s">
        <v>1567</v>
      </c>
      <c r="D2843" t="s">
        <v>1554</v>
      </c>
    </row>
    <row r="2844" spans="1:4" x14ac:dyDescent="0.2">
      <c r="A2844" t="s">
        <v>1287</v>
      </c>
      <c r="B2844" t="s">
        <v>14</v>
      </c>
      <c r="C2844" t="s">
        <v>1568</v>
      </c>
      <c r="D2844" t="s">
        <v>1554</v>
      </c>
    </row>
    <row r="2845" spans="1:4" x14ac:dyDescent="0.2">
      <c r="A2845" t="s">
        <v>1287</v>
      </c>
      <c r="B2845" t="s">
        <v>15</v>
      </c>
      <c r="C2845" t="s">
        <v>1569</v>
      </c>
      <c r="D2845" t="s">
        <v>1554</v>
      </c>
    </row>
    <row r="2846" spans="1:4" x14ac:dyDescent="0.2">
      <c r="A2846" t="s">
        <v>1287</v>
      </c>
      <c r="B2846" t="s">
        <v>17</v>
      </c>
      <c r="C2846" t="s">
        <v>1560</v>
      </c>
      <c r="D2846" t="s">
        <v>1554</v>
      </c>
    </row>
    <row r="2847" spans="1:4" x14ac:dyDescent="0.2">
      <c r="A2847" t="s">
        <v>1287</v>
      </c>
      <c r="B2847" t="s">
        <v>19</v>
      </c>
      <c r="C2847" t="s">
        <v>1570</v>
      </c>
      <c r="D2847" t="s">
        <v>1554</v>
      </c>
    </row>
    <row r="2848" spans="1:4" x14ac:dyDescent="0.2">
      <c r="A2848" t="s">
        <v>1287</v>
      </c>
      <c r="B2848" t="s">
        <v>23</v>
      </c>
      <c r="C2848" t="s">
        <v>1556</v>
      </c>
      <c r="D2848" t="s">
        <v>1554</v>
      </c>
    </row>
    <row r="2849" spans="1:4" x14ac:dyDescent="0.2">
      <c r="A2849" t="s">
        <v>1287</v>
      </c>
      <c r="B2849" t="s">
        <v>25</v>
      </c>
      <c r="C2849" t="s">
        <v>1557</v>
      </c>
      <c r="D2849" t="s">
        <v>1554</v>
      </c>
    </row>
    <row r="2850" spans="1:4" x14ac:dyDescent="0.2">
      <c r="A2850" t="s">
        <v>1287</v>
      </c>
      <c r="B2850" t="s">
        <v>21</v>
      </c>
      <c r="C2850" t="s">
        <v>1571</v>
      </c>
      <c r="D2850" t="s">
        <v>1559</v>
      </c>
    </row>
    <row r="2851" spans="1:4" x14ac:dyDescent="0.2">
      <c r="A2851" t="s">
        <v>1287</v>
      </c>
      <c r="B2851" t="s">
        <v>22</v>
      </c>
      <c r="C2851" t="s">
        <v>1572</v>
      </c>
      <c r="D2851" t="s">
        <v>1559</v>
      </c>
    </row>
    <row r="2852" spans="1:4" x14ac:dyDescent="0.2">
      <c r="A2852" t="s">
        <v>1287</v>
      </c>
      <c r="B2852" t="s">
        <v>24</v>
      </c>
      <c r="C2852" t="s">
        <v>1558</v>
      </c>
      <c r="D2852" t="s">
        <v>1559</v>
      </c>
    </row>
    <row r="2853" spans="1:4" x14ac:dyDescent="0.2">
      <c r="A2853" t="s">
        <v>1291</v>
      </c>
      <c r="B2853" t="s">
        <v>3</v>
      </c>
      <c r="C2853" t="s">
        <v>1562</v>
      </c>
      <c r="D2853" t="s">
        <v>1554</v>
      </c>
    </row>
    <row r="2854" spans="1:4" x14ac:dyDescent="0.2">
      <c r="A2854" t="s">
        <v>1291</v>
      </c>
      <c r="B2854" t="s">
        <v>5</v>
      </c>
      <c r="C2854" t="s">
        <v>1563</v>
      </c>
      <c r="D2854" t="s">
        <v>1554</v>
      </c>
    </row>
    <row r="2855" spans="1:4" x14ac:dyDescent="0.2">
      <c r="A2855" t="s">
        <v>1291</v>
      </c>
      <c r="B2855" t="s">
        <v>6</v>
      </c>
      <c r="C2855" t="s">
        <v>1564</v>
      </c>
      <c r="D2855" t="s">
        <v>1554</v>
      </c>
    </row>
    <row r="2856" spans="1:4" x14ac:dyDescent="0.2">
      <c r="A2856" t="s">
        <v>1291</v>
      </c>
      <c r="B2856" t="s">
        <v>7</v>
      </c>
      <c r="C2856" t="s">
        <v>1565</v>
      </c>
      <c r="D2856" t="s">
        <v>1554</v>
      </c>
    </row>
    <row r="2857" spans="1:4" x14ac:dyDescent="0.2">
      <c r="A2857" t="s">
        <v>1291</v>
      </c>
      <c r="B2857" t="s">
        <v>8</v>
      </c>
      <c r="C2857" t="s">
        <v>1561</v>
      </c>
      <c r="D2857" t="s">
        <v>1554</v>
      </c>
    </row>
    <row r="2858" spans="1:4" x14ac:dyDescent="0.2">
      <c r="A2858" t="s">
        <v>1291</v>
      </c>
      <c r="B2858" t="s">
        <v>9</v>
      </c>
      <c r="C2858" t="s">
        <v>1553</v>
      </c>
      <c r="D2858" t="s">
        <v>1554</v>
      </c>
    </row>
    <row r="2859" spans="1:4" x14ac:dyDescent="0.2">
      <c r="A2859" t="s">
        <v>1291</v>
      </c>
      <c r="B2859" t="s">
        <v>10</v>
      </c>
      <c r="C2859" t="s">
        <v>1555</v>
      </c>
      <c r="D2859" t="s">
        <v>1554</v>
      </c>
    </row>
    <row r="2860" spans="1:4" x14ac:dyDescent="0.2">
      <c r="A2860" t="s">
        <v>1291</v>
      </c>
      <c r="B2860" t="s">
        <v>11</v>
      </c>
      <c r="C2860" t="s">
        <v>1566</v>
      </c>
      <c r="D2860" t="s">
        <v>1554</v>
      </c>
    </row>
    <row r="2861" spans="1:4" x14ac:dyDescent="0.2">
      <c r="A2861" t="s">
        <v>1291</v>
      </c>
      <c r="B2861" t="s">
        <v>13</v>
      </c>
      <c r="C2861" t="s">
        <v>1567</v>
      </c>
      <c r="D2861" t="s">
        <v>1554</v>
      </c>
    </row>
    <row r="2862" spans="1:4" x14ac:dyDescent="0.2">
      <c r="A2862" t="s">
        <v>1291</v>
      </c>
      <c r="B2862" t="s">
        <v>14</v>
      </c>
      <c r="C2862" t="s">
        <v>1568</v>
      </c>
      <c r="D2862" t="s">
        <v>1554</v>
      </c>
    </row>
    <row r="2863" spans="1:4" x14ac:dyDescent="0.2">
      <c r="A2863" t="s">
        <v>1291</v>
      </c>
      <c r="B2863" t="s">
        <v>15</v>
      </c>
      <c r="C2863" t="s">
        <v>1569</v>
      </c>
      <c r="D2863" t="s">
        <v>1554</v>
      </c>
    </row>
    <row r="2864" spans="1:4" x14ac:dyDescent="0.2">
      <c r="A2864" t="s">
        <v>1291</v>
      </c>
      <c r="B2864" t="s">
        <v>17</v>
      </c>
      <c r="C2864" t="s">
        <v>1560</v>
      </c>
      <c r="D2864" t="s">
        <v>1554</v>
      </c>
    </row>
    <row r="2865" spans="1:4" x14ac:dyDescent="0.2">
      <c r="A2865" t="s">
        <v>1291</v>
      </c>
      <c r="B2865" t="s">
        <v>19</v>
      </c>
      <c r="C2865" t="s">
        <v>1570</v>
      </c>
      <c r="D2865" t="s">
        <v>1554</v>
      </c>
    </row>
    <row r="2866" spans="1:4" x14ac:dyDescent="0.2">
      <c r="A2866" t="s">
        <v>1291</v>
      </c>
      <c r="B2866" t="s">
        <v>23</v>
      </c>
      <c r="C2866" t="s">
        <v>1556</v>
      </c>
      <c r="D2866" t="s">
        <v>1554</v>
      </c>
    </row>
    <row r="2867" spans="1:4" x14ac:dyDescent="0.2">
      <c r="A2867" t="s">
        <v>1291</v>
      </c>
      <c r="B2867" t="s">
        <v>25</v>
      </c>
      <c r="C2867" t="s">
        <v>1557</v>
      </c>
      <c r="D2867" t="s">
        <v>1554</v>
      </c>
    </row>
    <row r="2868" spans="1:4" x14ac:dyDescent="0.2">
      <c r="A2868" t="s">
        <v>1291</v>
      </c>
      <c r="B2868" t="s">
        <v>24</v>
      </c>
      <c r="C2868" t="s">
        <v>1558</v>
      </c>
      <c r="D2868" t="s">
        <v>1559</v>
      </c>
    </row>
    <row r="2869" spans="1:4" x14ac:dyDescent="0.2">
      <c r="A2869" t="s">
        <v>1297</v>
      </c>
      <c r="B2869" t="s">
        <v>3</v>
      </c>
      <c r="C2869" t="s">
        <v>1562</v>
      </c>
      <c r="D2869" t="s">
        <v>1554</v>
      </c>
    </row>
    <row r="2870" spans="1:4" x14ac:dyDescent="0.2">
      <c r="A2870" t="s">
        <v>1297</v>
      </c>
      <c r="B2870" t="s">
        <v>5</v>
      </c>
      <c r="C2870" t="s">
        <v>1563</v>
      </c>
      <c r="D2870" t="s">
        <v>1554</v>
      </c>
    </row>
    <row r="2871" spans="1:4" x14ac:dyDescent="0.2">
      <c r="A2871" t="s">
        <v>1297</v>
      </c>
      <c r="B2871" t="s">
        <v>6</v>
      </c>
      <c r="C2871" t="s">
        <v>1564</v>
      </c>
      <c r="D2871" t="s">
        <v>1554</v>
      </c>
    </row>
    <row r="2872" spans="1:4" x14ac:dyDescent="0.2">
      <c r="A2872" t="s">
        <v>1297</v>
      </c>
      <c r="B2872" t="s">
        <v>7</v>
      </c>
      <c r="C2872" t="s">
        <v>1565</v>
      </c>
      <c r="D2872" t="s">
        <v>1554</v>
      </c>
    </row>
    <row r="2873" spans="1:4" x14ac:dyDescent="0.2">
      <c r="A2873" t="s">
        <v>1297</v>
      </c>
      <c r="B2873" t="s">
        <v>8</v>
      </c>
      <c r="C2873" t="s">
        <v>1561</v>
      </c>
      <c r="D2873" t="s">
        <v>1554</v>
      </c>
    </row>
    <row r="2874" spans="1:4" x14ac:dyDescent="0.2">
      <c r="A2874" t="s">
        <v>1297</v>
      </c>
      <c r="B2874" t="s">
        <v>9</v>
      </c>
      <c r="C2874" t="s">
        <v>1553</v>
      </c>
      <c r="D2874" t="s">
        <v>1554</v>
      </c>
    </row>
    <row r="2875" spans="1:4" x14ac:dyDescent="0.2">
      <c r="A2875" t="s">
        <v>1297</v>
      </c>
      <c r="B2875" t="s">
        <v>10</v>
      </c>
      <c r="C2875" t="s">
        <v>1555</v>
      </c>
      <c r="D2875" t="s">
        <v>1554</v>
      </c>
    </row>
    <row r="2876" spans="1:4" x14ac:dyDescent="0.2">
      <c r="A2876" t="s">
        <v>1297</v>
      </c>
      <c r="B2876" t="s">
        <v>11</v>
      </c>
      <c r="C2876" t="s">
        <v>1566</v>
      </c>
      <c r="D2876" t="s">
        <v>1554</v>
      </c>
    </row>
    <row r="2877" spans="1:4" x14ac:dyDescent="0.2">
      <c r="A2877" t="s">
        <v>1297</v>
      </c>
      <c r="B2877" t="s">
        <v>13</v>
      </c>
      <c r="C2877" t="s">
        <v>1567</v>
      </c>
      <c r="D2877" t="s">
        <v>1554</v>
      </c>
    </row>
    <row r="2878" spans="1:4" x14ac:dyDescent="0.2">
      <c r="A2878" t="s">
        <v>1297</v>
      </c>
      <c r="B2878" t="s">
        <v>14</v>
      </c>
      <c r="C2878" t="s">
        <v>1568</v>
      </c>
      <c r="D2878" t="s">
        <v>1554</v>
      </c>
    </row>
    <row r="2879" spans="1:4" x14ac:dyDescent="0.2">
      <c r="A2879" t="s">
        <v>1297</v>
      </c>
      <c r="B2879" t="s">
        <v>15</v>
      </c>
      <c r="C2879" t="s">
        <v>1569</v>
      </c>
      <c r="D2879" t="s">
        <v>1554</v>
      </c>
    </row>
    <row r="2880" spans="1:4" x14ac:dyDescent="0.2">
      <c r="A2880" t="s">
        <v>1297</v>
      </c>
      <c r="B2880" t="s">
        <v>17</v>
      </c>
      <c r="C2880" t="s">
        <v>1560</v>
      </c>
      <c r="D2880" t="s">
        <v>1554</v>
      </c>
    </row>
    <row r="2881" spans="1:4" x14ac:dyDescent="0.2">
      <c r="A2881" t="s">
        <v>1297</v>
      </c>
      <c r="B2881" t="s">
        <v>19</v>
      </c>
      <c r="C2881" t="s">
        <v>1570</v>
      </c>
      <c r="D2881" t="s">
        <v>1554</v>
      </c>
    </row>
    <row r="2882" spans="1:4" x14ac:dyDescent="0.2">
      <c r="A2882" t="s">
        <v>1297</v>
      </c>
      <c r="B2882" t="s">
        <v>23</v>
      </c>
      <c r="C2882" t="s">
        <v>1556</v>
      </c>
      <c r="D2882" t="s">
        <v>1554</v>
      </c>
    </row>
    <row r="2883" spans="1:4" x14ac:dyDescent="0.2">
      <c r="A2883" t="s">
        <v>1297</v>
      </c>
      <c r="B2883" t="s">
        <v>25</v>
      </c>
      <c r="C2883" t="s">
        <v>1557</v>
      </c>
      <c r="D2883" t="s">
        <v>1554</v>
      </c>
    </row>
    <row r="2884" spans="1:4" x14ac:dyDescent="0.2">
      <c r="A2884" t="s">
        <v>1297</v>
      </c>
      <c r="B2884" t="s">
        <v>21</v>
      </c>
      <c r="C2884" t="s">
        <v>1571</v>
      </c>
      <c r="D2884" t="s">
        <v>1559</v>
      </c>
    </row>
    <row r="2885" spans="1:4" x14ac:dyDescent="0.2">
      <c r="A2885" t="s">
        <v>1297</v>
      </c>
      <c r="B2885" t="s">
        <v>22</v>
      </c>
      <c r="C2885" t="s">
        <v>1572</v>
      </c>
      <c r="D2885" t="s">
        <v>1559</v>
      </c>
    </row>
    <row r="2886" spans="1:4" x14ac:dyDescent="0.2">
      <c r="A2886" t="s">
        <v>1297</v>
      </c>
      <c r="B2886" t="s">
        <v>24</v>
      </c>
      <c r="C2886" t="s">
        <v>1558</v>
      </c>
      <c r="D2886" t="s">
        <v>1559</v>
      </c>
    </row>
    <row r="2887" spans="1:4" x14ac:dyDescent="0.2">
      <c r="A2887" t="s">
        <v>1301</v>
      </c>
      <c r="B2887" t="s">
        <v>3</v>
      </c>
      <c r="C2887" t="s">
        <v>1562</v>
      </c>
      <c r="D2887" t="s">
        <v>1554</v>
      </c>
    </row>
    <row r="2888" spans="1:4" x14ac:dyDescent="0.2">
      <c r="A2888" t="s">
        <v>1301</v>
      </c>
      <c r="B2888" t="s">
        <v>5</v>
      </c>
      <c r="C2888" t="s">
        <v>1563</v>
      </c>
      <c r="D2888" t="s">
        <v>1554</v>
      </c>
    </row>
    <row r="2889" spans="1:4" x14ac:dyDescent="0.2">
      <c r="A2889" t="s">
        <v>1301</v>
      </c>
      <c r="B2889" t="s">
        <v>6</v>
      </c>
      <c r="C2889" t="s">
        <v>1564</v>
      </c>
      <c r="D2889" t="s">
        <v>1554</v>
      </c>
    </row>
    <row r="2890" spans="1:4" x14ac:dyDescent="0.2">
      <c r="A2890" t="s">
        <v>1301</v>
      </c>
      <c r="B2890" t="s">
        <v>7</v>
      </c>
      <c r="C2890" t="s">
        <v>1565</v>
      </c>
      <c r="D2890" t="s">
        <v>1554</v>
      </c>
    </row>
    <row r="2891" spans="1:4" x14ac:dyDescent="0.2">
      <c r="A2891" t="s">
        <v>1301</v>
      </c>
      <c r="B2891" t="s">
        <v>8</v>
      </c>
      <c r="C2891" t="s">
        <v>1561</v>
      </c>
      <c r="D2891" t="s">
        <v>1554</v>
      </c>
    </row>
    <row r="2892" spans="1:4" x14ac:dyDescent="0.2">
      <c r="A2892" t="s">
        <v>1301</v>
      </c>
      <c r="B2892" t="s">
        <v>9</v>
      </c>
      <c r="C2892" t="s">
        <v>1553</v>
      </c>
      <c r="D2892" t="s">
        <v>1554</v>
      </c>
    </row>
    <row r="2893" spans="1:4" x14ac:dyDescent="0.2">
      <c r="A2893" t="s">
        <v>1301</v>
      </c>
      <c r="B2893" t="s">
        <v>10</v>
      </c>
      <c r="C2893" t="s">
        <v>1555</v>
      </c>
      <c r="D2893" t="s">
        <v>1554</v>
      </c>
    </row>
    <row r="2894" spans="1:4" x14ac:dyDescent="0.2">
      <c r="A2894" t="s">
        <v>1301</v>
      </c>
      <c r="B2894" t="s">
        <v>11</v>
      </c>
      <c r="C2894" t="s">
        <v>1566</v>
      </c>
      <c r="D2894" t="s">
        <v>1554</v>
      </c>
    </row>
    <row r="2895" spans="1:4" x14ac:dyDescent="0.2">
      <c r="A2895" t="s">
        <v>1301</v>
      </c>
      <c r="B2895" t="s">
        <v>13</v>
      </c>
      <c r="C2895" t="s">
        <v>1567</v>
      </c>
      <c r="D2895" t="s">
        <v>1554</v>
      </c>
    </row>
    <row r="2896" spans="1:4" x14ac:dyDescent="0.2">
      <c r="A2896" t="s">
        <v>1301</v>
      </c>
      <c r="B2896" t="s">
        <v>14</v>
      </c>
      <c r="C2896" t="s">
        <v>1568</v>
      </c>
      <c r="D2896" t="s">
        <v>1554</v>
      </c>
    </row>
    <row r="2897" spans="1:4" x14ac:dyDescent="0.2">
      <c r="A2897" t="s">
        <v>1301</v>
      </c>
      <c r="B2897" t="s">
        <v>15</v>
      </c>
      <c r="C2897" t="s">
        <v>1569</v>
      </c>
      <c r="D2897" t="s">
        <v>1554</v>
      </c>
    </row>
    <row r="2898" spans="1:4" x14ac:dyDescent="0.2">
      <c r="A2898" t="s">
        <v>1301</v>
      </c>
      <c r="B2898" t="s">
        <v>17</v>
      </c>
      <c r="C2898" t="s">
        <v>1560</v>
      </c>
      <c r="D2898" t="s">
        <v>1554</v>
      </c>
    </row>
    <row r="2899" spans="1:4" x14ac:dyDescent="0.2">
      <c r="A2899" t="s">
        <v>1301</v>
      </c>
      <c r="B2899" t="s">
        <v>19</v>
      </c>
      <c r="C2899" t="s">
        <v>1570</v>
      </c>
      <c r="D2899" t="s">
        <v>1554</v>
      </c>
    </row>
    <row r="2900" spans="1:4" x14ac:dyDescent="0.2">
      <c r="A2900" t="s">
        <v>1301</v>
      </c>
      <c r="B2900" t="s">
        <v>23</v>
      </c>
      <c r="C2900" t="s">
        <v>1556</v>
      </c>
      <c r="D2900" t="s">
        <v>1554</v>
      </c>
    </row>
    <row r="2901" spans="1:4" x14ac:dyDescent="0.2">
      <c r="A2901" t="s">
        <v>1301</v>
      </c>
      <c r="B2901" t="s">
        <v>25</v>
      </c>
      <c r="C2901" t="s">
        <v>1557</v>
      </c>
      <c r="D2901" t="s">
        <v>1554</v>
      </c>
    </row>
    <row r="2902" spans="1:4" x14ac:dyDescent="0.2">
      <c r="A2902" t="s">
        <v>1301</v>
      </c>
      <c r="B2902" t="s">
        <v>21</v>
      </c>
      <c r="C2902" t="s">
        <v>1571</v>
      </c>
      <c r="D2902" t="s">
        <v>1559</v>
      </c>
    </row>
    <row r="2903" spans="1:4" x14ac:dyDescent="0.2">
      <c r="A2903" t="s">
        <v>1301</v>
      </c>
      <c r="B2903" t="s">
        <v>22</v>
      </c>
      <c r="C2903" t="s">
        <v>1572</v>
      </c>
      <c r="D2903" t="s">
        <v>1559</v>
      </c>
    </row>
    <row r="2904" spans="1:4" x14ac:dyDescent="0.2">
      <c r="A2904" t="s">
        <v>1301</v>
      </c>
      <c r="B2904" t="s">
        <v>24</v>
      </c>
      <c r="C2904" t="s">
        <v>1558</v>
      </c>
      <c r="D2904" t="s">
        <v>1559</v>
      </c>
    </row>
    <row r="2905" spans="1:4" x14ac:dyDescent="0.2">
      <c r="A2905" t="s">
        <v>1305</v>
      </c>
      <c r="B2905" t="s">
        <v>3</v>
      </c>
      <c r="C2905" t="s">
        <v>1562</v>
      </c>
      <c r="D2905" t="s">
        <v>1554</v>
      </c>
    </row>
    <row r="2906" spans="1:4" x14ac:dyDescent="0.2">
      <c r="A2906" t="s">
        <v>1305</v>
      </c>
      <c r="B2906" t="s">
        <v>5</v>
      </c>
      <c r="C2906" t="s">
        <v>1563</v>
      </c>
      <c r="D2906" t="s">
        <v>1554</v>
      </c>
    </row>
    <row r="2907" spans="1:4" x14ac:dyDescent="0.2">
      <c r="A2907" t="s">
        <v>1305</v>
      </c>
      <c r="B2907" t="s">
        <v>6</v>
      </c>
      <c r="C2907" t="s">
        <v>1564</v>
      </c>
      <c r="D2907" t="s">
        <v>1554</v>
      </c>
    </row>
    <row r="2908" spans="1:4" x14ac:dyDescent="0.2">
      <c r="A2908" t="s">
        <v>1305</v>
      </c>
      <c r="B2908" t="s">
        <v>7</v>
      </c>
      <c r="C2908" t="s">
        <v>1565</v>
      </c>
      <c r="D2908" t="s">
        <v>1554</v>
      </c>
    </row>
    <row r="2909" spans="1:4" x14ac:dyDescent="0.2">
      <c r="A2909" t="s">
        <v>1305</v>
      </c>
      <c r="B2909" t="s">
        <v>8</v>
      </c>
      <c r="C2909" t="s">
        <v>1561</v>
      </c>
      <c r="D2909" t="s">
        <v>1554</v>
      </c>
    </row>
    <row r="2910" spans="1:4" x14ac:dyDescent="0.2">
      <c r="A2910" t="s">
        <v>1305</v>
      </c>
      <c r="B2910" t="s">
        <v>9</v>
      </c>
      <c r="C2910" t="s">
        <v>1553</v>
      </c>
      <c r="D2910" t="s">
        <v>1554</v>
      </c>
    </row>
    <row r="2911" spans="1:4" x14ac:dyDescent="0.2">
      <c r="A2911" t="s">
        <v>1305</v>
      </c>
      <c r="B2911" t="s">
        <v>10</v>
      </c>
      <c r="C2911" t="s">
        <v>1555</v>
      </c>
      <c r="D2911" t="s">
        <v>1554</v>
      </c>
    </row>
    <row r="2912" spans="1:4" x14ac:dyDescent="0.2">
      <c r="A2912" t="s">
        <v>1305</v>
      </c>
      <c r="B2912" t="s">
        <v>11</v>
      </c>
      <c r="C2912" t="s">
        <v>1566</v>
      </c>
      <c r="D2912" t="s">
        <v>1554</v>
      </c>
    </row>
    <row r="2913" spans="1:4" x14ac:dyDescent="0.2">
      <c r="A2913" t="s">
        <v>1305</v>
      </c>
      <c r="B2913" t="s">
        <v>13</v>
      </c>
      <c r="C2913" t="s">
        <v>1567</v>
      </c>
      <c r="D2913" t="s">
        <v>1554</v>
      </c>
    </row>
    <row r="2914" spans="1:4" x14ac:dyDescent="0.2">
      <c r="A2914" t="s">
        <v>1305</v>
      </c>
      <c r="B2914" t="s">
        <v>14</v>
      </c>
      <c r="C2914" t="s">
        <v>1568</v>
      </c>
      <c r="D2914" t="s">
        <v>1554</v>
      </c>
    </row>
    <row r="2915" spans="1:4" x14ac:dyDescent="0.2">
      <c r="A2915" t="s">
        <v>1305</v>
      </c>
      <c r="B2915" t="s">
        <v>15</v>
      </c>
      <c r="C2915" t="s">
        <v>1569</v>
      </c>
      <c r="D2915" t="s">
        <v>1554</v>
      </c>
    </row>
    <row r="2916" spans="1:4" x14ac:dyDescent="0.2">
      <c r="A2916" t="s">
        <v>1305</v>
      </c>
      <c r="B2916" t="s">
        <v>17</v>
      </c>
      <c r="C2916" t="s">
        <v>1560</v>
      </c>
      <c r="D2916" t="s">
        <v>1554</v>
      </c>
    </row>
    <row r="2917" spans="1:4" x14ac:dyDescent="0.2">
      <c r="A2917" t="s">
        <v>1305</v>
      </c>
      <c r="B2917" t="s">
        <v>19</v>
      </c>
      <c r="C2917" t="s">
        <v>1570</v>
      </c>
      <c r="D2917" t="s">
        <v>1554</v>
      </c>
    </row>
    <row r="2918" spans="1:4" x14ac:dyDescent="0.2">
      <c r="A2918" t="s">
        <v>1305</v>
      </c>
      <c r="B2918" t="s">
        <v>23</v>
      </c>
      <c r="C2918" t="s">
        <v>1556</v>
      </c>
      <c r="D2918" t="s">
        <v>1554</v>
      </c>
    </row>
    <row r="2919" spans="1:4" x14ac:dyDescent="0.2">
      <c r="A2919" t="s">
        <v>1305</v>
      </c>
      <c r="B2919" t="s">
        <v>25</v>
      </c>
      <c r="C2919" t="s">
        <v>1557</v>
      </c>
      <c r="D2919" t="s">
        <v>1554</v>
      </c>
    </row>
    <row r="2920" spans="1:4" x14ac:dyDescent="0.2">
      <c r="A2920" t="s">
        <v>1305</v>
      </c>
      <c r="B2920" t="s">
        <v>24</v>
      </c>
      <c r="C2920" t="s">
        <v>1558</v>
      </c>
      <c r="D2920" t="s">
        <v>1559</v>
      </c>
    </row>
    <row r="2921" spans="1:4" x14ac:dyDescent="0.2">
      <c r="A2921" t="s">
        <v>1311</v>
      </c>
      <c r="B2921" t="s">
        <v>6</v>
      </c>
      <c r="C2921" t="s">
        <v>1564</v>
      </c>
      <c r="D2921" t="s">
        <v>1554</v>
      </c>
    </row>
    <row r="2922" spans="1:4" x14ac:dyDescent="0.2">
      <c r="A2922" t="s">
        <v>1311</v>
      </c>
      <c r="B2922" t="s">
        <v>7</v>
      </c>
      <c r="C2922" t="s">
        <v>1565</v>
      </c>
      <c r="D2922" t="s">
        <v>1554</v>
      </c>
    </row>
    <row r="2923" spans="1:4" x14ac:dyDescent="0.2">
      <c r="A2923" t="s">
        <v>1311</v>
      </c>
      <c r="B2923" t="s">
        <v>8</v>
      </c>
      <c r="C2923" t="s">
        <v>1561</v>
      </c>
      <c r="D2923" t="s">
        <v>1554</v>
      </c>
    </row>
    <row r="2924" spans="1:4" x14ac:dyDescent="0.2">
      <c r="A2924" t="s">
        <v>1311</v>
      </c>
      <c r="B2924" t="s">
        <v>9</v>
      </c>
      <c r="C2924" t="s">
        <v>1553</v>
      </c>
      <c r="D2924" t="s">
        <v>1554</v>
      </c>
    </row>
    <row r="2925" spans="1:4" x14ac:dyDescent="0.2">
      <c r="A2925" t="s">
        <v>1311</v>
      </c>
      <c r="B2925" t="s">
        <v>10</v>
      </c>
      <c r="C2925" t="s">
        <v>1555</v>
      </c>
      <c r="D2925" t="s">
        <v>1554</v>
      </c>
    </row>
    <row r="2926" spans="1:4" x14ac:dyDescent="0.2">
      <c r="A2926" t="s">
        <v>1311</v>
      </c>
      <c r="B2926" t="s">
        <v>11</v>
      </c>
      <c r="C2926" t="s">
        <v>1566</v>
      </c>
      <c r="D2926" t="s">
        <v>1554</v>
      </c>
    </row>
    <row r="2927" spans="1:4" x14ac:dyDescent="0.2">
      <c r="A2927" t="s">
        <v>1311</v>
      </c>
      <c r="B2927" t="s">
        <v>13</v>
      </c>
      <c r="C2927" t="s">
        <v>1567</v>
      </c>
      <c r="D2927" t="s">
        <v>1554</v>
      </c>
    </row>
    <row r="2928" spans="1:4" x14ac:dyDescent="0.2">
      <c r="A2928" t="s">
        <v>1311</v>
      </c>
      <c r="B2928" t="s">
        <v>14</v>
      </c>
      <c r="C2928" t="s">
        <v>1568</v>
      </c>
      <c r="D2928" t="s">
        <v>1554</v>
      </c>
    </row>
    <row r="2929" spans="1:4" x14ac:dyDescent="0.2">
      <c r="A2929" t="s">
        <v>1311</v>
      </c>
      <c r="B2929" t="s">
        <v>15</v>
      </c>
      <c r="C2929" t="s">
        <v>1569</v>
      </c>
      <c r="D2929" t="s">
        <v>1554</v>
      </c>
    </row>
    <row r="2930" spans="1:4" x14ac:dyDescent="0.2">
      <c r="A2930" t="s">
        <v>1311</v>
      </c>
      <c r="B2930" t="s">
        <v>17</v>
      </c>
      <c r="C2930" t="s">
        <v>1560</v>
      </c>
      <c r="D2930" t="s">
        <v>1554</v>
      </c>
    </row>
    <row r="2931" spans="1:4" x14ac:dyDescent="0.2">
      <c r="A2931" t="s">
        <v>1311</v>
      </c>
      <c r="B2931" t="s">
        <v>19</v>
      </c>
      <c r="C2931" t="s">
        <v>1570</v>
      </c>
      <c r="D2931" t="s">
        <v>1554</v>
      </c>
    </row>
    <row r="2932" spans="1:4" x14ac:dyDescent="0.2">
      <c r="A2932" t="s">
        <v>1311</v>
      </c>
      <c r="B2932" t="s">
        <v>23</v>
      </c>
      <c r="C2932" t="s">
        <v>1556</v>
      </c>
      <c r="D2932" t="s">
        <v>1554</v>
      </c>
    </row>
    <row r="2933" spans="1:4" x14ac:dyDescent="0.2">
      <c r="A2933" t="s">
        <v>1311</v>
      </c>
      <c r="B2933" t="s">
        <v>25</v>
      </c>
      <c r="C2933" t="s">
        <v>1557</v>
      </c>
      <c r="D2933" t="s">
        <v>1554</v>
      </c>
    </row>
    <row r="2934" spans="1:4" x14ac:dyDescent="0.2">
      <c r="A2934" t="s">
        <v>1311</v>
      </c>
      <c r="B2934" t="s">
        <v>24</v>
      </c>
      <c r="C2934" t="s">
        <v>1558</v>
      </c>
      <c r="D2934" t="s">
        <v>1559</v>
      </c>
    </row>
    <row r="2935" spans="1:4" x14ac:dyDescent="0.2">
      <c r="A2935" t="s">
        <v>1317</v>
      </c>
      <c r="B2935" t="s">
        <v>3</v>
      </c>
      <c r="C2935" t="s">
        <v>1562</v>
      </c>
      <c r="D2935" t="s">
        <v>1554</v>
      </c>
    </row>
    <row r="2936" spans="1:4" x14ac:dyDescent="0.2">
      <c r="A2936" t="s">
        <v>1317</v>
      </c>
      <c r="B2936" t="s">
        <v>5</v>
      </c>
      <c r="C2936" t="s">
        <v>1563</v>
      </c>
      <c r="D2936" t="s">
        <v>1554</v>
      </c>
    </row>
    <row r="2937" spans="1:4" x14ac:dyDescent="0.2">
      <c r="A2937" t="s">
        <v>1317</v>
      </c>
      <c r="B2937" t="s">
        <v>6</v>
      </c>
      <c r="C2937" t="s">
        <v>1564</v>
      </c>
      <c r="D2937" t="s">
        <v>1554</v>
      </c>
    </row>
    <row r="2938" spans="1:4" x14ac:dyDescent="0.2">
      <c r="A2938" t="s">
        <v>1317</v>
      </c>
      <c r="B2938" t="s">
        <v>7</v>
      </c>
      <c r="C2938" t="s">
        <v>1565</v>
      </c>
      <c r="D2938" t="s">
        <v>1554</v>
      </c>
    </row>
    <row r="2939" spans="1:4" x14ac:dyDescent="0.2">
      <c r="A2939" t="s">
        <v>1317</v>
      </c>
      <c r="B2939" t="s">
        <v>8</v>
      </c>
      <c r="C2939" t="s">
        <v>1561</v>
      </c>
      <c r="D2939" t="s">
        <v>1554</v>
      </c>
    </row>
    <row r="2940" spans="1:4" x14ac:dyDescent="0.2">
      <c r="A2940" t="s">
        <v>1317</v>
      </c>
      <c r="B2940" t="s">
        <v>9</v>
      </c>
      <c r="C2940" t="s">
        <v>1553</v>
      </c>
      <c r="D2940" t="s">
        <v>1554</v>
      </c>
    </row>
    <row r="2941" spans="1:4" x14ac:dyDescent="0.2">
      <c r="A2941" t="s">
        <v>1317</v>
      </c>
      <c r="B2941" t="s">
        <v>10</v>
      </c>
      <c r="C2941" t="s">
        <v>1555</v>
      </c>
      <c r="D2941" t="s">
        <v>1554</v>
      </c>
    </row>
    <row r="2942" spans="1:4" x14ac:dyDescent="0.2">
      <c r="A2942" t="s">
        <v>1317</v>
      </c>
      <c r="B2942" t="s">
        <v>11</v>
      </c>
      <c r="C2942" t="s">
        <v>1566</v>
      </c>
      <c r="D2942" t="s">
        <v>1554</v>
      </c>
    </row>
    <row r="2943" spans="1:4" x14ac:dyDescent="0.2">
      <c r="A2943" t="s">
        <v>1317</v>
      </c>
      <c r="B2943" t="s">
        <v>13</v>
      </c>
      <c r="C2943" t="s">
        <v>1567</v>
      </c>
      <c r="D2943" t="s">
        <v>1554</v>
      </c>
    </row>
    <row r="2944" spans="1:4" x14ac:dyDescent="0.2">
      <c r="A2944" t="s">
        <v>1317</v>
      </c>
      <c r="B2944" t="s">
        <v>14</v>
      </c>
      <c r="C2944" t="s">
        <v>1568</v>
      </c>
      <c r="D2944" t="s">
        <v>1554</v>
      </c>
    </row>
    <row r="2945" spans="1:4" x14ac:dyDescent="0.2">
      <c r="A2945" t="s">
        <v>1317</v>
      </c>
      <c r="B2945" t="s">
        <v>15</v>
      </c>
      <c r="C2945" t="s">
        <v>1569</v>
      </c>
      <c r="D2945" t="s">
        <v>1554</v>
      </c>
    </row>
    <row r="2946" spans="1:4" x14ac:dyDescent="0.2">
      <c r="A2946" t="s">
        <v>1317</v>
      </c>
      <c r="B2946" t="s">
        <v>17</v>
      </c>
      <c r="C2946" t="s">
        <v>1560</v>
      </c>
      <c r="D2946" t="s">
        <v>1554</v>
      </c>
    </row>
    <row r="2947" spans="1:4" x14ac:dyDescent="0.2">
      <c r="A2947" t="s">
        <v>1317</v>
      </c>
      <c r="B2947" t="s">
        <v>19</v>
      </c>
      <c r="C2947" t="s">
        <v>1570</v>
      </c>
      <c r="D2947" t="s">
        <v>1554</v>
      </c>
    </row>
    <row r="2948" spans="1:4" x14ac:dyDescent="0.2">
      <c r="A2948" t="s">
        <v>1317</v>
      </c>
      <c r="B2948" t="s">
        <v>23</v>
      </c>
      <c r="C2948" t="s">
        <v>1556</v>
      </c>
      <c r="D2948" t="s">
        <v>1554</v>
      </c>
    </row>
    <row r="2949" spans="1:4" x14ac:dyDescent="0.2">
      <c r="A2949" t="s">
        <v>1317</v>
      </c>
      <c r="B2949" t="s">
        <v>25</v>
      </c>
      <c r="C2949" t="s">
        <v>1557</v>
      </c>
      <c r="D2949" t="s">
        <v>1554</v>
      </c>
    </row>
    <row r="2950" spans="1:4" x14ac:dyDescent="0.2">
      <c r="A2950" t="s">
        <v>1317</v>
      </c>
      <c r="B2950" t="s">
        <v>21</v>
      </c>
      <c r="C2950" t="s">
        <v>1571</v>
      </c>
      <c r="D2950" t="s">
        <v>1559</v>
      </c>
    </row>
    <row r="2951" spans="1:4" x14ac:dyDescent="0.2">
      <c r="A2951" t="s">
        <v>1317</v>
      </c>
      <c r="B2951" t="s">
        <v>22</v>
      </c>
      <c r="C2951" t="s">
        <v>1572</v>
      </c>
      <c r="D2951" t="s">
        <v>1559</v>
      </c>
    </row>
    <row r="2952" spans="1:4" x14ac:dyDescent="0.2">
      <c r="A2952" t="s">
        <v>1317</v>
      </c>
      <c r="B2952" t="s">
        <v>24</v>
      </c>
      <c r="C2952" t="s">
        <v>1558</v>
      </c>
      <c r="D2952" t="s">
        <v>1559</v>
      </c>
    </row>
    <row r="2953" spans="1:4" x14ac:dyDescent="0.2">
      <c r="A2953" t="s">
        <v>1322</v>
      </c>
      <c r="B2953" t="s">
        <v>3</v>
      </c>
      <c r="C2953" t="s">
        <v>1562</v>
      </c>
      <c r="D2953" t="s">
        <v>1554</v>
      </c>
    </row>
    <row r="2954" spans="1:4" x14ac:dyDescent="0.2">
      <c r="A2954" t="s">
        <v>1322</v>
      </c>
      <c r="B2954" t="s">
        <v>5</v>
      </c>
      <c r="C2954" t="s">
        <v>1563</v>
      </c>
      <c r="D2954" t="s">
        <v>1554</v>
      </c>
    </row>
    <row r="2955" spans="1:4" x14ac:dyDescent="0.2">
      <c r="A2955" t="s">
        <v>1322</v>
      </c>
      <c r="B2955" t="s">
        <v>6</v>
      </c>
      <c r="C2955" t="s">
        <v>1564</v>
      </c>
      <c r="D2955" t="s">
        <v>1554</v>
      </c>
    </row>
    <row r="2956" spans="1:4" x14ac:dyDescent="0.2">
      <c r="A2956" t="s">
        <v>1322</v>
      </c>
      <c r="B2956" t="s">
        <v>7</v>
      </c>
      <c r="C2956" t="s">
        <v>1565</v>
      </c>
      <c r="D2956" t="s">
        <v>1554</v>
      </c>
    </row>
    <row r="2957" spans="1:4" x14ac:dyDescent="0.2">
      <c r="A2957" t="s">
        <v>1322</v>
      </c>
      <c r="B2957" t="s">
        <v>8</v>
      </c>
      <c r="C2957" t="s">
        <v>1561</v>
      </c>
      <c r="D2957" t="s">
        <v>1554</v>
      </c>
    </row>
    <row r="2958" spans="1:4" x14ac:dyDescent="0.2">
      <c r="A2958" t="s">
        <v>1322</v>
      </c>
      <c r="B2958" t="s">
        <v>9</v>
      </c>
      <c r="C2958" t="s">
        <v>1553</v>
      </c>
      <c r="D2958" t="s">
        <v>1554</v>
      </c>
    </row>
    <row r="2959" spans="1:4" x14ac:dyDescent="0.2">
      <c r="A2959" t="s">
        <v>1322</v>
      </c>
      <c r="B2959" t="s">
        <v>10</v>
      </c>
      <c r="C2959" t="s">
        <v>1555</v>
      </c>
      <c r="D2959" t="s">
        <v>1554</v>
      </c>
    </row>
    <row r="2960" spans="1:4" x14ac:dyDescent="0.2">
      <c r="A2960" t="s">
        <v>1322</v>
      </c>
      <c r="B2960" t="s">
        <v>11</v>
      </c>
      <c r="C2960" t="s">
        <v>1566</v>
      </c>
      <c r="D2960" t="s">
        <v>1554</v>
      </c>
    </row>
    <row r="2961" spans="1:4" x14ac:dyDescent="0.2">
      <c r="A2961" t="s">
        <v>1322</v>
      </c>
      <c r="B2961" t="s">
        <v>13</v>
      </c>
      <c r="C2961" t="s">
        <v>1567</v>
      </c>
      <c r="D2961" t="s">
        <v>1554</v>
      </c>
    </row>
    <row r="2962" spans="1:4" x14ac:dyDescent="0.2">
      <c r="A2962" t="s">
        <v>1322</v>
      </c>
      <c r="B2962" t="s">
        <v>14</v>
      </c>
      <c r="C2962" t="s">
        <v>1568</v>
      </c>
      <c r="D2962" t="s">
        <v>1554</v>
      </c>
    </row>
    <row r="2963" spans="1:4" x14ac:dyDescent="0.2">
      <c r="A2963" t="s">
        <v>1322</v>
      </c>
      <c r="B2963" t="s">
        <v>15</v>
      </c>
      <c r="C2963" t="s">
        <v>1569</v>
      </c>
      <c r="D2963" t="s">
        <v>1554</v>
      </c>
    </row>
    <row r="2964" spans="1:4" x14ac:dyDescent="0.2">
      <c r="A2964" t="s">
        <v>1322</v>
      </c>
      <c r="B2964" t="s">
        <v>17</v>
      </c>
      <c r="C2964" t="s">
        <v>1560</v>
      </c>
      <c r="D2964" t="s">
        <v>1554</v>
      </c>
    </row>
    <row r="2965" spans="1:4" x14ac:dyDescent="0.2">
      <c r="A2965" t="s">
        <v>1322</v>
      </c>
      <c r="B2965" t="s">
        <v>19</v>
      </c>
      <c r="C2965" t="s">
        <v>1570</v>
      </c>
      <c r="D2965" t="s">
        <v>1554</v>
      </c>
    </row>
    <row r="2966" spans="1:4" x14ac:dyDescent="0.2">
      <c r="A2966" t="s">
        <v>1322</v>
      </c>
      <c r="B2966" t="s">
        <v>23</v>
      </c>
      <c r="C2966" t="s">
        <v>1556</v>
      </c>
      <c r="D2966" t="s">
        <v>1554</v>
      </c>
    </row>
    <row r="2967" spans="1:4" x14ac:dyDescent="0.2">
      <c r="A2967" t="s">
        <v>1322</v>
      </c>
      <c r="B2967" t="s">
        <v>25</v>
      </c>
      <c r="C2967" t="s">
        <v>1557</v>
      </c>
      <c r="D2967" t="s">
        <v>1554</v>
      </c>
    </row>
    <row r="2968" spans="1:4" x14ac:dyDescent="0.2">
      <c r="A2968" t="s">
        <v>1322</v>
      </c>
      <c r="B2968" t="s">
        <v>21</v>
      </c>
      <c r="C2968" t="s">
        <v>1571</v>
      </c>
      <c r="D2968" t="s">
        <v>1559</v>
      </c>
    </row>
    <row r="2969" spans="1:4" x14ac:dyDescent="0.2">
      <c r="A2969" t="s">
        <v>1322</v>
      </c>
      <c r="B2969" t="s">
        <v>22</v>
      </c>
      <c r="C2969" t="s">
        <v>1572</v>
      </c>
      <c r="D2969" t="s">
        <v>1559</v>
      </c>
    </row>
    <row r="2970" spans="1:4" x14ac:dyDescent="0.2">
      <c r="A2970" t="s">
        <v>1322</v>
      </c>
      <c r="B2970" t="s">
        <v>24</v>
      </c>
      <c r="C2970" t="s">
        <v>1558</v>
      </c>
      <c r="D2970" t="s">
        <v>1559</v>
      </c>
    </row>
    <row r="2971" spans="1:4" x14ac:dyDescent="0.2">
      <c r="A2971" t="s">
        <v>1326</v>
      </c>
      <c r="B2971" t="s">
        <v>3</v>
      </c>
      <c r="C2971" t="s">
        <v>1562</v>
      </c>
      <c r="D2971" t="s">
        <v>1554</v>
      </c>
    </row>
    <row r="2972" spans="1:4" x14ac:dyDescent="0.2">
      <c r="A2972" t="s">
        <v>1326</v>
      </c>
      <c r="B2972" t="s">
        <v>5</v>
      </c>
      <c r="C2972" t="s">
        <v>1563</v>
      </c>
      <c r="D2972" t="s">
        <v>1554</v>
      </c>
    </row>
    <row r="2973" spans="1:4" x14ac:dyDescent="0.2">
      <c r="A2973" t="s">
        <v>1326</v>
      </c>
      <c r="B2973" t="s">
        <v>6</v>
      </c>
      <c r="C2973" t="s">
        <v>1564</v>
      </c>
      <c r="D2973" t="s">
        <v>1554</v>
      </c>
    </row>
    <row r="2974" spans="1:4" x14ac:dyDescent="0.2">
      <c r="A2974" t="s">
        <v>1326</v>
      </c>
      <c r="B2974" t="s">
        <v>7</v>
      </c>
      <c r="C2974" t="s">
        <v>1565</v>
      </c>
      <c r="D2974" t="s">
        <v>1554</v>
      </c>
    </row>
    <row r="2975" spans="1:4" x14ac:dyDescent="0.2">
      <c r="A2975" t="s">
        <v>1326</v>
      </c>
      <c r="B2975" t="s">
        <v>8</v>
      </c>
      <c r="C2975" t="s">
        <v>1561</v>
      </c>
      <c r="D2975" t="s">
        <v>1554</v>
      </c>
    </row>
    <row r="2976" spans="1:4" x14ac:dyDescent="0.2">
      <c r="A2976" t="s">
        <v>1326</v>
      </c>
      <c r="B2976" t="s">
        <v>9</v>
      </c>
      <c r="C2976" t="s">
        <v>1553</v>
      </c>
      <c r="D2976" t="s">
        <v>1554</v>
      </c>
    </row>
    <row r="2977" spans="1:4" x14ac:dyDescent="0.2">
      <c r="A2977" t="s">
        <v>1326</v>
      </c>
      <c r="B2977" t="s">
        <v>10</v>
      </c>
      <c r="C2977" t="s">
        <v>1555</v>
      </c>
      <c r="D2977" t="s">
        <v>1554</v>
      </c>
    </row>
    <row r="2978" spans="1:4" x14ac:dyDescent="0.2">
      <c r="A2978" t="s">
        <v>1326</v>
      </c>
      <c r="B2978" t="s">
        <v>11</v>
      </c>
      <c r="C2978" t="s">
        <v>1566</v>
      </c>
      <c r="D2978" t="s">
        <v>1554</v>
      </c>
    </row>
    <row r="2979" spans="1:4" x14ac:dyDescent="0.2">
      <c r="A2979" t="s">
        <v>1326</v>
      </c>
      <c r="B2979" t="s">
        <v>13</v>
      </c>
      <c r="C2979" t="s">
        <v>1567</v>
      </c>
      <c r="D2979" t="s">
        <v>1554</v>
      </c>
    </row>
    <row r="2980" spans="1:4" x14ac:dyDescent="0.2">
      <c r="A2980" t="s">
        <v>1326</v>
      </c>
      <c r="B2980" t="s">
        <v>14</v>
      </c>
      <c r="C2980" t="s">
        <v>1568</v>
      </c>
      <c r="D2980" t="s">
        <v>1554</v>
      </c>
    </row>
    <row r="2981" spans="1:4" x14ac:dyDescent="0.2">
      <c r="A2981" t="s">
        <v>1326</v>
      </c>
      <c r="B2981" t="s">
        <v>15</v>
      </c>
      <c r="C2981" t="s">
        <v>1569</v>
      </c>
      <c r="D2981" t="s">
        <v>1554</v>
      </c>
    </row>
    <row r="2982" spans="1:4" x14ac:dyDescent="0.2">
      <c r="A2982" t="s">
        <v>1326</v>
      </c>
      <c r="B2982" t="s">
        <v>17</v>
      </c>
      <c r="C2982" t="s">
        <v>1560</v>
      </c>
      <c r="D2982" t="s">
        <v>1554</v>
      </c>
    </row>
    <row r="2983" spans="1:4" x14ac:dyDescent="0.2">
      <c r="A2983" t="s">
        <v>1326</v>
      </c>
      <c r="B2983" t="s">
        <v>19</v>
      </c>
      <c r="C2983" t="s">
        <v>1570</v>
      </c>
      <c r="D2983" t="s">
        <v>1554</v>
      </c>
    </row>
    <row r="2984" spans="1:4" x14ac:dyDescent="0.2">
      <c r="A2984" t="s">
        <v>1326</v>
      </c>
      <c r="B2984" t="s">
        <v>23</v>
      </c>
      <c r="C2984" t="s">
        <v>1556</v>
      </c>
      <c r="D2984" t="s">
        <v>1554</v>
      </c>
    </row>
    <row r="2985" spans="1:4" x14ac:dyDescent="0.2">
      <c r="A2985" t="s">
        <v>1326</v>
      </c>
      <c r="B2985" t="s">
        <v>25</v>
      </c>
      <c r="C2985" t="s">
        <v>1557</v>
      </c>
      <c r="D2985" t="s">
        <v>1554</v>
      </c>
    </row>
    <row r="2986" spans="1:4" x14ac:dyDescent="0.2">
      <c r="A2986" t="s">
        <v>1326</v>
      </c>
      <c r="B2986" t="s">
        <v>21</v>
      </c>
      <c r="C2986" t="s">
        <v>1571</v>
      </c>
      <c r="D2986" t="s">
        <v>1559</v>
      </c>
    </row>
    <row r="2987" spans="1:4" x14ac:dyDescent="0.2">
      <c r="A2987" t="s">
        <v>1326</v>
      </c>
      <c r="B2987" t="s">
        <v>22</v>
      </c>
      <c r="C2987" t="s">
        <v>1572</v>
      </c>
      <c r="D2987" t="s">
        <v>1559</v>
      </c>
    </row>
    <row r="2988" spans="1:4" x14ac:dyDescent="0.2">
      <c r="A2988" t="s">
        <v>1326</v>
      </c>
      <c r="B2988" t="s">
        <v>24</v>
      </c>
      <c r="C2988" t="s">
        <v>1558</v>
      </c>
      <c r="D2988" t="s">
        <v>1559</v>
      </c>
    </row>
    <row r="2989" spans="1:4" x14ac:dyDescent="0.2">
      <c r="A2989" t="s">
        <v>1330</v>
      </c>
      <c r="B2989" t="s">
        <v>6</v>
      </c>
      <c r="C2989" t="s">
        <v>1564</v>
      </c>
      <c r="D2989" t="s">
        <v>1554</v>
      </c>
    </row>
    <row r="2990" spans="1:4" x14ac:dyDescent="0.2">
      <c r="A2990" t="s">
        <v>1330</v>
      </c>
      <c r="B2990" t="s">
        <v>7</v>
      </c>
      <c r="C2990" t="s">
        <v>1565</v>
      </c>
      <c r="D2990" t="s">
        <v>1554</v>
      </c>
    </row>
    <row r="2991" spans="1:4" x14ac:dyDescent="0.2">
      <c r="A2991" t="s">
        <v>1330</v>
      </c>
      <c r="B2991" t="s">
        <v>8</v>
      </c>
      <c r="C2991" t="s">
        <v>1561</v>
      </c>
      <c r="D2991" t="s">
        <v>1554</v>
      </c>
    </row>
    <row r="2992" spans="1:4" x14ac:dyDescent="0.2">
      <c r="A2992" t="s">
        <v>1330</v>
      </c>
      <c r="B2992" t="s">
        <v>9</v>
      </c>
      <c r="C2992" t="s">
        <v>1553</v>
      </c>
      <c r="D2992" t="s">
        <v>1554</v>
      </c>
    </row>
    <row r="2993" spans="1:4" x14ac:dyDescent="0.2">
      <c r="A2993" t="s">
        <v>1330</v>
      </c>
      <c r="B2993" t="s">
        <v>10</v>
      </c>
      <c r="C2993" t="s">
        <v>1555</v>
      </c>
      <c r="D2993" t="s">
        <v>1554</v>
      </c>
    </row>
    <row r="2994" spans="1:4" x14ac:dyDescent="0.2">
      <c r="A2994" t="s">
        <v>1330</v>
      </c>
      <c r="B2994" t="s">
        <v>11</v>
      </c>
      <c r="C2994" t="s">
        <v>1566</v>
      </c>
      <c r="D2994" t="s">
        <v>1554</v>
      </c>
    </row>
    <row r="2995" spans="1:4" x14ac:dyDescent="0.2">
      <c r="A2995" t="s">
        <v>1330</v>
      </c>
      <c r="B2995" t="s">
        <v>13</v>
      </c>
      <c r="C2995" t="s">
        <v>1567</v>
      </c>
      <c r="D2995" t="s">
        <v>1554</v>
      </c>
    </row>
    <row r="2996" spans="1:4" x14ac:dyDescent="0.2">
      <c r="A2996" t="s">
        <v>1330</v>
      </c>
      <c r="B2996" t="s">
        <v>14</v>
      </c>
      <c r="C2996" t="s">
        <v>1568</v>
      </c>
      <c r="D2996" t="s">
        <v>1554</v>
      </c>
    </row>
    <row r="2997" spans="1:4" x14ac:dyDescent="0.2">
      <c r="A2997" t="s">
        <v>1330</v>
      </c>
      <c r="B2997" t="s">
        <v>15</v>
      </c>
      <c r="C2997" t="s">
        <v>1569</v>
      </c>
      <c r="D2997" t="s">
        <v>1554</v>
      </c>
    </row>
    <row r="2998" spans="1:4" x14ac:dyDescent="0.2">
      <c r="A2998" t="s">
        <v>1330</v>
      </c>
      <c r="B2998" t="s">
        <v>17</v>
      </c>
      <c r="C2998" t="s">
        <v>1560</v>
      </c>
      <c r="D2998" t="s">
        <v>1554</v>
      </c>
    </row>
    <row r="2999" spans="1:4" x14ac:dyDescent="0.2">
      <c r="A2999" t="s">
        <v>1330</v>
      </c>
      <c r="B2999" t="s">
        <v>19</v>
      </c>
      <c r="C2999" t="s">
        <v>1570</v>
      </c>
      <c r="D2999" t="s">
        <v>1554</v>
      </c>
    </row>
    <row r="3000" spans="1:4" x14ac:dyDescent="0.2">
      <c r="A3000" t="s">
        <v>1330</v>
      </c>
      <c r="B3000" t="s">
        <v>23</v>
      </c>
      <c r="C3000" t="s">
        <v>1556</v>
      </c>
      <c r="D3000" t="s">
        <v>1554</v>
      </c>
    </row>
    <row r="3001" spans="1:4" x14ac:dyDescent="0.2">
      <c r="A3001" t="s">
        <v>1330</v>
      </c>
      <c r="B3001" t="s">
        <v>25</v>
      </c>
      <c r="C3001" t="s">
        <v>1557</v>
      </c>
      <c r="D3001" t="s">
        <v>1554</v>
      </c>
    </row>
    <row r="3002" spans="1:4" x14ac:dyDescent="0.2">
      <c r="A3002" t="s">
        <v>1330</v>
      </c>
      <c r="B3002" t="s">
        <v>24</v>
      </c>
      <c r="C3002" t="s">
        <v>1558</v>
      </c>
      <c r="D3002" t="s">
        <v>1559</v>
      </c>
    </row>
    <row r="3003" spans="1:4" x14ac:dyDescent="0.2">
      <c r="A3003" t="s">
        <v>1336</v>
      </c>
      <c r="B3003" t="s">
        <v>3</v>
      </c>
      <c r="C3003" t="s">
        <v>1562</v>
      </c>
      <c r="D3003" t="s">
        <v>1554</v>
      </c>
    </row>
    <row r="3004" spans="1:4" x14ac:dyDescent="0.2">
      <c r="A3004" t="s">
        <v>1336</v>
      </c>
      <c r="B3004" t="s">
        <v>5</v>
      </c>
      <c r="C3004" t="s">
        <v>1563</v>
      </c>
      <c r="D3004" t="s">
        <v>1554</v>
      </c>
    </row>
    <row r="3005" spans="1:4" x14ac:dyDescent="0.2">
      <c r="A3005" t="s">
        <v>1336</v>
      </c>
      <c r="B3005" t="s">
        <v>6</v>
      </c>
      <c r="C3005" t="s">
        <v>1564</v>
      </c>
      <c r="D3005" t="s">
        <v>1554</v>
      </c>
    </row>
    <row r="3006" spans="1:4" x14ac:dyDescent="0.2">
      <c r="A3006" t="s">
        <v>1336</v>
      </c>
      <c r="B3006" t="s">
        <v>7</v>
      </c>
      <c r="C3006" t="s">
        <v>1565</v>
      </c>
      <c r="D3006" t="s">
        <v>1554</v>
      </c>
    </row>
    <row r="3007" spans="1:4" x14ac:dyDescent="0.2">
      <c r="A3007" t="s">
        <v>1336</v>
      </c>
      <c r="B3007" t="s">
        <v>8</v>
      </c>
      <c r="C3007" t="s">
        <v>1561</v>
      </c>
      <c r="D3007" t="s">
        <v>1554</v>
      </c>
    </row>
    <row r="3008" spans="1:4" x14ac:dyDescent="0.2">
      <c r="A3008" t="s">
        <v>1336</v>
      </c>
      <c r="B3008" t="s">
        <v>9</v>
      </c>
      <c r="C3008" t="s">
        <v>1553</v>
      </c>
      <c r="D3008" t="s">
        <v>1554</v>
      </c>
    </row>
    <row r="3009" spans="1:4" x14ac:dyDescent="0.2">
      <c r="A3009" t="s">
        <v>1336</v>
      </c>
      <c r="B3009" t="s">
        <v>10</v>
      </c>
      <c r="C3009" t="s">
        <v>1555</v>
      </c>
      <c r="D3009" t="s">
        <v>1554</v>
      </c>
    </row>
    <row r="3010" spans="1:4" x14ac:dyDescent="0.2">
      <c r="A3010" t="s">
        <v>1336</v>
      </c>
      <c r="B3010" t="s">
        <v>11</v>
      </c>
      <c r="C3010" t="s">
        <v>1566</v>
      </c>
      <c r="D3010" t="s">
        <v>1554</v>
      </c>
    </row>
    <row r="3011" spans="1:4" x14ac:dyDescent="0.2">
      <c r="A3011" t="s">
        <v>1336</v>
      </c>
      <c r="B3011" t="s">
        <v>13</v>
      </c>
      <c r="C3011" t="s">
        <v>1567</v>
      </c>
      <c r="D3011" t="s">
        <v>1554</v>
      </c>
    </row>
    <row r="3012" spans="1:4" x14ac:dyDescent="0.2">
      <c r="A3012" t="s">
        <v>1336</v>
      </c>
      <c r="B3012" t="s">
        <v>14</v>
      </c>
      <c r="C3012" t="s">
        <v>1568</v>
      </c>
      <c r="D3012" t="s">
        <v>1554</v>
      </c>
    </row>
    <row r="3013" spans="1:4" x14ac:dyDescent="0.2">
      <c r="A3013" t="s">
        <v>1336</v>
      </c>
      <c r="B3013" t="s">
        <v>15</v>
      </c>
      <c r="C3013" t="s">
        <v>1569</v>
      </c>
      <c r="D3013" t="s">
        <v>1554</v>
      </c>
    </row>
    <row r="3014" spans="1:4" x14ac:dyDescent="0.2">
      <c r="A3014" t="s">
        <v>1336</v>
      </c>
      <c r="B3014" t="s">
        <v>17</v>
      </c>
      <c r="C3014" t="s">
        <v>1560</v>
      </c>
      <c r="D3014" t="s">
        <v>1554</v>
      </c>
    </row>
    <row r="3015" spans="1:4" x14ac:dyDescent="0.2">
      <c r="A3015" t="s">
        <v>1336</v>
      </c>
      <c r="B3015" t="s">
        <v>19</v>
      </c>
      <c r="C3015" t="s">
        <v>1570</v>
      </c>
      <c r="D3015" t="s">
        <v>1554</v>
      </c>
    </row>
    <row r="3016" spans="1:4" x14ac:dyDescent="0.2">
      <c r="A3016" t="s">
        <v>1336</v>
      </c>
      <c r="B3016" t="s">
        <v>23</v>
      </c>
      <c r="C3016" t="s">
        <v>1556</v>
      </c>
      <c r="D3016" t="s">
        <v>1554</v>
      </c>
    </row>
    <row r="3017" spans="1:4" x14ac:dyDescent="0.2">
      <c r="A3017" t="s">
        <v>1336</v>
      </c>
      <c r="B3017" t="s">
        <v>25</v>
      </c>
      <c r="C3017" t="s">
        <v>1557</v>
      </c>
      <c r="D3017" t="s">
        <v>1554</v>
      </c>
    </row>
    <row r="3018" spans="1:4" x14ac:dyDescent="0.2">
      <c r="A3018" t="s">
        <v>1336</v>
      </c>
      <c r="B3018" t="s">
        <v>21</v>
      </c>
      <c r="C3018" t="s">
        <v>1571</v>
      </c>
      <c r="D3018" t="s">
        <v>1559</v>
      </c>
    </row>
    <row r="3019" spans="1:4" x14ac:dyDescent="0.2">
      <c r="A3019" t="s">
        <v>1336</v>
      </c>
      <c r="B3019" t="s">
        <v>22</v>
      </c>
      <c r="C3019" t="s">
        <v>1572</v>
      </c>
      <c r="D3019" t="s">
        <v>1559</v>
      </c>
    </row>
    <row r="3020" spans="1:4" x14ac:dyDescent="0.2">
      <c r="A3020" t="s">
        <v>1336</v>
      </c>
      <c r="B3020" t="s">
        <v>24</v>
      </c>
      <c r="C3020" t="s">
        <v>1558</v>
      </c>
      <c r="D3020" t="s">
        <v>1559</v>
      </c>
    </row>
    <row r="3021" spans="1:4" x14ac:dyDescent="0.2">
      <c r="A3021" t="s">
        <v>1341</v>
      </c>
      <c r="B3021" t="s">
        <v>3</v>
      </c>
      <c r="C3021" t="s">
        <v>1562</v>
      </c>
      <c r="D3021" t="s">
        <v>1554</v>
      </c>
    </row>
    <row r="3022" spans="1:4" x14ac:dyDescent="0.2">
      <c r="A3022" t="s">
        <v>1341</v>
      </c>
      <c r="B3022" t="s">
        <v>5</v>
      </c>
      <c r="C3022" t="s">
        <v>1563</v>
      </c>
      <c r="D3022" t="s">
        <v>1554</v>
      </c>
    </row>
    <row r="3023" spans="1:4" x14ac:dyDescent="0.2">
      <c r="A3023" t="s">
        <v>1341</v>
      </c>
      <c r="B3023" t="s">
        <v>6</v>
      </c>
      <c r="C3023" t="s">
        <v>1564</v>
      </c>
      <c r="D3023" t="s">
        <v>1554</v>
      </c>
    </row>
    <row r="3024" spans="1:4" x14ac:dyDescent="0.2">
      <c r="A3024" t="s">
        <v>1341</v>
      </c>
      <c r="B3024" t="s">
        <v>7</v>
      </c>
      <c r="C3024" t="s">
        <v>1565</v>
      </c>
      <c r="D3024" t="s">
        <v>1554</v>
      </c>
    </row>
    <row r="3025" spans="1:4" x14ac:dyDescent="0.2">
      <c r="A3025" t="s">
        <v>1341</v>
      </c>
      <c r="B3025" t="s">
        <v>8</v>
      </c>
      <c r="C3025" t="s">
        <v>1561</v>
      </c>
      <c r="D3025" t="s">
        <v>1554</v>
      </c>
    </row>
    <row r="3026" spans="1:4" x14ac:dyDescent="0.2">
      <c r="A3026" t="s">
        <v>1341</v>
      </c>
      <c r="B3026" t="s">
        <v>9</v>
      </c>
      <c r="C3026" t="s">
        <v>1553</v>
      </c>
      <c r="D3026" t="s">
        <v>1554</v>
      </c>
    </row>
    <row r="3027" spans="1:4" x14ac:dyDescent="0.2">
      <c r="A3027" t="s">
        <v>1341</v>
      </c>
      <c r="B3027" t="s">
        <v>10</v>
      </c>
      <c r="C3027" t="s">
        <v>1555</v>
      </c>
      <c r="D3027" t="s">
        <v>1554</v>
      </c>
    </row>
    <row r="3028" spans="1:4" x14ac:dyDescent="0.2">
      <c r="A3028" t="s">
        <v>1341</v>
      </c>
      <c r="B3028" t="s">
        <v>11</v>
      </c>
      <c r="C3028" t="s">
        <v>1566</v>
      </c>
      <c r="D3028" t="s">
        <v>1554</v>
      </c>
    </row>
    <row r="3029" spans="1:4" x14ac:dyDescent="0.2">
      <c r="A3029" t="s">
        <v>1341</v>
      </c>
      <c r="B3029" t="s">
        <v>13</v>
      </c>
      <c r="C3029" t="s">
        <v>1567</v>
      </c>
      <c r="D3029" t="s">
        <v>1554</v>
      </c>
    </row>
    <row r="3030" spans="1:4" x14ac:dyDescent="0.2">
      <c r="A3030" t="s">
        <v>1341</v>
      </c>
      <c r="B3030" t="s">
        <v>14</v>
      </c>
      <c r="C3030" t="s">
        <v>1568</v>
      </c>
      <c r="D3030" t="s">
        <v>1554</v>
      </c>
    </row>
    <row r="3031" spans="1:4" x14ac:dyDescent="0.2">
      <c r="A3031" t="s">
        <v>1341</v>
      </c>
      <c r="B3031" t="s">
        <v>15</v>
      </c>
      <c r="C3031" t="s">
        <v>1569</v>
      </c>
      <c r="D3031" t="s">
        <v>1554</v>
      </c>
    </row>
    <row r="3032" spans="1:4" x14ac:dyDescent="0.2">
      <c r="A3032" t="s">
        <v>1341</v>
      </c>
      <c r="B3032" t="s">
        <v>17</v>
      </c>
      <c r="C3032" t="s">
        <v>1560</v>
      </c>
      <c r="D3032" t="s">
        <v>1554</v>
      </c>
    </row>
    <row r="3033" spans="1:4" x14ac:dyDescent="0.2">
      <c r="A3033" t="s">
        <v>1341</v>
      </c>
      <c r="B3033" t="s">
        <v>19</v>
      </c>
      <c r="C3033" t="s">
        <v>1570</v>
      </c>
      <c r="D3033" t="s">
        <v>1554</v>
      </c>
    </row>
    <row r="3034" spans="1:4" x14ac:dyDescent="0.2">
      <c r="A3034" t="s">
        <v>1341</v>
      </c>
      <c r="B3034" t="s">
        <v>23</v>
      </c>
      <c r="C3034" t="s">
        <v>1556</v>
      </c>
      <c r="D3034" t="s">
        <v>1554</v>
      </c>
    </row>
    <row r="3035" spans="1:4" x14ac:dyDescent="0.2">
      <c r="A3035" t="s">
        <v>1341</v>
      </c>
      <c r="B3035" t="s">
        <v>25</v>
      </c>
      <c r="C3035" t="s">
        <v>1557</v>
      </c>
      <c r="D3035" t="s">
        <v>1554</v>
      </c>
    </row>
    <row r="3036" spans="1:4" x14ac:dyDescent="0.2">
      <c r="A3036" t="s">
        <v>1341</v>
      </c>
      <c r="B3036" t="s">
        <v>21</v>
      </c>
      <c r="C3036" t="s">
        <v>1571</v>
      </c>
      <c r="D3036" t="s">
        <v>1559</v>
      </c>
    </row>
    <row r="3037" spans="1:4" x14ac:dyDescent="0.2">
      <c r="A3037" t="s">
        <v>1341</v>
      </c>
      <c r="B3037" t="s">
        <v>22</v>
      </c>
      <c r="C3037" t="s">
        <v>1572</v>
      </c>
      <c r="D3037" t="s">
        <v>1559</v>
      </c>
    </row>
    <row r="3038" spans="1:4" x14ac:dyDescent="0.2">
      <c r="A3038" t="s">
        <v>1341</v>
      </c>
      <c r="B3038" t="s">
        <v>24</v>
      </c>
      <c r="C3038" t="s">
        <v>1558</v>
      </c>
      <c r="D3038" t="s">
        <v>1559</v>
      </c>
    </row>
    <row r="3039" spans="1:4" x14ac:dyDescent="0.2">
      <c r="A3039" t="s">
        <v>1346</v>
      </c>
      <c r="B3039" t="s">
        <v>6</v>
      </c>
      <c r="C3039" t="s">
        <v>1564</v>
      </c>
      <c r="D3039" t="s">
        <v>1554</v>
      </c>
    </row>
    <row r="3040" spans="1:4" x14ac:dyDescent="0.2">
      <c r="A3040" t="s">
        <v>1346</v>
      </c>
      <c r="B3040" t="s">
        <v>7</v>
      </c>
      <c r="C3040" t="s">
        <v>1565</v>
      </c>
      <c r="D3040" t="s">
        <v>1554</v>
      </c>
    </row>
    <row r="3041" spans="1:4" x14ac:dyDescent="0.2">
      <c r="A3041" t="s">
        <v>1346</v>
      </c>
      <c r="B3041" t="s">
        <v>8</v>
      </c>
      <c r="C3041" t="s">
        <v>1561</v>
      </c>
      <c r="D3041" t="s">
        <v>1554</v>
      </c>
    </row>
    <row r="3042" spans="1:4" x14ac:dyDescent="0.2">
      <c r="A3042" t="s">
        <v>1346</v>
      </c>
      <c r="B3042" t="s">
        <v>9</v>
      </c>
      <c r="C3042" t="s">
        <v>1553</v>
      </c>
      <c r="D3042" t="s">
        <v>1554</v>
      </c>
    </row>
    <row r="3043" spans="1:4" x14ac:dyDescent="0.2">
      <c r="A3043" t="s">
        <v>1346</v>
      </c>
      <c r="B3043" t="s">
        <v>10</v>
      </c>
      <c r="C3043" t="s">
        <v>1555</v>
      </c>
      <c r="D3043" t="s">
        <v>1554</v>
      </c>
    </row>
    <row r="3044" spans="1:4" x14ac:dyDescent="0.2">
      <c r="A3044" t="s">
        <v>1346</v>
      </c>
      <c r="B3044" t="s">
        <v>11</v>
      </c>
      <c r="C3044" t="s">
        <v>1566</v>
      </c>
      <c r="D3044" t="s">
        <v>1554</v>
      </c>
    </row>
    <row r="3045" spans="1:4" x14ac:dyDescent="0.2">
      <c r="A3045" t="s">
        <v>1346</v>
      </c>
      <c r="B3045" t="s">
        <v>13</v>
      </c>
      <c r="C3045" t="s">
        <v>1567</v>
      </c>
      <c r="D3045" t="s">
        <v>1554</v>
      </c>
    </row>
    <row r="3046" spans="1:4" x14ac:dyDescent="0.2">
      <c r="A3046" t="s">
        <v>1346</v>
      </c>
      <c r="B3046" t="s">
        <v>14</v>
      </c>
      <c r="C3046" t="s">
        <v>1568</v>
      </c>
      <c r="D3046" t="s">
        <v>1554</v>
      </c>
    </row>
    <row r="3047" spans="1:4" x14ac:dyDescent="0.2">
      <c r="A3047" t="s">
        <v>1346</v>
      </c>
      <c r="B3047" t="s">
        <v>15</v>
      </c>
      <c r="C3047" t="s">
        <v>1569</v>
      </c>
      <c r="D3047" t="s">
        <v>1554</v>
      </c>
    </row>
    <row r="3048" spans="1:4" x14ac:dyDescent="0.2">
      <c r="A3048" t="s">
        <v>1346</v>
      </c>
      <c r="B3048" t="s">
        <v>17</v>
      </c>
      <c r="C3048" t="s">
        <v>1560</v>
      </c>
      <c r="D3048" t="s">
        <v>1554</v>
      </c>
    </row>
    <row r="3049" spans="1:4" x14ac:dyDescent="0.2">
      <c r="A3049" t="s">
        <v>1346</v>
      </c>
      <c r="B3049" t="s">
        <v>19</v>
      </c>
      <c r="C3049" t="s">
        <v>1570</v>
      </c>
      <c r="D3049" t="s">
        <v>1554</v>
      </c>
    </row>
    <row r="3050" spans="1:4" x14ac:dyDescent="0.2">
      <c r="A3050" t="s">
        <v>1346</v>
      </c>
      <c r="B3050" t="s">
        <v>23</v>
      </c>
      <c r="C3050" t="s">
        <v>1556</v>
      </c>
      <c r="D3050" t="s">
        <v>1554</v>
      </c>
    </row>
    <row r="3051" spans="1:4" x14ac:dyDescent="0.2">
      <c r="A3051" t="s">
        <v>1346</v>
      </c>
      <c r="B3051" t="s">
        <v>25</v>
      </c>
      <c r="C3051" t="s">
        <v>1557</v>
      </c>
      <c r="D3051" t="s">
        <v>1554</v>
      </c>
    </row>
    <row r="3052" spans="1:4" x14ac:dyDescent="0.2">
      <c r="A3052" t="s">
        <v>1346</v>
      </c>
      <c r="B3052" t="s">
        <v>24</v>
      </c>
      <c r="C3052" t="s">
        <v>1558</v>
      </c>
      <c r="D3052" t="s">
        <v>1559</v>
      </c>
    </row>
    <row r="3053" spans="1:4" x14ac:dyDescent="0.2">
      <c r="A3053" t="s">
        <v>1352</v>
      </c>
      <c r="B3053" t="s">
        <v>6</v>
      </c>
      <c r="C3053" t="s">
        <v>1564</v>
      </c>
      <c r="D3053" t="s">
        <v>1554</v>
      </c>
    </row>
    <row r="3054" spans="1:4" x14ac:dyDescent="0.2">
      <c r="A3054" t="s">
        <v>1352</v>
      </c>
      <c r="B3054" t="s">
        <v>7</v>
      </c>
      <c r="C3054" t="s">
        <v>1565</v>
      </c>
      <c r="D3054" t="s">
        <v>1554</v>
      </c>
    </row>
    <row r="3055" spans="1:4" x14ac:dyDescent="0.2">
      <c r="A3055" t="s">
        <v>1352</v>
      </c>
      <c r="B3055" t="s">
        <v>8</v>
      </c>
      <c r="C3055" t="s">
        <v>1561</v>
      </c>
      <c r="D3055" t="s">
        <v>1554</v>
      </c>
    </row>
    <row r="3056" spans="1:4" x14ac:dyDescent="0.2">
      <c r="A3056" t="s">
        <v>1352</v>
      </c>
      <c r="B3056" t="s">
        <v>9</v>
      </c>
      <c r="C3056" t="s">
        <v>1553</v>
      </c>
      <c r="D3056" t="s">
        <v>1554</v>
      </c>
    </row>
    <row r="3057" spans="1:4" x14ac:dyDescent="0.2">
      <c r="A3057" t="s">
        <v>1352</v>
      </c>
      <c r="B3057" t="s">
        <v>10</v>
      </c>
      <c r="C3057" t="s">
        <v>1555</v>
      </c>
      <c r="D3057" t="s">
        <v>1554</v>
      </c>
    </row>
    <row r="3058" spans="1:4" x14ac:dyDescent="0.2">
      <c r="A3058" t="s">
        <v>1352</v>
      </c>
      <c r="B3058" t="s">
        <v>11</v>
      </c>
      <c r="C3058" t="s">
        <v>1566</v>
      </c>
      <c r="D3058" t="s">
        <v>1554</v>
      </c>
    </row>
    <row r="3059" spans="1:4" x14ac:dyDescent="0.2">
      <c r="A3059" t="s">
        <v>1352</v>
      </c>
      <c r="B3059" t="s">
        <v>13</v>
      </c>
      <c r="C3059" t="s">
        <v>1567</v>
      </c>
      <c r="D3059" t="s">
        <v>1554</v>
      </c>
    </row>
    <row r="3060" spans="1:4" x14ac:dyDescent="0.2">
      <c r="A3060" t="s">
        <v>1352</v>
      </c>
      <c r="B3060" t="s">
        <v>14</v>
      </c>
      <c r="C3060" t="s">
        <v>1568</v>
      </c>
      <c r="D3060" t="s">
        <v>1554</v>
      </c>
    </row>
    <row r="3061" spans="1:4" x14ac:dyDescent="0.2">
      <c r="A3061" t="s">
        <v>1352</v>
      </c>
      <c r="B3061" t="s">
        <v>15</v>
      </c>
      <c r="C3061" t="s">
        <v>1569</v>
      </c>
      <c r="D3061" t="s">
        <v>1554</v>
      </c>
    </row>
    <row r="3062" spans="1:4" x14ac:dyDescent="0.2">
      <c r="A3062" t="s">
        <v>1352</v>
      </c>
      <c r="B3062" t="s">
        <v>17</v>
      </c>
      <c r="C3062" t="s">
        <v>1560</v>
      </c>
      <c r="D3062" t="s">
        <v>1554</v>
      </c>
    </row>
    <row r="3063" spans="1:4" x14ac:dyDescent="0.2">
      <c r="A3063" t="s">
        <v>1352</v>
      </c>
      <c r="B3063" t="s">
        <v>19</v>
      </c>
      <c r="C3063" t="s">
        <v>1570</v>
      </c>
      <c r="D3063" t="s">
        <v>1554</v>
      </c>
    </row>
    <row r="3064" spans="1:4" x14ac:dyDescent="0.2">
      <c r="A3064" t="s">
        <v>1352</v>
      </c>
      <c r="B3064" t="s">
        <v>23</v>
      </c>
      <c r="C3064" t="s">
        <v>1556</v>
      </c>
      <c r="D3064" t="s">
        <v>1554</v>
      </c>
    </row>
    <row r="3065" spans="1:4" x14ac:dyDescent="0.2">
      <c r="A3065" t="s">
        <v>1352</v>
      </c>
      <c r="B3065" t="s">
        <v>25</v>
      </c>
      <c r="C3065" t="s">
        <v>1557</v>
      </c>
      <c r="D3065" t="s">
        <v>1554</v>
      </c>
    </row>
    <row r="3066" spans="1:4" x14ac:dyDescent="0.2">
      <c r="A3066" t="s">
        <v>1352</v>
      </c>
      <c r="B3066" t="s">
        <v>24</v>
      </c>
      <c r="C3066" t="s">
        <v>1558</v>
      </c>
      <c r="D3066" t="s">
        <v>1559</v>
      </c>
    </row>
    <row r="3067" spans="1:4" x14ac:dyDescent="0.2">
      <c r="A3067" t="s">
        <v>1358</v>
      </c>
      <c r="B3067" t="s">
        <v>3</v>
      </c>
      <c r="C3067" t="s">
        <v>1562</v>
      </c>
      <c r="D3067" t="s">
        <v>1554</v>
      </c>
    </row>
    <row r="3068" spans="1:4" x14ac:dyDescent="0.2">
      <c r="A3068" t="s">
        <v>1358</v>
      </c>
      <c r="B3068" t="s">
        <v>5</v>
      </c>
      <c r="C3068" t="s">
        <v>1563</v>
      </c>
      <c r="D3068" t="s">
        <v>1554</v>
      </c>
    </row>
    <row r="3069" spans="1:4" x14ac:dyDescent="0.2">
      <c r="A3069" t="s">
        <v>1358</v>
      </c>
      <c r="B3069" t="s">
        <v>6</v>
      </c>
      <c r="C3069" t="s">
        <v>1564</v>
      </c>
      <c r="D3069" t="s">
        <v>1554</v>
      </c>
    </row>
    <row r="3070" spans="1:4" x14ac:dyDescent="0.2">
      <c r="A3070" t="s">
        <v>1358</v>
      </c>
      <c r="B3070" t="s">
        <v>7</v>
      </c>
      <c r="C3070" t="s">
        <v>1565</v>
      </c>
      <c r="D3070" t="s">
        <v>1554</v>
      </c>
    </row>
    <row r="3071" spans="1:4" x14ac:dyDescent="0.2">
      <c r="A3071" t="s">
        <v>1358</v>
      </c>
      <c r="B3071" t="s">
        <v>8</v>
      </c>
      <c r="C3071" t="s">
        <v>1561</v>
      </c>
      <c r="D3071" t="s">
        <v>1554</v>
      </c>
    </row>
    <row r="3072" spans="1:4" x14ac:dyDescent="0.2">
      <c r="A3072" t="s">
        <v>1358</v>
      </c>
      <c r="B3072" t="s">
        <v>9</v>
      </c>
      <c r="C3072" t="s">
        <v>1553</v>
      </c>
      <c r="D3072" t="s">
        <v>1554</v>
      </c>
    </row>
    <row r="3073" spans="1:4" x14ac:dyDescent="0.2">
      <c r="A3073" t="s">
        <v>1358</v>
      </c>
      <c r="B3073" t="s">
        <v>10</v>
      </c>
      <c r="C3073" t="s">
        <v>1555</v>
      </c>
      <c r="D3073" t="s">
        <v>1554</v>
      </c>
    </row>
    <row r="3074" spans="1:4" x14ac:dyDescent="0.2">
      <c r="A3074" t="s">
        <v>1358</v>
      </c>
      <c r="B3074" t="s">
        <v>11</v>
      </c>
      <c r="C3074" t="s">
        <v>1566</v>
      </c>
      <c r="D3074" t="s">
        <v>1554</v>
      </c>
    </row>
    <row r="3075" spans="1:4" x14ac:dyDescent="0.2">
      <c r="A3075" t="s">
        <v>1358</v>
      </c>
      <c r="B3075" t="s">
        <v>13</v>
      </c>
      <c r="C3075" t="s">
        <v>1567</v>
      </c>
      <c r="D3075" t="s">
        <v>1554</v>
      </c>
    </row>
    <row r="3076" spans="1:4" x14ac:dyDescent="0.2">
      <c r="A3076" t="s">
        <v>1358</v>
      </c>
      <c r="B3076" t="s">
        <v>14</v>
      </c>
      <c r="C3076" t="s">
        <v>1568</v>
      </c>
      <c r="D3076" t="s">
        <v>1554</v>
      </c>
    </row>
    <row r="3077" spans="1:4" x14ac:dyDescent="0.2">
      <c r="A3077" t="s">
        <v>1358</v>
      </c>
      <c r="B3077" t="s">
        <v>15</v>
      </c>
      <c r="C3077" t="s">
        <v>1569</v>
      </c>
      <c r="D3077" t="s">
        <v>1554</v>
      </c>
    </row>
    <row r="3078" spans="1:4" x14ac:dyDescent="0.2">
      <c r="A3078" t="s">
        <v>1358</v>
      </c>
      <c r="B3078" t="s">
        <v>17</v>
      </c>
      <c r="C3078" t="s">
        <v>1560</v>
      </c>
      <c r="D3078" t="s">
        <v>1554</v>
      </c>
    </row>
    <row r="3079" spans="1:4" x14ac:dyDescent="0.2">
      <c r="A3079" t="s">
        <v>1358</v>
      </c>
      <c r="B3079" t="s">
        <v>19</v>
      </c>
      <c r="C3079" t="s">
        <v>1570</v>
      </c>
      <c r="D3079" t="s">
        <v>1554</v>
      </c>
    </row>
    <row r="3080" spans="1:4" x14ac:dyDescent="0.2">
      <c r="A3080" t="s">
        <v>1358</v>
      </c>
      <c r="B3080" t="s">
        <v>23</v>
      </c>
      <c r="C3080" t="s">
        <v>1556</v>
      </c>
      <c r="D3080" t="s">
        <v>1554</v>
      </c>
    </row>
    <row r="3081" spans="1:4" x14ac:dyDescent="0.2">
      <c r="A3081" t="s">
        <v>1358</v>
      </c>
      <c r="B3081" t="s">
        <v>25</v>
      </c>
      <c r="C3081" t="s">
        <v>1557</v>
      </c>
      <c r="D3081" t="s">
        <v>1554</v>
      </c>
    </row>
    <row r="3082" spans="1:4" x14ac:dyDescent="0.2">
      <c r="A3082" t="s">
        <v>1358</v>
      </c>
      <c r="B3082" t="s">
        <v>21</v>
      </c>
      <c r="C3082" t="s">
        <v>1571</v>
      </c>
      <c r="D3082" t="s">
        <v>1559</v>
      </c>
    </row>
    <row r="3083" spans="1:4" x14ac:dyDescent="0.2">
      <c r="A3083" t="s">
        <v>1358</v>
      </c>
      <c r="B3083" t="s">
        <v>22</v>
      </c>
      <c r="C3083" t="s">
        <v>1572</v>
      </c>
      <c r="D3083" t="s">
        <v>1559</v>
      </c>
    </row>
    <row r="3084" spans="1:4" x14ac:dyDescent="0.2">
      <c r="A3084" t="s">
        <v>1358</v>
      </c>
      <c r="B3084" t="s">
        <v>24</v>
      </c>
      <c r="C3084" t="s">
        <v>1558</v>
      </c>
      <c r="D3084" t="s">
        <v>1559</v>
      </c>
    </row>
    <row r="3085" spans="1:4" x14ac:dyDescent="0.2">
      <c r="A3085" t="s">
        <v>1362</v>
      </c>
      <c r="B3085" t="s">
        <v>3</v>
      </c>
      <c r="C3085" t="s">
        <v>1562</v>
      </c>
      <c r="D3085" t="s">
        <v>1554</v>
      </c>
    </row>
    <row r="3086" spans="1:4" x14ac:dyDescent="0.2">
      <c r="A3086" t="s">
        <v>1362</v>
      </c>
      <c r="B3086" t="s">
        <v>5</v>
      </c>
      <c r="C3086" t="s">
        <v>1563</v>
      </c>
      <c r="D3086" t="s">
        <v>1554</v>
      </c>
    </row>
    <row r="3087" spans="1:4" x14ac:dyDescent="0.2">
      <c r="A3087" t="s">
        <v>1362</v>
      </c>
      <c r="B3087" t="s">
        <v>6</v>
      </c>
      <c r="C3087" t="s">
        <v>1564</v>
      </c>
      <c r="D3087" t="s">
        <v>1554</v>
      </c>
    </row>
    <row r="3088" spans="1:4" x14ac:dyDescent="0.2">
      <c r="A3088" t="s">
        <v>1362</v>
      </c>
      <c r="B3088" t="s">
        <v>7</v>
      </c>
      <c r="C3088" t="s">
        <v>1565</v>
      </c>
      <c r="D3088" t="s">
        <v>1554</v>
      </c>
    </row>
    <row r="3089" spans="1:4" x14ac:dyDescent="0.2">
      <c r="A3089" t="s">
        <v>1362</v>
      </c>
      <c r="B3089" t="s">
        <v>8</v>
      </c>
      <c r="C3089" t="s">
        <v>1561</v>
      </c>
      <c r="D3089" t="s">
        <v>1554</v>
      </c>
    </row>
    <row r="3090" spans="1:4" x14ac:dyDescent="0.2">
      <c r="A3090" t="s">
        <v>1362</v>
      </c>
      <c r="B3090" t="s">
        <v>9</v>
      </c>
      <c r="C3090" t="s">
        <v>1553</v>
      </c>
      <c r="D3090" t="s">
        <v>1554</v>
      </c>
    </row>
    <row r="3091" spans="1:4" x14ac:dyDescent="0.2">
      <c r="A3091" t="s">
        <v>1362</v>
      </c>
      <c r="B3091" t="s">
        <v>10</v>
      </c>
      <c r="C3091" t="s">
        <v>1555</v>
      </c>
      <c r="D3091" t="s">
        <v>1554</v>
      </c>
    </row>
    <row r="3092" spans="1:4" x14ac:dyDescent="0.2">
      <c r="A3092" t="s">
        <v>1362</v>
      </c>
      <c r="B3092" t="s">
        <v>11</v>
      </c>
      <c r="C3092" t="s">
        <v>1566</v>
      </c>
      <c r="D3092" t="s">
        <v>1554</v>
      </c>
    </row>
    <row r="3093" spans="1:4" x14ac:dyDescent="0.2">
      <c r="A3093" t="s">
        <v>1362</v>
      </c>
      <c r="B3093" t="s">
        <v>13</v>
      </c>
      <c r="C3093" t="s">
        <v>1567</v>
      </c>
      <c r="D3093" t="s">
        <v>1554</v>
      </c>
    </row>
    <row r="3094" spans="1:4" x14ac:dyDescent="0.2">
      <c r="A3094" t="s">
        <v>1362</v>
      </c>
      <c r="B3094" t="s">
        <v>14</v>
      </c>
      <c r="C3094" t="s">
        <v>1568</v>
      </c>
      <c r="D3094" t="s">
        <v>1554</v>
      </c>
    </row>
    <row r="3095" spans="1:4" x14ac:dyDescent="0.2">
      <c r="A3095" t="s">
        <v>1362</v>
      </c>
      <c r="B3095" t="s">
        <v>15</v>
      </c>
      <c r="C3095" t="s">
        <v>1569</v>
      </c>
      <c r="D3095" t="s">
        <v>1554</v>
      </c>
    </row>
    <row r="3096" spans="1:4" x14ac:dyDescent="0.2">
      <c r="A3096" t="s">
        <v>1362</v>
      </c>
      <c r="B3096" t="s">
        <v>17</v>
      </c>
      <c r="C3096" t="s">
        <v>1560</v>
      </c>
      <c r="D3096" t="s">
        <v>1554</v>
      </c>
    </row>
    <row r="3097" spans="1:4" x14ac:dyDescent="0.2">
      <c r="A3097" t="s">
        <v>1362</v>
      </c>
      <c r="B3097" t="s">
        <v>19</v>
      </c>
      <c r="C3097" t="s">
        <v>1570</v>
      </c>
      <c r="D3097" t="s">
        <v>1554</v>
      </c>
    </row>
    <row r="3098" spans="1:4" x14ac:dyDescent="0.2">
      <c r="A3098" t="s">
        <v>1362</v>
      </c>
      <c r="B3098" t="s">
        <v>23</v>
      </c>
      <c r="C3098" t="s">
        <v>1556</v>
      </c>
      <c r="D3098" t="s">
        <v>1554</v>
      </c>
    </row>
    <row r="3099" spans="1:4" x14ac:dyDescent="0.2">
      <c r="A3099" t="s">
        <v>1362</v>
      </c>
      <c r="B3099" t="s">
        <v>25</v>
      </c>
      <c r="C3099" t="s">
        <v>1557</v>
      </c>
      <c r="D3099" t="s">
        <v>1554</v>
      </c>
    </row>
    <row r="3100" spans="1:4" x14ac:dyDescent="0.2">
      <c r="A3100" t="s">
        <v>1362</v>
      </c>
      <c r="B3100" t="s">
        <v>21</v>
      </c>
      <c r="C3100" t="s">
        <v>1571</v>
      </c>
      <c r="D3100" t="s">
        <v>1559</v>
      </c>
    </row>
    <row r="3101" spans="1:4" x14ac:dyDescent="0.2">
      <c r="A3101" t="s">
        <v>1362</v>
      </c>
      <c r="B3101" t="s">
        <v>22</v>
      </c>
      <c r="C3101" t="s">
        <v>1572</v>
      </c>
      <c r="D3101" t="s">
        <v>1559</v>
      </c>
    </row>
    <row r="3102" spans="1:4" x14ac:dyDescent="0.2">
      <c r="A3102" t="s">
        <v>1362</v>
      </c>
      <c r="B3102" t="s">
        <v>24</v>
      </c>
      <c r="C3102" t="s">
        <v>1558</v>
      </c>
      <c r="D3102" t="s">
        <v>1559</v>
      </c>
    </row>
    <row r="3103" spans="1:4" x14ac:dyDescent="0.2">
      <c r="A3103" t="s">
        <v>1366</v>
      </c>
      <c r="B3103" t="s">
        <v>3</v>
      </c>
      <c r="C3103" t="s">
        <v>1562</v>
      </c>
      <c r="D3103" t="s">
        <v>1554</v>
      </c>
    </row>
    <row r="3104" spans="1:4" x14ac:dyDescent="0.2">
      <c r="A3104" t="s">
        <v>1366</v>
      </c>
      <c r="B3104" t="s">
        <v>5</v>
      </c>
      <c r="C3104" t="s">
        <v>1563</v>
      </c>
      <c r="D3104" t="s">
        <v>1554</v>
      </c>
    </row>
    <row r="3105" spans="1:4" x14ac:dyDescent="0.2">
      <c r="A3105" t="s">
        <v>1366</v>
      </c>
      <c r="B3105" t="s">
        <v>6</v>
      </c>
      <c r="C3105" t="s">
        <v>1564</v>
      </c>
      <c r="D3105" t="s">
        <v>1554</v>
      </c>
    </row>
    <row r="3106" spans="1:4" x14ac:dyDescent="0.2">
      <c r="A3106" t="s">
        <v>1366</v>
      </c>
      <c r="B3106" t="s">
        <v>7</v>
      </c>
      <c r="C3106" t="s">
        <v>1565</v>
      </c>
      <c r="D3106" t="s">
        <v>1554</v>
      </c>
    </row>
    <row r="3107" spans="1:4" x14ac:dyDescent="0.2">
      <c r="A3107" t="s">
        <v>1366</v>
      </c>
      <c r="B3107" t="s">
        <v>8</v>
      </c>
      <c r="C3107" t="s">
        <v>1561</v>
      </c>
      <c r="D3107" t="s">
        <v>1554</v>
      </c>
    </row>
    <row r="3108" spans="1:4" x14ac:dyDescent="0.2">
      <c r="A3108" t="s">
        <v>1366</v>
      </c>
      <c r="B3108" t="s">
        <v>9</v>
      </c>
      <c r="C3108" t="s">
        <v>1553</v>
      </c>
      <c r="D3108" t="s">
        <v>1554</v>
      </c>
    </row>
    <row r="3109" spans="1:4" x14ac:dyDescent="0.2">
      <c r="A3109" t="s">
        <v>1366</v>
      </c>
      <c r="B3109" t="s">
        <v>10</v>
      </c>
      <c r="C3109" t="s">
        <v>1555</v>
      </c>
      <c r="D3109" t="s">
        <v>1554</v>
      </c>
    </row>
    <row r="3110" spans="1:4" x14ac:dyDescent="0.2">
      <c r="A3110" t="s">
        <v>1366</v>
      </c>
      <c r="B3110" t="s">
        <v>11</v>
      </c>
      <c r="C3110" t="s">
        <v>1566</v>
      </c>
      <c r="D3110" t="s">
        <v>1554</v>
      </c>
    </row>
    <row r="3111" spans="1:4" x14ac:dyDescent="0.2">
      <c r="A3111" t="s">
        <v>1366</v>
      </c>
      <c r="B3111" t="s">
        <v>13</v>
      </c>
      <c r="C3111" t="s">
        <v>1567</v>
      </c>
      <c r="D3111" t="s">
        <v>1554</v>
      </c>
    </row>
    <row r="3112" spans="1:4" x14ac:dyDescent="0.2">
      <c r="A3112" t="s">
        <v>1366</v>
      </c>
      <c r="B3112" t="s">
        <v>14</v>
      </c>
      <c r="C3112" t="s">
        <v>1568</v>
      </c>
      <c r="D3112" t="s">
        <v>1554</v>
      </c>
    </row>
    <row r="3113" spans="1:4" x14ac:dyDescent="0.2">
      <c r="A3113" t="s">
        <v>1366</v>
      </c>
      <c r="B3113" t="s">
        <v>15</v>
      </c>
      <c r="C3113" t="s">
        <v>1569</v>
      </c>
      <c r="D3113" t="s">
        <v>1554</v>
      </c>
    </row>
    <row r="3114" spans="1:4" x14ac:dyDescent="0.2">
      <c r="A3114" t="s">
        <v>1366</v>
      </c>
      <c r="B3114" t="s">
        <v>17</v>
      </c>
      <c r="C3114" t="s">
        <v>1560</v>
      </c>
      <c r="D3114" t="s">
        <v>1554</v>
      </c>
    </row>
    <row r="3115" spans="1:4" x14ac:dyDescent="0.2">
      <c r="A3115" t="s">
        <v>1366</v>
      </c>
      <c r="B3115" t="s">
        <v>19</v>
      </c>
      <c r="C3115" t="s">
        <v>1570</v>
      </c>
      <c r="D3115" t="s">
        <v>1554</v>
      </c>
    </row>
    <row r="3116" spans="1:4" x14ac:dyDescent="0.2">
      <c r="A3116" t="s">
        <v>1366</v>
      </c>
      <c r="B3116" t="s">
        <v>23</v>
      </c>
      <c r="C3116" t="s">
        <v>1556</v>
      </c>
      <c r="D3116" t="s">
        <v>1554</v>
      </c>
    </row>
    <row r="3117" spans="1:4" x14ac:dyDescent="0.2">
      <c r="A3117" t="s">
        <v>1366</v>
      </c>
      <c r="B3117" t="s">
        <v>25</v>
      </c>
      <c r="C3117" t="s">
        <v>1557</v>
      </c>
      <c r="D3117" t="s">
        <v>1554</v>
      </c>
    </row>
    <row r="3118" spans="1:4" x14ac:dyDescent="0.2">
      <c r="A3118" t="s">
        <v>1366</v>
      </c>
      <c r="B3118" t="s">
        <v>21</v>
      </c>
      <c r="C3118" t="s">
        <v>1571</v>
      </c>
      <c r="D3118" t="s">
        <v>1559</v>
      </c>
    </row>
    <row r="3119" spans="1:4" x14ac:dyDescent="0.2">
      <c r="A3119" t="s">
        <v>1366</v>
      </c>
      <c r="B3119" t="s">
        <v>22</v>
      </c>
      <c r="C3119" t="s">
        <v>1572</v>
      </c>
      <c r="D3119" t="s">
        <v>1559</v>
      </c>
    </row>
    <row r="3120" spans="1:4" x14ac:dyDescent="0.2">
      <c r="A3120" t="s">
        <v>1366</v>
      </c>
      <c r="B3120" t="s">
        <v>24</v>
      </c>
      <c r="C3120" t="s">
        <v>1558</v>
      </c>
      <c r="D3120" t="s">
        <v>1559</v>
      </c>
    </row>
    <row r="3121" spans="1:4" x14ac:dyDescent="0.2">
      <c r="A3121" t="s">
        <v>1370</v>
      </c>
      <c r="B3121" t="s">
        <v>3</v>
      </c>
      <c r="C3121" t="s">
        <v>1562</v>
      </c>
      <c r="D3121" t="s">
        <v>1554</v>
      </c>
    </row>
    <row r="3122" spans="1:4" x14ac:dyDescent="0.2">
      <c r="A3122" t="s">
        <v>1370</v>
      </c>
      <c r="B3122" t="s">
        <v>5</v>
      </c>
      <c r="C3122" t="s">
        <v>1563</v>
      </c>
      <c r="D3122" t="s">
        <v>1554</v>
      </c>
    </row>
    <row r="3123" spans="1:4" x14ac:dyDescent="0.2">
      <c r="A3123" t="s">
        <v>1370</v>
      </c>
      <c r="B3123" t="s">
        <v>6</v>
      </c>
      <c r="C3123" t="s">
        <v>1564</v>
      </c>
      <c r="D3123" t="s">
        <v>1554</v>
      </c>
    </row>
    <row r="3124" spans="1:4" x14ac:dyDescent="0.2">
      <c r="A3124" t="s">
        <v>1370</v>
      </c>
      <c r="B3124" t="s">
        <v>7</v>
      </c>
      <c r="C3124" t="s">
        <v>1565</v>
      </c>
      <c r="D3124" t="s">
        <v>1554</v>
      </c>
    </row>
    <row r="3125" spans="1:4" x14ac:dyDescent="0.2">
      <c r="A3125" t="s">
        <v>1370</v>
      </c>
      <c r="B3125" t="s">
        <v>8</v>
      </c>
      <c r="C3125" t="s">
        <v>1561</v>
      </c>
      <c r="D3125" t="s">
        <v>1554</v>
      </c>
    </row>
    <row r="3126" spans="1:4" x14ac:dyDescent="0.2">
      <c r="A3126" t="s">
        <v>1370</v>
      </c>
      <c r="B3126" t="s">
        <v>9</v>
      </c>
      <c r="C3126" t="s">
        <v>1553</v>
      </c>
      <c r="D3126" t="s">
        <v>1554</v>
      </c>
    </row>
    <row r="3127" spans="1:4" x14ac:dyDescent="0.2">
      <c r="A3127" t="s">
        <v>1370</v>
      </c>
      <c r="B3127" t="s">
        <v>10</v>
      </c>
      <c r="C3127" t="s">
        <v>1555</v>
      </c>
      <c r="D3127" t="s">
        <v>1554</v>
      </c>
    </row>
    <row r="3128" spans="1:4" x14ac:dyDescent="0.2">
      <c r="A3128" t="s">
        <v>1370</v>
      </c>
      <c r="B3128" t="s">
        <v>11</v>
      </c>
      <c r="C3128" t="s">
        <v>1566</v>
      </c>
      <c r="D3128" t="s">
        <v>1554</v>
      </c>
    </row>
    <row r="3129" spans="1:4" x14ac:dyDescent="0.2">
      <c r="A3129" t="s">
        <v>1370</v>
      </c>
      <c r="B3129" t="s">
        <v>13</v>
      </c>
      <c r="C3129" t="s">
        <v>1567</v>
      </c>
      <c r="D3129" t="s">
        <v>1554</v>
      </c>
    </row>
    <row r="3130" spans="1:4" x14ac:dyDescent="0.2">
      <c r="A3130" t="s">
        <v>1370</v>
      </c>
      <c r="B3130" t="s">
        <v>14</v>
      </c>
      <c r="C3130" t="s">
        <v>1568</v>
      </c>
      <c r="D3130" t="s">
        <v>1554</v>
      </c>
    </row>
    <row r="3131" spans="1:4" x14ac:dyDescent="0.2">
      <c r="A3131" t="s">
        <v>1370</v>
      </c>
      <c r="B3131" t="s">
        <v>15</v>
      </c>
      <c r="C3131" t="s">
        <v>1569</v>
      </c>
      <c r="D3131" t="s">
        <v>1554</v>
      </c>
    </row>
    <row r="3132" spans="1:4" x14ac:dyDescent="0.2">
      <c r="A3132" t="s">
        <v>1370</v>
      </c>
      <c r="B3132" t="s">
        <v>17</v>
      </c>
      <c r="C3132" t="s">
        <v>1560</v>
      </c>
      <c r="D3132" t="s">
        <v>1554</v>
      </c>
    </row>
    <row r="3133" spans="1:4" x14ac:dyDescent="0.2">
      <c r="A3133" t="s">
        <v>1370</v>
      </c>
      <c r="B3133" t="s">
        <v>19</v>
      </c>
      <c r="C3133" t="s">
        <v>1570</v>
      </c>
      <c r="D3133" t="s">
        <v>1554</v>
      </c>
    </row>
    <row r="3134" spans="1:4" x14ac:dyDescent="0.2">
      <c r="A3134" t="s">
        <v>1370</v>
      </c>
      <c r="B3134" t="s">
        <v>23</v>
      </c>
      <c r="C3134" t="s">
        <v>1556</v>
      </c>
      <c r="D3134" t="s">
        <v>1554</v>
      </c>
    </row>
    <row r="3135" spans="1:4" x14ac:dyDescent="0.2">
      <c r="A3135" t="s">
        <v>1370</v>
      </c>
      <c r="B3135" t="s">
        <v>25</v>
      </c>
      <c r="C3135" t="s">
        <v>1557</v>
      </c>
      <c r="D3135" t="s">
        <v>1554</v>
      </c>
    </row>
    <row r="3136" spans="1:4" x14ac:dyDescent="0.2">
      <c r="A3136" t="s">
        <v>1370</v>
      </c>
      <c r="B3136" t="s">
        <v>21</v>
      </c>
      <c r="C3136" t="s">
        <v>1571</v>
      </c>
      <c r="D3136" t="s">
        <v>1559</v>
      </c>
    </row>
    <row r="3137" spans="1:4" x14ac:dyDescent="0.2">
      <c r="A3137" t="s">
        <v>1370</v>
      </c>
      <c r="B3137" t="s">
        <v>22</v>
      </c>
      <c r="C3137" t="s">
        <v>1572</v>
      </c>
      <c r="D3137" t="s">
        <v>1559</v>
      </c>
    </row>
    <row r="3138" spans="1:4" x14ac:dyDescent="0.2">
      <c r="A3138" t="s">
        <v>1370</v>
      </c>
      <c r="B3138" t="s">
        <v>24</v>
      </c>
      <c r="C3138" t="s">
        <v>1558</v>
      </c>
      <c r="D3138" t="s">
        <v>1559</v>
      </c>
    </row>
    <row r="3139" spans="1:4" x14ac:dyDescent="0.2">
      <c r="A3139" t="s">
        <v>1374</v>
      </c>
      <c r="B3139" t="s">
        <v>6</v>
      </c>
      <c r="C3139" t="s">
        <v>1564</v>
      </c>
      <c r="D3139" t="s">
        <v>1554</v>
      </c>
    </row>
    <row r="3140" spans="1:4" x14ac:dyDescent="0.2">
      <c r="A3140" t="s">
        <v>1374</v>
      </c>
      <c r="B3140" t="s">
        <v>7</v>
      </c>
      <c r="C3140" t="s">
        <v>1565</v>
      </c>
      <c r="D3140" t="s">
        <v>1554</v>
      </c>
    </row>
    <row r="3141" spans="1:4" x14ac:dyDescent="0.2">
      <c r="A3141" t="s">
        <v>1374</v>
      </c>
      <c r="B3141" t="s">
        <v>8</v>
      </c>
      <c r="C3141" t="s">
        <v>1561</v>
      </c>
      <c r="D3141" t="s">
        <v>1554</v>
      </c>
    </row>
    <row r="3142" spans="1:4" x14ac:dyDescent="0.2">
      <c r="A3142" t="s">
        <v>1374</v>
      </c>
      <c r="B3142" t="s">
        <v>9</v>
      </c>
      <c r="C3142" t="s">
        <v>1553</v>
      </c>
      <c r="D3142" t="s">
        <v>1554</v>
      </c>
    </row>
    <row r="3143" spans="1:4" x14ac:dyDescent="0.2">
      <c r="A3143" t="s">
        <v>1374</v>
      </c>
      <c r="B3143" t="s">
        <v>10</v>
      </c>
      <c r="C3143" t="s">
        <v>1555</v>
      </c>
      <c r="D3143" t="s">
        <v>1554</v>
      </c>
    </row>
    <row r="3144" spans="1:4" x14ac:dyDescent="0.2">
      <c r="A3144" t="s">
        <v>1374</v>
      </c>
      <c r="B3144" t="s">
        <v>11</v>
      </c>
      <c r="C3144" t="s">
        <v>1566</v>
      </c>
      <c r="D3144" t="s">
        <v>1554</v>
      </c>
    </row>
    <row r="3145" spans="1:4" x14ac:dyDescent="0.2">
      <c r="A3145" t="s">
        <v>1374</v>
      </c>
      <c r="B3145" t="s">
        <v>13</v>
      </c>
      <c r="C3145" t="s">
        <v>1567</v>
      </c>
      <c r="D3145" t="s">
        <v>1554</v>
      </c>
    </row>
    <row r="3146" spans="1:4" x14ac:dyDescent="0.2">
      <c r="A3146" t="s">
        <v>1374</v>
      </c>
      <c r="B3146" t="s">
        <v>14</v>
      </c>
      <c r="C3146" t="s">
        <v>1568</v>
      </c>
      <c r="D3146" t="s">
        <v>1554</v>
      </c>
    </row>
    <row r="3147" spans="1:4" x14ac:dyDescent="0.2">
      <c r="A3147" t="s">
        <v>1374</v>
      </c>
      <c r="B3147" t="s">
        <v>15</v>
      </c>
      <c r="C3147" t="s">
        <v>1569</v>
      </c>
      <c r="D3147" t="s">
        <v>1554</v>
      </c>
    </row>
    <row r="3148" spans="1:4" x14ac:dyDescent="0.2">
      <c r="A3148" t="s">
        <v>1374</v>
      </c>
      <c r="B3148" t="s">
        <v>17</v>
      </c>
      <c r="C3148" t="s">
        <v>1560</v>
      </c>
      <c r="D3148" t="s">
        <v>1554</v>
      </c>
    </row>
    <row r="3149" spans="1:4" x14ac:dyDescent="0.2">
      <c r="A3149" t="s">
        <v>1374</v>
      </c>
      <c r="B3149" t="s">
        <v>19</v>
      </c>
      <c r="C3149" t="s">
        <v>1570</v>
      </c>
      <c r="D3149" t="s">
        <v>1554</v>
      </c>
    </row>
    <row r="3150" spans="1:4" x14ac:dyDescent="0.2">
      <c r="A3150" t="s">
        <v>1374</v>
      </c>
      <c r="B3150" t="s">
        <v>23</v>
      </c>
      <c r="C3150" t="s">
        <v>1556</v>
      </c>
      <c r="D3150" t="s">
        <v>1554</v>
      </c>
    </row>
    <row r="3151" spans="1:4" x14ac:dyDescent="0.2">
      <c r="A3151" t="s">
        <v>1374</v>
      </c>
      <c r="B3151" t="s">
        <v>25</v>
      </c>
      <c r="C3151" t="s">
        <v>1557</v>
      </c>
      <c r="D3151" t="s">
        <v>1554</v>
      </c>
    </row>
    <row r="3152" spans="1:4" x14ac:dyDescent="0.2">
      <c r="A3152" t="s">
        <v>1374</v>
      </c>
      <c r="B3152" t="s">
        <v>21</v>
      </c>
      <c r="C3152" t="s">
        <v>1571</v>
      </c>
      <c r="D3152" t="s">
        <v>1559</v>
      </c>
    </row>
    <row r="3153" spans="1:4" x14ac:dyDescent="0.2">
      <c r="A3153" t="s">
        <v>1374</v>
      </c>
      <c r="B3153" t="s">
        <v>22</v>
      </c>
      <c r="C3153" t="s">
        <v>1572</v>
      </c>
      <c r="D3153" t="s">
        <v>1559</v>
      </c>
    </row>
    <row r="3154" spans="1:4" x14ac:dyDescent="0.2">
      <c r="A3154" t="s">
        <v>1374</v>
      </c>
      <c r="B3154" t="s">
        <v>24</v>
      </c>
      <c r="C3154" t="s">
        <v>1558</v>
      </c>
      <c r="D3154" t="s">
        <v>1559</v>
      </c>
    </row>
    <row r="3155" spans="1:4" x14ac:dyDescent="0.2">
      <c r="A3155" t="s">
        <v>1379</v>
      </c>
      <c r="B3155" t="s">
        <v>3</v>
      </c>
      <c r="C3155" t="s">
        <v>1562</v>
      </c>
      <c r="D3155" t="s">
        <v>1554</v>
      </c>
    </row>
    <row r="3156" spans="1:4" x14ac:dyDescent="0.2">
      <c r="A3156" t="s">
        <v>1379</v>
      </c>
      <c r="B3156" t="s">
        <v>5</v>
      </c>
      <c r="C3156" t="s">
        <v>1563</v>
      </c>
      <c r="D3156" t="s">
        <v>1554</v>
      </c>
    </row>
    <row r="3157" spans="1:4" x14ac:dyDescent="0.2">
      <c r="A3157" t="s">
        <v>1379</v>
      </c>
      <c r="B3157" t="s">
        <v>6</v>
      </c>
      <c r="C3157" t="s">
        <v>1564</v>
      </c>
      <c r="D3157" t="s">
        <v>1554</v>
      </c>
    </row>
    <row r="3158" spans="1:4" x14ac:dyDescent="0.2">
      <c r="A3158" t="s">
        <v>1379</v>
      </c>
      <c r="B3158" t="s">
        <v>7</v>
      </c>
      <c r="C3158" t="s">
        <v>1565</v>
      </c>
      <c r="D3158" t="s">
        <v>1554</v>
      </c>
    </row>
    <row r="3159" spans="1:4" x14ac:dyDescent="0.2">
      <c r="A3159" t="s">
        <v>1379</v>
      </c>
      <c r="B3159" t="s">
        <v>8</v>
      </c>
      <c r="C3159" t="s">
        <v>1561</v>
      </c>
      <c r="D3159" t="s">
        <v>1554</v>
      </c>
    </row>
    <row r="3160" spans="1:4" x14ac:dyDescent="0.2">
      <c r="A3160" t="s">
        <v>1379</v>
      </c>
      <c r="B3160" t="s">
        <v>9</v>
      </c>
      <c r="C3160" t="s">
        <v>1553</v>
      </c>
      <c r="D3160" t="s">
        <v>1554</v>
      </c>
    </row>
    <row r="3161" spans="1:4" x14ac:dyDescent="0.2">
      <c r="A3161" t="s">
        <v>1379</v>
      </c>
      <c r="B3161" t="s">
        <v>10</v>
      </c>
      <c r="C3161" t="s">
        <v>1555</v>
      </c>
      <c r="D3161" t="s">
        <v>1554</v>
      </c>
    </row>
    <row r="3162" spans="1:4" x14ac:dyDescent="0.2">
      <c r="A3162" t="s">
        <v>1379</v>
      </c>
      <c r="B3162" t="s">
        <v>11</v>
      </c>
      <c r="C3162" t="s">
        <v>1566</v>
      </c>
      <c r="D3162" t="s">
        <v>1554</v>
      </c>
    </row>
    <row r="3163" spans="1:4" x14ac:dyDescent="0.2">
      <c r="A3163" t="s">
        <v>1379</v>
      </c>
      <c r="B3163" t="s">
        <v>13</v>
      </c>
      <c r="C3163" t="s">
        <v>1567</v>
      </c>
      <c r="D3163" t="s">
        <v>1554</v>
      </c>
    </row>
    <row r="3164" spans="1:4" x14ac:dyDescent="0.2">
      <c r="A3164" t="s">
        <v>1379</v>
      </c>
      <c r="B3164" t="s">
        <v>14</v>
      </c>
      <c r="C3164" t="s">
        <v>1568</v>
      </c>
      <c r="D3164" t="s">
        <v>1554</v>
      </c>
    </row>
    <row r="3165" spans="1:4" x14ac:dyDescent="0.2">
      <c r="A3165" t="s">
        <v>1379</v>
      </c>
      <c r="B3165" t="s">
        <v>15</v>
      </c>
      <c r="C3165" t="s">
        <v>1569</v>
      </c>
      <c r="D3165" t="s">
        <v>1554</v>
      </c>
    </row>
    <row r="3166" spans="1:4" x14ac:dyDescent="0.2">
      <c r="A3166" t="s">
        <v>1379</v>
      </c>
      <c r="B3166" t="s">
        <v>17</v>
      </c>
      <c r="C3166" t="s">
        <v>1560</v>
      </c>
      <c r="D3166" t="s">
        <v>1554</v>
      </c>
    </row>
    <row r="3167" spans="1:4" x14ac:dyDescent="0.2">
      <c r="A3167" t="s">
        <v>1379</v>
      </c>
      <c r="B3167" t="s">
        <v>19</v>
      </c>
      <c r="C3167" t="s">
        <v>1570</v>
      </c>
      <c r="D3167" t="s">
        <v>1554</v>
      </c>
    </row>
    <row r="3168" spans="1:4" x14ac:dyDescent="0.2">
      <c r="A3168" t="s">
        <v>1379</v>
      </c>
      <c r="B3168" t="s">
        <v>23</v>
      </c>
      <c r="C3168" t="s">
        <v>1556</v>
      </c>
      <c r="D3168" t="s">
        <v>1554</v>
      </c>
    </row>
    <row r="3169" spans="1:4" x14ac:dyDescent="0.2">
      <c r="A3169" t="s">
        <v>1379</v>
      </c>
      <c r="B3169" t="s">
        <v>25</v>
      </c>
      <c r="C3169" t="s">
        <v>1557</v>
      </c>
      <c r="D3169" t="s">
        <v>1554</v>
      </c>
    </row>
    <row r="3170" spans="1:4" x14ac:dyDescent="0.2">
      <c r="A3170" t="s">
        <v>1379</v>
      </c>
      <c r="B3170" t="s">
        <v>21</v>
      </c>
      <c r="C3170" t="s">
        <v>1571</v>
      </c>
      <c r="D3170" t="s">
        <v>1559</v>
      </c>
    </row>
    <row r="3171" spans="1:4" x14ac:dyDescent="0.2">
      <c r="A3171" t="s">
        <v>1379</v>
      </c>
      <c r="B3171" t="s">
        <v>22</v>
      </c>
      <c r="C3171" t="s">
        <v>1572</v>
      </c>
      <c r="D3171" t="s">
        <v>1559</v>
      </c>
    </row>
    <row r="3172" spans="1:4" x14ac:dyDescent="0.2">
      <c r="A3172" t="s">
        <v>1379</v>
      </c>
      <c r="B3172" t="s">
        <v>24</v>
      </c>
      <c r="C3172" t="s">
        <v>1558</v>
      </c>
      <c r="D3172" t="s">
        <v>1559</v>
      </c>
    </row>
    <row r="3173" spans="1:4" x14ac:dyDescent="0.2">
      <c r="A3173" t="s">
        <v>1382</v>
      </c>
      <c r="B3173" t="s">
        <v>3</v>
      </c>
      <c r="C3173" t="s">
        <v>1562</v>
      </c>
      <c r="D3173" t="s">
        <v>1554</v>
      </c>
    </row>
    <row r="3174" spans="1:4" x14ac:dyDescent="0.2">
      <c r="A3174" t="s">
        <v>1382</v>
      </c>
      <c r="B3174" t="s">
        <v>5</v>
      </c>
      <c r="C3174" t="s">
        <v>1563</v>
      </c>
      <c r="D3174" t="s">
        <v>1554</v>
      </c>
    </row>
    <row r="3175" spans="1:4" x14ac:dyDescent="0.2">
      <c r="A3175" t="s">
        <v>1382</v>
      </c>
      <c r="B3175" t="s">
        <v>6</v>
      </c>
      <c r="C3175" t="s">
        <v>1564</v>
      </c>
      <c r="D3175" t="s">
        <v>1554</v>
      </c>
    </row>
    <row r="3176" spans="1:4" x14ac:dyDescent="0.2">
      <c r="A3176" t="s">
        <v>1382</v>
      </c>
      <c r="B3176" t="s">
        <v>7</v>
      </c>
      <c r="C3176" t="s">
        <v>1565</v>
      </c>
      <c r="D3176" t="s">
        <v>1554</v>
      </c>
    </row>
    <row r="3177" spans="1:4" x14ac:dyDescent="0.2">
      <c r="A3177" t="s">
        <v>1382</v>
      </c>
      <c r="B3177" t="s">
        <v>8</v>
      </c>
      <c r="C3177" t="s">
        <v>1561</v>
      </c>
      <c r="D3177" t="s">
        <v>1554</v>
      </c>
    </row>
    <row r="3178" spans="1:4" x14ac:dyDescent="0.2">
      <c r="A3178" t="s">
        <v>1382</v>
      </c>
      <c r="B3178" t="s">
        <v>9</v>
      </c>
      <c r="C3178" t="s">
        <v>1553</v>
      </c>
      <c r="D3178" t="s">
        <v>1554</v>
      </c>
    </row>
    <row r="3179" spans="1:4" x14ac:dyDescent="0.2">
      <c r="A3179" t="s">
        <v>1382</v>
      </c>
      <c r="B3179" t="s">
        <v>10</v>
      </c>
      <c r="C3179" t="s">
        <v>1555</v>
      </c>
      <c r="D3179" t="s">
        <v>1554</v>
      </c>
    </row>
    <row r="3180" spans="1:4" x14ac:dyDescent="0.2">
      <c r="A3180" t="s">
        <v>1382</v>
      </c>
      <c r="B3180" t="s">
        <v>11</v>
      </c>
      <c r="C3180" t="s">
        <v>1566</v>
      </c>
      <c r="D3180" t="s">
        <v>1554</v>
      </c>
    </row>
    <row r="3181" spans="1:4" x14ac:dyDescent="0.2">
      <c r="A3181" t="s">
        <v>1382</v>
      </c>
      <c r="B3181" t="s">
        <v>13</v>
      </c>
      <c r="C3181" t="s">
        <v>1567</v>
      </c>
      <c r="D3181" t="s">
        <v>1554</v>
      </c>
    </row>
    <row r="3182" spans="1:4" x14ac:dyDescent="0.2">
      <c r="A3182" t="s">
        <v>1382</v>
      </c>
      <c r="B3182" t="s">
        <v>14</v>
      </c>
      <c r="C3182" t="s">
        <v>1568</v>
      </c>
      <c r="D3182" t="s">
        <v>1554</v>
      </c>
    </row>
    <row r="3183" spans="1:4" x14ac:dyDescent="0.2">
      <c r="A3183" t="s">
        <v>1382</v>
      </c>
      <c r="B3183" t="s">
        <v>15</v>
      </c>
      <c r="C3183" t="s">
        <v>1569</v>
      </c>
      <c r="D3183" t="s">
        <v>1554</v>
      </c>
    </row>
    <row r="3184" spans="1:4" x14ac:dyDescent="0.2">
      <c r="A3184" t="s">
        <v>1382</v>
      </c>
      <c r="B3184" t="s">
        <v>17</v>
      </c>
      <c r="C3184" t="s">
        <v>1560</v>
      </c>
      <c r="D3184" t="s">
        <v>1554</v>
      </c>
    </row>
    <row r="3185" spans="1:4" x14ac:dyDescent="0.2">
      <c r="A3185" t="s">
        <v>1382</v>
      </c>
      <c r="B3185" t="s">
        <v>19</v>
      </c>
      <c r="C3185" t="s">
        <v>1570</v>
      </c>
      <c r="D3185" t="s">
        <v>1554</v>
      </c>
    </row>
    <row r="3186" spans="1:4" x14ac:dyDescent="0.2">
      <c r="A3186" t="s">
        <v>1382</v>
      </c>
      <c r="B3186" t="s">
        <v>23</v>
      </c>
      <c r="C3186" t="s">
        <v>1556</v>
      </c>
      <c r="D3186" t="s">
        <v>1554</v>
      </c>
    </row>
    <row r="3187" spans="1:4" x14ac:dyDescent="0.2">
      <c r="A3187" t="s">
        <v>1382</v>
      </c>
      <c r="B3187" t="s">
        <v>25</v>
      </c>
      <c r="C3187" t="s">
        <v>1557</v>
      </c>
      <c r="D3187" t="s">
        <v>1554</v>
      </c>
    </row>
    <row r="3188" spans="1:4" x14ac:dyDescent="0.2">
      <c r="A3188" t="s">
        <v>1382</v>
      </c>
      <c r="B3188" t="s">
        <v>21</v>
      </c>
      <c r="C3188" t="s">
        <v>1571</v>
      </c>
      <c r="D3188" t="s">
        <v>1559</v>
      </c>
    </row>
    <row r="3189" spans="1:4" x14ac:dyDescent="0.2">
      <c r="A3189" t="s">
        <v>1382</v>
      </c>
      <c r="B3189" t="s">
        <v>22</v>
      </c>
      <c r="C3189" t="s">
        <v>1572</v>
      </c>
      <c r="D3189" t="s">
        <v>1559</v>
      </c>
    </row>
    <row r="3190" spans="1:4" x14ac:dyDescent="0.2">
      <c r="A3190" t="s">
        <v>1382</v>
      </c>
      <c r="B3190" t="s">
        <v>24</v>
      </c>
      <c r="C3190" t="s">
        <v>1558</v>
      </c>
      <c r="D3190" t="s">
        <v>1559</v>
      </c>
    </row>
    <row r="3191" spans="1:4" x14ac:dyDescent="0.2">
      <c r="A3191" t="s">
        <v>1386</v>
      </c>
      <c r="B3191" t="s">
        <v>6</v>
      </c>
      <c r="C3191" t="s">
        <v>1564</v>
      </c>
      <c r="D3191" t="s">
        <v>1554</v>
      </c>
    </row>
    <row r="3192" spans="1:4" x14ac:dyDescent="0.2">
      <c r="A3192" t="s">
        <v>1386</v>
      </c>
      <c r="B3192" t="s">
        <v>7</v>
      </c>
      <c r="C3192" t="s">
        <v>1565</v>
      </c>
      <c r="D3192" t="s">
        <v>1554</v>
      </c>
    </row>
    <row r="3193" spans="1:4" x14ac:dyDescent="0.2">
      <c r="A3193" t="s">
        <v>1386</v>
      </c>
      <c r="B3193" t="s">
        <v>8</v>
      </c>
      <c r="C3193" t="s">
        <v>1561</v>
      </c>
      <c r="D3193" t="s">
        <v>1554</v>
      </c>
    </row>
    <row r="3194" spans="1:4" x14ac:dyDescent="0.2">
      <c r="A3194" t="s">
        <v>1386</v>
      </c>
      <c r="B3194" t="s">
        <v>9</v>
      </c>
      <c r="C3194" t="s">
        <v>1553</v>
      </c>
      <c r="D3194" t="s">
        <v>1554</v>
      </c>
    </row>
    <row r="3195" spans="1:4" x14ac:dyDescent="0.2">
      <c r="A3195" t="s">
        <v>1386</v>
      </c>
      <c r="B3195" t="s">
        <v>10</v>
      </c>
      <c r="C3195" t="s">
        <v>1555</v>
      </c>
      <c r="D3195" t="s">
        <v>1554</v>
      </c>
    </row>
    <row r="3196" spans="1:4" x14ac:dyDescent="0.2">
      <c r="A3196" t="s">
        <v>1386</v>
      </c>
      <c r="B3196" t="s">
        <v>11</v>
      </c>
      <c r="C3196" t="s">
        <v>1566</v>
      </c>
      <c r="D3196" t="s">
        <v>1554</v>
      </c>
    </row>
    <row r="3197" spans="1:4" x14ac:dyDescent="0.2">
      <c r="A3197" t="s">
        <v>1386</v>
      </c>
      <c r="B3197" t="s">
        <v>13</v>
      </c>
      <c r="C3197" t="s">
        <v>1567</v>
      </c>
      <c r="D3197" t="s">
        <v>1554</v>
      </c>
    </row>
    <row r="3198" spans="1:4" x14ac:dyDescent="0.2">
      <c r="A3198" t="s">
        <v>1386</v>
      </c>
      <c r="B3198" t="s">
        <v>14</v>
      </c>
      <c r="C3198" t="s">
        <v>1568</v>
      </c>
      <c r="D3198" t="s">
        <v>1554</v>
      </c>
    </row>
    <row r="3199" spans="1:4" x14ac:dyDescent="0.2">
      <c r="A3199" t="s">
        <v>1386</v>
      </c>
      <c r="B3199" t="s">
        <v>15</v>
      </c>
      <c r="C3199" t="s">
        <v>1569</v>
      </c>
      <c r="D3199" t="s">
        <v>1554</v>
      </c>
    </row>
    <row r="3200" spans="1:4" x14ac:dyDescent="0.2">
      <c r="A3200" t="s">
        <v>1386</v>
      </c>
      <c r="B3200" t="s">
        <v>17</v>
      </c>
      <c r="C3200" t="s">
        <v>1560</v>
      </c>
      <c r="D3200" t="s">
        <v>1554</v>
      </c>
    </row>
    <row r="3201" spans="1:4" x14ac:dyDescent="0.2">
      <c r="A3201" t="s">
        <v>1386</v>
      </c>
      <c r="B3201" t="s">
        <v>19</v>
      </c>
      <c r="C3201" t="s">
        <v>1570</v>
      </c>
      <c r="D3201" t="s">
        <v>1554</v>
      </c>
    </row>
    <row r="3202" spans="1:4" x14ac:dyDescent="0.2">
      <c r="A3202" t="s">
        <v>1386</v>
      </c>
      <c r="B3202" t="s">
        <v>23</v>
      </c>
      <c r="C3202" t="s">
        <v>1556</v>
      </c>
      <c r="D3202" t="s">
        <v>1554</v>
      </c>
    </row>
    <row r="3203" spans="1:4" x14ac:dyDescent="0.2">
      <c r="A3203" t="s">
        <v>1386</v>
      </c>
      <c r="B3203" t="s">
        <v>25</v>
      </c>
      <c r="C3203" t="s">
        <v>1557</v>
      </c>
      <c r="D3203" t="s">
        <v>1554</v>
      </c>
    </row>
    <row r="3204" spans="1:4" x14ac:dyDescent="0.2">
      <c r="A3204" t="s">
        <v>1386</v>
      </c>
      <c r="B3204" t="s">
        <v>24</v>
      </c>
      <c r="C3204" t="s">
        <v>1558</v>
      </c>
      <c r="D3204" t="s">
        <v>1559</v>
      </c>
    </row>
    <row r="3205" spans="1:4" x14ac:dyDescent="0.2">
      <c r="A3205" t="s">
        <v>1392</v>
      </c>
      <c r="B3205" t="s">
        <v>3</v>
      </c>
      <c r="C3205" t="s">
        <v>1562</v>
      </c>
      <c r="D3205" t="s">
        <v>1554</v>
      </c>
    </row>
    <row r="3206" spans="1:4" x14ac:dyDescent="0.2">
      <c r="A3206" t="s">
        <v>1392</v>
      </c>
      <c r="B3206" t="s">
        <v>5</v>
      </c>
      <c r="C3206" t="s">
        <v>1563</v>
      </c>
      <c r="D3206" t="s">
        <v>1554</v>
      </c>
    </row>
    <row r="3207" spans="1:4" x14ac:dyDescent="0.2">
      <c r="A3207" t="s">
        <v>1392</v>
      </c>
      <c r="B3207" t="s">
        <v>6</v>
      </c>
      <c r="C3207" t="s">
        <v>1564</v>
      </c>
      <c r="D3207" t="s">
        <v>1554</v>
      </c>
    </row>
    <row r="3208" spans="1:4" x14ac:dyDescent="0.2">
      <c r="A3208" t="s">
        <v>1392</v>
      </c>
      <c r="B3208" t="s">
        <v>7</v>
      </c>
      <c r="C3208" t="s">
        <v>1565</v>
      </c>
      <c r="D3208" t="s">
        <v>1554</v>
      </c>
    </row>
    <row r="3209" spans="1:4" x14ac:dyDescent="0.2">
      <c r="A3209" t="s">
        <v>1392</v>
      </c>
      <c r="B3209" t="s">
        <v>8</v>
      </c>
      <c r="C3209" t="s">
        <v>1561</v>
      </c>
      <c r="D3209" t="s">
        <v>1554</v>
      </c>
    </row>
    <row r="3210" spans="1:4" x14ac:dyDescent="0.2">
      <c r="A3210" t="s">
        <v>1392</v>
      </c>
      <c r="B3210" t="s">
        <v>9</v>
      </c>
      <c r="C3210" t="s">
        <v>1553</v>
      </c>
      <c r="D3210" t="s">
        <v>1554</v>
      </c>
    </row>
    <row r="3211" spans="1:4" x14ac:dyDescent="0.2">
      <c r="A3211" t="s">
        <v>1392</v>
      </c>
      <c r="B3211" t="s">
        <v>10</v>
      </c>
      <c r="C3211" t="s">
        <v>1555</v>
      </c>
      <c r="D3211" t="s">
        <v>1554</v>
      </c>
    </row>
    <row r="3212" spans="1:4" x14ac:dyDescent="0.2">
      <c r="A3212" t="s">
        <v>1392</v>
      </c>
      <c r="B3212" t="s">
        <v>11</v>
      </c>
      <c r="C3212" t="s">
        <v>1566</v>
      </c>
      <c r="D3212" t="s">
        <v>1554</v>
      </c>
    </row>
    <row r="3213" spans="1:4" x14ac:dyDescent="0.2">
      <c r="A3213" t="s">
        <v>1392</v>
      </c>
      <c r="B3213" t="s">
        <v>13</v>
      </c>
      <c r="C3213" t="s">
        <v>1567</v>
      </c>
      <c r="D3213" t="s">
        <v>1554</v>
      </c>
    </row>
    <row r="3214" spans="1:4" x14ac:dyDescent="0.2">
      <c r="A3214" t="s">
        <v>1392</v>
      </c>
      <c r="B3214" t="s">
        <v>14</v>
      </c>
      <c r="C3214" t="s">
        <v>1568</v>
      </c>
      <c r="D3214" t="s">
        <v>1554</v>
      </c>
    </row>
    <row r="3215" spans="1:4" x14ac:dyDescent="0.2">
      <c r="A3215" t="s">
        <v>1392</v>
      </c>
      <c r="B3215" t="s">
        <v>15</v>
      </c>
      <c r="C3215" t="s">
        <v>1569</v>
      </c>
      <c r="D3215" t="s">
        <v>1554</v>
      </c>
    </row>
    <row r="3216" spans="1:4" x14ac:dyDescent="0.2">
      <c r="A3216" t="s">
        <v>1392</v>
      </c>
      <c r="B3216" t="s">
        <v>17</v>
      </c>
      <c r="C3216" t="s">
        <v>1560</v>
      </c>
      <c r="D3216" t="s">
        <v>1554</v>
      </c>
    </row>
    <row r="3217" spans="1:4" x14ac:dyDescent="0.2">
      <c r="A3217" t="s">
        <v>1392</v>
      </c>
      <c r="B3217" t="s">
        <v>19</v>
      </c>
      <c r="C3217" t="s">
        <v>1570</v>
      </c>
      <c r="D3217" t="s">
        <v>1554</v>
      </c>
    </row>
    <row r="3218" spans="1:4" x14ac:dyDescent="0.2">
      <c r="A3218" t="s">
        <v>1392</v>
      </c>
      <c r="B3218" t="s">
        <v>23</v>
      </c>
      <c r="C3218" t="s">
        <v>1556</v>
      </c>
      <c r="D3218" t="s">
        <v>1554</v>
      </c>
    </row>
    <row r="3219" spans="1:4" x14ac:dyDescent="0.2">
      <c r="A3219" t="s">
        <v>1392</v>
      </c>
      <c r="B3219" t="s">
        <v>25</v>
      </c>
      <c r="C3219" t="s">
        <v>1557</v>
      </c>
      <c r="D3219" t="s">
        <v>1554</v>
      </c>
    </row>
    <row r="3220" spans="1:4" x14ac:dyDescent="0.2">
      <c r="A3220" t="s">
        <v>1392</v>
      </c>
      <c r="B3220" t="s">
        <v>21</v>
      </c>
      <c r="C3220" t="s">
        <v>1571</v>
      </c>
      <c r="D3220" t="s">
        <v>1559</v>
      </c>
    </row>
    <row r="3221" spans="1:4" x14ac:dyDescent="0.2">
      <c r="A3221" t="s">
        <v>1392</v>
      </c>
      <c r="B3221" t="s">
        <v>22</v>
      </c>
      <c r="C3221" t="s">
        <v>1572</v>
      </c>
      <c r="D3221" t="s">
        <v>1559</v>
      </c>
    </row>
    <row r="3222" spans="1:4" x14ac:dyDescent="0.2">
      <c r="A3222" t="s">
        <v>1392</v>
      </c>
      <c r="B3222" t="s">
        <v>24</v>
      </c>
      <c r="C3222" t="s">
        <v>1558</v>
      </c>
      <c r="D3222" t="s">
        <v>1559</v>
      </c>
    </row>
    <row r="3223" spans="1:4" x14ac:dyDescent="0.2">
      <c r="A3223" t="s">
        <v>1396</v>
      </c>
      <c r="B3223" t="s">
        <v>3</v>
      </c>
      <c r="C3223" t="s">
        <v>1562</v>
      </c>
      <c r="D3223" t="s">
        <v>1554</v>
      </c>
    </row>
    <row r="3224" spans="1:4" x14ac:dyDescent="0.2">
      <c r="A3224" t="s">
        <v>1396</v>
      </c>
      <c r="B3224" t="s">
        <v>5</v>
      </c>
      <c r="C3224" t="s">
        <v>1563</v>
      </c>
      <c r="D3224" t="s">
        <v>1554</v>
      </c>
    </row>
    <row r="3225" spans="1:4" x14ac:dyDescent="0.2">
      <c r="A3225" t="s">
        <v>1396</v>
      </c>
      <c r="B3225" t="s">
        <v>6</v>
      </c>
      <c r="C3225" t="s">
        <v>1564</v>
      </c>
      <c r="D3225" t="s">
        <v>1554</v>
      </c>
    </row>
    <row r="3226" spans="1:4" x14ac:dyDescent="0.2">
      <c r="A3226" t="s">
        <v>1396</v>
      </c>
      <c r="B3226" t="s">
        <v>7</v>
      </c>
      <c r="C3226" t="s">
        <v>1565</v>
      </c>
      <c r="D3226" t="s">
        <v>1554</v>
      </c>
    </row>
    <row r="3227" spans="1:4" x14ac:dyDescent="0.2">
      <c r="A3227" t="s">
        <v>1396</v>
      </c>
      <c r="B3227" t="s">
        <v>8</v>
      </c>
      <c r="C3227" t="s">
        <v>1561</v>
      </c>
      <c r="D3227" t="s">
        <v>1554</v>
      </c>
    </row>
    <row r="3228" spans="1:4" x14ac:dyDescent="0.2">
      <c r="A3228" t="s">
        <v>1396</v>
      </c>
      <c r="B3228" t="s">
        <v>9</v>
      </c>
      <c r="C3228" t="s">
        <v>1553</v>
      </c>
      <c r="D3228" t="s">
        <v>1554</v>
      </c>
    </row>
    <row r="3229" spans="1:4" x14ac:dyDescent="0.2">
      <c r="A3229" t="s">
        <v>1396</v>
      </c>
      <c r="B3229" t="s">
        <v>10</v>
      </c>
      <c r="C3229" t="s">
        <v>1555</v>
      </c>
      <c r="D3229" t="s">
        <v>1554</v>
      </c>
    </row>
    <row r="3230" spans="1:4" x14ac:dyDescent="0.2">
      <c r="A3230" t="s">
        <v>1396</v>
      </c>
      <c r="B3230" t="s">
        <v>11</v>
      </c>
      <c r="C3230" t="s">
        <v>1566</v>
      </c>
      <c r="D3230" t="s">
        <v>1554</v>
      </c>
    </row>
    <row r="3231" spans="1:4" x14ac:dyDescent="0.2">
      <c r="A3231" t="s">
        <v>1396</v>
      </c>
      <c r="B3231" t="s">
        <v>13</v>
      </c>
      <c r="C3231" t="s">
        <v>1567</v>
      </c>
      <c r="D3231" t="s">
        <v>1554</v>
      </c>
    </row>
    <row r="3232" spans="1:4" x14ac:dyDescent="0.2">
      <c r="A3232" t="s">
        <v>1396</v>
      </c>
      <c r="B3232" t="s">
        <v>14</v>
      </c>
      <c r="C3232" t="s">
        <v>1568</v>
      </c>
      <c r="D3232" t="s">
        <v>1554</v>
      </c>
    </row>
    <row r="3233" spans="1:4" x14ac:dyDescent="0.2">
      <c r="A3233" t="s">
        <v>1396</v>
      </c>
      <c r="B3233" t="s">
        <v>15</v>
      </c>
      <c r="C3233" t="s">
        <v>1569</v>
      </c>
      <c r="D3233" t="s">
        <v>1554</v>
      </c>
    </row>
    <row r="3234" spans="1:4" x14ac:dyDescent="0.2">
      <c r="A3234" t="s">
        <v>1396</v>
      </c>
      <c r="B3234" t="s">
        <v>17</v>
      </c>
      <c r="C3234" t="s">
        <v>1560</v>
      </c>
      <c r="D3234" t="s">
        <v>1554</v>
      </c>
    </row>
    <row r="3235" spans="1:4" x14ac:dyDescent="0.2">
      <c r="A3235" t="s">
        <v>1396</v>
      </c>
      <c r="B3235" t="s">
        <v>19</v>
      </c>
      <c r="C3235" t="s">
        <v>1570</v>
      </c>
      <c r="D3235" t="s">
        <v>1554</v>
      </c>
    </row>
    <row r="3236" spans="1:4" x14ac:dyDescent="0.2">
      <c r="A3236" t="s">
        <v>1396</v>
      </c>
      <c r="B3236" t="s">
        <v>23</v>
      </c>
      <c r="C3236" t="s">
        <v>1556</v>
      </c>
      <c r="D3236" t="s">
        <v>1554</v>
      </c>
    </row>
    <row r="3237" spans="1:4" x14ac:dyDescent="0.2">
      <c r="A3237" t="s">
        <v>1396</v>
      </c>
      <c r="B3237" t="s">
        <v>25</v>
      </c>
      <c r="C3237" t="s">
        <v>1557</v>
      </c>
      <c r="D3237" t="s">
        <v>1554</v>
      </c>
    </row>
    <row r="3238" spans="1:4" x14ac:dyDescent="0.2">
      <c r="A3238" t="s">
        <v>1396</v>
      </c>
      <c r="B3238" t="s">
        <v>21</v>
      </c>
      <c r="C3238" t="s">
        <v>1571</v>
      </c>
      <c r="D3238" t="s">
        <v>1559</v>
      </c>
    </row>
    <row r="3239" spans="1:4" x14ac:dyDescent="0.2">
      <c r="A3239" t="s">
        <v>1396</v>
      </c>
      <c r="B3239" t="s">
        <v>22</v>
      </c>
      <c r="C3239" t="s">
        <v>1572</v>
      </c>
      <c r="D3239" t="s">
        <v>1559</v>
      </c>
    </row>
    <row r="3240" spans="1:4" x14ac:dyDescent="0.2">
      <c r="A3240" t="s">
        <v>1396</v>
      </c>
      <c r="B3240" t="s">
        <v>24</v>
      </c>
      <c r="C3240" t="s">
        <v>1558</v>
      </c>
      <c r="D3240" t="s">
        <v>1559</v>
      </c>
    </row>
    <row r="3241" spans="1:4" x14ac:dyDescent="0.2">
      <c r="A3241" t="s">
        <v>1400</v>
      </c>
      <c r="B3241" t="s">
        <v>3</v>
      </c>
      <c r="C3241" t="s">
        <v>1562</v>
      </c>
      <c r="D3241" t="s">
        <v>1554</v>
      </c>
    </row>
    <row r="3242" spans="1:4" x14ac:dyDescent="0.2">
      <c r="A3242" t="s">
        <v>1400</v>
      </c>
      <c r="B3242" t="s">
        <v>5</v>
      </c>
      <c r="C3242" t="s">
        <v>1563</v>
      </c>
      <c r="D3242" t="s">
        <v>1554</v>
      </c>
    </row>
    <row r="3243" spans="1:4" x14ac:dyDescent="0.2">
      <c r="A3243" t="s">
        <v>1400</v>
      </c>
      <c r="B3243" t="s">
        <v>6</v>
      </c>
      <c r="C3243" t="s">
        <v>1564</v>
      </c>
      <c r="D3243" t="s">
        <v>1554</v>
      </c>
    </row>
    <row r="3244" spans="1:4" x14ac:dyDescent="0.2">
      <c r="A3244" t="s">
        <v>1400</v>
      </c>
      <c r="B3244" t="s">
        <v>7</v>
      </c>
      <c r="C3244" t="s">
        <v>1565</v>
      </c>
      <c r="D3244" t="s">
        <v>1554</v>
      </c>
    </row>
    <row r="3245" spans="1:4" x14ac:dyDescent="0.2">
      <c r="A3245" t="s">
        <v>1400</v>
      </c>
      <c r="B3245" t="s">
        <v>8</v>
      </c>
      <c r="C3245" t="s">
        <v>1561</v>
      </c>
      <c r="D3245" t="s">
        <v>1554</v>
      </c>
    </row>
    <row r="3246" spans="1:4" x14ac:dyDescent="0.2">
      <c r="A3246" t="s">
        <v>1400</v>
      </c>
      <c r="B3246" t="s">
        <v>9</v>
      </c>
      <c r="C3246" t="s">
        <v>1553</v>
      </c>
      <c r="D3246" t="s">
        <v>1554</v>
      </c>
    </row>
    <row r="3247" spans="1:4" x14ac:dyDescent="0.2">
      <c r="A3247" t="s">
        <v>1400</v>
      </c>
      <c r="B3247" t="s">
        <v>10</v>
      </c>
      <c r="C3247" t="s">
        <v>1555</v>
      </c>
      <c r="D3247" t="s">
        <v>1554</v>
      </c>
    </row>
    <row r="3248" spans="1:4" x14ac:dyDescent="0.2">
      <c r="A3248" t="s">
        <v>1400</v>
      </c>
      <c r="B3248" t="s">
        <v>11</v>
      </c>
      <c r="C3248" t="s">
        <v>1566</v>
      </c>
      <c r="D3248" t="s">
        <v>1554</v>
      </c>
    </row>
    <row r="3249" spans="1:4" x14ac:dyDescent="0.2">
      <c r="A3249" t="s">
        <v>1400</v>
      </c>
      <c r="B3249" t="s">
        <v>13</v>
      </c>
      <c r="C3249" t="s">
        <v>1567</v>
      </c>
      <c r="D3249" t="s">
        <v>1554</v>
      </c>
    </row>
    <row r="3250" spans="1:4" x14ac:dyDescent="0.2">
      <c r="A3250" t="s">
        <v>1400</v>
      </c>
      <c r="B3250" t="s">
        <v>14</v>
      </c>
      <c r="C3250" t="s">
        <v>1568</v>
      </c>
      <c r="D3250" t="s">
        <v>1554</v>
      </c>
    </row>
    <row r="3251" spans="1:4" x14ac:dyDescent="0.2">
      <c r="A3251" t="s">
        <v>1400</v>
      </c>
      <c r="B3251" t="s">
        <v>15</v>
      </c>
      <c r="C3251" t="s">
        <v>1569</v>
      </c>
      <c r="D3251" t="s">
        <v>1554</v>
      </c>
    </row>
    <row r="3252" spans="1:4" x14ac:dyDescent="0.2">
      <c r="A3252" t="s">
        <v>1400</v>
      </c>
      <c r="B3252" t="s">
        <v>17</v>
      </c>
      <c r="C3252" t="s">
        <v>1560</v>
      </c>
      <c r="D3252" t="s">
        <v>1554</v>
      </c>
    </row>
    <row r="3253" spans="1:4" x14ac:dyDescent="0.2">
      <c r="A3253" t="s">
        <v>1400</v>
      </c>
      <c r="B3253" t="s">
        <v>19</v>
      </c>
      <c r="C3253" t="s">
        <v>1570</v>
      </c>
      <c r="D3253" t="s">
        <v>1554</v>
      </c>
    </row>
    <row r="3254" spans="1:4" x14ac:dyDescent="0.2">
      <c r="A3254" t="s">
        <v>1400</v>
      </c>
      <c r="B3254" t="s">
        <v>23</v>
      </c>
      <c r="C3254" t="s">
        <v>1556</v>
      </c>
      <c r="D3254" t="s">
        <v>1554</v>
      </c>
    </row>
    <row r="3255" spans="1:4" x14ac:dyDescent="0.2">
      <c r="A3255" t="s">
        <v>1400</v>
      </c>
      <c r="B3255" t="s">
        <v>25</v>
      </c>
      <c r="C3255" t="s">
        <v>1557</v>
      </c>
      <c r="D3255" t="s">
        <v>1554</v>
      </c>
    </row>
    <row r="3256" spans="1:4" x14ac:dyDescent="0.2">
      <c r="A3256" t="s">
        <v>1400</v>
      </c>
      <c r="B3256" t="s">
        <v>21</v>
      </c>
      <c r="C3256" t="s">
        <v>1571</v>
      </c>
      <c r="D3256" t="s">
        <v>1559</v>
      </c>
    </row>
    <row r="3257" spans="1:4" x14ac:dyDescent="0.2">
      <c r="A3257" t="s">
        <v>1400</v>
      </c>
      <c r="B3257" t="s">
        <v>22</v>
      </c>
      <c r="C3257" t="s">
        <v>1572</v>
      </c>
      <c r="D3257" t="s">
        <v>1559</v>
      </c>
    </row>
    <row r="3258" spans="1:4" x14ac:dyDescent="0.2">
      <c r="A3258" t="s">
        <v>1400</v>
      </c>
      <c r="B3258" t="s">
        <v>24</v>
      </c>
      <c r="C3258" t="s">
        <v>1558</v>
      </c>
      <c r="D3258" t="s">
        <v>1559</v>
      </c>
    </row>
    <row r="3259" spans="1:4" x14ac:dyDescent="0.2">
      <c r="A3259" t="s">
        <v>1405</v>
      </c>
      <c r="B3259" t="s">
        <v>3</v>
      </c>
      <c r="C3259" t="s">
        <v>1562</v>
      </c>
      <c r="D3259" t="s">
        <v>1554</v>
      </c>
    </row>
    <row r="3260" spans="1:4" x14ac:dyDescent="0.2">
      <c r="A3260" t="s">
        <v>1405</v>
      </c>
      <c r="B3260" t="s">
        <v>5</v>
      </c>
      <c r="C3260" t="s">
        <v>1563</v>
      </c>
      <c r="D3260" t="s">
        <v>1554</v>
      </c>
    </row>
    <row r="3261" spans="1:4" x14ac:dyDescent="0.2">
      <c r="A3261" t="s">
        <v>1405</v>
      </c>
      <c r="B3261" t="s">
        <v>6</v>
      </c>
      <c r="C3261" t="s">
        <v>1564</v>
      </c>
      <c r="D3261" t="s">
        <v>1554</v>
      </c>
    </row>
    <row r="3262" spans="1:4" x14ac:dyDescent="0.2">
      <c r="A3262" t="s">
        <v>1405</v>
      </c>
      <c r="B3262" t="s">
        <v>7</v>
      </c>
      <c r="C3262" t="s">
        <v>1565</v>
      </c>
      <c r="D3262" t="s">
        <v>1554</v>
      </c>
    </row>
    <row r="3263" spans="1:4" x14ac:dyDescent="0.2">
      <c r="A3263" t="s">
        <v>1405</v>
      </c>
      <c r="B3263" t="s">
        <v>8</v>
      </c>
      <c r="C3263" t="s">
        <v>1561</v>
      </c>
      <c r="D3263" t="s">
        <v>1554</v>
      </c>
    </row>
    <row r="3264" spans="1:4" x14ac:dyDescent="0.2">
      <c r="A3264" t="s">
        <v>1405</v>
      </c>
      <c r="B3264" t="s">
        <v>9</v>
      </c>
      <c r="C3264" t="s">
        <v>1553</v>
      </c>
      <c r="D3264" t="s">
        <v>1554</v>
      </c>
    </row>
    <row r="3265" spans="1:4" x14ac:dyDescent="0.2">
      <c r="A3265" t="s">
        <v>1405</v>
      </c>
      <c r="B3265" t="s">
        <v>10</v>
      </c>
      <c r="C3265" t="s">
        <v>1555</v>
      </c>
      <c r="D3265" t="s">
        <v>1554</v>
      </c>
    </row>
    <row r="3266" spans="1:4" x14ac:dyDescent="0.2">
      <c r="A3266" t="s">
        <v>1405</v>
      </c>
      <c r="B3266" t="s">
        <v>11</v>
      </c>
      <c r="C3266" t="s">
        <v>1566</v>
      </c>
      <c r="D3266" t="s">
        <v>1554</v>
      </c>
    </row>
    <row r="3267" spans="1:4" x14ac:dyDescent="0.2">
      <c r="A3267" t="s">
        <v>1405</v>
      </c>
      <c r="B3267" t="s">
        <v>13</v>
      </c>
      <c r="C3267" t="s">
        <v>1567</v>
      </c>
      <c r="D3267" t="s">
        <v>1554</v>
      </c>
    </row>
    <row r="3268" spans="1:4" x14ac:dyDescent="0.2">
      <c r="A3268" t="s">
        <v>1405</v>
      </c>
      <c r="B3268" t="s">
        <v>14</v>
      </c>
      <c r="C3268" t="s">
        <v>1568</v>
      </c>
      <c r="D3268" t="s">
        <v>1554</v>
      </c>
    </row>
    <row r="3269" spans="1:4" x14ac:dyDescent="0.2">
      <c r="A3269" t="s">
        <v>1405</v>
      </c>
      <c r="B3269" t="s">
        <v>15</v>
      </c>
      <c r="C3269" t="s">
        <v>1569</v>
      </c>
      <c r="D3269" t="s">
        <v>1554</v>
      </c>
    </row>
    <row r="3270" spans="1:4" x14ac:dyDescent="0.2">
      <c r="A3270" t="s">
        <v>1405</v>
      </c>
      <c r="B3270" t="s">
        <v>17</v>
      </c>
      <c r="C3270" t="s">
        <v>1560</v>
      </c>
      <c r="D3270" t="s">
        <v>1554</v>
      </c>
    </row>
    <row r="3271" spans="1:4" x14ac:dyDescent="0.2">
      <c r="A3271" t="s">
        <v>1405</v>
      </c>
      <c r="B3271" t="s">
        <v>19</v>
      </c>
      <c r="C3271" t="s">
        <v>1570</v>
      </c>
      <c r="D3271" t="s">
        <v>1554</v>
      </c>
    </row>
    <row r="3272" spans="1:4" x14ac:dyDescent="0.2">
      <c r="A3272" t="s">
        <v>1405</v>
      </c>
      <c r="B3272" t="s">
        <v>23</v>
      </c>
      <c r="C3272" t="s">
        <v>1556</v>
      </c>
      <c r="D3272" t="s">
        <v>1554</v>
      </c>
    </row>
    <row r="3273" spans="1:4" x14ac:dyDescent="0.2">
      <c r="A3273" t="s">
        <v>1405</v>
      </c>
      <c r="B3273" t="s">
        <v>25</v>
      </c>
      <c r="C3273" t="s">
        <v>1557</v>
      </c>
      <c r="D3273" t="s">
        <v>1554</v>
      </c>
    </row>
    <row r="3274" spans="1:4" x14ac:dyDescent="0.2">
      <c r="A3274" t="s">
        <v>1405</v>
      </c>
      <c r="B3274" t="s">
        <v>24</v>
      </c>
      <c r="C3274" t="s">
        <v>1558</v>
      </c>
      <c r="D3274" t="s">
        <v>1559</v>
      </c>
    </row>
    <row r="3275" spans="1:4" x14ac:dyDescent="0.2">
      <c r="A3275" t="s">
        <v>1410</v>
      </c>
      <c r="B3275" t="s">
        <v>3</v>
      </c>
      <c r="C3275" t="s">
        <v>1562</v>
      </c>
      <c r="D3275" t="s">
        <v>1554</v>
      </c>
    </row>
    <row r="3276" spans="1:4" x14ac:dyDescent="0.2">
      <c r="A3276" t="s">
        <v>1410</v>
      </c>
      <c r="B3276" t="s">
        <v>5</v>
      </c>
      <c r="C3276" t="s">
        <v>1563</v>
      </c>
      <c r="D3276" t="s">
        <v>1554</v>
      </c>
    </row>
    <row r="3277" spans="1:4" x14ac:dyDescent="0.2">
      <c r="A3277" t="s">
        <v>1410</v>
      </c>
      <c r="B3277" t="s">
        <v>6</v>
      </c>
      <c r="C3277" t="s">
        <v>1564</v>
      </c>
      <c r="D3277" t="s">
        <v>1554</v>
      </c>
    </row>
    <row r="3278" spans="1:4" x14ac:dyDescent="0.2">
      <c r="A3278" t="s">
        <v>1410</v>
      </c>
      <c r="B3278" t="s">
        <v>7</v>
      </c>
      <c r="C3278" t="s">
        <v>1565</v>
      </c>
      <c r="D3278" t="s">
        <v>1554</v>
      </c>
    </row>
    <row r="3279" spans="1:4" x14ac:dyDescent="0.2">
      <c r="A3279" t="s">
        <v>1410</v>
      </c>
      <c r="B3279" t="s">
        <v>8</v>
      </c>
      <c r="C3279" t="s">
        <v>1561</v>
      </c>
      <c r="D3279" t="s">
        <v>1554</v>
      </c>
    </row>
    <row r="3280" spans="1:4" x14ac:dyDescent="0.2">
      <c r="A3280" t="s">
        <v>1410</v>
      </c>
      <c r="B3280" t="s">
        <v>9</v>
      </c>
      <c r="C3280" t="s">
        <v>1553</v>
      </c>
      <c r="D3280" t="s">
        <v>1554</v>
      </c>
    </row>
    <row r="3281" spans="1:4" x14ac:dyDescent="0.2">
      <c r="A3281" t="s">
        <v>1410</v>
      </c>
      <c r="B3281" t="s">
        <v>10</v>
      </c>
      <c r="C3281" t="s">
        <v>1555</v>
      </c>
      <c r="D3281" t="s">
        <v>1554</v>
      </c>
    </row>
    <row r="3282" spans="1:4" x14ac:dyDescent="0.2">
      <c r="A3282" t="s">
        <v>1410</v>
      </c>
      <c r="B3282" t="s">
        <v>11</v>
      </c>
      <c r="C3282" t="s">
        <v>1566</v>
      </c>
      <c r="D3282" t="s">
        <v>1554</v>
      </c>
    </row>
    <row r="3283" spans="1:4" x14ac:dyDescent="0.2">
      <c r="A3283" t="s">
        <v>1410</v>
      </c>
      <c r="B3283" t="s">
        <v>13</v>
      </c>
      <c r="C3283" t="s">
        <v>1567</v>
      </c>
      <c r="D3283" t="s">
        <v>1554</v>
      </c>
    </row>
    <row r="3284" spans="1:4" x14ac:dyDescent="0.2">
      <c r="A3284" t="s">
        <v>1410</v>
      </c>
      <c r="B3284" t="s">
        <v>14</v>
      </c>
      <c r="C3284" t="s">
        <v>1568</v>
      </c>
      <c r="D3284" t="s">
        <v>1554</v>
      </c>
    </row>
    <row r="3285" spans="1:4" x14ac:dyDescent="0.2">
      <c r="A3285" t="s">
        <v>1410</v>
      </c>
      <c r="B3285" t="s">
        <v>15</v>
      </c>
      <c r="C3285" t="s">
        <v>1569</v>
      </c>
      <c r="D3285" t="s">
        <v>1554</v>
      </c>
    </row>
    <row r="3286" spans="1:4" x14ac:dyDescent="0.2">
      <c r="A3286" t="s">
        <v>1410</v>
      </c>
      <c r="B3286" t="s">
        <v>17</v>
      </c>
      <c r="C3286" t="s">
        <v>1560</v>
      </c>
      <c r="D3286" t="s">
        <v>1554</v>
      </c>
    </row>
    <row r="3287" spans="1:4" x14ac:dyDescent="0.2">
      <c r="A3287" t="s">
        <v>1410</v>
      </c>
      <c r="B3287" t="s">
        <v>19</v>
      </c>
      <c r="C3287" t="s">
        <v>1570</v>
      </c>
      <c r="D3287" t="s">
        <v>1554</v>
      </c>
    </row>
    <row r="3288" spans="1:4" x14ac:dyDescent="0.2">
      <c r="A3288" t="s">
        <v>1410</v>
      </c>
      <c r="B3288" t="s">
        <v>23</v>
      </c>
      <c r="C3288" t="s">
        <v>1556</v>
      </c>
      <c r="D3288" t="s">
        <v>1554</v>
      </c>
    </row>
    <row r="3289" spans="1:4" x14ac:dyDescent="0.2">
      <c r="A3289" t="s">
        <v>1410</v>
      </c>
      <c r="B3289" t="s">
        <v>25</v>
      </c>
      <c r="C3289" t="s">
        <v>1557</v>
      </c>
      <c r="D3289" t="s">
        <v>1554</v>
      </c>
    </row>
    <row r="3290" spans="1:4" x14ac:dyDescent="0.2">
      <c r="A3290" t="s">
        <v>1410</v>
      </c>
      <c r="B3290" t="s">
        <v>21</v>
      </c>
      <c r="C3290" t="s">
        <v>1571</v>
      </c>
      <c r="D3290" t="s">
        <v>1559</v>
      </c>
    </row>
    <row r="3291" spans="1:4" x14ac:dyDescent="0.2">
      <c r="A3291" t="s">
        <v>1410</v>
      </c>
      <c r="B3291" t="s">
        <v>22</v>
      </c>
      <c r="C3291" t="s">
        <v>1572</v>
      </c>
      <c r="D3291" t="s">
        <v>1559</v>
      </c>
    </row>
    <row r="3292" spans="1:4" x14ac:dyDescent="0.2">
      <c r="A3292" t="s">
        <v>1410</v>
      </c>
      <c r="B3292" t="s">
        <v>24</v>
      </c>
      <c r="C3292" t="s">
        <v>1558</v>
      </c>
      <c r="D3292" t="s">
        <v>1559</v>
      </c>
    </row>
    <row r="3293" spans="1:4" x14ac:dyDescent="0.2">
      <c r="A3293" t="s">
        <v>1415</v>
      </c>
      <c r="B3293" t="s">
        <v>3</v>
      </c>
      <c r="C3293" t="s">
        <v>1562</v>
      </c>
      <c r="D3293" t="s">
        <v>1554</v>
      </c>
    </row>
    <row r="3294" spans="1:4" x14ac:dyDescent="0.2">
      <c r="A3294" t="s">
        <v>1415</v>
      </c>
      <c r="B3294" t="s">
        <v>5</v>
      </c>
      <c r="C3294" t="s">
        <v>1563</v>
      </c>
      <c r="D3294" t="s">
        <v>1554</v>
      </c>
    </row>
    <row r="3295" spans="1:4" x14ac:dyDescent="0.2">
      <c r="A3295" t="s">
        <v>1415</v>
      </c>
      <c r="B3295" t="s">
        <v>6</v>
      </c>
      <c r="C3295" t="s">
        <v>1564</v>
      </c>
      <c r="D3295" t="s">
        <v>1554</v>
      </c>
    </row>
    <row r="3296" spans="1:4" x14ac:dyDescent="0.2">
      <c r="A3296" t="s">
        <v>1415</v>
      </c>
      <c r="B3296" t="s">
        <v>7</v>
      </c>
      <c r="C3296" t="s">
        <v>1565</v>
      </c>
      <c r="D3296" t="s">
        <v>1554</v>
      </c>
    </row>
    <row r="3297" spans="1:4" x14ac:dyDescent="0.2">
      <c r="A3297" t="s">
        <v>1415</v>
      </c>
      <c r="B3297" t="s">
        <v>8</v>
      </c>
      <c r="C3297" t="s">
        <v>1561</v>
      </c>
      <c r="D3297" t="s">
        <v>1554</v>
      </c>
    </row>
    <row r="3298" spans="1:4" x14ac:dyDescent="0.2">
      <c r="A3298" t="s">
        <v>1415</v>
      </c>
      <c r="B3298" t="s">
        <v>9</v>
      </c>
      <c r="C3298" t="s">
        <v>1553</v>
      </c>
      <c r="D3298" t="s">
        <v>1554</v>
      </c>
    </row>
    <row r="3299" spans="1:4" x14ac:dyDescent="0.2">
      <c r="A3299" t="s">
        <v>1415</v>
      </c>
      <c r="B3299" t="s">
        <v>10</v>
      </c>
      <c r="C3299" t="s">
        <v>1555</v>
      </c>
      <c r="D3299" t="s">
        <v>1554</v>
      </c>
    </row>
    <row r="3300" spans="1:4" x14ac:dyDescent="0.2">
      <c r="A3300" t="s">
        <v>1415</v>
      </c>
      <c r="B3300" t="s">
        <v>11</v>
      </c>
      <c r="C3300" t="s">
        <v>1566</v>
      </c>
      <c r="D3300" t="s">
        <v>1554</v>
      </c>
    </row>
    <row r="3301" spans="1:4" x14ac:dyDescent="0.2">
      <c r="A3301" t="s">
        <v>1415</v>
      </c>
      <c r="B3301" t="s">
        <v>13</v>
      </c>
      <c r="C3301" t="s">
        <v>1567</v>
      </c>
      <c r="D3301" t="s">
        <v>1554</v>
      </c>
    </row>
    <row r="3302" spans="1:4" x14ac:dyDescent="0.2">
      <c r="A3302" t="s">
        <v>1415</v>
      </c>
      <c r="B3302" t="s">
        <v>14</v>
      </c>
      <c r="C3302" t="s">
        <v>1568</v>
      </c>
      <c r="D3302" t="s">
        <v>1554</v>
      </c>
    </row>
    <row r="3303" spans="1:4" x14ac:dyDescent="0.2">
      <c r="A3303" t="s">
        <v>1415</v>
      </c>
      <c r="B3303" t="s">
        <v>15</v>
      </c>
      <c r="C3303" t="s">
        <v>1569</v>
      </c>
      <c r="D3303" t="s">
        <v>1554</v>
      </c>
    </row>
    <row r="3304" spans="1:4" x14ac:dyDescent="0.2">
      <c r="A3304" t="s">
        <v>1415</v>
      </c>
      <c r="B3304" t="s">
        <v>17</v>
      </c>
      <c r="C3304" t="s">
        <v>1560</v>
      </c>
      <c r="D3304" t="s">
        <v>1554</v>
      </c>
    </row>
    <row r="3305" spans="1:4" x14ac:dyDescent="0.2">
      <c r="A3305" t="s">
        <v>1415</v>
      </c>
      <c r="B3305" t="s">
        <v>19</v>
      </c>
      <c r="C3305" t="s">
        <v>1570</v>
      </c>
      <c r="D3305" t="s">
        <v>1554</v>
      </c>
    </row>
    <row r="3306" spans="1:4" x14ac:dyDescent="0.2">
      <c r="A3306" t="s">
        <v>1415</v>
      </c>
      <c r="B3306" t="s">
        <v>23</v>
      </c>
      <c r="C3306" t="s">
        <v>1556</v>
      </c>
      <c r="D3306" t="s">
        <v>1554</v>
      </c>
    </row>
    <row r="3307" spans="1:4" x14ac:dyDescent="0.2">
      <c r="A3307" t="s">
        <v>1415</v>
      </c>
      <c r="B3307" t="s">
        <v>25</v>
      </c>
      <c r="C3307" t="s">
        <v>1557</v>
      </c>
      <c r="D3307" t="s">
        <v>1554</v>
      </c>
    </row>
    <row r="3308" spans="1:4" x14ac:dyDescent="0.2">
      <c r="A3308" t="s">
        <v>1415</v>
      </c>
      <c r="B3308" t="s">
        <v>21</v>
      </c>
      <c r="C3308" t="s">
        <v>1571</v>
      </c>
      <c r="D3308" t="s">
        <v>1559</v>
      </c>
    </row>
    <row r="3309" spans="1:4" x14ac:dyDescent="0.2">
      <c r="A3309" t="s">
        <v>1415</v>
      </c>
      <c r="B3309" t="s">
        <v>22</v>
      </c>
      <c r="C3309" t="s">
        <v>1572</v>
      </c>
      <c r="D3309" t="s">
        <v>1559</v>
      </c>
    </row>
    <row r="3310" spans="1:4" x14ac:dyDescent="0.2">
      <c r="A3310" t="s">
        <v>1415</v>
      </c>
      <c r="B3310" t="s">
        <v>24</v>
      </c>
      <c r="C3310" t="s">
        <v>1558</v>
      </c>
      <c r="D3310" t="s">
        <v>1559</v>
      </c>
    </row>
    <row r="3311" spans="1:4" x14ac:dyDescent="0.2">
      <c r="A3311" t="s">
        <v>1420</v>
      </c>
      <c r="B3311" t="s">
        <v>3</v>
      </c>
      <c r="C3311" t="s">
        <v>1562</v>
      </c>
      <c r="D3311" t="s">
        <v>1554</v>
      </c>
    </row>
    <row r="3312" spans="1:4" x14ac:dyDescent="0.2">
      <c r="A3312" t="s">
        <v>1420</v>
      </c>
      <c r="B3312" t="s">
        <v>5</v>
      </c>
      <c r="C3312" t="s">
        <v>1563</v>
      </c>
      <c r="D3312" t="s">
        <v>1554</v>
      </c>
    </row>
    <row r="3313" spans="1:4" x14ac:dyDescent="0.2">
      <c r="A3313" t="s">
        <v>1420</v>
      </c>
      <c r="B3313" t="s">
        <v>6</v>
      </c>
      <c r="C3313" t="s">
        <v>1564</v>
      </c>
      <c r="D3313" t="s">
        <v>1554</v>
      </c>
    </row>
    <row r="3314" spans="1:4" x14ac:dyDescent="0.2">
      <c r="A3314" t="s">
        <v>1420</v>
      </c>
      <c r="B3314" t="s">
        <v>7</v>
      </c>
      <c r="C3314" t="s">
        <v>1565</v>
      </c>
      <c r="D3314" t="s">
        <v>1554</v>
      </c>
    </row>
    <row r="3315" spans="1:4" x14ac:dyDescent="0.2">
      <c r="A3315" t="s">
        <v>1420</v>
      </c>
      <c r="B3315" t="s">
        <v>8</v>
      </c>
      <c r="C3315" t="s">
        <v>1561</v>
      </c>
      <c r="D3315" t="s">
        <v>1554</v>
      </c>
    </row>
    <row r="3316" spans="1:4" x14ac:dyDescent="0.2">
      <c r="A3316" t="s">
        <v>1420</v>
      </c>
      <c r="B3316" t="s">
        <v>9</v>
      </c>
      <c r="C3316" t="s">
        <v>1553</v>
      </c>
      <c r="D3316" t="s">
        <v>1554</v>
      </c>
    </row>
    <row r="3317" spans="1:4" x14ac:dyDescent="0.2">
      <c r="A3317" t="s">
        <v>1420</v>
      </c>
      <c r="B3317" t="s">
        <v>10</v>
      </c>
      <c r="C3317" t="s">
        <v>1555</v>
      </c>
      <c r="D3317" t="s">
        <v>1554</v>
      </c>
    </row>
    <row r="3318" spans="1:4" x14ac:dyDescent="0.2">
      <c r="A3318" t="s">
        <v>1420</v>
      </c>
      <c r="B3318" t="s">
        <v>11</v>
      </c>
      <c r="C3318" t="s">
        <v>1566</v>
      </c>
      <c r="D3318" t="s">
        <v>1554</v>
      </c>
    </row>
    <row r="3319" spans="1:4" x14ac:dyDescent="0.2">
      <c r="A3319" t="s">
        <v>1420</v>
      </c>
      <c r="B3319" t="s">
        <v>13</v>
      </c>
      <c r="C3319" t="s">
        <v>1567</v>
      </c>
      <c r="D3319" t="s">
        <v>1554</v>
      </c>
    </row>
    <row r="3320" spans="1:4" x14ac:dyDescent="0.2">
      <c r="A3320" t="s">
        <v>1420</v>
      </c>
      <c r="B3320" t="s">
        <v>14</v>
      </c>
      <c r="C3320" t="s">
        <v>1568</v>
      </c>
      <c r="D3320" t="s">
        <v>1554</v>
      </c>
    </row>
    <row r="3321" spans="1:4" x14ac:dyDescent="0.2">
      <c r="A3321" t="s">
        <v>1420</v>
      </c>
      <c r="B3321" t="s">
        <v>15</v>
      </c>
      <c r="C3321" t="s">
        <v>1569</v>
      </c>
      <c r="D3321" t="s">
        <v>1554</v>
      </c>
    </row>
    <row r="3322" spans="1:4" x14ac:dyDescent="0.2">
      <c r="A3322" t="s">
        <v>1420</v>
      </c>
      <c r="B3322" t="s">
        <v>17</v>
      </c>
      <c r="C3322" t="s">
        <v>1560</v>
      </c>
      <c r="D3322" t="s">
        <v>1554</v>
      </c>
    </row>
    <row r="3323" spans="1:4" x14ac:dyDescent="0.2">
      <c r="A3323" t="s">
        <v>1420</v>
      </c>
      <c r="B3323" t="s">
        <v>19</v>
      </c>
      <c r="C3323" t="s">
        <v>1570</v>
      </c>
      <c r="D3323" t="s">
        <v>1554</v>
      </c>
    </row>
    <row r="3324" spans="1:4" x14ac:dyDescent="0.2">
      <c r="A3324" t="s">
        <v>1420</v>
      </c>
      <c r="B3324" t="s">
        <v>23</v>
      </c>
      <c r="C3324" t="s">
        <v>1556</v>
      </c>
      <c r="D3324" t="s">
        <v>1554</v>
      </c>
    </row>
    <row r="3325" spans="1:4" x14ac:dyDescent="0.2">
      <c r="A3325" t="s">
        <v>1420</v>
      </c>
      <c r="B3325" t="s">
        <v>25</v>
      </c>
      <c r="C3325" t="s">
        <v>1557</v>
      </c>
      <c r="D3325" t="s">
        <v>1554</v>
      </c>
    </row>
    <row r="3326" spans="1:4" x14ac:dyDescent="0.2">
      <c r="A3326" t="s">
        <v>1420</v>
      </c>
      <c r="B3326" t="s">
        <v>21</v>
      </c>
      <c r="C3326" t="s">
        <v>1571</v>
      </c>
      <c r="D3326" t="s">
        <v>1559</v>
      </c>
    </row>
    <row r="3327" spans="1:4" x14ac:dyDescent="0.2">
      <c r="A3327" t="s">
        <v>1420</v>
      </c>
      <c r="B3327" t="s">
        <v>22</v>
      </c>
      <c r="C3327" t="s">
        <v>1572</v>
      </c>
      <c r="D3327" t="s">
        <v>1559</v>
      </c>
    </row>
    <row r="3328" spans="1:4" x14ac:dyDescent="0.2">
      <c r="A3328" t="s">
        <v>1420</v>
      </c>
      <c r="B3328" t="s">
        <v>24</v>
      </c>
      <c r="C3328" t="s">
        <v>1558</v>
      </c>
      <c r="D3328" t="s">
        <v>1559</v>
      </c>
    </row>
    <row r="3329" spans="1:4" x14ac:dyDescent="0.2">
      <c r="A3329" t="s">
        <v>1425</v>
      </c>
      <c r="B3329" t="s">
        <v>6</v>
      </c>
      <c r="C3329" t="s">
        <v>1564</v>
      </c>
      <c r="D3329" t="s">
        <v>1554</v>
      </c>
    </row>
    <row r="3330" spans="1:4" x14ac:dyDescent="0.2">
      <c r="A3330" t="s">
        <v>1425</v>
      </c>
      <c r="B3330" t="s">
        <v>7</v>
      </c>
      <c r="C3330" t="s">
        <v>1565</v>
      </c>
      <c r="D3330" t="s">
        <v>1554</v>
      </c>
    </row>
    <row r="3331" spans="1:4" x14ac:dyDescent="0.2">
      <c r="A3331" t="s">
        <v>1425</v>
      </c>
      <c r="B3331" t="s">
        <v>8</v>
      </c>
      <c r="C3331" t="s">
        <v>1561</v>
      </c>
      <c r="D3331" t="s">
        <v>1554</v>
      </c>
    </row>
    <row r="3332" spans="1:4" x14ac:dyDescent="0.2">
      <c r="A3332" t="s">
        <v>1425</v>
      </c>
      <c r="B3332" t="s">
        <v>9</v>
      </c>
      <c r="C3332" t="s">
        <v>1553</v>
      </c>
      <c r="D3332" t="s">
        <v>1554</v>
      </c>
    </row>
    <row r="3333" spans="1:4" x14ac:dyDescent="0.2">
      <c r="A3333" t="s">
        <v>1425</v>
      </c>
      <c r="B3333" t="s">
        <v>10</v>
      </c>
      <c r="C3333" t="s">
        <v>1555</v>
      </c>
      <c r="D3333" t="s">
        <v>1554</v>
      </c>
    </row>
    <row r="3334" spans="1:4" x14ac:dyDescent="0.2">
      <c r="A3334" t="s">
        <v>1425</v>
      </c>
      <c r="B3334" t="s">
        <v>11</v>
      </c>
      <c r="C3334" t="s">
        <v>1566</v>
      </c>
      <c r="D3334" t="s">
        <v>1554</v>
      </c>
    </row>
    <row r="3335" spans="1:4" x14ac:dyDescent="0.2">
      <c r="A3335" t="s">
        <v>1425</v>
      </c>
      <c r="B3335" t="s">
        <v>13</v>
      </c>
      <c r="C3335" t="s">
        <v>1567</v>
      </c>
      <c r="D3335" t="s">
        <v>1554</v>
      </c>
    </row>
    <row r="3336" spans="1:4" x14ac:dyDescent="0.2">
      <c r="A3336" t="s">
        <v>1425</v>
      </c>
      <c r="B3336" t="s">
        <v>14</v>
      </c>
      <c r="C3336" t="s">
        <v>1568</v>
      </c>
      <c r="D3336" t="s">
        <v>1554</v>
      </c>
    </row>
    <row r="3337" spans="1:4" x14ac:dyDescent="0.2">
      <c r="A3337" t="s">
        <v>1425</v>
      </c>
      <c r="B3337" t="s">
        <v>15</v>
      </c>
      <c r="C3337" t="s">
        <v>1569</v>
      </c>
      <c r="D3337" t="s">
        <v>1554</v>
      </c>
    </row>
    <row r="3338" spans="1:4" x14ac:dyDescent="0.2">
      <c r="A3338" t="s">
        <v>1425</v>
      </c>
      <c r="B3338" t="s">
        <v>17</v>
      </c>
      <c r="C3338" t="s">
        <v>1560</v>
      </c>
      <c r="D3338" t="s">
        <v>1554</v>
      </c>
    </row>
    <row r="3339" spans="1:4" x14ac:dyDescent="0.2">
      <c r="A3339" t="s">
        <v>1425</v>
      </c>
      <c r="B3339" t="s">
        <v>19</v>
      </c>
      <c r="C3339" t="s">
        <v>1570</v>
      </c>
      <c r="D3339" t="s">
        <v>1554</v>
      </c>
    </row>
    <row r="3340" spans="1:4" x14ac:dyDescent="0.2">
      <c r="A3340" t="s">
        <v>1425</v>
      </c>
      <c r="B3340" t="s">
        <v>23</v>
      </c>
      <c r="C3340" t="s">
        <v>1556</v>
      </c>
      <c r="D3340" t="s">
        <v>1554</v>
      </c>
    </row>
    <row r="3341" spans="1:4" x14ac:dyDescent="0.2">
      <c r="A3341" t="s">
        <v>1425</v>
      </c>
      <c r="B3341" t="s">
        <v>25</v>
      </c>
      <c r="C3341" t="s">
        <v>1557</v>
      </c>
      <c r="D3341" t="s">
        <v>1554</v>
      </c>
    </row>
    <row r="3342" spans="1:4" x14ac:dyDescent="0.2">
      <c r="A3342" t="s">
        <v>1425</v>
      </c>
      <c r="B3342" t="s">
        <v>24</v>
      </c>
      <c r="C3342" t="s">
        <v>1558</v>
      </c>
      <c r="D3342" t="s">
        <v>1559</v>
      </c>
    </row>
    <row r="3343" spans="1:4" x14ac:dyDescent="0.2">
      <c r="A3343" t="s">
        <v>1431</v>
      </c>
      <c r="B3343" t="s">
        <v>3</v>
      </c>
      <c r="C3343" t="s">
        <v>1562</v>
      </c>
      <c r="D3343" t="s">
        <v>1554</v>
      </c>
    </row>
    <row r="3344" spans="1:4" x14ac:dyDescent="0.2">
      <c r="A3344" t="s">
        <v>1431</v>
      </c>
      <c r="B3344" t="s">
        <v>5</v>
      </c>
      <c r="C3344" t="s">
        <v>1563</v>
      </c>
      <c r="D3344" t="s">
        <v>1554</v>
      </c>
    </row>
    <row r="3345" spans="1:4" x14ac:dyDescent="0.2">
      <c r="A3345" t="s">
        <v>1431</v>
      </c>
      <c r="B3345" t="s">
        <v>6</v>
      </c>
      <c r="C3345" t="s">
        <v>1564</v>
      </c>
      <c r="D3345" t="s">
        <v>1554</v>
      </c>
    </row>
    <row r="3346" spans="1:4" x14ac:dyDescent="0.2">
      <c r="A3346" t="s">
        <v>1431</v>
      </c>
      <c r="B3346" t="s">
        <v>7</v>
      </c>
      <c r="C3346" t="s">
        <v>1565</v>
      </c>
      <c r="D3346" t="s">
        <v>1554</v>
      </c>
    </row>
    <row r="3347" spans="1:4" x14ac:dyDescent="0.2">
      <c r="A3347" t="s">
        <v>1431</v>
      </c>
      <c r="B3347" t="s">
        <v>8</v>
      </c>
      <c r="C3347" t="s">
        <v>1561</v>
      </c>
      <c r="D3347" t="s">
        <v>1554</v>
      </c>
    </row>
    <row r="3348" spans="1:4" x14ac:dyDescent="0.2">
      <c r="A3348" t="s">
        <v>1431</v>
      </c>
      <c r="B3348" t="s">
        <v>9</v>
      </c>
      <c r="C3348" t="s">
        <v>1553</v>
      </c>
      <c r="D3348" t="s">
        <v>1554</v>
      </c>
    </row>
    <row r="3349" spans="1:4" x14ac:dyDescent="0.2">
      <c r="A3349" t="s">
        <v>1431</v>
      </c>
      <c r="B3349" t="s">
        <v>10</v>
      </c>
      <c r="C3349" t="s">
        <v>1555</v>
      </c>
      <c r="D3349" t="s">
        <v>1554</v>
      </c>
    </row>
    <row r="3350" spans="1:4" x14ac:dyDescent="0.2">
      <c r="A3350" t="s">
        <v>1431</v>
      </c>
      <c r="B3350" t="s">
        <v>11</v>
      </c>
      <c r="C3350" t="s">
        <v>1566</v>
      </c>
      <c r="D3350" t="s">
        <v>1554</v>
      </c>
    </row>
    <row r="3351" spans="1:4" x14ac:dyDescent="0.2">
      <c r="A3351" t="s">
        <v>1431</v>
      </c>
      <c r="B3351" t="s">
        <v>13</v>
      </c>
      <c r="C3351" t="s">
        <v>1567</v>
      </c>
      <c r="D3351" t="s">
        <v>1554</v>
      </c>
    </row>
    <row r="3352" spans="1:4" x14ac:dyDescent="0.2">
      <c r="A3352" t="s">
        <v>1431</v>
      </c>
      <c r="B3352" t="s">
        <v>14</v>
      </c>
      <c r="C3352" t="s">
        <v>1568</v>
      </c>
      <c r="D3352" t="s">
        <v>1554</v>
      </c>
    </row>
    <row r="3353" spans="1:4" x14ac:dyDescent="0.2">
      <c r="A3353" t="s">
        <v>1431</v>
      </c>
      <c r="B3353" t="s">
        <v>15</v>
      </c>
      <c r="C3353" t="s">
        <v>1569</v>
      </c>
      <c r="D3353" t="s">
        <v>1554</v>
      </c>
    </row>
    <row r="3354" spans="1:4" x14ac:dyDescent="0.2">
      <c r="A3354" t="s">
        <v>1431</v>
      </c>
      <c r="B3354" t="s">
        <v>17</v>
      </c>
      <c r="C3354" t="s">
        <v>1560</v>
      </c>
      <c r="D3354" t="s">
        <v>1554</v>
      </c>
    </row>
    <row r="3355" spans="1:4" x14ac:dyDescent="0.2">
      <c r="A3355" t="s">
        <v>1431</v>
      </c>
      <c r="B3355" t="s">
        <v>19</v>
      </c>
      <c r="C3355" t="s">
        <v>1570</v>
      </c>
      <c r="D3355" t="s">
        <v>1554</v>
      </c>
    </row>
    <row r="3356" spans="1:4" x14ac:dyDescent="0.2">
      <c r="A3356" t="s">
        <v>1431</v>
      </c>
      <c r="B3356" t="s">
        <v>23</v>
      </c>
      <c r="C3356" t="s">
        <v>1556</v>
      </c>
      <c r="D3356" t="s">
        <v>1554</v>
      </c>
    </row>
    <row r="3357" spans="1:4" x14ac:dyDescent="0.2">
      <c r="A3357" t="s">
        <v>1431</v>
      </c>
      <c r="B3357" t="s">
        <v>25</v>
      </c>
      <c r="C3357" t="s">
        <v>1557</v>
      </c>
      <c r="D3357" t="s">
        <v>1554</v>
      </c>
    </row>
    <row r="3358" spans="1:4" x14ac:dyDescent="0.2">
      <c r="A3358" t="s">
        <v>1431</v>
      </c>
      <c r="B3358" t="s">
        <v>21</v>
      </c>
      <c r="C3358" t="s">
        <v>1571</v>
      </c>
      <c r="D3358" t="s">
        <v>1559</v>
      </c>
    </row>
    <row r="3359" spans="1:4" x14ac:dyDescent="0.2">
      <c r="A3359" t="s">
        <v>1431</v>
      </c>
      <c r="B3359" t="s">
        <v>22</v>
      </c>
      <c r="C3359" t="s">
        <v>1572</v>
      </c>
      <c r="D3359" t="s">
        <v>1559</v>
      </c>
    </row>
    <row r="3360" spans="1:4" x14ac:dyDescent="0.2">
      <c r="A3360" t="s">
        <v>1431</v>
      </c>
      <c r="B3360" t="s">
        <v>24</v>
      </c>
      <c r="C3360" t="s">
        <v>1558</v>
      </c>
      <c r="D3360" t="s">
        <v>1559</v>
      </c>
    </row>
    <row r="3361" spans="1:4" x14ac:dyDescent="0.2">
      <c r="A3361" t="s">
        <v>1436</v>
      </c>
      <c r="B3361" t="s">
        <v>3</v>
      </c>
      <c r="C3361" t="s">
        <v>1562</v>
      </c>
      <c r="D3361" t="s">
        <v>1554</v>
      </c>
    </row>
    <row r="3362" spans="1:4" x14ac:dyDescent="0.2">
      <c r="A3362" t="s">
        <v>1436</v>
      </c>
      <c r="B3362" t="s">
        <v>5</v>
      </c>
      <c r="C3362" t="s">
        <v>1563</v>
      </c>
      <c r="D3362" t="s">
        <v>1554</v>
      </c>
    </row>
    <row r="3363" spans="1:4" x14ac:dyDescent="0.2">
      <c r="A3363" t="s">
        <v>1436</v>
      </c>
      <c r="B3363" t="s">
        <v>6</v>
      </c>
      <c r="C3363" t="s">
        <v>1564</v>
      </c>
      <c r="D3363" t="s">
        <v>1554</v>
      </c>
    </row>
    <row r="3364" spans="1:4" x14ac:dyDescent="0.2">
      <c r="A3364" t="s">
        <v>1436</v>
      </c>
      <c r="B3364" t="s">
        <v>7</v>
      </c>
      <c r="C3364" t="s">
        <v>1565</v>
      </c>
      <c r="D3364" t="s">
        <v>1554</v>
      </c>
    </row>
    <row r="3365" spans="1:4" x14ac:dyDescent="0.2">
      <c r="A3365" t="s">
        <v>1436</v>
      </c>
      <c r="B3365" t="s">
        <v>8</v>
      </c>
      <c r="C3365" t="s">
        <v>1561</v>
      </c>
      <c r="D3365" t="s">
        <v>1554</v>
      </c>
    </row>
    <row r="3366" spans="1:4" x14ac:dyDescent="0.2">
      <c r="A3366" t="s">
        <v>1436</v>
      </c>
      <c r="B3366" t="s">
        <v>9</v>
      </c>
      <c r="C3366" t="s">
        <v>1553</v>
      </c>
      <c r="D3366" t="s">
        <v>1554</v>
      </c>
    </row>
    <row r="3367" spans="1:4" x14ac:dyDescent="0.2">
      <c r="A3367" t="s">
        <v>1436</v>
      </c>
      <c r="B3367" t="s">
        <v>10</v>
      </c>
      <c r="C3367" t="s">
        <v>1555</v>
      </c>
      <c r="D3367" t="s">
        <v>1554</v>
      </c>
    </row>
    <row r="3368" spans="1:4" x14ac:dyDescent="0.2">
      <c r="A3368" t="s">
        <v>1436</v>
      </c>
      <c r="B3368" t="s">
        <v>11</v>
      </c>
      <c r="C3368" t="s">
        <v>1566</v>
      </c>
      <c r="D3368" t="s">
        <v>1554</v>
      </c>
    </row>
    <row r="3369" spans="1:4" x14ac:dyDescent="0.2">
      <c r="A3369" t="s">
        <v>1436</v>
      </c>
      <c r="B3369" t="s">
        <v>13</v>
      </c>
      <c r="C3369" t="s">
        <v>1567</v>
      </c>
      <c r="D3369" t="s">
        <v>1554</v>
      </c>
    </row>
    <row r="3370" spans="1:4" x14ac:dyDescent="0.2">
      <c r="A3370" t="s">
        <v>1436</v>
      </c>
      <c r="B3370" t="s">
        <v>14</v>
      </c>
      <c r="C3370" t="s">
        <v>1568</v>
      </c>
      <c r="D3370" t="s">
        <v>1554</v>
      </c>
    </row>
    <row r="3371" spans="1:4" x14ac:dyDescent="0.2">
      <c r="A3371" t="s">
        <v>1436</v>
      </c>
      <c r="B3371" t="s">
        <v>15</v>
      </c>
      <c r="C3371" t="s">
        <v>1569</v>
      </c>
      <c r="D3371" t="s">
        <v>1554</v>
      </c>
    </row>
    <row r="3372" spans="1:4" x14ac:dyDescent="0.2">
      <c r="A3372" t="s">
        <v>1436</v>
      </c>
      <c r="B3372" t="s">
        <v>17</v>
      </c>
      <c r="C3372" t="s">
        <v>1560</v>
      </c>
      <c r="D3372" t="s">
        <v>1554</v>
      </c>
    </row>
    <row r="3373" spans="1:4" x14ac:dyDescent="0.2">
      <c r="A3373" t="s">
        <v>1436</v>
      </c>
      <c r="B3373" t="s">
        <v>19</v>
      </c>
      <c r="C3373" t="s">
        <v>1570</v>
      </c>
      <c r="D3373" t="s">
        <v>1554</v>
      </c>
    </row>
    <row r="3374" spans="1:4" x14ac:dyDescent="0.2">
      <c r="A3374" t="s">
        <v>1436</v>
      </c>
      <c r="B3374" t="s">
        <v>23</v>
      </c>
      <c r="C3374" t="s">
        <v>1556</v>
      </c>
      <c r="D3374" t="s">
        <v>1554</v>
      </c>
    </row>
    <row r="3375" spans="1:4" x14ac:dyDescent="0.2">
      <c r="A3375" t="s">
        <v>1436</v>
      </c>
      <c r="B3375" t="s">
        <v>25</v>
      </c>
      <c r="C3375" t="s">
        <v>1557</v>
      </c>
      <c r="D3375" t="s">
        <v>1554</v>
      </c>
    </row>
    <row r="3376" spans="1:4" x14ac:dyDescent="0.2">
      <c r="A3376" t="s">
        <v>1436</v>
      </c>
      <c r="B3376" t="s">
        <v>21</v>
      </c>
      <c r="C3376" t="s">
        <v>1571</v>
      </c>
      <c r="D3376" t="s">
        <v>1559</v>
      </c>
    </row>
    <row r="3377" spans="1:4" x14ac:dyDescent="0.2">
      <c r="A3377" t="s">
        <v>1436</v>
      </c>
      <c r="B3377" t="s">
        <v>22</v>
      </c>
      <c r="C3377" t="s">
        <v>1572</v>
      </c>
      <c r="D3377" t="s">
        <v>1559</v>
      </c>
    </row>
    <row r="3378" spans="1:4" x14ac:dyDescent="0.2">
      <c r="A3378" t="s">
        <v>1436</v>
      </c>
      <c r="B3378" t="s">
        <v>24</v>
      </c>
      <c r="C3378" t="s">
        <v>1558</v>
      </c>
      <c r="D3378" t="s">
        <v>1559</v>
      </c>
    </row>
    <row r="3379" spans="1:4" x14ac:dyDescent="0.2">
      <c r="A3379" t="s">
        <v>1441</v>
      </c>
      <c r="B3379" t="s">
        <v>3</v>
      </c>
      <c r="C3379" t="s">
        <v>1562</v>
      </c>
      <c r="D3379" t="s">
        <v>1554</v>
      </c>
    </row>
    <row r="3380" spans="1:4" x14ac:dyDescent="0.2">
      <c r="A3380" t="s">
        <v>1441</v>
      </c>
      <c r="B3380" t="s">
        <v>5</v>
      </c>
      <c r="C3380" t="s">
        <v>1563</v>
      </c>
      <c r="D3380" t="s">
        <v>1554</v>
      </c>
    </row>
    <row r="3381" spans="1:4" x14ac:dyDescent="0.2">
      <c r="A3381" t="s">
        <v>1441</v>
      </c>
      <c r="B3381" t="s">
        <v>6</v>
      </c>
      <c r="C3381" t="s">
        <v>1564</v>
      </c>
      <c r="D3381" t="s">
        <v>1554</v>
      </c>
    </row>
    <row r="3382" spans="1:4" x14ac:dyDescent="0.2">
      <c r="A3382" t="s">
        <v>1441</v>
      </c>
      <c r="B3382" t="s">
        <v>7</v>
      </c>
      <c r="C3382" t="s">
        <v>1565</v>
      </c>
      <c r="D3382" t="s">
        <v>1554</v>
      </c>
    </row>
    <row r="3383" spans="1:4" x14ac:dyDescent="0.2">
      <c r="A3383" t="s">
        <v>1441</v>
      </c>
      <c r="B3383" t="s">
        <v>8</v>
      </c>
      <c r="C3383" t="s">
        <v>1561</v>
      </c>
      <c r="D3383" t="s">
        <v>1554</v>
      </c>
    </row>
    <row r="3384" spans="1:4" x14ac:dyDescent="0.2">
      <c r="A3384" t="s">
        <v>1441</v>
      </c>
      <c r="B3384" t="s">
        <v>9</v>
      </c>
      <c r="C3384" t="s">
        <v>1553</v>
      </c>
      <c r="D3384" t="s">
        <v>1554</v>
      </c>
    </row>
    <row r="3385" spans="1:4" x14ac:dyDescent="0.2">
      <c r="A3385" t="s">
        <v>1441</v>
      </c>
      <c r="B3385" t="s">
        <v>10</v>
      </c>
      <c r="C3385" t="s">
        <v>1555</v>
      </c>
      <c r="D3385" t="s">
        <v>1554</v>
      </c>
    </row>
    <row r="3386" spans="1:4" x14ac:dyDescent="0.2">
      <c r="A3386" t="s">
        <v>1441</v>
      </c>
      <c r="B3386" t="s">
        <v>11</v>
      </c>
      <c r="C3386" t="s">
        <v>1566</v>
      </c>
      <c r="D3386" t="s">
        <v>1554</v>
      </c>
    </row>
    <row r="3387" spans="1:4" x14ac:dyDescent="0.2">
      <c r="A3387" t="s">
        <v>1441</v>
      </c>
      <c r="B3387" t="s">
        <v>13</v>
      </c>
      <c r="C3387" t="s">
        <v>1567</v>
      </c>
      <c r="D3387" t="s">
        <v>1554</v>
      </c>
    </row>
    <row r="3388" spans="1:4" x14ac:dyDescent="0.2">
      <c r="A3388" t="s">
        <v>1441</v>
      </c>
      <c r="B3388" t="s">
        <v>14</v>
      </c>
      <c r="C3388" t="s">
        <v>1568</v>
      </c>
      <c r="D3388" t="s">
        <v>1554</v>
      </c>
    </row>
    <row r="3389" spans="1:4" x14ac:dyDescent="0.2">
      <c r="A3389" t="s">
        <v>1441</v>
      </c>
      <c r="B3389" t="s">
        <v>15</v>
      </c>
      <c r="C3389" t="s">
        <v>1569</v>
      </c>
      <c r="D3389" t="s">
        <v>1554</v>
      </c>
    </row>
    <row r="3390" spans="1:4" x14ac:dyDescent="0.2">
      <c r="A3390" t="s">
        <v>1441</v>
      </c>
      <c r="B3390" t="s">
        <v>17</v>
      </c>
      <c r="C3390" t="s">
        <v>1560</v>
      </c>
      <c r="D3390" t="s">
        <v>1554</v>
      </c>
    </row>
    <row r="3391" spans="1:4" x14ac:dyDescent="0.2">
      <c r="A3391" t="s">
        <v>1441</v>
      </c>
      <c r="B3391" t="s">
        <v>19</v>
      </c>
      <c r="C3391" t="s">
        <v>1570</v>
      </c>
      <c r="D3391" t="s">
        <v>1554</v>
      </c>
    </row>
    <row r="3392" spans="1:4" x14ac:dyDescent="0.2">
      <c r="A3392" t="s">
        <v>1441</v>
      </c>
      <c r="B3392" t="s">
        <v>23</v>
      </c>
      <c r="C3392" t="s">
        <v>1556</v>
      </c>
      <c r="D3392" t="s">
        <v>1554</v>
      </c>
    </row>
    <row r="3393" spans="1:4" x14ac:dyDescent="0.2">
      <c r="A3393" t="s">
        <v>1441</v>
      </c>
      <c r="B3393" t="s">
        <v>25</v>
      </c>
      <c r="C3393" t="s">
        <v>1557</v>
      </c>
      <c r="D3393" t="s">
        <v>1554</v>
      </c>
    </row>
    <row r="3394" spans="1:4" x14ac:dyDescent="0.2">
      <c r="A3394" t="s">
        <v>1441</v>
      </c>
      <c r="B3394" t="s">
        <v>21</v>
      </c>
      <c r="C3394" t="s">
        <v>1571</v>
      </c>
      <c r="D3394" t="s">
        <v>1559</v>
      </c>
    </row>
    <row r="3395" spans="1:4" x14ac:dyDescent="0.2">
      <c r="A3395" t="s">
        <v>1441</v>
      </c>
      <c r="B3395" t="s">
        <v>22</v>
      </c>
      <c r="C3395" t="s">
        <v>1572</v>
      </c>
      <c r="D3395" t="s">
        <v>1559</v>
      </c>
    </row>
    <row r="3396" spans="1:4" x14ac:dyDescent="0.2">
      <c r="A3396" t="s">
        <v>1441</v>
      </c>
      <c r="B3396" t="s">
        <v>24</v>
      </c>
      <c r="C3396" t="s">
        <v>1558</v>
      </c>
      <c r="D3396" t="s">
        <v>1559</v>
      </c>
    </row>
    <row r="3397" spans="1:4" x14ac:dyDescent="0.2">
      <c r="A3397" t="s">
        <v>1445</v>
      </c>
      <c r="B3397" t="s">
        <v>3</v>
      </c>
      <c r="C3397" t="s">
        <v>1562</v>
      </c>
      <c r="D3397" t="s">
        <v>1554</v>
      </c>
    </row>
    <row r="3398" spans="1:4" x14ac:dyDescent="0.2">
      <c r="A3398" t="s">
        <v>1445</v>
      </c>
      <c r="B3398" t="s">
        <v>5</v>
      </c>
      <c r="C3398" t="s">
        <v>1563</v>
      </c>
      <c r="D3398" t="s">
        <v>1554</v>
      </c>
    </row>
    <row r="3399" spans="1:4" x14ac:dyDescent="0.2">
      <c r="A3399" t="s">
        <v>1445</v>
      </c>
      <c r="B3399" t="s">
        <v>6</v>
      </c>
      <c r="C3399" t="s">
        <v>1564</v>
      </c>
      <c r="D3399" t="s">
        <v>1554</v>
      </c>
    </row>
    <row r="3400" spans="1:4" x14ac:dyDescent="0.2">
      <c r="A3400" t="s">
        <v>1445</v>
      </c>
      <c r="B3400" t="s">
        <v>7</v>
      </c>
      <c r="C3400" t="s">
        <v>1565</v>
      </c>
      <c r="D3400" t="s">
        <v>1554</v>
      </c>
    </row>
    <row r="3401" spans="1:4" x14ac:dyDescent="0.2">
      <c r="A3401" t="s">
        <v>1445</v>
      </c>
      <c r="B3401" t="s">
        <v>8</v>
      </c>
      <c r="C3401" t="s">
        <v>1561</v>
      </c>
      <c r="D3401" t="s">
        <v>1554</v>
      </c>
    </row>
    <row r="3402" spans="1:4" x14ac:dyDescent="0.2">
      <c r="A3402" t="s">
        <v>1445</v>
      </c>
      <c r="B3402" t="s">
        <v>9</v>
      </c>
      <c r="C3402" t="s">
        <v>1553</v>
      </c>
      <c r="D3402" t="s">
        <v>1554</v>
      </c>
    </row>
    <row r="3403" spans="1:4" x14ac:dyDescent="0.2">
      <c r="A3403" t="s">
        <v>1445</v>
      </c>
      <c r="B3403" t="s">
        <v>10</v>
      </c>
      <c r="C3403" t="s">
        <v>1555</v>
      </c>
      <c r="D3403" t="s">
        <v>1554</v>
      </c>
    </row>
    <row r="3404" spans="1:4" x14ac:dyDescent="0.2">
      <c r="A3404" t="s">
        <v>1445</v>
      </c>
      <c r="B3404" t="s">
        <v>11</v>
      </c>
      <c r="C3404" t="s">
        <v>1566</v>
      </c>
      <c r="D3404" t="s">
        <v>1554</v>
      </c>
    </row>
    <row r="3405" spans="1:4" x14ac:dyDescent="0.2">
      <c r="A3405" t="s">
        <v>1445</v>
      </c>
      <c r="B3405" t="s">
        <v>13</v>
      </c>
      <c r="C3405" t="s">
        <v>1567</v>
      </c>
      <c r="D3405" t="s">
        <v>1554</v>
      </c>
    </row>
    <row r="3406" spans="1:4" x14ac:dyDescent="0.2">
      <c r="A3406" t="s">
        <v>1445</v>
      </c>
      <c r="B3406" t="s">
        <v>14</v>
      </c>
      <c r="C3406" t="s">
        <v>1568</v>
      </c>
      <c r="D3406" t="s">
        <v>1554</v>
      </c>
    </row>
    <row r="3407" spans="1:4" x14ac:dyDescent="0.2">
      <c r="A3407" t="s">
        <v>1445</v>
      </c>
      <c r="B3407" t="s">
        <v>15</v>
      </c>
      <c r="C3407" t="s">
        <v>1569</v>
      </c>
      <c r="D3407" t="s">
        <v>1554</v>
      </c>
    </row>
    <row r="3408" spans="1:4" x14ac:dyDescent="0.2">
      <c r="A3408" t="s">
        <v>1445</v>
      </c>
      <c r="B3408" t="s">
        <v>17</v>
      </c>
      <c r="C3408" t="s">
        <v>1560</v>
      </c>
      <c r="D3408" t="s">
        <v>1554</v>
      </c>
    </row>
    <row r="3409" spans="1:4" x14ac:dyDescent="0.2">
      <c r="A3409" t="s">
        <v>1445</v>
      </c>
      <c r="B3409" t="s">
        <v>19</v>
      </c>
      <c r="C3409" t="s">
        <v>1570</v>
      </c>
      <c r="D3409" t="s">
        <v>1554</v>
      </c>
    </row>
    <row r="3410" spans="1:4" x14ac:dyDescent="0.2">
      <c r="A3410" t="s">
        <v>1445</v>
      </c>
      <c r="B3410" t="s">
        <v>23</v>
      </c>
      <c r="C3410" t="s">
        <v>1556</v>
      </c>
      <c r="D3410" t="s">
        <v>1554</v>
      </c>
    </row>
    <row r="3411" spans="1:4" x14ac:dyDescent="0.2">
      <c r="A3411" t="s">
        <v>1445</v>
      </c>
      <c r="B3411" t="s">
        <v>25</v>
      </c>
      <c r="C3411" t="s">
        <v>1557</v>
      </c>
      <c r="D3411" t="s">
        <v>1554</v>
      </c>
    </row>
    <row r="3412" spans="1:4" x14ac:dyDescent="0.2">
      <c r="A3412" t="s">
        <v>1445</v>
      </c>
      <c r="B3412" t="s">
        <v>21</v>
      </c>
      <c r="C3412" t="s">
        <v>1571</v>
      </c>
      <c r="D3412" t="s">
        <v>1559</v>
      </c>
    </row>
    <row r="3413" spans="1:4" x14ac:dyDescent="0.2">
      <c r="A3413" t="s">
        <v>1445</v>
      </c>
      <c r="B3413" t="s">
        <v>22</v>
      </c>
      <c r="C3413" t="s">
        <v>1572</v>
      </c>
      <c r="D3413" t="s">
        <v>1559</v>
      </c>
    </row>
    <row r="3414" spans="1:4" x14ac:dyDescent="0.2">
      <c r="A3414" t="s">
        <v>1445</v>
      </c>
      <c r="B3414" t="s">
        <v>24</v>
      </c>
      <c r="C3414" t="s">
        <v>1558</v>
      </c>
      <c r="D3414" t="s">
        <v>1559</v>
      </c>
    </row>
    <row r="3415" spans="1:4" x14ac:dyDescent="0.2">
      <c r="A3415" t="s">
        <v>1449</v>
      </c>
      <c r="B3415" t="s">
        <v>3</v>
      </c>
      <c r="C3415" t="s">
        <v>1562</v>
      </c>
      <c r="D3415" t="s">
        <v>1554</v>
      </c>
    </row>
    <row r="3416" spans="1:4" x14ac:dyDescent="0.2">
      <c r="A3416" t="s">
        <v>1449</v>
      </c>
      <c r="B3416" t="s">
        <v>5</v>
      </c>
      <c r="C3416" t="s">
        <v>1563</v>
      </c>
      <c r="D3416" t="s">
        <v>1554</v>
      </c>
    </row>
    <row r="3417" spans="1:4" x14ac:dyDescent="0.2">
      <c r="A3417" t="s">
        <v>1449</v>
      </c>
      <c r="B3417" t="s">
        <v>6</v>
      </c>
      <c r="C3417" t="s">
        <v>1564</v>
      </c>
      <c r="D3417" t="s">
        <v>1554</v>
      </c>
    </row>
    <row r="3418" spans="1:4" x14ac:dyDescent="0.2">
      <c r="A3418" t="s">
        <v>1449</v>
      </c>
      <c r="B3418" t="s">
        <v>7</v>
      </c>
      <c r="C3418" t="s">
        <v>1565</v>
      </c>
      <c r="D3418" t="s">
        <v>1554</v>
      </c>
    </row>
    <row r="3419" spans="1:4" x14ac:dyDescent="0.2">
      <c r="A3419" t="s">
        <v>1449</v>
      </c>
      <c r="B3419" t="s">
        <v>8</v>
      </c>
      <c r="C3419" t="s">
        <v>1561</v>
      </c>
      <c r="D3419" t="s">
        <v>1554</v>
      </c>
    </row>
    <row r="3420" spans="1:4" x14ac:dyDescent="0.2">
      <c r="A3420" t="s">
        <v>1449</v>
      </c>
      <c r="B3420" t="s">
        <v>9</v>
      </c>
      <c r="C3420" t="s">
        <v>1553</v>
      </c>
      <c r="D3420" t="s">
        <v>1554</v>
      </c>
    </row>
    <row r="3421" spans="1:4" x14ac:dyDescent="0.2">
      <c r="A3421" t="s">
        <v>1449</v>
      </c>
      <c r="B3421" t="s">
        <v>10</v>
      </c>
      <c r="C3421" t="s">
        <v>1555</v>
      </c>
      <c r="D3421" t="s">
        <v>1554</v>
      </c>
    </row>
    <row r="3422" spans="1:4" x14ac:dyDescent="0.2">
      <c r="A3422" t="s">
        <v>1449</v>
      </c>
      <c r="B3422" t="s">
        <v>11</v>
      </c>
      <c r="C3422" t="s">
        <v>1566</v>
      </c>
      <c r="D3422" t="s">
        <v>1554</v>
      </c>
    </row>
    <row r="3423" spans="1:4" x14ac:dyDescent="0.2">
      <c r="A3423" t="s">
        <v>1449</v>
      </c>
      <c r="B3423" t="s">
        <v>13</v>
      </c>
      <c r="C3423" t="s">
        <v>1567</v>
      </c>
      <c r="D3423" t="s">
        <v>1554</v>
      </c>
    </row>
    <row r="3424" spans="1:4" x14ac:dyDescent="0.2">
      <c r="A3424" t="s">
        <v>1449</v>
      </c>
      <c r="B3424" t="s">
        <v>14</v>
      </c>
      <c r="C3424" t="s">
        <v>1568</v>
      </c>
      <c r="D3424" t="s">
        <v>1554</v>
      </c>
    </row>
    <row r="3425" spans="1:4" x14ac:dyDescent="0.2">
      <c r="A3425" t="s">
        <v>1449</v>
      </c>
      <c r="B3425" t="s">
        <v>15</v>
      </c>
      <c r="C3425" t="s">
        <v>1569</v>
      </c>
      <c r="D3425" t="s">
        <v>1554</v>
      </c>
    </row>
    <row r="3426" spans="1:4" x14ac:dyDescent="0.2">
      <c r="A3426" t="s">
        <v>1449</v>
      </c>
      <c r="B3426" t="s">
        <v>17</v>
      </c>
      <c r="C3426" t="s">
        <v>1560</v>
      </c>
      <c r="D3426" t="s">
        <v>1554</v>
      </c>
    </row>
    <row r="3427" spans="1:4" x14ac:dyDescent="0.2">
      <c r="A3427" t="s">
        <v>1449</v>
      </c>
      <c r="B3427" t="s">
        <v>19</v>
      </c>
      <c r="C3427" t="s">
        <v>1570</v>
      </c>
      <c r="D3427" t="s">
        <v>1554</v>
      </c>
    </row>
    <row r="3428" spans="1:4" x14ac:dyDescent="0.2">
      <c r="A3428" t="s">
        <v>1449</v>
      </c>
      <c r="B3428" t="s">
        <v>23</v>
      </c>
      <c r="C3428" t="s">
        <v>1556</v>
      </c>
      <c r="D3428" t="s">
        <v>1554</v>
      </c>
    </row>
    <row r="3429" spans="1:4" x14ac:dyDescent="0.2">
      <c r="A3429" t="s">
        <v>1449</v>
      </c>
      <c r="B3429" t="s">
        <v>25</v>
      </c>
      <c r="C3429" t="s">
        <v>1557</v>
      </c>
      <c r="D3429" t="s">
        <v>1554</v>
      </c>
    </row>
    <row r="3430" spans="1:4" x14ac:dyDescent="0.2">
      <c r="A3430" t="s">
        <v>1449</v>
      </c>
      <c r="B3430" t="s">
        <v>21</v>
      </c>
      <c r="C3430" t="s">
        <v>1571</v>
      </c>
      <c r="D3430" t="s">
        <v>1559</v>
      </c>
    </row>
    <row r="3431" spans="1:4" x14ac:dyDescent="0.2">
      <c r="A3431" t="s">
        <v>1449</v>
      </c>
      <c r="B3431" t="s">
        <v>22</v>
      </c>
      <c r="C3431" t="s">
        <v>1572</v>
      </c>
      <c r="D3431" t="s">
        <v>1559</v>
      </c>
    </row>
    <row r="3432" spans="1:4" x14ac:dyDescent="0.2">
      <c r="A3432" t="s">
        <v>1449</v>
      </c>
      <c r="B3432" t="s">
        <v>24</v>
      </c>
      <c r="C3432" t="s">
        <v>1558</v>
      </c>
      <c r="D3432" t="s">
        <v>1559</v>
      </c>
    </row>
    <row r="3433" spans="1:4" x14ac:dyDescent="0.2">
      <c r="A3433" t="s">
        <v>1454</v>
      </c>
      <c r="B3433" t="s">
        <v>3</v>
      </c>
      <c r="C3433" t="s">
        <v>1562</v>
      </c>
      <c r="D3433" t="s">
        <v>1554</v>
      </c>
    </row>
    <row r="3434" spans="1:4" x14ac:dyDescent="0.2">
      <c r="A3434" t="s">
        <v>1454</v>
      </c>
      <c r="B3434" t="s">
        <v>5</v>
      </c>
      <c r="C3434" t="s">
        <v>1563</v>
      </c>
      <c r="D3434" t="s">
        <v>1554</v>
      </c>
    </row>
    <row r="3435" spans="1:4" x14ac:dyDescent="0.2">
      <c r="A3435" t="s">
        <v>1454</v>
      </c>
      <c r="B3435" t="s">
        <v>6</v>
      </c>
      <c r="C3435" t="s">
        <v>1564</v>
      </c>
      <c r="D3435" t="s">
        <v>1554</v>
      </c>
    </row>
    <row r="3436" spans="1:4" x14ac:dyDescent="0.2">
      <c r="A3436" t="s">
        <v>1454</v>
      </c>
      <c r="B3436" t="s">
        <v>7</v>
      </c>
      <c r="C3436" t="s">
        <v>1565</v>
      </c>
      <c r="D3436" t="s">
        <v>1554</v>
      </c>
    </row>
    <row r="3437" spans="1:4" x14ac:dyDescent="0.2">
      <c r="A3437" t="s">
        <v>1454</v>
      </c>
      <c r="B3437" t="s">
        <v>8</v>
      </c>
      <c r="C3437" t="s">
        <v>1561</v>
      </c>
      <c r="D3437" t="s">
        <v>1554</v>
      </c>
    </row>
    <row r="3438" spans="1:4" x14ac:dyDescent="0.2">
      <c r="A3438" t="s">
        <v>1454</v>
      </c>
      <c r="B3438" t="s">
        <v>9</v>
      </c>
      <c r="C3438" t="s">
        <v>1553</v>
      </c>
      <c r="D3438" t="s">
        <v>1554</v>
      </c>
    </row>
    <row r="3439" spans="1:4" x14ac:dyDescent="0.2">
      <c r="A3439" t="s">
        <v>1454</v>
      </c>
      <c r="B3439" t="s">
        <v>10</v>
      </c>
      <c r="C3439" t="s">
        <v>1555</v>
      </c>
      <c r="D3439" t="s">
        <v>1554</v>
      </c>
    </row>
    <row r="3440" spans="1:4" x14ac:dyDescent="0.2">
      <c r="A3440" t="s">
        <v>1454</v>
      </c>
      <c r="B3440" t="s">
        <v>11</v>
      </c>
      <c r="C3440" t="s">
        <v>1566</v>
      </c>
      <c r="D3440" t="s">
        <v>1554</v>
      </c>
    </row>
    <row r="3441" spans="1:4" x14ac:dyDescent="0.2">
      <c r="A3441" t="s">
        <v>1454</v>
      </c>
      <c r="B3441" t="s">
        <v>13</v>
      </c>
      <c r="C3441" t="s">
        <v>1567</v>
      </c>
      <c r="D3441" t="s">
        <v>1554</v>
      </c>
    </row>
    <row r="3442" spans="1:4" x14ac:dyDescent="0.2">
      <c r="A3442" t="s">
        <v>1454</v>
      </c>
      <c r="B3442" t="s">
        <v>14</v>
      </c>
      <c r="C3442" t="s">
        <v>1568</v>
      </c>
      <c r="D3442" t="s">
        <v>1554</v>
      </c>
    </row>
    <row r="3443" spans="1:4" x14ac:dyDescent="0.2">
      <c r="A3443" t="s">
        <v>1454</v>
      </c>
      <c r="B3443" t="s">
        <v>15</v>
      </c>
      <c r="C3443" t="s">
        <v>1569</v>
      </c>
      <c r="D3443" t="s">
        <v>1554</v>
      </c>
    </row>
    <row r="3444" spans="1:4" x14ac:dyDescent="0.2">
      <c r="A3444" t="s">
        <v>1454</v>
      </c>
      <c r="B3444" t="s">
        <v>17</v>
      </c>
      <c r="C3444" t="s">
        <v>1560</v>
      </c>
      <c r="D3444" t="s">
        <v>1554</v>
      </c>
    </row>
    <row r="3445" spans="1:4" x14ac:dyDescent="0.2">
      <c r="A3445" t="s">
        <v>1454</v>
      </c>
      <c r="B3445" t="s">
        <v>19</v>
      </c>
      <c r="C3445" t="s">
        <v>1570</v>
      </c>
      <c r="D3445" t="s">
        <v>1554</v>
      </c>
    </row>
    <row r="3446" spans="1:4" x14ac:dyDescent="0.2">
      <c r="A3446" t="s">
        <v>1454</v>
      </c>
      <c r="B3446" t="s">
        <v>23</v>
      </c>
      <c r="C3446" t="s">
        <v>1556</v>
      </c>
      <c r="D3446" t="s">
        <v>1554</v>
      </c>
    </row>
    <row r="3447" spans="1:4" x14ac:dyDescent="0.2">
      <c r="A3447" t="s">
        <v>1454</v>
      </c>
      <c r="B3447" t="s">
        <v>25</v>
      </c>
      <c r="C3447" t="s">
        <v>1557</v>
      </c>
      <c r="D3447" t="s">
        <v>1554</v>
      </c>
    </row>
    <row r="3448" spans="1:4" x14ac:dyDescent="0.2">
      <c r="A3448" t="s">
        <v>1454</v>
      </c>
      <c r="B3448" t="s">
        <v>21</v>
      </c>
      <c r="C3448" t="s">
        <v>1571</v>
      </c>
      <c r="D3448" t="s">
        <v>1559</v>
      </c>
    </row>
    <row r="3449" spans="1:4" x14ac:dyDescent="0.2">
      <c r="A3449" t="s">
        <v>1454</v>
      </c>
      <c r="B3449" t="s">
        <v>22</v>
      </c>
      <c r="C3449" t="s">
        <v>1572</v>
      </c>
      <c r="D3449" t="s">
        <v>1559</v>
      </c>
    </row>
    <row r="3450" spans="1:4" x14ac:dyDescent="0.2">
      <c r="A3450" t="s">
        <v>1454</v>
      </c>
      <c r="B3450" t="s">
        <v>24</v>
      </c>
      <c r="C3450" t="s">
        <v>1558</v>
      </c>
      <c r="D3450" t="s">
        <v>1559</v>
      </c>
    </row>
    <row r="3451" spans="1:4" x14ac:dyDescent="0.2">
      <c r="A3451" t="s">
        <v>1458</v>
      </c>
      <c r="B3451" t="s">
        <v>3</v>
      </c>
      <c r="C3451" t="s">
        <v>1562</v>
      </c>
      <c r="D3451" t="s">
        <v>1554</v>
      </c>
    </row>
    <row r="3452" spans="1:4" x14ac:dyDescent="0.2">
      <c r="A3452" t="s">
        <v>1458</v>
      </c>
      <c r="B3452" t="s">
        <v>5</v>
      </c>
      <c r="C3452" t="s">
        <v>1563</v>
      </c>
      <c r="D3452" t="s">
        <v>1554</v>
      </c>
    </row>
    <row r="3453" spans="1:4" x14ac:dyDescent="0.2">
      <c r="A3453" t="s">
        <v>1458</v>
      </c>
      <c r="B3453" t="s">
        <v>6</v>
      </c>
      <c r="C3453" t="s">
        <v>1564</v>
      </c>
      <c r="D3453" t="s">
        <v>1554</v>
      </c>
    </row>
    <row r="3454" spans="1:4" x14ac:dyDescent="0.2">
      <c r="A3454" t="s">
        <v>1458</v>
      </c>
      <c r="B3454" t="s">
        <v>7</v>
      </c>
      <c r="C3454" t="s">
        <v>1565</v>
      </c>
      <c r="D3454" t="s">
        <v>1554</v>
      </c>
    </row>
    <row r="3455" spans="1:4" x14ac:dyDescent="0.2">
      <c r="A3455" t="s">
        <v>1458</v>
      </c>
      <c r="B3455" t="s">
        <v>8</v>
      </c>
      <c r="C3455" t="s">
        <v>1561</v>
      </c>
      <c r="D3455" t="s">
        <v>1554</v>
      </c>
    </row>
    <row r="3456" spans="1:4" x14ac:dyDescent="0.2">
      <c r="A3456" t="s">
        <v>1458</v>
      </c>
      <c r="B3456" t="s">
        <v>9</v>
      </c>
      <c r="C3456" t="s">
        <v>1553</v>
      </c>
      <c r="D3456" t="s">
        <v>1554</v>
      </c>
    </row>
    <row r="3457" spans="1:4" x14ac:dyDescent="0.2">
      <c r="A3457" t="s">
        <v>1458</v>
      </c>
      <c r="B3457" t="s">
        <v>10</v>
      </c>
      <c r="C3457" t="s">
        <v>1555</v>
      </c>
      <c r="D3457" t="s">
        <v>1554</v>
      </c>
    </row>
    <row r="3458" spans="1:4" x14ac:dyDescent="0.2">
      <c r="A3458" t="s">
        <v>1458</v>
      </c>
      <c r="B3458" t="s">
        <v>11</v>
      </c>
      <c r="C3458" t="s">
        <v>1566</v>
      </c>
      <c r="D3458" t="s">
        <v>1554</v>
      </c>
    </row>
    <row r="3459" spans="1:4" x14ac:dyDescent="0.2">
      <c r="A3459" t="s">
        <v>1458</v>
      </c>
      <c r="B3459" t="s">
        <v>13</v>
      </c>
      <c r="C3459" t="s">
        <v>1567</v>
      </c>
      <c r="D3459" t="s">
        <v>1554</v>
      </c>
    </row>
    <row r="3460" spans="1:4" x14ac:dyDescent="0.2">
      <c r="A3460" t="s">
        <v>1458</v>
      </c>
      <c r="B3460" t="s">
        <v>14</v>
      </c>
      <c r="C3460" t="s">
        <v>1568</v>
      </c>
      <c r="D3460" t="s">
        <v>1554</v>
      </c>
    </row>
    <row r="3461" spans="1:4" x14ac:dyDescent="0.2">
      <c r="A3461" t="s">
        <v>1458</v>
      </c>
      <c r="B3461" t="s">
        <v>15</v>
      </c>
      <c r="C3461" t="s">
        <v>1569</v>
      </c>
      <c r="D3461" t="s">
        <v>1554</v>
      </c>
    </row>
    <row r="3462" spans="1:4" x14ac:dyDescent="0.2">
      <c r="A3462" t="s">
        <v>1458</v>
      </c>
      <c r="B3462" t="s">
        <v>17</v>
      </c>
      <c r="C3462" t="s">
        <v>1560</v>
      </c>
      <c r="D3462" t="s">
        <v>1554</v>
      </c>
    </row>
    <row r="3463" spans="1:4" x14ac:dyDescent="0.2">
      <c r="A3463" t="s">
        <v>1458</v>
      </c>
      <c r="B3463" t="s">
        <v>19</v>
      </c>
      <c r="C3463" t="s">
        <v>1570</v>
      </c>
      <c r="D3463" t="s">
        <v>1554</v>
      </c>
    </row>
    <row r="3464" spans="1:4" x14ac:dyDescent="0.2">
      <c r="A3464" t="s">
        <v>1458</v>
      </c>
      <c r="B3464" t="s">
        <v>23</v>
      </c>
      <c r="C3464" t="s">
        <v>1556</v>
      </c>
      <c r="D3464" t="s">
        <v>1554</v>
      </c>
    </row>
    <row r="3465" spans="1:4" x14ac:dyDescent="0.2">
      <c r="A3465" t="s">
        <v>1458</v>
      </c>
      <c r="B3465" t="s">
        <v>25</v>
      </c>
      <c r="C3465" t="s">
        <v>1557</v>
      </c>
      <c r="D3465" t="s">
        <v>1554</v>
      </c>
    </row>
    <row r="3466" spans="1:4" x14ac:dyDescent="0.2">
      <c r="A3466" t="s">
        <v>1458</v>
      </c>
      <c r="B3466" t="s">
        <v>21</v>
      </c>
      <c r="C3466" t="s">
        <v>1571</v>
      </c>
      <c r="D3466" t="s">
        <v>1559</v>
      </c>
    </row>
    <row r="3467" spans="1:4" x14ac:dyDescent="0.2">
      <c r="A3467" t="s">
        <v>1458</v>
      </c>
      <c r="B3467" t="s">
        <v>22</v>
      </c>
      <c r="C3467" t="s">
        <v>1572</v>
      </c>
      <c r="D3467" t="s">
        <v>1559</v>
      </c>
    </row>
    <row r="3468" spans="1:4" x14ac:dyDescent="0.2">
      <c r="A3468" t="s">
        <v>1458</v>
      </c>
      <c r="B3468" t="s">
        <v>24</v>
      </c>
      <c r="C3468" t="s">
        <v>1558</v>
      </c>
      <c r="D3468" t="s">
        <v>1559</v>
      </c>
    </row>
    <row r="3469" spans="1:4" x14ac:dyDescent="0.2">
      <c r="A3469" t="s">
        <v>1462</v>
      </c>
      <c r="B3469" t="s">
        <v>3</v>
      </c>
      <c r="C3469" t="s">
        <v>1562</v>
      </c>
      <c r="D3469" t="s">
        <v>1554</v>
      </c>
    </row>
    <row r="3470" spans="1:4" x14ac:dyDescent="0.2">
      <c r="A3470" t="s">
        <v>1462</v>
      </c>
      <c r="B3470" t="s">
        <v>5</v>
      </c>
      <c r="C3470" t="s">
        <v>1563</v>
      </c>
      <c r="D3470" t="s">
        <v>1554</v>
      </c>
    </row>
    <row r="3471" spans="1:4" x14ac:dyDescent="0.2">
      <c r="A3471" t="s">
        <v>1462</v>
      </c>
      <c r="B3471" t="s">
        <v>6</v>
      </c>
      <c r="C3471" t="s">
        <v>1564</v>
      </c>
      <c r="D3471" t="s">
        <v>1554</v>
      </c>
    </row>
    <row r="3472" spans="1:4" x14ac:dyDescent="0.2">
      <c r="A3472" t="s">
        <v>1462</v>
      </c>
      <c r="B3472" t="s">
        <v>7</v>
      </c>
      <c r="C3472" t="s">
        <v>1565</v>
      </c>
      <c r="D3472" t="s">
        <v>1554</v>
      </c>
    </row>
    <row r="3473" spans="1:4" x14ac:dyDescent="0.2">
      <c r="A3473" t="s">
        <v>1462</v>
      </c>
      <c r="B3473" t="s">
        <v>8</v>
      </c>
      <c r="C3473" t="s">
        <v>1561</v>
      </c>
      <c r="D3473" t="s">
        <v>1554</v>
      </c>
    </row>
    <row r="3474" spans="1:4" x14ac:dyDescent="0.2">
      <c r="A3474" t="s">
        <v>1462</v>
      </c>
      <c r="B3474" t="s">
        <v>9</v>
      </c>
      <c r="C3474" t="s">
        <v>1553</v>
      </c>
      <c r="D3474" t="s">
        <v>1554</v>
      </c>
    </row>
    <row r="3475" spans="1:4" x14ac:dyDescent="0.2">
      <c r="A3475" t="s">
        <v>1462</v>
      </c>
      <c r="B3475" t="s">
        <v>10</v>
      </c>
      <c r="C3475" t="s">
        <v>1555</v>
      </c>
      <c r="D3475" t="s">
        <v>1554</v>
      </c>
    </row>
    <row r="3476" spans="1:4" x14ac:dyDescent="0.2">
      <c r="A3476" t="s">
        <v>1462</v>
      </c>
      <c r="B3476" t="s">
        <v>11</v>
      </c>
      <c r="C3476" t="s">
        <v>1566</v>
      </c>
      <c r="D3476" t="s">
        <v>1554</v>
      </c>
    </row>
    <row r="3477" spans="1:4" x14ac:dyDescent="0.2">
      <c r="A3477" t="s">
        <v>1462</v>
      </c>
      <c r="B3477" t="s">
        <v>13</v>
      </c>
      <c r="C3477" t="s">
        <v>1567</v>
      </c>
      <c r="D3477" t="s">
        <v>1554</v>
      </c>
    </row>
    <row r="3478" spans="1:4" x14ac:dyDescent="0.2">
      <c r="A3478" t="s">
        <v>1462</v>
      </c>
      <c r="B3478" t="s">
        <v>14</v>
      </c>
      <c r="C3478" t="s">
        <v>1568</v>
      </c>
      <c r="D3478" t="s">
        <v>1554</v>
      </c>
    </row>
    <row r="3479" spans="1:4" x14ac:dyDescent="0.2">
      <c r="A3479" t="s">
        <v>1462</v>
      </c>
      <c r="B3479" t="s">
        <v>15</v>
      </c>
      <c r="C3479" t="s">
        <v>1569</v>
      </c>
      <c r="D3479" t="s">
        <v>1554</v>
      </c>
    </row>
    <row r="3480" spans="1:4" x14ac:dyDescent="0.2">
      <c r="A3480" t="s">
        <v>1462</v>
      </c>
      <c r="B3480" t="s">
        <v>17</v>
      </c>
      <c r="C3480" t="s">
        <v>1560</v>
      </c>
      <c r="D3480" t="s">
        <v>1554</v>
      </c>
    </row>
    <row r="3481" spans="1:4" x14ac:dyDescent="0.2">
      <c r="A3481" t="s">
        <v>1462</v>
      </c>
      <c r="B3481" t="s">
        <v>19</v>
      </c>
      <c r="C3481" t="s">
        <v>1570</v>
      </c>
      <c r="D3481" t="s">
        <v>1554</v>
      </c>
    </row>
    <row r="3482" spans="1:4" x14ac:dyDescent="0.2">
      <c r="A3482" t="s">
        <v>1462</v>
      </c>
      <c r="B3482" t="s">
        <v>23</v>
      </c>
      <c r="C3482" t="s">
        <v>1556</v>
      </c>
      <c r="D3482" t="s">
        <v>1554</v>
      </c>
    </row>
    <row r="3483" spans="1:4" x14ac:dyDescent="0.2">
      <c r="A3483" t="s">
        <v>1462</v>
      </c>
      <c r="B3483" t="s">
        <v>25</v>
      </c>
      <c r="C3483" t="s">
        <v>1557</v>
      </c>
      <c r="D3483" t="s">
        <v>1554</v>
      </c>
    </row>
    <row r="3484" spans="1:4" x14ac:dyDescent="0.2">
      <c r="A3484" t="s">
        <v>1462</v>
      </c>
      <c r="B3484" t="s">
        <v>21</v>
      </c>
      <c r="C3484" t="s">
        <v>1571</v>
      </c>
      <c r="D3484" t="s">
        <v>1559</v>
      </c>
    </row>
    <row r="3485" spans="1:4" x14ac:dyDescent="0.2">
      <c r="A3485" t="s">
        <v>1462</v>
      </c>
      <c r="B3485" t="s">
        <v>22</v>
      </c>
      <c r="C3485" t="s">
        <v>1572</v>
      </c>
      <c r="D3485" t="s">
        <v>1559</v>
      </c>
    </row>
    <row r="3486" spans="1:4" x14ac:dyDescent="0.2">
      <c r="A3486" t="s">
        <v>1462</v>
      </c>
      <c r="B3486" t="s">
        <v>24</v>
      </c>
      <c r="C3486" t="s">
        <v>1558</v>
      </c>
      <c r="D3486" t="s">
        <v>1559</v>
      </c>
    </row>
    <row r="3487" spans="1:4" x14ac:dyDescent="0.2">
      <c r="A3487" t="s">
        <v>1467</v>
      </c>
      <c r="B3487" t="s">
        <v>6</v>
      </c>
      <c r="C3487" t="s">
        <v>1564</v>
      </c>
      <c r="D3487" t="s">
        <v>1554</v>
      </c>
    </row>
    <row r="3488" spans="1:4" x14ac:dyDescent="0.2">
      <c r="A3488" t="s">
        <v>1467</v>
      </c>
      <c r="B3488" t="s">
        <v>7</v>
      </c>
      <c r="C3488" t="s">
        <v>1565</v>
      </c>
      <c r="D3488" t="s">
        <v>1554</v>
      </c>
    </row>
    <row r="3489" spans="1:4" x14ac:dyDescent="0.2">
      <c r="A3489" t="s">
        <v>1467</v>
      </c>
      <c r="B3489" t="s">
        <v>8</v>
      </c>
      <c r="C3489" t="s">
        <v>1561</v>
      </c>
      <c r="D3489" t="s">
        <v>1554</v>
      </c>
    </row>
    <row r="3490" spans="1:4" x14ac:dyDescent="0.2">
      <c r="A3490" t="s">
        <v>1467</v>
      </c>
      <c r="B3490" t="s">
        <v>9</v>
      </c>
      <c r="C3490" t="s">
        <v>1553</v>
      </c>
      <c r="D3490" t="s">
        <v>1554</v>
      </c>
    </row>
    <row r="3491" spans="1:4" x14ac:dyDescent="0.2">
      <c r="A3491" t="s">
        <v>1467</v>
      </c>
      <c r="B3491" t="s">
        <v>10</v>
      </c>
      <c r="C3491" t="s">
        <v>1555</v>
      </c>
      <c r="D3491" t="s">
        <v>1554</v>
      </c>
    </row>
    <row r="3492" spans="1:4" x14ac:dyDescent="0.2">
      <c r="A3492" t="s">
        <v>1467</v>
      </c>
      <c r="B3492" t="s">
        <v>11</v>
      </c>
      <c r="C3492" t="s">
        <v>1566</v>
      </c>
      <c r="D3492" t="s">
        <v>1554</v>
      </c>
    </row>
    <row r="3493" spans="1:4" x14ac:dyDescent="0.2">
      <c r="A3493" t="s">
        <v>1467</v>
      </c>
      <c r="B3493" t="s">
        <v>13</v>
      </c>
      <c r="C3493" t="s">
        <v>1567</v>
      </c>
      <c r="D3493" t="s">
        <v>1554</v>
      </c>
    </row>
    <row r="3494" spans="1:4" x14ac:dyDescent="0.2">
      <c r="A3494" t="s">
        <v>1467</v>
      </c>
      <c r="B3494" t="s">
        <v>14</v>
      </c>
      <c r="C3494" t="s">
        <v>1568</v>
      </c>
      <c r="D3494" t="s">
        <v>1554</v>
      </c>
    </row>
    <row r="3495" spans="1:4" x14ac:dyDescent="0.2">
      <c r="A3495" t="s">
        <v>1467</v>
      </c>
      <c r="B3495" t="s">
        <v>15</v>
      </c>
      <c r="C3495" t="s">
        <v>1569</v>
      </c>
      <c r="D3495" t="s">
        <v>1554</v>
      </c>
    </row>
    <row r="3496" spans="1:4" x14ac:dyDescent="0.2">
      <c r="A3496" t="s">
        <v>1467</v>
      </c>
      <c r="B3496" t="s">
        <v>17</v>
      </c>
      <c r="C3496" t="s">
        <v>1560</v>
      </c>
      <c r="D3496" t="s">
        <v>1554</v>
      </c>
    </row>
    <row r="3497" spans="1:4" x14ac:dyDescent="0.2">
      <c r="A3497" t="s">
        <v>1467</v>
      </c>
      <c r="B3497" t="s">
        <v>19</v>
      </c>
      <c r="C3497" t="s">
        <v>1570</v>
      </c>
      <c r="D3497" t="s">
        <v>1554</v>
      </c>
    </row>
    <row r="3498" spans="1:4" x14ac:dyDescent="0.2">
      <c r="A3498" t="s">
        <v>1467</v>
      </c>
      <c r="B3498" t="s">
        <v>23</v>
      </c>
      <c r="C3498" t="s">
        <v>1556</v>
      </c>
      <c r="D3498" t="s">
        <v>1554</v>
      </c>
    </row>
    <row r="3499" spans="1:4" x14ac:dyDescent="0.2">
      <c r="A3499" t="s">
        <v>1467</v>
      </c>
      <c r="B3499" t="s">
        <v>25</v>
      </c>
      <c r="C3499" t="s">
        <v>1557</v>
      </c>
      <c r="D3499" t="s">
        <v>1554</v>
      </c>
    </row>
    <row r="3500" spans="1:4" x14ac:dyDescent="0.2">
      <c r="A3500" t="s">
        <v>1467</v>
      </c>
      <c r="B3500" t="s">
        <v>21</v>
      </c>
      <c r="C3500" t="s">
        <v>1571</v>
      </c>
      <c r="D3500" t="s">
        <v>1559</v>
      </c>
    </row>
    <row r="3501" spans="1:4" x14ac:dyDescent="0.2">
      <c r="A3501" t="s">
        <v>1467</v>
      </c>
      <c r="B3501" t="s">
        <v>22</v>
      </c>
      <c r="C3501" t="s">
        <v>1572</v>
      </c>
      <c r="D3501" t="s">
        <v>1559</v>
      </c>
    </row>
    <row r="3502" spans="1:4" x14ac:dyDescent="0.2">
      <c r="A3502" t="s">
        <v>1467</v>
      </c>
      <c r="B3502" t="s">
        <v>24</v>
      </c>
      <c r="C3502" t="s">
        <v>1558</v>
      </c>
      <c r="D3502" t="s">
        <v>1559</v>
      </c>
    </row>
    <row r="3503" spans="1:4" x14ac:dyDescent="0.2">
      <c r="A3503" t="s">
        <v>1471</v>
      </c>
      <c r="B3503" t="s">
        <v>3</v>
      </c>
      <c r="C3503" t="s">
        <v>1562</v>
      </c>
      <c r="D3503" t="s">
        <v>1554</v>
      </c>
    </row>
    <row r="3504" spans="1:4" x14ac:dyDescent="0.2">
      <c r="A3504" t="s">
        <v>1471</v>
      </c>
      <c r="B3504" t="s">
        <v>5</v>
      </c>
      <c r="C3504" t="s">
        <v>1563</v>
      </c>
      <c r="D3504" t="s">
        <v>1554</v>
      </c>
    </row>
    <row r="3505" spans="1:4" x14ac:dyDescent="0.2">
      <c r="A3505" t="s">
        <v>1471</v>
      </c>
      <c r="B3505" t="s">
        <v>6</v>
      </c>
      <c r="C3505" t="s">
        <v>1564</v>
      </c>
      <c r="D3505" t="s">
        <v>1554</v>
      </c>
    </row>
    <row r="3506" spans="1:4" x14ac:dyDescent="0.2">
      <c r="A3506" t="s">
        <v>1471</v>
      </c>
      <c r="B3506" t="s">
        <v>7</v>
      </c>
      <c r="C3506" t="s">
        <v>1565</v>
      </c>
      <c r="D3506" t="s">
        <v>1554</v>
      </c>
    </row>
    <row r="3507" spans="1:4" x14ac:dyDescent="0.2">
      <c r="A3507" t="s">
        <v>1471</v>
      </c>
      <c r="B3507" t="s">
        <v>8</v>
      </c>
      <c r="C3507" t="s">
        <v>1561</v>
      </c>
      <c r="D3507" t="s">
        <v>1554</v>
      </c>
    </row>
    <row r="3508" spans="1:4" x14ac:dyDescent="0.2">
      <c r="A3508" t="s">
        <v>1471</v>
      </c>
      <c r="B3508" t="s">
        <v>9</v>
      </c>
      <c r="C3508" t="s">
        <v>1553</v>
      </c>
      <c r="D3508" t="s">
        <v>1554</v>
      </c>
    </row>
    <row r="3509" spans="1:4" x14ac:dyDescent="0.2">
      <c r="A3509" t="s">
        <v>1471</v>
      </c>
      <c r="B3509" t="s">
        <v>10</v>
      </c>
      <c r="C3509" t="s">
        <v>1555</v>
      </c>
      <c r="D3509" t="s">
        <v>1554</v>
      </c>
    </row>
    <row r="3510" spans="1:4" x14ac:dyDescent="0.2">
      <c r="A3510" t="s">
        <v>1471</v>
      </c>
      <c r="B3510" t="s">
        <v>11</v>
      </c>
      <c r="C3510" t="s">
        <v>1566</v>
      </c>
      <c r="D3510" t="s">
        <v>1554</v>
      </c>
    </row>
    <row r="3511" spans="1:4" x14ac:dyDescent="0.2">
      <c r="A3511" t="s">
        <v>1471</v>
      </c>
      <c r="B3511" t="s">
        <v>13</v>
      </c>
      <c r="C3511" t="s">
        <v>1567</v>
      </c>
      <c r="D3511" t="s">
        <v>1554</v>
      </c>
    </row>
    <row r="3512" spans="1:4" x14ac:dyDescent="0.2">
      <c r="A3512" t="s">
        <v>1471</v>
      </c>
      <c r="B3512" t="s">
        <v>14</v>
      </c>
      <c r="C3512" t="s">
        <v>1568</v>
      </c>
      <c r="D3512" t="s">
        <v>1554</v>
      </c>
    </row>
    <row r="3513" spans="1:4" x14ac:dyDescent="0.2">
      <c r="A3513" t="s">
        <v>1471</v>
      </c>
      <c r="B3513" t="s">
        <v>15</v>
      </c>
      <c r="C3513" t="s">
        <v>1569</v>
      </c>
      <c r="D3513" t="s">
        <v>1554</v>
      </c>
    </row>
    <row r="3514" spans="1:4" x14ac:dyDescent="0.2">
      <c r="A3514" t="s">
        <v>1471</v>
      </c>
      <c r="B3514" t="s">
        <v>17</v>
      </c>
      <c r="C3514" t="s">
        <v>1560</v>
      </c>
      <c r="D3514" t="s">
        <v>1554</v>
      </c>
    </row>
    <row r="3515" spans="1:4" x14ac:dyDescent="0.2">
      <c r="A3515" t="s">
        <v>1471</v>
      </c>
      <c r="B3515" t="s">
        <v>19</v>
      </c>
      <c r="C3515" t="s">
        <v>1570</v>
      </c>
      <c r="D3515" t="s">
        <v>1554</v>
      </c>
    </row>
    <row r="3516" spans="1:4" x14ac:dyDescent="0.2">
      <c r="A3516" t="s">
        <v>1471</v>
      </c>
      <c r="B3516" t="s">
        <v>23</v>
      </c>
      <c r="C3516" t="s">
        <v>1556</v>
      </c>
      <c r="D3516" t="s">
        <v>1554</v>
      </c>
    </row>
    <row r="3517" spans="1:4" x14ac:dyDescent="0.2">
      <c r="A3517" t="s">
        <v>1471</v>
      </c>
      <c r="B3517" t="s">
        <v>25</v>
      </c>
      <c r="C3517" t="s">
        <v>1557</v>
      </c>
      <c r="D3517" t="s">
        <v>1554</v>
      </c>
    </row>
    <row r="3518" spans="1:4" x14ac:dyDescent="0.2">
      <c r="A3518" t="s">
        <v>1471</v>
      </c>
      <c r="B3518" t="s">
        <v>21</v>
      </c>
      <c r="C3518" t="s">
        <v>1571</v>
      </c>
      <c r="D3518" t="s">
        <v>1559</v>
      </c>
    </row>
    <row r="3519" spans="1:4" x14ac:dyDescent="0.2">
      <c r="A3519" t="s">
        <v>1471</v>
      </c>
      <c r="B3519" t="s">
        <v>22</v>
      </c>
      <c r="C3519" t="s">
        <v>1572</v>
      </c>
      <c r="D3519" t="s">
        <v>1559</v>
      </c>
    </row>
    <row r="3520" spans="1:4" x14ac:dyDescent="0.2">
      <c r="A3520" t="s">
        <v>1471</v>
      </c>
      <c r="B3520" t="s">
        <v>24</v>
      </c>
      <c r="C3520" t="s">
        <v>1558</v>
      </c>
      <c r="D3520" t="s">
        <v>1559</v>
      </c>
    </row>
    <row r="3521" spans="1:4" x14ac:dyDescent="0.2">
      <c r="A3521" t="s">
        <v>1475</v>
      </c>
      <c r="B3521" t="s">
        <v>6</v>
      </c>
      <c r="C3521" t="s">
        <v>1564</v>
      </c>
      <c r="D3521" t="s">
        <v>1554</v>
      </c>
    </row>
    <row r="3522" spans="1:4" x14ac:dyDescent="0.2">
      <c r="A3522" t="s">
        <v>1475</v>
      </c>
      <c r="B3522" t="s">
        <v>7</v>
      </c>
      <c r="C3522" t="s">
        <v>1565</v>
      </c>
      <c r="D3522" t="s">
        <v>1554</v>
      </c>
    </row>
    <row r="3523" spans="1:4" x14ac:dyDescent="0.2">
      <c r="A3523" t="s">
        <v>1475</v>
      </c>
      <c r="B3523" t="s">
        <v>8</v>
      </c>
      <c r="C3523" t="s">
        <v>1561</v>
      </c>
      <c r="D3523" t="s">
        <v>1554</v>
      </c>
    </row>
    <row r="3524" spans="1:4" x14ac:dyDescent="0.2">
      <c r="A3524" t="s">
        <v>1475</v>
      </c>
      <c r="B3524" t="s">
        <v>9</v>
      </c>
      <c r="C3524" t="s">
        <v>1553</v>
      </c>
      <c r="D3524" t="s">
        <v>1554</v>
      </c>
    </row>
    <row r="3525" spans="1:4" x14ac:dyDescent="0.2">
      <c r="A3525" t="s">
        <v>1475</v>
      </c>
      <c r="B3525" t="s">
        <v>10</v>
      </c>
      <c r="C3525" t="s">
        <v>1555</v>
      </c>
      <c r="D3525" t="s">
        <v>1554</v>
      </c>
    </row>
    <row r="3526" spans="1:4" x14ac:dyDescent="0.2">
      <c r="A3526" t="s">
        <v>1475</v>
      </c>
      <c r="B3526" t="s">
        <v>11</v>
      </c>
      <c r="C3526" t="s">
        <v>1566</v>
      </c>
      <c r="D3526" t="s">
        <v>1554</v>
      </c>
    </row>
    <row r="3527" spans="1:4" x14ac:dyDescent="0.2">
      <c r="A3527" t="s">
        <v>1475</v>
      </c>
      <c r="B3527" t="s">
        <v>13</v>
      </c>
      <c r="C3527" t="s">
        <v>1567</v>
      </c>
      <c r="D3527" t="s">
        <v>1554</v>
      </c>
    </row>
    <row r="3528" spans="1:4" x14ac:dyDescent="0.2">
      <c r="A3528" t="s">
        <v>1475</v>
      </c>
      <c r="B3528" t="s">
        <v>14</v>
      </c>
      <c r="C3528" t="s">
        <v>1568</v>
      </c>
      <c r="D3528" t="s">
        <v>1554</v>
      </c>
    </row>
    <row r="3529" spans="1:4" x14ac:dyDescent="0.2">
      <c r="A3529" t="s">
        <v>1475</v>
      </c>
      <c r="B3529" t="s">
        <v>15</v>
      </c>
      <c r="C3529" t="s">
        <v>1569</v>
      </c>
      <c r="D3529" t="s">
        <v>1554</v>
      </c>
    </row>
    <row r="3530" spans="1:4" x14ac:dyDescent="0.2">
      <c r="A3530" t="s">
        <v>1475</v>
      </c>
      <c r="B3530" t="s">
        <v>17</v>
      </c>
      <c r="C3530" t="s">
        <v>1560</v>
      </c>
      <c r="D3530" t="s">
        <v>1554</v>
      </c>
    </row>
    <row r="3531" spans="1:4" x14ac:dyDescent="0.2">
      <c r="A3531" t="s">
        <v>1475</v>
      </c>
      <c r="B3531" t="s">
        <v>19</v>
      </c>
      <c r="C3531" t="s">
        <v>1570</v>
      </c>
      <c r="D3531" t="s">
        <v>1554</v>
      </c>
    </row>
    <row r="3532" spans="1:4" x14ac:dyDescent="0.2">
      <c r="A3532" t="s">
        <v>1475</v>
      </c>
      <c r="B3532" t="s">
        <v>23</v>
      </c>
      <c r="C3532" t="s">
        <v>1556</v>
      </c>
      <c r="D3532" t="s">
        <v>1554</v>
      </c>
    </row>
    <row r="3533" spans="1:4" x14ac:dyDescent="0.2">
      <c r="A3533" t="s">
        <v>1475</v>
      </c>
      <c r="B3533" t="s">
        <v>25</v>
      </c>
      <c r="C3533" t="s">
        <v>1557</v>
      </c>
      <c r="D3533" t="s">
        <v>1554</v>
      </c>
    </row>
    <row r="3534" spans="1:4" x14ac:dyDescent="0.2">
      <c r="A3534" t="s">
        <v>1475</v>
      </c>
      <c r="B3534" t="s">
        <v>24</v>
      </c>
      <c r="C3534" t="s">
        <v>1558</v>
      </c>
      <c r="D3534" t="s">
        <v>1559</v>
      </c>
    </row>
    <row r="3535" spans="1:4" x14ac:dyDescent="0.2">
      <c r="A3535" t="s">
        <v>1481</v>
      </c>
      <c r="B3535" t="s">
        <v>3</v>
      </c>
      <c r="C3535" t="s">
        <v>1562</v>
      </c>
      <c r="D3535" t="s">
        <v>1554</v>
      </c>
    </row>
    <row r="3536" spans="1:4" x14ac:dyDescent="0.2">
      <c r="A3536" t="s">
        <v>1481</v>
      </c>
      <c r="B3536" t="s">
        <v>5</v>
      </c>
      <c r="C3536" t="s">
        <v>1563</v>
      </c>
      <c r="D3536" t="s">
        <v>1554</v>
      </c>
    </row>
    <row r="3537" spans="1:4" x14ac:dyDescent="0.2">
      <c r="A3537" t="s">
        <v>1481</v>
      </c>
      <c r="B3537" t="s">
        <v>6</v>
      </c>
      <c r="C3537" t="s">
        <v>1564</v>
      </c>
      <c r="D3537" t="s">
        <v>1554</v>
      </c>
    </row>
    <row r="3538" spans="1:4" x14ac:dyDescent="0.2">
      <c r="A3538" t="s">
        <v>1481</v>
      </c>
      <c r="B3538" t="s">
        <v>7</v>
      </c>
      <c r="C3538" t="s">
        <v>1565</v>
      </c>
      <c r="D3538" t="s">
        <v>1554</v>
      </c>
    </row>
    <row r="3539" spans="1:4" x14ac:dyDescent="0.2">
      <c r="A3539" t="s">
        <v>1481</v>
      </c>
      <c r="B3539" t="s">
        <v>8</v>
      </c>
      <c r="C3539" t="s">
        <v>1561</v>
      </c>
      <c r="D3539" t="s">
        <v>1554</v>
      </c>
    </row>
    <row r="3540" spans="1:4" x14ac:dyDescent="0.2">
      <c r="A3540" t="s">
        <v>1481</v>
      </c>
      <c r="B3540" t="s">
        <v>9</v>
      </c>
      <c r="C3540" t="s">
        <v>1553</v>
      </c>
      <c r="D3540" t="s">
        <v>1554</v>
      </c>
    </row>
    <row r="3541" spans="1:4" x14ac:dyDescent="0.2">
      <c r="A3541" t="s">
        <v>1481</v>
      </c>
      <c r="B3541" t="s">
        <v>10</v>
      </c>
      <c r="C3541" t="s">
        <v>1555</v>
      </c>
      <c r="D3541" t="s">
        <v>1554</v>
      </c>
    </row>
    <row r="3542" spans="1:4" x14ac:dyDescent="0.2">
      <c r="A3542" t="s">
        <v>1481</v>
      </c>
      <c r="B3542" t="s">
        <v>11</v>
      </c>
      <c r="C3542" t="s">
        <v>1566</v>
      </c>
      <c r="D3542" t="s">
        <v>1554</v>
      </c>
    </row>
    <row r="3543" spans="1:4" x14ac:dyDescent="0.2">
      <c r="A3543" t="s">
        <v>1481</v>
      </c>
      <c r="B3543" t="s">
        <v>13</v>
      </c>
      <c r="C3543" t="s">
        <v>1567</v>
      </c>
      <c r="D3543" t="s">
        <v>1554</v>
      </c>
    </row>
    <row r="3544" spans="1:4" x14ac:dyDescent="0.2">
      <c r="A3544" t="s">
        <v>1481</v>
      </c>
      <c r="B3544" t="s">
        <v>14</v>
      </c>
      <c r="C3544" t="s">
        <v>1568</v>
      </c>
      <c r="D3544" t="s">
        <v>1554</v>
      </c>
    </row>
    <row r="3545" spans="1:4" x14ac:dyDescent="0.2">
      <c r="A3545" t="s">
        <v>1481</v>
      </c>
      <c r="B3545" t="s">
        <v>15</v>
      </c>
      <c r="C3545" t="s">
        <v>1569</v>
      </c>
      <c r="D3545" t="s">
        <v>1554</v>
      </c>
    </row>
    <row r="3546" spans="1:4" x14ac:dyDescent="0.2">
      <c r="A3546" t="s">
        <v>1481</v>
      </c>
      <c r="B3546" t="s">
        <v>17</v>
      </c>
      <c r="C3546" t="s">
        <v>1560</v>
      </c>
      <c r="D3546" t="s">
        <v>1554</v>
      </c>
    </row>
    <row r="3547" spans="1:4" x14ac:dyDescent="0.2">
      <c r="A3547" t="s">
        <v>1481</v>
      </c>
      <c r="B3547" t="s">
        <v>19</v>
      </c>
      <c r="C3547" t="s">
        <v>1570</v>
      </c>
      <c r="D3547" t="s">
        <v>1554</v>
      </c>
    </row>
    <row r="3548" spans="1:4" x14ac:dyDescent="0.2">
      <c r="A3548" t="s">
        <v>1481</v>
      </c>
      <c r="B3548" t="s">
        <v>23</v>
      </c>
      <c r="C3548" t="s">
        <v>1556</v>
      </c>
      <c r="D3548" t="s">
        <v>1554</v>
      </c>
    </row>
    <row r="3549" spans="1:4" x14ac:dyDescent="0.2">
      <c r="A3549" t="s">
        <v>1481</v>
      </c>
      <c r="B3549" t="s">
        <v>25</v>
      </c>
      <c r="C3549" t="s">
        <v>1557</v>
      </c>
      <c r="D3549" t="s">
        <v>1554</v>
      </c>
    </row>
    <row r="3550" spans="1:4" x14ac:dyDescent="0.2">
      <c r="A3550" t="s">
        <v>1481</v>
      </c>
      <c r="B3550" t="s">
        <v>21</v>
      </c>
      <c r="C3550" t="s">
        <v>1571</v>
      </c>
      <c r="D3550" t="s">
        <v>1559</v>
      </c>
    </row>
    <row r="3551" spans="1:4" x14ac:dyDescent="0.2">
      <c r="A3551" t="s">
        <v>1481</v>
      </c>
      <c r="B3551" t="s">
        <v>22</v>
      </c>
      <c r="C3551" t="s">
        <v>1572</v>
      </c>
      <c r="D3551" t="s">
        <v>1559</v>
      </c>
    </row>
    <row r="3552" spans="1:4" x14ac:dyDescent="0.2">
      <c r="A3552" t="s">
        <v>1481</v>
      </c>
      <c r="B3552" t="s">
        <v>24</v>
      </c>
      <c r="C3552" t="s">
        <v>1558</v>
      </c>
      <c r="D3552" t="s">
        <v>1559</v>
      </c>
    </row>
    <row r="3553" spans="1:4" x14ac:dyDescent="0.2">
      <c r="A3553" t="s">
        <v>1483</v>
      </c>
      <c r="B3553" t="s">
        <v>3</v>
      </c>
      <c r="C3553" t="s">
        <v>1562</v>
      </c>
      <c r="D3553" t="s">
        <v>1554</v>
      </c>
    </row>
    <row r="3554" spans="1:4" x14ac:dyDescent="0.2">
      <c r="A3554" t="s">
        <v>1483</v>
      </c>
      <c r="B3554" t="s">
        <v>5</v>
      </c>
      <c r="C3554" t="s">
        <v>1563</v>
      </c>
      <c r="D3554" t="s">
        <v>1554</v>
      </c>
    </row>
    <row r="3555" spans="1:4" x14ac:dyDescent="0.2">
      <c r="A3555" t="s">
        <v>1483</v>
      </c>
      <c r="B3555" t="s">
        <v>6</v>
      </c>
      <c r="C3555" t="s">
        <v>1564</v>
      </c>
      <c r="D3555" t="s">
        <v>1554</v>
      </c>
    </row>
    <row r="3556" spans="1:4" x14ac:dyDescent="0.2">
      <c r="A3556" t="s">
        <v>1483</v>
      </c>
      <c r="B3556" t="s">
        <v>7</v>
      </c>
      <c r="C3556" t="s">
        <v>1565</v>
      </c>
      <c r="D3556" t="s">
        <v>1554</v>
      </c>
    </row>
    <row r="3557" spans="1:4" x14ac:dyDescent="0.2">
      <c r="A3557" t="s">
        <v>1483</v>
      </c>
      <c r="B3557" t="s">
        <v>8</v>
      </c>
      <c r="C3557" t="s">
        <v>1561</v>
      </c>
      <c r="D3557" t="s">
        <v>1554</v>
      </c>
    </row>
    <row r="3558" spans="1:4" x14ac:dyDescent="0.2">
      <c r="A3558" t="s">
        <v>1483</v>
      </c>
      <c r="B3558" t="s">
        <v>9</v>
      </c>
      <c r="C3558" t="s">
        <v>1553</v>
      </c>
      <c r="D3558" t="s">
        <v>1554</v>
      </c>
    </row>
    <row r="3559" spans="1:4" x14ac:dyDescent="0.2">
      <c r="A3559" t="s">
        <v>1483</v>
      </c>
      <c r="B3559" t="s">
        <v>10</v>
      </c>
      <c r="C3559" t="s">
        <v>1555</v>
      </c>
      <c r="D3559" t="s">
        <v>1554</v>
      </c>
    </row>
    <row r="3560" spans="1:4" x14ac:dyDescent="0.2">
      <c r="A3560" t="s">
        <v>1483</v>
      </c>
      <c r="B3560" t="s">
        <v>11</v>
      </c>
      <c r="C3560" t="s">
        <v>1566</v>
      </c>
      <c r="D3560" t="s">
        <v>1554</v>
      </c>
    </row>
    <row r="3561" spans="1:4" x14ac:dyDescent="0.2">
      <c r="A3561" t="s">
        <v>1483</v>
      </c>
      <c r="B3561" t="s">
        <v>13</v>
      </c>
      <c r="C3561" t="s">
        <v>1567</v>
      </c>
      <c r="D3561" t="s">
        <v>1554</v>
      </c>
    </row>
    <row r="3562" spans="1:4" x14ac:dyDescent="0.2">
      <c r="A3562" t="s">
        <v>1483</v>
      </c>
      <c r="B3562" t="s">
        <v>14</v>
      </c>
      <c r="C3562" t="s">
        <v>1568</v>
      </c>
      <c r="D3562" t="s">
        <v>1554</v>
      </c>
    </row>
    <row r="3563" spans="1:4" x14ac:dyDescent="0.2">
      <c r="A3563" t="s">
        <v>1483</v>
      </c>
      <c r="B3563" t="s">
        <v>15</v>
      </c>
      <c r="C3563" t="s">
        <v>1569</v>
      </c>
      <c r="D3563" t="s">
        <v>1554</v>
      </c>
    </row>
    <row r="3564" spans="1:4" x14ac:dyDescent="0.2">
      <c r="A3564" t="s">
        <v>1483</v>
      </c>
      <c r="B3564" t="s">
        <v>17</v>
      </c>
      <c r="C3564" t="s">
        <v>1560</v>
      </c>
      <c r="D3564" t="s">
        <v>1554</v>
      </c>
    </row>
    <row r="3565" spans="1:4" x14ac:dyDescent="0.2">
      <c r="A3565" t="s">
        <v>1483</v>
      </c>
      <c r="B3565" t="s">
        <v>19</v>
      </c>
      <c r="C3565" t="s">
        <v>1570</v>
      </c>
      <c r="D3565" t="s">
        <v>1554</v>
      </c>
    </row>
    <row r="3566" spans="1:4" x14ac:dyDescent="0.2">
      <c r="A3566" t="s">
        <v>1483</v>
      </c>
      <c r="B3566" t="s">
        <v>23</v>
      </c>
      <c r="C3566" t="s">
        <v>1556</v>
      </c>
      <c r="D3566" t="s">
        <v>1554</v>
      </c>
    </row>
    <row r="3567" spans="1:4" x14ac:dyDescent="0.2">
      <c r="A3567" t="s">
        <v>1483</v>
      </c>
      <c r="B3567" t="s">
        <v>25</v>
      </c>
      <c r="C3567" t="s">
        <v>1557</v>
      </c>
      <c r="D3567" t="s">
        <v>1554</v>
      </c>
    </row>
    <row r="3568" spans="1:4" x14ac:dyDescent="0.2">
      <c r="A3568" t="s">
        <v>1483</v>
      </c>
      <c r="B3568" t="s">
        <v>21</v>
      </c>
      <c r="C3568" t="s">
        <v>1571</v>
      </c>
      <c r="D3568" t="s">
        <v>1559</v>
      </c>
    </row>
    <row r="3569" spans="1:4" x14ac:dyDescent="0.2">
      <c r="A3569" t="s">
        <v>1483</v>
      </c>
      <c r="B3569" t="s">
        <v>22</v>
      </c>
      <c r="C3569" t="s">
        <v>1572</v>
      </c>
      <c r="D3569" t="s">
        <v>1559</v>
      </c>
    </row>
    <row r="3570" spans="1:4" x14ac:dyDescent="0.2">
      <c r="A3570" t="s">
        <v>1483</v>
      </c>
      <c r="B3570" t="s">
        <v>24</v>
      </c>
      <c r="C3570" t="s">
        <v>1558</v>
      </c>
      <c r="D3570" t="s">
        <v>1559</v>
      </c>
    </row>
    <row r="3571" spans="1:4" x14ac:dyDescent="0.2">
      <c r="A3571" t="s">
        <v>1485</v>
      </c>
      <c r="B3571" t="s">
        <v>3</v>
      </c>
      <c r="C3571" t="s">
        <v>1562</v>
      </c>
      <c r="D3571" t="s">
        <v>1554</v>
      </c>
    </row>
    <row r="3572" spans="1:4" x14ac:dyDescent="0.2">
      <c r="A3572" t="s">
        <v>1485</v>
      </c>
      <c r="B3572" t="s">
        <v>5</v>
      </c>
      <c r="C3572" t="s">
        <v>1563</v>
      </c>
      <c r="D3572" t="s">
        <v>1554</v>
      </c>
    </row>
    <row r="3573" spans="1:4" x14ac:dyDescent="0.2">
      <c r="A3573" t="s">
        <v>1485</v>
      </c>
      <c r="B3573" t="s">
        <v>6</v>
      </c>
      <c r="C3573" t="s">
        <v>1564</v>
      </c>
      <c r="D3573" t="s">
        <v>1554</v>
      </c>
    </row>
    <row r="3574" spans="1:4" x14ac:dyDescent="0.2">
      <c r="A3574" t="s">
        <v>1485</v>
      </c>
      <c r="B3574" t="s">
        <v>7</v>
      </c>
      <c r="C3574" t="s">
        <v>1565</v>
      </c>
      <c r="D3574" t="s">
        <v>1554</v>
      </c>
    </row>
    <row r="3575" spans="1:4" x14ac:dyDescent="0.2">
      <c r="A3575" t="s">
        <v>1485</v>
      </c>
      <c r="B3575" t="s">
        <v>8</v>
      </c>
      <c r="C3575" t="s">
        <v>1561</v>
      </c>
      <c r="D3575" t="s">
        <v>1554</v>
      </c>
    </row>
    <row r="3576" spans="1:4" x14ac:dyDescent="0.2">
      <c r="A3576" t="s">
        <v>1485</v>
      </c>
      <c r="B3576" t="s">
        <v>9</v>
      </c>
      <c r="C3576" t="s">
        <v>1553</v>
      </c>
      <c r="D3576" t="s">
        <v>1554</v>
      </c>
    </row>
    <row r="3577" spans="1:4" x14ac:dyDescent="0.2">
      <c r="A3577" t="s">
        <v>1485</v>
      </c>
      <c r="B3577" t="s">
        <v>10</v>
      </c>
      <c r="C3577" t="s">
        <v>1555</v>
      </c>
      <c r="D3577" t="s">
        <v>1554</v>
      </c>
    </row>
    <row r="3578" spans="1:4" x14ac:dyDescent="0.2">
      <c r="A3578" t="s">
        <v>1485</v>
      </c>
      <c r="B3578" t="s">
        <v>11</v>
      </c>
      <c r="C3578" t="s">
        <v>1566</v>
      </c>
      <c r="D3578" t="s">
        <v>1554</v>
      </c>
    </row>
    <row r="3579" spans="1:4" x14ac:dyDescent="0.2">
      <c r="A3579" t="s">
        <v>1485</v>
      </c>
      <c r="B3579" t="s">
        <v>13</v>
      </c>
      <c r="C3579" t="s">
        <v>1567</v>
      </c>
      <c r="D3579" t="s">
        <v>1554</v>
      </c>
    </row>
    <row r="3580" spans="1:4" x14ac:dyDescent="0.2">
      <c r="A3580" t="s">
        <v>1485</v>
      </c>
      <c r="B3580" t="s">
        <v>14</v>
      </c>
      <c r="C3580" t="s">
        <v>1568</v>
      </c>
      <c r="D3580" t="s">
        <v>1554</v>
      </c>
    </row>
    <row r="3581" spans="1:4" x14ac:dyDescent="0.2">
      <c r="A3581" t="s">
        <v>1485</v>
      </c>
      <c r="B3581" t="s">
        <v>15</v>
      </c>
      <c r="C3581" t="s">
        <v>1569</v>
      </c>
      <c r="D3581" t="s">
        <v>1554</v>
      </c>
    </row>
    <row r="3582" spans="1:4" x14ac:dyDescent="0.2">
      <c r="A3582" t="s">
        <v>1485</v>
      </c>
      <c r="B3582" t="s">
        <v>17</v>
      </c>
      <c r="C3582" t="s">
        <v>1560</v>
      </c>
      <c r="D3582" t="s">
        <v>1554</v>
      </c>
    </row>
    <row r="3583" spans="1:4" x14ac:dyDescent="0.2">
      <c r="A3583" t="s">
        <v>1485</v>
      </c>
      <c r="B3583" t="s">
        <v>19</v>
      </c>
      <c r="C3583" t="s">
        <v>1570</v>
      </c>
      <c r="D3583" t="s">
        <v>1554</v>
      </c>
    </row>
    <row r="3584" spans="1:4" x14ac:dyDescent="0.2">
      <c r="A3584" t="s">
        <v>1485</v>
      </c>
      <c r="B3584" t="s">
        <v>23</v>
      </c>
      <c r="C3584" t="s">
        <v>1556</v>
      </c>
      <c r="D3584" t="s">
        <v>1554</v>
      </c>
    </row>
    <row r="3585" spans="1:4" x14ac:dyDescent="0.2">
      <c r="A3585" t="s">
        <v>1485</v>
      </c>
      <c r="B3585" t="s">
        <v>25</v>
      </c>
      <c r="C3585" t="s">
        <v>1557</v>
      </c>
      <c r="D3585" t="s">
        <v>1554</v>
      </c>
    </row>
    <row r="3586" spans="1:4" x14ac:dyDescent="0.2">
      <c r="A3586" t="s">
        <v>1485</v>
      </c>
      <c r="B3586" t="s">
        <v>21</v>
      </c>
      <c r="C3586" t="s">
        <v>1571</v>
      </c>
      <c r="D3586" t="s">
        <v>1559</v>
      </c>
    </row>
    <row r="3587" spans="1:4" x14ac:dyDescent="0.2">
      <c r="A3587" t="s">
        <v>1485</v>
      </c>
      <c r="B3587" t="s">
        <v>22</v>
      </c>
      <c r="C3587" t="s">
        <v>1572</v>
      </c>
      <c r="D3587" t="s">
        <v>1559</v>
      </c>
    </row>
    <row r="3588" spans="1:4" x14ac:dyDescent="0.2">
      <c r="A3588" t="s">
        <v>1485</v>
      </c>
      <c r="B3588" t="s">
        <v>24</v>
      </c>
      <c r="C3588" t="s">
        <v>1558</v>
      </c>
      <c r="D3588" t="s">
        <v>1559</v>
      </c>
    </row>
    <row r="3589" spans="1:4" x14ac:dyDescent="0.2">
      <c r="A3589" t="s">
        <v>1487</v>
      </c>
      <c r="B3589" t="s">
        <v>3</v>
      </c>
      <c r="C3589" t="s">
        <v>1562</v>
      </c>
      <c r="D3589" t="s">
        <v>1554</v>
      </c>
    </row>
    <row r="3590" spans="1:4" x14ac:dyDescent="0.2">
      <c r="A3590" t="s">
        <v>1487</v>
      </c>
      <c r="B3590" t="s">
        <v>5</v>
      </c>
      <c r="C3590" t="s">
        <v>1563</v>
      </c>
      <c r="D3590" t="s">
        <v>1554</v>
      </c>
    </row>
    <row r="3591" spans="1:4" x14ac:dyDescent="0.2">
      <c r="A3591" t="s">
        <v>1487</v>
      </c>
      <c r="B3591" t="s">
        <v>6</v>
      </c>
      <c r="C3591" t="s">
        <v>1564</v>
      </c>
      <c r="D3591" t="s">
        <v>1554</v>
      </c>
    </row>
    <row r="3592" spans="1:4" x14ac:dyDescent="0.2">
      <c r="A3592" t="s">
        <v>1487</v>
      </c>
      <c r="B3592" t="s">
        <v>7</v>
      </c>
      <c r="C3592" t="s">
        <v>1565</v>
      </c>
      <c r="D3592" t="s">
        <v>1554</v>
      </c>
    </row>
    <row r="3593" spans="1:4" x14ac:dyDescent="0.2">
      <c r="A3593" t="s">
        <v>1487</v>
      </c>
      <c r="B3593" t="s">
        <v>8</v>
      </c>
      <c r="C3593" t="s">
        <v>1561</v>
      </c>
      <c r="D3593" t="s">
        <v>1554</v>
      </c>
    </row>
    <row r="3594" spans="1:4" x14ac:dyDescent="0.2">
      <c r="A3594" t="s">
        <v>1487</v>
      </c>
      <c r="B3594" t="s">
        <v>9</v>
      </c>
      <c r="C3594" t="s">
        <v>1553</v>
      </c>
      <c r="D3594" t="s">
        <v>1554</v>
      </c>
    </row>
    <row r="3595" spans="1:4" x14ac:dyDescent="0.2">
      <c r="A3595" t="s">
        <v>1487</v>
      </c>
      <c r="B3595" t="s">
        <v>10</v>
      </c>
      <c r="C3595" t="s">
        <v>1555</v>
      </c>
      <c r="D3595" t="s">
        <v>1554</v>
      </c>
    </row>
    <row r="3596" spans="1:4" x14ac:dyDescent="0.2">
      <c r="A3596" t="s">
        <v>1487</v>
      </c>
      <c r="B3596" t="s">
        <v>11</v>
      </c>
      <c r="C3596" t="s">
        <v>1566</v>
      </c>
      <c r="D3596" t="s">
        <v>1554</v>
      </c>
    </row>
    <row r="3597" spans="1:4" x14ac:dyDescent="0.2">
      <c r="A3597" t="s">
        <v>1487</v>
      </c>
      <c r="B3597" t="s">
        <v>13</v>
      </c>
      <c r="C3597" t="s">
        <v>1567</v>
      </c>
      <c r="D3597" t="s">
        <v>1554</v>
      </c>
    </row>
    <row r="3598" spans="1:4" x14ac:dyDescent="0.2">
      <c r="A3598" t="s">
        <v>1487</v>
      </c>
      <c r="B3598" t="s">
        <v>14</v>
      </c>
      <c r="C3598" t="s">
        <v>1568</v>
      </c>
      <c r="D3598" t="s">
        <v>1554</v>
      </c>
    </row>
    <row r="3599" spans="1:4" x14ac:dyDescent="0.2">
      <c r="A3599" t="s">
        <v>1487</v>
      </c>
      <c r="B3599" t="s">
        <v>15</v>
      </c>
      <c r="C3599" t="s">
        <v>1569</v>
      </c>
      <c r="D3599" t="s">
        <v>1554</v>
      </c>
    </row>
    <row r="3600" spans="1:4" x14ac:dyDescent="0.2">
      <c r="A3600" t="s">
        <v>1487</v>
      </c>
      <c r="B3600" t="s">
        <v>17</v>
      </c>
      <c r="C3600" t="s">
        <v>1560</v>
      </c>
      <c r="D3600" t="s">
        <v>1554</v>
      </c>
    </row>
    <row r="3601" spans="1:4" x14ac:dyDescent="0.2">
      <c r="A3601" t="s">
        <v>1487</v>
      </c>
      <c r="B3601" t="s">
        <v>19</v>
      </c>
      <c r="C3601" t="s">
        <v>1570</v>
      </c>
      <c r="D3601" t="s">
        <v>1554</v>
      </c>
    </row>
    <row r="3602" spans="1:4" x14ac:dyDescent="0.2">
      <c r="A3602" t="s">
        <v>1487</v>
      </c>
      <c r="B3602" t="s">
        <v>23</v>
      </c>
      <c r="C3602" t="s">
        <v>1556</v>
      </c>
      <c r="D3602" t="s">
        <v>1554</v>
      </c>
    </row>
    <row r="3603" spans="1:4" x14ac:dyDescent="0.2">
      <c r="A3603" t="s">
        <v>1487</v>
      </c>
      <c r="B3603" t="s">
        <v>25</v>
      </c>
      <c r="C3603" t="s">
        <v>1557</v>
      </c>
      <c r="D3603" t="s">
        <v>1554</v>
      </c>
    </row>
    <row r="3604" spans="1:4" x14ac:dyDescent="0.2">
      <c r="A3604" t="s">
        <v>1487</v>
      </c>
      <c r="B3604" t="s">
        <v>21</v>
      </c>
      <c r="C3604" t="s">
        <v>1571</v>
      </c>
      <c r="D3604" t="s">
        <v>1559</v>
      </c>
    </row>
    <row r="3605" spans="1:4" x14ac:dyDescent="0.2">
      <c r="A3605" t="s">
        <v>1487</v>
      </c>
      <c r="B3605" t="s">
        <v>22</v>
      </c>
      <c r="C3605" t="s">
        <v>1572</v>
      </c>
      <c r="D3605" t="s">
        <v>1559</v>
      </c>
    </row>
    <row r="3606" spans="1:4" x14ac:dyDescent="0.2">
      <c r="A3606" t="s">
        <v>1487</v>
      </c>
      <c r="B3606" t="s">
        <v>24</v>
      </c>
      <c r="C3606" t="s">
        <v>1558</v>
      </c>
      <c r="D3606" t="s">
        <v>1559</v>
      </c>
    </row>
    <row r="3607" spans="1:4" x14ac:dyDescent="0.2">
      <c r="A3607" t="s">
        <v>1492</v>
      </c>
      <c r="B3607" t="s">
        <v>3</v>
      </c>
      <c r="C3607" t="s">
        <v>1562</v>
      </c>
      <c r="D3607" t="s">
        <v>1554</v>
      </c>
    </row>
    <row r="3608" spans="1:4" x14ac:dyDescent="0.2">
      <c r="A3608" t="s">
        <v>1492</v>
      </c>
      <c r="B3608" t="s">
        <v>5</v>
      </c>
      <c r="C3608" t="s">
        <v>1563</v>
      </c>
      <c r="D3608" t="s">
        <v>1554</v>
      </c>
    </row>
    <row r="3609" spans="1:4" x14ac:dyDescent="0.2">
      <c r="A3609" t="s">
        <v>1492</v>
      </c>
      <c r="B3609" t="s">
        <v>6</v>
      </c>
      <c r="C3609" t="s">
        <v>1564</v>
      </c>
      <c r="D3609" t="s">
        <v>1554</v>
      </c>
    </row>
    <row r="3610" spans="1:4" x14ac:dyDescent="0.2">
      <c r="A3610" t="s">
        <v>1492</v>
      </c>
      <c r="B3610" t="s">
        <v>7</v>
      </c>
      <c r="C3610" t="s">
        <v>1565</v>
      </c>
      <c r="D3610" t="s">
        <v>1554</v>
      </c>
    </row>
    <row r="3611" spans="1:4" x14ac:dyDescent="0.2">
      <c r="A3611" t="s">
        <v>1492</v>
      </c>
      <c r="B3611" t="s">
        <v>8</v>
      </c>
      <c r="C3611" t="s">
        <v>1561</v>
      </c>
      <c r="D3611" t="s">
        <v>1554</v>
      </c>
    </row>
    <row r="3612" spans="1:4" x14ac:dyDescent="0.2">
      <c r="A3612" t="s">
        <v>1492</v>
      </c>
      <c r="B3612" t="s">
        <v>9</v>
      </c>
      <c r="C3612" t="s">
        <v>1553</v>
      </c>
      <c r="D3612" t="s">
        <v>1554</v>
      </c>
    </row>
    <row r="3613" spans="1:4" x14ac:dyDescent="0.2">
      <c r="A3613" t="s">
        <v>1492</v>
      </c>
      <c r="B3613" t="s">
        <v>10</v>
      </c>
      <c r="C3613" t="s">
        <v>1555</v>
      </c>
      <c r="D3613" t="s">
        <v>1554</v>
      </c>
    </row>
    <row r="3614" spans="1:4" x14ac:dyDescent="0.2">
      <c r="A3614" t="s">
        <v>1492</v>
      </c>
      <c r="B3614" t="s">
        <v>11</v>
      </c>
      <c r="C3614" t="s">
        <v>1566</v>
      </c>
      <c r="D3614" t="s">
        <v>1554</v>
      </c>
    </row>
    <row r="3615" spans="1:4" x14ac:dyDescent="0.2">
      <c r="A3615" t="s">
        <v>1492</v>
      </c>
      <c r="B3615" t="s">
        <v>13</v>
      </c>
      <c r="C3615" t="s">
        <v>1567</v>
      </c>
      <c r="D3615" t="s">
        <v>1554</v>
      </c>
    </row>
    <row r="3616" spans="1:4" x14ac:dyDescent="0.2">
      <c r="A3616" t="s">
        <v>1492</v>
      </c>
      <c r="B3616" t="s">
        <v>14</v>
      </c>
      <c r="C3616" t="s">
        <v>1568</v>
      </c>
      <c r="D3616" t="s">
        <v>1554</v>
      </c>
    </row>
    <row r="3617" spans="1:4" x14ac:dyDescent="0.2">
      <c r="A3617" t="s">
        <v>1492</v>
      </c>
      <c r="B3617" t="s">
        <v>15</v>
      </c>
      <c r="C3617" t="s">
        <v>1569</v>
      </c>
      <c r="D3617" t="s">
        <v>1554</v>
      </c>
    </row>
    <row r="3618" spans="1:4" x14ac:dyDescent="0.2">
      <c r="A3618" t="s">
        <v>1492</v>
      </c>
      <c r="B3618" t="s">
        <v>17</v>
      </c>
      <c r="C3618" t="s">
        <v>1560</v>
      </c>
      <c r="D3618" t="s">
        <v>1554</v>
      </c>
    </row>
    <row r="3619" spans="1:4" x14ac:dyDescent="0.2">
      <c r="A3619" t="s">
        <v>1492</v>
      </c>
      <c r="B3619" t="s">
        <v>19</v>
      </c>
      <c r="C3619" t="s">
        <v>1570</v>
      </c>
      <c r="D3619" t="s">
        <v>1554</v>
      </c>
    </row>
    <row r="3620" spans="1:4" x14ac:dyDescent="0.2">
      <c r="A3620" t="s">
        <v>1492</v>
      </c>
      <c r="B3620" t="s">
        <v>23</v>
      </c>
      <c r="C3620" t="s">
        <v>1556</v>
      </c>
      <c r="D3620" t="s">
        <v>1554</v>
      </c>
    </row>
    <row r="3621" spans="1:4" x14ac:dyDescent="0.2">
      <c r="A3621" t="s">
        <v>1492</v>
      </c>
      <c r="B3621" t="s">
        <v>25</v>
      </c>
      <c r="C3621" t="s">
        <v>1557</v>
      </c>
      <c r="D3621" t="s">
        <v>1554</v>
      </c>
    </row>
    <row r="3622" spans="1:4" x14ac:dyDescent="0.2">
      <c r="A3622" t="s">
        <v>1492</v>
      </c>
      <c r="B3622" t="s">
        <v>21</v>
      </c>
      <c r="C3622" t="s">
        <v>1571</v>
      </c>
      <c r="D3622" t="s">
        <v>1559</v>
      </c>
    </row>
    <row r="3623" spans="1:4" x14ac:dyDescent="0.2">
      <c r="A3623" t="s">
        <v>1492</v>
      </c>
      <c r="B3623" t="s">
        <v>22</v>
      </c>
      <c r="C3623" t="s">
        <v>1572</v>
      </c>
      <c r="D3623" t="s">
        <v>1559</v>
      </c>
    </row>
    <row r="3624" spans="1:4" x14ac:dyDescent="0.2">
      <c r="A3624" t="s">
        <v>1492</v>
      </c>
      <c r="B3624" t="s">
        <v>24</v>
      </c>
      <c r="C3624" t="s">
        <v>1558</v>
      </c>
      <c r="D3624" t="s">
        <v>1559</v>
      </c>
    </row>
    <row r="3625" spans="1:4" x14ac:dyDescent="0.2">
      <c r="A3625" t="s">
        <v>1494</v>
      </c>
      <c r="B3625" t="s">
        <v>3</v>
      </c>
      <c r="C3625" t="s">
        <v>1562</v>
      </c>
      <c r="D3625" t="s">
        <v>1554</v>
      </c>
    </row>
    <row r="3626" spans="1:4" x14ac:dyDescent="0.2">
      <c r="A3626" t="s">
        <v>1494</v>
      </c>
      <c r="B3626" t="s">
        <v>5</v>
      </c>
      <c r="C3626" t="s">
        <v>1563</v>
      </c>
      <c r="D3626" t="s">
        <v>1554</v>
      </c>
    </row>
    <row r="3627" spans="1:4" x14ac:dyDescent="0.2">
      <c r="A3627" t="s">
        <v>1494</v>
      </c>
      <c r="B3627" t="s">
        <v>6</v>
      </c>
      <c r="C3627" t="s">
        <v>1564</v>
      </c>
      <c r="D3627" t="s">
        <v>1554</v>
      </c>
    </row>
    <row r="3628" spans="1:4" x14ac:dyDescent="0.2">
      <c r="A3628" t="s">
        <v>1494</v>
      </c>
      <c r="B3628" t="s">
        <v>7</v>
      </c>
      <c r="C3628" t="s">
        <v>1565</v>
      </c>
      <c r="D3628" t="s">
        <v>1554</v>
      </c>
    </row>
    <row r="3629" spans="1:4" x14ac:dyDescent="0.2">
      <c r="A3629" t="s">
        <v>1494</v>
      </c>
      <c r="B3629" t="s">
        <v>8</v>
      </c>
      <c r="C3629" t="s">
        <v>1561</v>
      </c>
      <c r="D3629" t="s">
        <v>1554</v>
      </c>
    </row>
    <row r="3630" spans="1:4" x14ac:dyDescent="0.2">
      <c r="A3630" t="s">
        <v>1494</v>
      </c>
      <c r="B3630" t="s">
        <v>9</v>
      </c>
      <c r="C3630" t="s">
        <v>1553</v>
      </c>
      <c r="D3630" t="s">
        <v>1554</v>
      </c>
    </row>
    <row r="3631" spans="1:4" x14ac:dyDescent="0.2">
      <c r="A3631" t="s">
        <v>1494</v>
      </c>
      <c r="B3631" t="s">
        <v>10</v>
      </c>
      <c r="C3631" t="s">
        <v>1555</v>
      </c>
      <c r="D3631" t="s">
        <v>1554</v>
      </c>
    </row>
    <row r="3632" spans="1:4" x14ac:dyDescent="0.2">
      <c r="A3632" t="s">
        <v>1494</v>
      </c>
      <c r="B3632" t="s">
        <v>11</v>
      </c>
      <c r="C3632" t="s">
        <v>1566</v>
      </c>
      <c r="D3632" t="s">
        <v>1554</v>
      </c>
    </row>
    <row r="3633" spans="1:4" x14ac:dyDescent="0.2">
      <c r="A3633" t="s">
        <v>1494</v>
      </c>
      <c r="B3633" t="s">
        <v>13</v>
      </c>
      <c r="C3633" t="s">
        <v>1567</v>
      </c>
      <c r="D3633" t="s">
        <v>1554</v>
      </c>
    </row>
    <row r="3634" spans="1:4" x14ac:dyDescent="0.2">
      <c r="A3634" t="s">
        <v>1494</v>
      </c>
      <c r="B3634" t="s">
        <v>14</v>
      </c>
      <c r="C3634" t="s">
        <v>1568</v>
      </c>
      <c r="D3634" t="s">
        <v>1554</v>
      </c>
    </row>
    <row r="3635" spans="1:4" x14ac:dyDescent="0.2">
      <c r="A3635" t="s">
        <v>1494</v>
      </c>
      <c r="B3635" t="s">
        <v>15</v>
      </c>
      <c r="C3635" t="s">
        <v>1569</v>
      </c>
      <c r="D3635" t="s">
        <v>1554</v>
      </c>
    </row>
    <row r="3636" spans="1:4" x14ac:dyDescent="0.2">
      <c r="A3636" t="s">
        <v>1494</v>
      </c>
      <c r="B3636" t="s">
        <v>17</v>
      </c>
      <c r="C3636" t="s">
        <v>1560</v>
      </c>
      <c r="D3636" t="s">
        <v>1554</v>
      </c>
    </row>
    <row r="3637" spans="1:4" x14ac:dyDescent="0.2">
      <c r="A3637" t="s">
        <v>1494</v>
      </c>
      <c r="B3637" t="s">
        <v>19</v>
      </c>
      <c r="C3637" t="s">
        <v>1570</v>
      </c>
      <c r="D3637" t="s">
        <v>1554</v>
      </c>
    </row>
    <row r="3638" spans="1:4" x14ac:dyDescent="0.2">
      <c r="A3638" t="s">
        <v>1494</v>
      </c>
      <c r="B3638" t="s">
        <v>23</v>
      </c>
      <c r="C3638" t="s">
        <v>1556</v>
      </c>
      <c r="D3638" t="s">
        <v>1554</v>
      </c>
    </row>
    <row r="3639" spans="1:4" x14ac:dyDescent="0.2">
      <c r="A3639" t="s">
        <v>1494</v>
      </c>
      <c r="B3639" t="s">
        <v>25</v>
      </c>
      <c r="C3639" t="s">
        <v>1557</v>
      </c>
      <c r="D3639" t="s">
        <v>1554</v>
      </c>
    </row>
    <row r="3640" spans="1:4" x14ac:dyDescent="0.2">
      <c r="A3640" t="s">
        <v>1494</v>
      </c>
      <c r="B3640" t="s">
        <v>21</v>
      </c>
      <c r="C3640" t="s">
        <v>1571</v>
      </c>
      <c r="D3640" t="s">
        <v>1559</v>
      </c>
    </row>
    <row r="3641" spans="1:4" x14ac:dyDescent="0.2">
      <c r="A3641" t="s">
        <v>1494</v>
      </c>
      <c r="B3641" t="s">
        <v>22</v>
      </c>
      <c r="C3641" t="s">
        <v>1572</v>
      </c>
      <c r="D3641" t="s">
        <v>1559</v>
      </c>
    </row>
    <row r="3642" spans="1:4" x14ac:dyDescent="0.2">
      <c r="A3642" t="s">
        <v>1494</v>
      </c>
      <c r="B3642" t="s">
        <v>24</v>
      </c>
      <c r="C3642" t="s">
        <v>1558</v>
      </c>
      <c r="D3642" t="s">
        <v>1559</v>
      </c>
    </row>
    <row r="3643" spans="1:4" x14ac:dyDescent="0.2">
      <c r="A3643" t="s">
        <v>1496</v>
      </c>
      <c r="B3643" t="s">
        <v>3</v>
      </c>
      <c r="C3643" t="s">
        <v>1562</v>
      </c>
      <c r="D3643" t="s">
        <v>1554</v>
      </c>
    </row>
    <row r="3644" spans="1:4" x14ac:dyDescent="0.2">
      <c r="A3644" t="s">
        <v>1496</v>
      </c>
      <c r="B3644" t="s">
        <v>5</v>
      </c>
      <c r="C3644" t="s">
        <v>1563</v>
      </c>
      <c r="D3644" t="s">
        <v>1554</v>
      </c>
    </row>
    <row r="3645" spans="1:4" x14ac:dyDescent="0.2">
      <c r="A3645" t="s">
        <v>1496</v>
      </c>
      <c r="B3645" t="s">
        <v>6</v>
      </c>
      <c r="C3645" t="s">
        <v>1564</v>
      </c>
      <c r="D3645" t="s">
        <v>1554</v>
      </c>
    </row>
    <row r="3646" spans="1:4" x14ac:dyDescent="0.2">
      <c r="A3646" t="s">
        <v>1496</v>
      </c>
      <c r="B3646" t="s">
        <v>7</v>
      </c>
      <c r="C3646" t="s">
        <v>1565</v>
      </c>
      <c r="D3646" t="s">
        <v>1554</v>
      </c>
    </row>
    <row r="3647" spans="1:4" x14ac:dyDescent="0.2">
      <c r="A3647" t="s">
        <v>1496</v>
      </c>
      <c r="B3647" t="s">
        <v>8</v>
      </c>
      <c r="C3647" t="s">
        <v>1561</v>
      </c>
      <c r="D3647" t="s">
        <v>1554</v>
      </c>
    </row>
    <row r="3648" spans="1:4" x14ac:dyDescent="0.2">
      <c r="A3648" t="s">
        <v>1496</v>
      </c>
      <c r="B3648" t="s">
        <v>9</v>
      </c>
      <c r="C3648" t="s">
        <v>1553</v>
      </c>
      <c r="D3648" t="s">
        <v>1554</v>
      </c>
    </row>
    <row r="3649" spans="1:4" x14ac:dyDescent="0.2">
      <c r="A3649" t="s">
        <v>1496</v>
      </c>
      <c r="B3649" t="s">
        <v>10</v>
      </c>
      <c r="C3649" t="s">
        <v>1555</v>
      </c>
      <c r="D3649" t="s">
        <v>1554</v>
      </c>
    </row>
    <row r="3650" spans="1:4" x14ac:dyDescent="0.2">
      <c r="A3650" t="s">
        <v>1496</v>
      </c>
      <c r="B3650" t="s">
        <v>11</v>
      </c>
      <c r="C3650" t="s">
        <v>1566</v>
      </c>
      <c r="D3650" t="s">
        <v>1554</v>
      </c>
    </row>
    <row r="3651" spans="1:4" x14ac:dyDescent="0.2">
      <c r="A3651" t="s">
        <v>1496</v>
      </c>
      <c r="B3651" t="s">
        <v>13</v>
      </c>
      <c r="C3651" t="s">
        <v>1567</v>
      </c>
      <c r="D3651" t="s">
        <v>1554</v>
      </c>
    </row>
    <row r="3652" spans="1:4" x14ac:dyDescent="0.2">
      <c r="A3652" t="s">
        <v>1496</v>
      </c>
      <c r="B3652" t="s">
        <v>14</v>
      </c>
      <c r="C3652" t="s">
        <v>1568</v>
      </c>
      <c r="D3652" t="s">
        <v>1554</v>
      </c>
    </row>
    <row r="3653" spans="1:4" x14ac:dyDescent="0.2">
      <c r="A3653" t="s">
        <v>1496</v>
      </c>
      <c r="B3653" t="s">
        <v>15</v>
      </c>
      <c r="C3653" t="s">
        <v>1569</v>
      </c>
      <c r="D3653" t="s">
        <v>1554</v>
      </c>
    </row>
    <row r="3654" spans="1:4" x14ac:dyDescent="0.2">
      <c r="A3654" t="s">
        <v>1496</v>
      </c>
      <c r="B3654" t="s">
        <v>17</v>
      </c>
      <c r="C3654" t="s">
        <v>1560</v>
      </c>
      <c r="D3654" t="s">
        <v>1554</v>
      </c>
    </row>
    <row r="3655" spans="1:4" x14ac:dyDescent="0.2">
      <c r="A3655" t="s">
        <v>1496</v>
      </c>
      <c r="B3655" t="s">
        <v>19</v>
      </c>
      <c r="C3655" t="s">
        <v>1570</v>
      </c>
      <c r="D3655" t="s">
        <v>1554</v>
      </c>
    </row>
    <row r="3656" spans="1:4" x14ac:dyDescent="0.2">
      <c r="A3656" t="s">
        <v>1496</v>
      </c>
      <c r="B3656" t="s">
        <v>23</v>
      </c>
      <c r="C3656" t="s">
        <v>1556</v>
      </c>
      <c r="D3656" t="s">
        <v>1554</v>
      </c>
    </row>
    <row r="3657" spans="1:4" x14ac:dyDescent="0.2">
      <c r="A3657" t="s">
        <v>1496</v>
      </c>
      <c r="B3657" t="s">
        <v>25</v>
      </c>
      <c r="C3657" t="s">
        <v>1557</v>
      </c>
      <c r="D3657" t="s">
        <v>1554</v>
      </c>
    </row>
    <row r="3658" spans="1:4" x14ac:dyDescent="0.2">
      <c r="A3658" t="s">
        <v>1496</v>
      </c>
      <c r="B3658" t="s">
        <v>21</v>
      </c>
      <c r="C3658" t="s">
        <v>1571</v>
      </c>
      <c r="D3658" t="s">
        <v>1559</v>
      </c>
    </row>
    <row r="3659" spans="1:4" x14ac:dyDescent="0.2">
      <c r="A3659" t="s">
        <v>1496</v>
      </c>
      <c r="B3659" t="s">
        <v>22</v>
      </c>
      <c r="C3659" t="s">
        <v>1572</v>
      </c>
      <c r="D3659" t="s">
        <v>1559</v>
      </c>
    </row>
    <row r="3660" spans="1:4" x14ac:dyDescent="0.2">
      <c r="A3660" t="s">
        <v>1496</v>
      </c>
      <c r="B3660" t="s">
        <v>24</v>
      </c>
      <c r="C3660" t="s">
        <v>1558</v>
      </c>
      <c r="D3660" t="s">
        <v>1559</v>
      </c>
    </row>
    <row r="3661" spans="1:4" x14ac:dyDescent="0.2">
      <c r="A3661" t="s">
        <v>1498</v>
      </c>
      <c r="B3661" t="s">
        <v>3</v>
      </c>
      <c r="C3661" t="s">
        <v>1562</v>
      </c>
      <c r="D3661" t="s">
        <v>1554</v>
      </c>
    </row>
    <row r="3662" spans="1:4" x14ac:dyDescent="0.2">
      <c r="A3662" t="s">
        <v>1498</v>
      </c>
      <c r="B3662" t="s">
        <v>5</v>
      </c>
      <c r="C3662" t="s">
        <v>1563</v>
      </c>
      <c r="D3662" t="s">
        <v>1554</v>
      </c>
    </row>
    <row r="3663" spans="1:4" x14ac:dyDescent="0.2">
      <c r="A3663" t="s">
        <v>1498</v>
      </c>
      <c r="B3663" t="s">
        <v>6</v>
      </c>
      <c r="C3663" t="s">
        <v>1564</v>
      </c>
      <c r="D3663" t="s">
        <v>1554</v>
      </c>
    </row>
    <row r="3664" spans="1:4" x14ac:dyDescent="0.2">
      <c r="A3664" t="s">
        <v>1498</v>
      </c>
      <c r="B3664" t="s">
        <v>7</v>
      </c>
      <c r="C3664" t="s">
        <v>1565</v>
      </c>
      <c r="D3664" t="s">
        <v>1554</v>
      </c>
    </row>
    <row r="3665" spans="1:4" x14ac:dyDescent="0.2">
      <c r="A3665" t="s">
        <v>1498</v>
      </c>
      <c r="B3665" t="s">
        <v>8</v>
      </c>
      <c r="C3665" t="s">
        <v>1561</v>
      </c>
      <c r="D3665" t="s">
        <v>1554</v>
      </c>
    </row>
    <row r="3666" spans="1:4" x14ac:dyDescent="0.2">
      <c r="A3666" t="s">
        <v>1498</v>
      </c>
      <c r="B3666" t="s">
        <v>9</v>
      </c>
      <c r="C3666" t="s">
        <v>1553</v>
      </c>
      <c r="D3666" t="s">
        <v>1554</v>
      </c>
    </row>
    <row r="3667" spans="1:4" x14ac:dyDescent="0.2">
      <c r="A3667" t="s">
        <v>1498</v>
      </c>
      <c r="B3667" t="s">
        <v>10</v>
      </c>
      <c r="C3667" t="s">
        <v>1555</v>
      </c>
      <c r="D3667" t="s">
        <v>1554</v>
      </c>
    </row>
    <row r="3668" spans="1:4" x14ac:dyDescent="0.2">
      <c r="A3668" t="s">
        <v>1498</v>
      </c>
      <c r="B3668" t="s">
        <v>11</v>
      </c>
      <c r="C3668" t="s">
        <v>1566</v>
      </c>
      <c r="D3668" t="s">
        <v>1554</v>
      </c>
    </row>
    <row r="3669" spans="1:4" x14ac:dyDescent="0.2">
      <c r="A3669" t="s">
        <v>1498</v>
      </c>
      <c r="B3669" t="s">
        <v>13</v>
      </c>
      <c r="C3669" t="s">
        <v>1567</v>
      </c>
      <c r="D3669" t="s">
        <v>1554</v>
      </c>
    </row>
    <row r="3670" spans="1:4" x14ac:dyDescent="0.2">
      <c r="A3670" t="s">
        <v>1498</v>
      </c>
      <c r="B3670" t="s">
        <v>14</v>
      </c>
      <c r="C3670" t="s">
        <v>1568</v>
      </c>
      <c r="D3670" t="s">
        <v>1554</v>
      </c>
    </row>
    <row r="3671" spans="1:4" x14ac:dyDescent="0.2">
      <c r="A3671" t="s">
        <v>1498</v>
      </c>
      <c r="B3671" t="s">
        <v>15</v>
      </c>
      <c r="C3671" t="s">
        <v>1569</v>
      </c>
      <c r="D3671" t="s">
        <v>1554</v>
      </c>
    </row>
    <row r="3672" spans="1:4" x14ac:dyDescent="0.2">
      <c r="A3672" t="s">
        <v>1498</v>
      </c>
      <c r="B3672" t="s">
        <v>17</v>
      </c>
      <c r="C3672" t="s">
        <v>1560</v>
      </c>
      <c r="D3672" t="s">
        <v>1554</v>
      </c>
    </row>
    <row r="3673" spans="1:4" x14ac:dyDescent="0.2">
      <c r="A3673" t="s">
        <v>1498</v>
      </c>
      <c r="B3673" t="s">
        <v>19</v>
      </c>
      <c r="C3673" t="s">
        <v>1570</v>
      </c>
      <c r="D3673" t="s">
        <v>1554</v>
      </c>
    </row>
    <row r="3674" spans="1:4" x14ac:dyDescent="0.2">
      <c r="A3674" t="s">
        <v>1498</v>
      </c>
      <c r="B3674" t="s">
        <v>23</v>
      </c>
      <c r="C3674" t="s">
        <v>1556</v>
      </c>
      <c r="D3674" t="s">
        <v>1554</v>
      </c>
    </row>
    <row r="3675" spans="1:4" x14ac:dyDescent="0.2">
      <c r="A3675" t="s">
        <v>1498</v>
      </c>
      <c r="B3675" t="s">
        <v>25</v>
      </c>
      <c r="C3675" t="s">
        <v>1557</v>
      </c>
      <c r="D3675" t="s">
        <v>1554</v>
      </c>
    </row>
    <row r="3676" spans="1:4" x14ac:dyDescent="0.2">
      <c r="A3676" t="s">
        <v>1498</v>
      </c>
      <c r="B3676" t="s">
        <v>21</v>
      </c>
      <c r="C3676" t="s">
        <v>1571</v>
      </c>
      <c r="D3676" t="s">
        <v>1559</v>
      </c>
    </row>
    <row r="3677" spans="1:4" x14ac:dyDescent="0.2">
      <c r="A3677" t="s">
        <v>1498</v>
      </c>
      <c r="B3677" t="s">
        <v>22</v>
      </c>
      <c r="C3677" t="s">
        <v>1572</v>
      </c>
      <c r="D3677" t="s">
        <v>1559</v>
      </c>
    </row>
    <row r="3678" spans="1:4" x14ac:dyDescent="0.2">
      <c r="A3678" t="s">
        <v>1498</v>
      </c>
      <c r="B3678" t="s">
        <v>24</v>
      </c>
      <c r="C3678" t="s">
        <v>1558</v>
      </c>
      <c r="D3678" t="s">
        <v>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9"/>
  <sheetViews>
    <sheetView showGridLines="0" workbookViewId="0">
      <pane ySplit="1" topLeftCell="A2" activePane="bottomLeft" state="frozen"/>
      <selection pane="bottomLeft"/>
    </sheetView>
  </sheetViews>
  <sheetFormatPr defaultRowHeight="12.75" x14ac:dyDescent="0.2"/>
  <cols>
    <col min="1" max="2" width="28" customWidth="1"/>
    <col min="3" max="3" width="10" customWidth="1"/>
    <col min="4" max="4" width="17" customWidth="1"/>
    <col min="5" max="5" width="23" customWidth="1"/>
    <col min="6" max="6" width="17" customWidth="1"/>
    <col min="7" max="7" width="15" customWidth="1"/>
    <col min="8" max="8" width="22" customWidth="1"/>
    <col min="9" max="9" width="23" customWidth="1"/>
    <col min="10" max="10" width="19" customWidth="1"/>
    <col min="11" max="11" width="25" customWidth="1"/>
    <col min="12" max="12" width="90" customWidth="1"/>
    <col min="13" max="13" width="70" customWidth="1"/>
    <col min="14" max="14" width="23" customWidth="1"/>
    <col min="15" max="15" width="12" customWidth="1"/>
    <col min="16" max="16" width="55" customWidth="1"/>
    <col min="17" max="17" width="52" customWidth="1"/>
  </cols>
  <sheetData>
    <row r="1" spans="1:17" ht="66" customHeight="1" x14ac:dyDescent="0.2">
      <c r="A1" s="7" t="s">
        <v>1573</v>
      </c>
      <c r="B1" s="7" t="s">
        <v>1574</v>
      </c>
      <c r="C1" s="7" t="s">
        <v>34</v>
      </c>
      <c r="D1" s="7" t="s">
        <v>35</v>
      </c>
      <c r="E1" s="7" t="s">
        <v>1575</v>
      </c>
      <c r="F1" s="7" t="s">
        <v>1576</v>
      </c>
      <c r="G1" s="7" t="s">
        <v>1577</v>
      </c>
      <c r="H1" s="7" t="s">
        <v>1578</v>
      </c>
      <c r="I1" s="7" t="s">
        <v>1579</v>
      </c>
      <c r="J1" s="7" t="s">
        <v>1580</v>
      </c>
      <c r="K1" s="7" t="s">
        <v>1581</v>
      </c>
      <c r="L1" s="7" t="s">
        <v>1582</v>
      </c>
      <c r="M1" s="7" t="s">
        <v>1583</v>
      </c>
      <c r="N1" s="7" t="s">
        <v>1584</v>
      </c>
      <c r="O1" s="7" t="s">
        <v>1585</v>
      </c>
      <c r="P1" s="7" t="s">
        <v>1586</v>
      </c>
      <c r="Q1" s="7" t="s">
        <v>1587</v>
      </c>
    </row>
    <row r="2" spans="1:17" ht="66" customHeight="1" x14ac:dyDescent="0.2">
      <c r="A2" s="6" t="s">
        <v>44</v>
      </c>
      <c r="B2" s="6" t="s">
        <v>45</v>
      </c>
      <c r="C2" s="6" t="s">
        <v>55</v>
      </c>
      <c r="D2" s="8">
        <f>COUNTIF('НПЗ Oilmap'!$B$2:$B$659,A2)</f>
        <v>8</v>
      </c>
      <c r="E2" s="8">
        <f>IF(F2&gt;0,SUMIF('НПЗ Oilmap'!$B$2:$B$659,A2,'НПЗ Oilmap'!$E$2:$E$659),"")</f>
        <v>1046370</v>
      </c>
      <c r="F2" s="8">
        <f>SUMIF('НПЗ Oilmap'!$B$2:$B$659,A2,'НПЗ Oilmap'!$O$2:$O$659)</f>
        <v>8</v>
      </c>
      <c r="G2" s="8">
        <f t="shared" ref="G2:G65" si="0">D2-F2</f>
        <v>0</v>
      </c>
      <c r="H2" s="8"/>
      <c r="I2" s="11"/>
      <c r="J2" s="6"/>
      <c r="K2" s="6"/>
      <c r="L2" s="12"/>
      <c r="M2" s="6"/>
      <c r="N2" s="8">
        <v>1259000</v>
      </c>
      <c r="O2" s="6">
        <v>2025</v>
      </c>
      <c r="P2" s="6" t="s">
        <v>1588</v>
      </c>
      <c r="Q2" s="12" t="s">
        <v>57</v>
      </c>
    </row>
    <row r="3" spans="1:17" ht="66" customHeight="1" x14ac:dyDescent="0.2">
      <c r="A3" s="6" t="s">
        <v>59</v>
      </c>
      <c r="B3" s="6" t="s">
        <v>60</v>
      </c>
      <c r="C3" s="6" t="s">
        <v>66</v>
      </c>
      <c r="D3" s="8">
        <f>COUNTIF('НПЗ Oilmap'!$B$2:$B$659,A3)</f>
        <v>6</v>
      </c>
      <c r="E3" s="8">
        <f>IF(F3&gt;0,SUMIF('НПЗ Oilmap'!$B$2:$B$659,A3,'НПЗ Oilmap'!$E$2:$E$659),"")</f>
        <v>545000</v>
      </c>
      <c r="F3" s="8">
        <f>SUMIF('НПЗ Oilmap'!$B$2:$B$659,A3,'НПЗ Oilmap'!$O$2:$O$659)</f>
        <v>6</v>
      </c>
      <c r="G3" s="8">
        <f t="shared" si="0"/>
        <v>0</v>
      </c>
      <c r="H3" s="8"/>
      <c r="I3" s="11"/>
      <c r="J3" s="6"/>
      <c r="K3" s="6"/>
      <c r="L3" s="12"/>
      <c r="M3" s="6"/>
      <c r="N3" s="8">
        <v>991000</v>
      </c>
      <c r="O3" s="6">
        <v>2025</v>
      </c>
      <c r="P3" s="6" t="s">
        <v>1588</v>
      </c>
      <c r="Q3" s="12" t="s">
        <v>57</v>
      </c>
    </row>
    <row r="4" spans="1:17" ht="66" customHeight="1" x14ac:dyDescent="0.2">
      <c r="A4" s="6" t="s">
        <v>67</v>
      </c>
      <c r="B4" s="6" t="s">
        <v>68</v>
      </c>
      <c r="C4" s="6" t="s">
        <v>75</v>
      </c>
      <c r="D4" s="8">
        <f>COUNTIF('НПЗ Oilmap'!$B$2:$B$659,A4)</f>
        <v>3</v>
      </c>
      <c r="E4" s="8">
        <f>IF(F4&gt;0,SUMIF('НПЗ Oilmap'!$B$2:$B$659,A4,'НПЗ Oilmap'!$E$2:$E$659),"")</f>
        <v>226750</v>
      </c>
      <c r="F4" s="8">
        <f>SUMIF('НПЗ Oilmap'!$B$2:$B$659,A4,'НПЗ Oilmap'!$O$2:$O$659)</f>
        <v>3</v>
      </c>
      <c r="G4" s="8">
        <f t="shared" si="0"/>
        <v>0</v>
      </c>
      <c r="H4" s="8"/>
      <c r="I4" s="11"/>
      <c r="J4" s="6"/>
      <c r="K4" s="6"/>
      <c r="L4" s="12"/>
      <c r="M4" s="6"/>
      <c r="N4" s="8">
        <v>236000</v>
      </c>
      <c r="O4" s="6">
        <v>2025</v>
      </c>
      <c r="P4" s="6" t="s">
        <v>1588</v>
      </c>
      <c r="Q4" s="12" t="s">
        <v>57</v>
      </c>
    </row>
    <row r="5" spans="1:17" ht="66" customHeight="1" x14ac:dyDescent="0.2">
      <c r="A5" s="6" t="s">
        <v>76</v>
      </c>
      <c r="B5" s="6" t="s">
        <v>77</v>
      </c>
      <c r="C5" s="6" t="s">
        <v>82</v>
      </c>
      <c r="D5" s="8">
        <f>COUNTIF('НПЗ Oilmap'!$B$2:$B$659,A5)</f>
        <v>2</v>
      </c>
      <c r="E5" s="8">
        <f>IF(F5&gt;0,SUMIF('НПЗ Oilmap'!$B$2:$B$659,A5,'НПЗ Oilmap'!$E$2:$E$659),"")</f>
        <v>20000</v>
      </c>
      <c r="F5" s="8">
        <f>SUMIF('НПЗ Oilmap'!$B$2:$B$659,A5,'НПЗ Oilmap'!$O$2:$O$659)</f>
        <v>1</v>
      </c>
      <c r="G5" s="8">
        <f t="shared" si="0"/>
        <v>1</v>
      </c>
      <c r="H5" s="8"/>
      <c r="I5" s="11"/>
      <c r="J5" s="6"/>
      <c r="K5" s="6"/>
      <c r="L5" s="12"/>
      <c r="M5" s="6"/>
      <c r="N5" s="8"/>
      <c r="O5" s="6"/>
      <c r="P5" s="6"/>
      <c r="Q5" s="12" t="s">
        <v>83</v>
      </c>
    </row>
    <row r="6" spans="1:17" ht="66" customHeight="1" x14ac:dyDescent="0.2">
      <c r="A6" s="6" t="s">
        <v>84</v>
      </c>
      <c r="B6" s="6" t="s">
        <v>85</v>
      </c>
      <c r="C6" s="6" t="s">
        <v>90</v>
      </c>
      <c r="D6" s="8">
        <f>COUNTIF('НПЗ Oilmap'!$B$2:$B$659,A6)</f>
        <v>6</v>
      </c>
      <c r="E6" s="8">
        <f>IF(F6&gt;0,SUMIF('НПЗ Oilmap'!$B$2:$B$659,A6,'НПЗ Oilmap'!$E$2:$E$659),"")</f>
        <v>165250</v>
      </c>
      <c r="F6" s="8">
        <f>SUMIF('НПЗ Oilmap'!$B$2:$B$659,A6,'НПЗ Oilmap'!$O$2:$O$659)</f>
        <v>3</v>
      </c>
      <c r="G6" s="8">
        <f t="shared" si="0"/>
        <v>3</v>
      </c>
      <c r="H6" s="8"/>
      <c r="I6" s="11"/>
      <c r="J6" s="6"/>
      <c r="K6" s="6"/>
      <c r="L6" s="12"/>
      <c r="M6" s="6"/>
      <c r="N6" s="8">
        <v>290000</v>
      </c>
      <c r="O6" s="6">
        <v>2025</v>
      </c>
      <c r="P6" s="6" t="s">
        <v>1588</v>
      </c>
      <c r="Q6" s="12" t="s">
        <v>57</v>
      </c>
    </row>
    <row r="7" spans="1:17" ht="66" customHeight="1" x14ac:dyDescent="0.2">
      <c r="A7" s="6" t="s">
        <v>91</v>
      </c>
      <c r="B7" s="6" t="s">
        <v>92</v>
      </c>
      <c r="C7" s="6" t="s">
        <v>97</v>
      </c>
      <c r="D7" s="8">
        <f>COUNTIF('НПЗ Oilmap'!$B$2:$B$659,A7)</f>
        <v>10</v>
      </c>
      <c r="E7" s="8">
        <f>IF(F7&gt;0,SUMIF('НПЗ Oilmap'!$B$2:$B$659,A7,'НПЗ Oilmap'!$E$2:$E$659),"")</f>
        <v>615575</v>
      </c>
      <c r="F7" s="8">
        <f>SUMIF('НПЗ Oilmap'!$B$2:$B$659,A7,'НПЗ Oilmap'!$O$2:$O$659)</f>
        <v>10</v>
      </c>
      <c r="G7" s="8">
        <f t="shared" si="0"/>
        <v>0</v>
      </c>
      <c r="H7" s="8"/>
      <c r="I7" s="11"/>
      <c r="J7" s="6"/>
      <c r="K7" s="6"/>
      <c r="L7" s="12"/>
      <c r="M7" s="6"/>
      <c r="N7" s="8">
        <v>600000</v>
      </c>
      <c r="O7" s="6">
        <v>2025</v>
      </c>
      <c r="P7" s="6" t="s">
        <v>1588</v>
      </c>
      <c r="Q7" s="12" t="s">
        <v>57</v>
      </c>
    </row>
    <row r="8" spans="1:17" ht="66" customHeight="1" x14ac:dyDescent="0.2">
      <c r="A8" s="6" t="s">
        <v>98</v>
      </c>
      <c r="B8" s="6" t="s">
        <v>99</v>
      </c>
      <c r="C8" s="6" t="s">
        <v>46</v>
      </c>
      <c r="D8" s="8">
        <f>COUNTIF('НПЗ Oilmap'!$B$2:$B$659,A8)</f>
        <v>0</v>
      </c>
      <c r="E8" s="8" t="str">
        <f>IF(F8&gt;0,SUMIF('НПЗ Oilmap'!$B$2:$B$659,A8,'НПЗ Oilmap'!$E$2:$E$659),"")</f>
        <v/>
      </c>
      <c r="F8" s="8">
        <f>SUMIF('НПЗ Oilmap'!$B$2:$B$659,A8,'НПЗ Oilmap'!$O$2:$O$659)</f>
        <v>0</v>
      </c>
      <c r="G8" s="8">
        <f t="shared" si="0"/>
        <v>0</v>
      </c>
      <c r="H8" s="8"/>
      <c r="I8" s="11"/>
      <c r="J8" s="6"/>
      <c r="K8" s="6"/>
      <c r="L8" s="12"/>
      <c r="M8" s="6"/>
      <c r="N8" s="8"/>
      <c r="O8" s="6"/>
      <c r="P8" s="6"/>
      <c r="Q8" s="12" t="s">
        <v>83</v>
      </c>
    </row>
    <row r="9" spans="1:17" ht="66" customHeight="1" x14ac:dyDescent="0.2">
      <c r="A9" s="6" t="s">
        <v>107</v>
      </c>
      <c r="B9" s="6" t="s">
        <v>108</v>
      </c>
      <c r="C9" s="6" t="s">
        <v>113</v>
      </c>
      <c r="D9" s="8">
        <f>COUNTIF('НПЗ Oilmap'!$B$2:$B$659,A9)</f>
        <v>0</v>
      </c>
      <c r="E9" s="8" t="str">
        <f>IF(F9&gt;0,SUMIF('НПЗ Oilmap'!$B$2:$B$659,A9,'НПЗ Oilmap'!$E$2:$E$659),"")</f>
        <v/>
      </c>
      <c r="F9" s="8">
        <f>SUMIF('НПЗ Oilmap'!$B$2:$B$659,A9,'НПЗ Oilmap'!$O$2:$O$659)</f>
        <v>0</v>
      </c>
      <c r="G9" s="8">
        <f t="shared" si="0"/>
        <v>0</v>
      </c>
      <c r="H9" s="8"/>
      <c r="I9" s="11"/>
      <c r="J9" s="6"/>
      <c r="K9" s="6"/>
      <c r="L9" s="12"/>
      <c r="M9" s="6"/>
      <c r="N9" s="8"/>
      <c r="O9" s="6"/>
      <c r="P9" s="6"/>
      <c r="Q9" s="12" t="s">
        <v>83</v>
      </c>
    </row>
    <row r="10" spans="1:17" ht="66" customHeight="1" x14ac:dyDescent="0.2">
      <c r="A10" s="6" t="s">
        <v>114</v>
      </c>
      <c r="B10" s="6" t="s">
        <v>115</v>
      </c>
      <c r="C10" s="6" t="s">
        <v>120</v>
      </c>
      <c r="D10" s="8">
        <f>COUNTIF('НПЗ Oilmap'!$B$2:$B$659,A10)</f>
        <v>17</v>
      </c>
      <c r="E10" s="8">
        <f>IF(F10&gt;0,SUMIF('НПЗ Oilmap'!$B$2:$B$659,A10,'НПЗ Oilmap'!$E$2:$E$659),"")</f>
        <v>2385000</v>
      </c>
      <c r="F10" s="8">
        <f>SUMIF('НПЗ Oilmap'!$B$2:$B$659,A10,'НПЗ Oilmap'!$O$2:$O$659)</f>
        <v>17</v>
      </c>
      <c r="G10" s="8">
        <f t="shared" si="0"/>
        <v>0</v>
      </c>
      <c r="H10" s="8">
        <v>23</v>
      </c>
      <c r="I10" s="11">
        <v>267.11599999999999</v>
      </c>
      <c r="J10" s="6" t="s">
        <v>1589</v>
      </c>
      <c r="K10" s="6" t="s">
        <v>1590</v>
      </c>
      <c r="L10" s="12" t="s">
        <v>1591</v>
      </c>
      <c r="M10" s="6" t="s">
        <v>1592</v>
      </c>
      <c r="N10" s="8">
        <v>4924000</v>
      </c>
      <c r="O10" s="6">
        <v>2025</v>
      </c>
      <c r="P10" s="6" t="s">
        <v>1588</v>
      </c>
      <c r="Q10" s="12" t="s">
        <v>121</v>
      </c>
    </row>
    <row r="11" spans="1:17" ht="66" customHeight="1" x14ac:dyDescent="0.2">
      <c r="A11" s="6" t="s">
        <v>122</v>
      </c>
      <c r="B11" s="6" t="s">
        <v>123</v>
      </c>
      <c r="C11" s="6" t="s">
        <v>128</v>
      </c>
      <c r="D11" s="8">
        <f>COUNTIF('НПЗ Oilmap'!$B$2:$B$659,A11)</f>
        <v>51</v>
      </c>
      <c r="E11" s="8">
        <f>IF(F11&gt;0,SUMIF('НПЗ Oilmap'!$B$2:$B$659,A11,'НПЗ Oilmap'!$E$2:$E$659),"")</f>
        <v>5950000</v>
      </c>
      <c r="F11" s="8">
        <f>SUMIF('НПЗ Oilmap'!$B$2:$B$659,A11,'НПЗ Oilmap'!$O$2:$O$659)</f>
        <v>51</v>
      </c>
      <c r="G11" s="8">
        <f t="shared" si="0"/>
        <v>0</v>
      </c>
      <c r="H11" s="8"/>
      <c r="I11" s="11"/>
      <c r="J11" s="6"/>
      <c r="K11" s="6"/>
      <c r="L11" s="12"/>
      <c r="M11" s="6"/>
      <c r="N11" s="8">
        <v>18829000</v>
      </c>
      <c r="O11" s="6">
        <v>2025</v>
      </c>
      <c r="P11" s="6" t="s">
        <v>1588</v>
      </c>
      <c r="Q11" s="12" t="s">
        <v>57</v>
      </c>
    </row>
    <row r="12" spans="1:17" ht="66" customHeight="1" x14ac:dyDescent="0.2">
      <c r="A12" s="6" t="s">
        <v>129</v>
      </c>
      <c r="B12" s="6" t="s">
        <v>130</v>
      </c>
      <c r="C12" s="6" t="s">
        <v>136</v>
      </c>
      <c r="D12" s="8">
        <f>COUNTIF('НПЗ Oilmap'!$B$2:$B$659,A12)</f>
        <v>2</v>
      </c>
      <c r="E12" s="8">
        <f>IF(F12&gt;0,SUMIF('НПЗ Oilmap'!$B$2:$B$659,A12,'НПЗ Oilmap'!$E$2:$E$659),"")</f>
        <v>240000</v>
      </c>
      <c r="F12" s="8">
        <f>SUMIF('НПЗ Oilmap'!$B$2:$B$659,A12,'НПЗ Oilmap'!$O$2:$O$659)</f>
        <v>2</v>
      </c>
      <c r="G12" s="8">
        <f t="shared" si="0"/>
        <v>0</v>
      </c>
      <c r="H12" s="8"/>
      <c r="I12" s="11"/>
      <c r="J12" s="6"/>
      <c r="K12" s="6"/>
      <c r="L12" s="12"/>
      <c r="M12" s="6"/>
      <c r="N12" s="8">
        <v>301000</v>
      </c>
      <c r="O12" s="6">
        <v>2025</v>
      </c>
      <c r="P12" s="6" t="s">
        <v>1588</v>
      </c>
      <c r="Q12" s="12" t="s">
        <v>57</v>
      </c>
    </row>
    <row r="13" spans="1:17" ht="66" customHeight="1" x14ac:dyDescent="0.2">
      <c r="A13" s="6" t="s">
        <v>137</v>
      </c>
      <c r="B13" s="6" t="s">
        <v>138</v>
      </c>
      <c r="C13" s="6" t="s">
        <v>142</v>
      </c>
      <c r="D13" s="8">
        <f>COUNTIF('НПЗ Oilmap'!$B$2:$B$659,A13)</f>
        <v>0</v>
      </c>
      <c r="E13" s="8" t="str">
        <f>IF(F13&gt;0,SUMIF('НПЗ Oilmap'!$B$2:$B$659,A13,'НПЗ Oilmap'!$E$2:$E$659),"")</f>
        <v/>
      </c>
      <c r="F13" s="8">
        <f>SUMIF('НПЗ Oilmap'!$B$2:$B$659,A13,'НПЗ Oilmap'!$O$2:$O$659)</f>
        <v>0</v>
      </c>
      <c r="G13" s="8">
        <f t="shared" si="0"/>
        <v>0</v>
      </c>
      <c r="H13" s="8"/>
      <c r="I13" s="11"/>
      <c r="J13" s="6"/>
      <c r="K13" s="6"/>
      <c r="L13" s="12"/>
      <c r="M13" s="6"/>
      <c r="N13" s="8"/>
      <c r="O13" s="6"/>
      <c r="P13" s="6"/>
      <c r="Q13" s="12" t="s">
        <v>83</v>
      </c>
    </row>
    <row r="14" spans="1:17" ht="66" customHeight="1" x14ac:dyDescent="0.2">
      <c r="A14" s="6" t="s">
        <v>143</v>
      </c>
      <c r="B14" s="6" t="s">
        <v>144</v>
      </c>
      <c r="C14" s="6" t="s">
        <v>149</v>
      </c>
      <c r="D14" s="8">
        <f>COUNTIF('НПЗ Oilmap'!$B$2:$B$659,A14)</f>
        <v>0</v>
      </c>
      <c r="E14" s="8" t="str">
        <f>IF(F14&gt;0,SUMIF('НПЗ Oilmap'!$B$2:$B$659,A14,'НПЗ Oilmap'!$E$2:$E$659),"")</f>
        <v/>
      </c>
      <c r="F14" s="8">
        <f>SUMIF('НПЗ Oilmap'!$B$2:$B$659,A14,'НПЗ Oilmap'!$O$2:$O$659)</f>
        <v>0</v>
      </c>
      <c r="G14" s="8">
        <f t="shared" si="0"/>
        <v>0</v>
      </c>
      <c r="H14" s="8"/>
      <c r="I14" s="11"/>
      <c r="J14" s="6"/>
      <c r="K14" s="6"/>
      <c r="L14" s="12"/>
      <c r="M14" s="6"/>
      <c r="N14" s="8"/>
      <c r="O14" s="6"/>
      <c r="P14" s="6"/>
      <c r="Q14" s="12" t="s">
        <v>83</v>
      </c>
    </row>
    <row r="15" spans="1:17" ht="66" customHeight="1" x14ac:dyDescent="0.2">
      <c r="A15" s="6" t="s">
        <v>150</v>
      </c>
      <c r="B15" s="6" t="s">
        <v>151</v>
      </c>
      <c r="C15" s="6" t="s">
        <v>156</v>
      </c>
      <c r="D15" s="8">
        <f>COUNTIF('НПЗ Oilmap'!$B$2:$B$659,A15)</f>
        <v>0</v>
      </c>
      <c r="E15" s="8" t="str">
        <f>IF(F15&gt;0,SUMIF('НПЗ Oilmap'!$B$2:$B$659,A15,'НПЗ Oilmap'!$E$2:$E$659),"")</f>
        <v/>
      </c>
      <c r="F15" s="8">
        <f>SUMIF('НПЗ Oilmap'!$B$2:$B$659,A15,'НПЗ Oilmap'!$O$2:$O$659)</f>
        <v>0</v>
      </c>
      <c r="G15" s="8">
        <f t="shared" si="0"/>
        <v>0</v>
      </c>
      <c r="H15" s="8"/>
      <c r="I15" s="11"/>
      <c r="J15" s="6"/>
      <c r="K15" s="6"/>
      <c r="L15" s="12"/>
      <c r="M15" s="6"/>
      <c r="N15" s="8"/>
      <c r="O15" s="6"/>
      <c r="P15" s="6"/>
      <c r="Q15" s="12" t="s">
        <v>83</v>
      </c>
    </row>
    <row r="16" spans="1:17" ht="66" customHeight="1" x14ac:dyDescent="0.2">
      <c r="A16" s="6" t="s">
        <v>157</v>
      </c>
      <c r="B16" s="6" t="s">
        <v>158</v>
      </c>
      <c r="C16" s="6" t="s">
        <v>162</v>
      </c>
      <c r="D16" s="8">
        <f>COUNTIF('НПЗ Oilmap'!$B$2:$B$659,A16)</f>
        <v>0</v>
      </c>
      <c r="E16" s="8" t="str">
        <f>IF(F16&gt;0,SUMIF('НПЗ Oilmap'!$B$2:$B$659,A16,'НПЗ Oilmap'!$E$2:$E$659),"")</f>
        <v/>
      </c>
      <c r="F16" s="8">
        <f>SUMIF('НПЗ Oilmap'!$B$2:$B$659,A16,'НПЗ Oilmap'!$O$2:$O$659)</f>
        <v>0</v>
      </c>
      <c r="G16" s="8">
        <f t="shared" si="0"/>
        <v>0</v>
      </c>
      <c r="H16" s="8"/>
      <c r="I16" s="11"/>
      <c r="J16" s="6"/>
      <c r="K16" s="6"/>
      <c r="L16" s="12"/>
      <c r="M16" s="6"/>
      <c r="N16" s="8"/>
      <c r="O16" s="6"/>
      <c r="P16" s="6"/>
      <c r="Q16" s="12" t="s">
        <v>83</v>
      </c>
    </row>
    <row r="17" spans="1:17" ht="66" customHeight="1" x14ac:dyDescent="0.2">
      <c r="A17" s="6" t="s">
        <v>163</v>
      </c>
      <c r="B17" s="6" t="s">
        <v>164</v>
      </c>
      <c r="C17" s="6" t="s">
        <v>168</v>
      </c>
      <c r="D17" s="8">
        <f>COUNTIF('НПЗ Oilmap'!$B$2:$B$659,A17)</f>
        <v>0</v>
      </c>
      <c r="E17" s="8" t="str">
        <f>IF(F17&gt;0,SUMIF('НПЗ Oilmap'!$B$2:$B$659,A17,'НПЗ Oilmap'!$E$2:$E$659),"")</f>
        <v/>
      </c>
      <c r="F17" s="8">
        <f>SUMIF('НПЗ Oilmap'!$B$2:$B$659,A17,'НПЗ Oilmap'!$O$2:$O$659)</f>
        <v>0</v>
      </c>
      <c r="G17" s="8">
        <f t="shared" si="0"/>
        <v>0</v>
      </c>
      <c r="H17" s="8"/>
      <c r="I17" s="11"/>
      <c r="J17" s="6"/>
      <c r="K17" s="6"/>
      <c r="L17" s="12"/>
      <c r="M17" s="6"/>
      <c r="N17" s="8"/>
      <c r="O17" s="6"/>
      <c r="P17" s="6"/>
      <c r="Q17" s="12" t="s">
        <v>83</v>
      </c>
    </row>
    <row r="18" spans="1:17" ht="66" customHeight="1" x14ac:dyDescent="0.2">
      <c r="A18" s="6" t="s">
        <v>169</v>
      </c>
      <c r="B18" s="6" t="s">
        <v>170</v>
      </c>
      <c r="C18" s="6" t="s">
        <v>175</v>
      </c>
      <c r="D18" s="8">
        <f>COUNTIF('НПЗ Oilmap'!$B$2:$B$659,A18)</f>
        <v>1</v>
      </c>
      <c r="E18" s="8">
        <f>IF(F18&gt;0,SUMIF('НПЗ Oilmap'!$B$2:$B$659,A18,'НПЗ Oilmap'!$E$2:$E$659),"")</f>
        <v>90000</v>
      </c>
      <c r="F18" s="8">
        <f>SUMIF('НПЗ Oilmap'!$B$2:$B$659,A18,'НПЗ Oilmap'!$O$2:$O$659)</f>
        <v>1</v>
      </c>
      <c r="G18" s="8">
        <f t="shared" si="0"/>
        <v>0</v>
      </c>
      <c r="H18" s="8"/>
      <c r="I18" s="11"/>
      <c r="J18" s="6"/>
      <c r="K18" s="6"/>
      <c r="L18" s="12"/>
      <c r="M18" s="6"/>
      <c r="N18" s="8"/>
      <c r="O18" s="6"/>
      <c r="P18" s="6"/>
      <c r="Q18" s="12" t="s">
        <v>83</v>
      </c>
    </row>
    <row r="19" spans="1:17" ht="66" customHeight="1" x14ac:dyDescent="0.2">
      <c r="A19" s="6" t="s">
        <v>176</v>
      </c>
      <c r="B19" s="6" t="s">
        <v>177</v>
      </c>
      <c r="C19" s="6" t="s">
        <v>182</v>
      </c>
      <c r="D19" s="8">
        <f>COUNTIF('НПЗ Oilmap'!$B$2:$B$659,A19)</f>
        <v>0</v>
      </c>
      <c r="E19" s="8" t="str">
        <f>IF(F19&gt;0,SUMIF('НПЗ Oilmap'!$B$2:$B$659,A19,'НПЗ Oilmap'!$E$2:$E$659),"")</f>
        <v/>
      </c>
      <c r="F19" s="8">
        <f>SUMIF('НПЗ Oilmap'!$B$2:$B$659,A19,'НПЗ Oilmap'!$O$2:$O$659)</f>
        <v>0</v>
      </c>
      <c r="G19" s="8">
        <f t="shared" si="0"/>
        <v>0</v>
      </c>
      <c r="H19" s="8"/>
      <c r="I19" s="11"/>
      <c r="J19" s="6"/>
      <c r="K19" s="6"/>
      <c r="L19" s="12"/>
      <c r="M19" s="6"/>
      <c r="N19" s="8"/>
      <c r="O19" s="6"/>
      <c r="P19" s="6"/>
      <c r="Q19" s="12" t="s">
        <v>83</v>
      </c>
    </row>
    <row r="20" spans="1:17" ht="66" customHeight="1" x14ac:dyDescent="0.2">
      <c r="A20" s="6" t="s">
        <v>183</v>
      </c>
      <c r="B20" s="6" t="s">
        <v>184</v>
      </c>
      <c r="C20" s="6" t="s">
        <v>189</v>
      </c>
      <c r="D20" s="8">
        <f>COUNTIF('НПЗ Oilmap'!$B$2:$B$659,A20)</f>
        <v>1</v>
      </c>
      <c r="E20" s="8">
        <f>IF(F20&gt;0,SUMIF('НПЗ Oilmap'!$B$2:$B$659,A20,'НПЗ Oilmap'!$E$2:$E$659),"")</f>
        <v>14900</v>
      </c>
      <c r="F20" s="8">
        <f>SUMIF('НПЗ Oilmap'!$B$2:$B$659,A20,'НПЗ Oilmap'!$O$2:$O$659)</f>
        <v>1</v>
      </c>
      <c r="G20" s="8">
        <f t="shared" si="0"/>
        <v>0</v>
      </c>
      <c r="H20" s="8"/>
      <c r="I20" s="11"/>
      <c r="J20" s="6"/>
      <c r="K20" s="6"/>
      <c r="L20" s="12"/>
      <c r="M20" s="6"/>
      <c r="N20" s="8"/>
      <c r="O20" s="6"/>
      <c r="P20" s="6"/>
      <c r="Q20" s="12" t="s">
        <v>83</v>
      </c>
    </row>
    <row r="21" spans="1:17" ht="66" customHeight="1" x14ac:dyDescent="0.2">
      <c r="A21" s="6" t="s">
        <v>190</v>
      </c>
      <c r="B21" s="6" t="s">
        <v>191</v>
      </c>
      <c r="C21" s="6" t="s">
        <v>195</v>
      </c>
      <c r="D21" s="8">
        <f>COUNTIF('НПЗ Oilmap'!$B$2:$B$659,A21)</f>
        <v>2</v>
      </c>
      <c r="E21" s="8">
        <f>IF(F21&gt;0,SUMIF('НПЗ Oilmap'!$B$2:$B$659,A21,'НПЗ Oilmap'!$E$2:$E$659),"")</f>
        <v>239865</v>
      </c>
      <c r="F21" s="8">
        <f>SUMIF('НПЗ Oilmap'!$B$2:$B$659,A21,'НПЗ Oilmap'!$O$2:$O$659)</f>
        <v>2</v>
      </c>
      <c r="G21" s="8">
        <f t="shared" si="0"/>
        <v>0</v>
      </c>
      <c r="H21" s="8"/>
      <c r="I21" s="11"/>
      <c r="J21" s="6"/>
      <c r="K21" s="6"/>
      <c r="L21" s="12"/>
      <c r="M21" s="6"/>
      <c r="N21" s="8"/>
      <c r="O21" s="6"/>
      <c r="P21" s="6"/>
      <c r="Q21" s="12" t="s">
        <v>83</v>
      </c>
    </row>
    <row r="22" spans="1:17" ht="66" customHeight="1" x14ac:dyDescent="0.2">
      <c r="A22" s="6" t="s">
        <v>196</v>
      </c>
      <c r="B22" s="6" t="s">
        <v>197</v>
      </c>
      <c r="C22" s="6" t="s">
        <v>46</v>
      </c>
      <c r="D22" s="8">
        <f>COUNTIF('НПЗ Oilmap'!$B$2:$B$659,A22)</f>
        <v>0</v>
      </c>
      <c r="E22" s="8" t="str">
        <f>IF(F22&gt;0,SUMIF('НПЗ Oilmap'!$B$2:$B$659,A22,'НПЗ Oilmap'!$E$2:$E$659),"")</f>
        <v/>
      </c>
      <c r="F22" s="8">
        <f>SUMIF('НПЗ Oilmap'!$B$2:$B$659,A22,'НПЗ Oilmap'!$O$2:$O$659)</f>
        <v>0</v>
      </c>
      <c r="G22" s="8">
        <f t="shared" si="0"/>
        <v>0</v>
      </c>
      <c r="H22" s="8"/>
      <c r="I22" s="11"/>
      <c r="J22" s="6"/>
      <c r="K22" s="6"/>
      <c r="L22" s="12"/>
      <c r="M22" s="6"/>
      <c r="N22" s="8"/>
      <c r="O22" s="6"/>
      <c r="P22" s="6"/>
      <c r="Q22" s="12" t="s">
        <v>83</v>
      </c>
    </row>
    <row r="23" spans="1:17" ht="66" customHeight="1" x14ac:dyDescent="0.2">
      <c r="A23" s="6" t="s">
        <v>199</v>
      </c>
      <c r="B23" s="6" t="s">
        <v>200</v>
      </c>
      <c r="C23" s="6" t="s">
        <v>205</v>
      </c>
      <c r="D23" s="8">
        <f>COUNTIF('НПЗ Oilmap'!$B$2:$B$659,A23)</f>
        <v>14</v>
      </c>
      <c r="E23" s="8">
        <f>IF(F23&gt;0,SUMIF('НПЗ Oilmap'!$B$2:$B$659,A23,'НПЗ Oilmap'!$E$2:$E$659),"")</f>
        <v>2075000</v>
      </c>
      <c r="F23" s="8">
        <f>SUMIF('НПЗ Oilmap'!$B$2:$B$659,A23,'НПЗ Oilmap'!$O$2:$O$659)</f>
        <v>13</v>
      </c>
      <c r="G23" s="8">
        <f t="shared" si="0"/>
        <v>1</v>
      </c>
      <c r="H23" s="8">
        <v>7</v>
      </c>
      <c r="I23" s="11">
        <v>1226800</v>
      </c>
      <c r="J23" s="6" t="s">
        <v>1593</v>
      </c>
      <c r="K23" s="6" t="s">
        <v>1537</v>
      </c>
      <c r="L23" s="12" t="s">
        <v>1594</v>
      </c>
      <c r="M23" s="6" t="s">
        <v>1595</v>
      </c>
      <c r="N23" s="8">
        <v>1133000</v>
      </c>
      <c r="O23" s="6">
        <v>2025</v>
      </c>
      <c r="P23" s="6" t="s">
        <v>1588</v>
      </c>
      <c r="Q23" s="12" t="s">
        <v>121</v>
      </c>
    </row>
    <row r="24" spans="1:17" ht="66" customHeight="1" x14ac:dyDescent="0.2">
      <c r="A24" s="6" t="s">
        <v>206</v>
      </c>
      <c r="B24" s="6" t="s">
        <v>207</v>
      </c>
      <c r="C24" s="6" t="s">
        <v>212</v>
      </c>
      <c r="D24" s="8">
        <f>COUNTIF('НПЗ Oilmap'!$B$2:$B$659,A24)</f>
        <v>1</v>
      </c>
      <c r="E24" s="8">
        <f>IF(F24&gt;0,SUMIF('НПЗ Oilmap'!$B$2:$B$659,A24,'НПЗ Oilmap'!$E$2:$E$659),"")</f>
        <v>7000</v>
      </c>
      <c r="F24" s="8">
        <f>SUMIF('НПЗ Oilmap'!$B$2:$B$659,A24,'НПЗ Oilmap'!$O$2:$O$659)</f>
        <v>1</v>
      </c>
      <c r="G24" s="8">
        <f t="shared" si="0"/>
        <v>0</v>
      </c>
      <c r="H24" s="8"/>
      <c r="I24" s="11"/>
      <c r="J24" s="6"/>
      <c r="K24" s="6"/>
      <c r="L24" s="12"/>
      <c r="M24" s="6"/>
      <c r="N24" s="8"/>
      <c r="O24" s="6"/>
      <c r="P24" s="6"/>
      <c r="Q24" s="12" t="s">
        <v>83</v>
      </c>
    </row>
    <row r="25" spans="1:17" ht="66" customHeight="1" x14ac:dyDescent="0.2">
      <c r="A25" s="6" t="s">
        <v>213</v>
      </c>
      <c r="B25" s="6" t="s">
        <v>214</v>
      </c>
      <c r="C25" s="6" t="s">
        <v>219</v>
      </c>
      <c r="D25" s="8">
        <f>COUNTIF('НПЗ Oilmap'!$B$2:$B$659,A25)</f>
        <v>0</v>
      </c>
      <c r="E25" s="8" t="str">
        <f>IF(F25&gt;0,SUMIF('НПЗ Oilmap'!$B$2:$B$659,A25,'НПЗ Oilmap'!$E$2:$E$659),"")</f>
        <v/>
      </c>
      <c r="F25" s="8">
        <f>SUMIF('НПЗ Oilmap'!$B$2:$B$659,A25,'НПЗ Oilmap'!$O$2:$O$659)</f>
        <v>0</v>
      </c>
      <c r="G25" s="8">
        <f t="shared" si="0"/>
        <v>0</v>
      </c>
      <c r="H25" s="8"/>
      <c r="I25" s="11"/>
      <c r="J25" s="6"/>
      <c r="K25" s="6"/>
      <c r="L25" s="12"/>
      <c r="M25" s="6"/>
      <c r="N25" s="8"/>
      <c r="O25" s="6"/>
      <c r="P25" s="6"/>
      <c r="Q25" s="12" t="s">
        <v>83</v>
      </c>
    </row>
    <row r="26" spans="1:17" ht="66" customHeight="1" x14ac:dyDescent="0.2">
      <c r="A26" s="6" t="s">
        <v>220</v>
      </c>
      <c r="B26" s="6" t="s">
        <v>221</v>
      </c>
      <c r="C26" s="6" t="s">
        <v>226</v>
      </c>
      <c r="D26" s="8">
        <f>COUNTIF('НПЗ Oilmap'!$B$2:$B$659,A26)</f>
        <v>6</v>
      </c>
      <c r="E26" s="8">
        <f>IF(F26&gt;0,SUMIF('НПЗ Oilmap'!$B$2:$B$659,A26,'НПЗ Oilmap'!$E$2:$E$659),"")</f>
        <v>2654500</v>
      </c>
      <c r="F26" s="8">
        <f>SUMIF('НПЗ Oilmap'!$B$2:$B$659,A26,'НПЗ Oilmap'!$O$2:$O$659)</f>
        <v>6</v>
      </c>
      <c r="G26" s="8">
        <f t="shared" si="0"/>
        <v>0</v>
      </c>
      <c r="H26" s="8"/>
      <c r="I26" s="11"/>
      <c r="J26" s="6"/>
      <c r="K26" s="6"/>
      <c r="L26" s="12"/>
      <c r="M26" s="6"/>
      <c r="N26" s="8">
        <v>3570000</v>
      </c>
      <c r="O26" s="6">
        <v>2025</v>
      </c>
      <c r="P26" s="6" t="s">
        <v>1588</v>
      </c>
      <c r="Q26" s="12" t="s">
        <v>57</v>
      </c>
    </row>
    <row r="27" spans="1:17" ht="66" customHeight="1" x14ac:dyDescent="0.2">
      <c r="A27" s="6" t="s">
        <v>227</v>
      </c>
      <c r="B27" s="6" t="s">
        <v>228</v>
      </c>
      <c r="C27" s="6" t="s">
        <v>231</v>
      </c>
      <c r="D27" s="8">
        <f>COUNTIF('НПЗ Oilmap'!$B$2:$B$659,A27)</f>
        <v>2</v>
      </c>
      <c r="E27" s="8">
        <f>IF(F27&gt;0,SUMIF('НПЗ Oilmap'!$B$2:$B$659,A27,'НПЗ Oilmap'!$E$2:$E$659),"")</f>
        <v>45000</v>
      </c>
      <c r="F27" s="8">
        <f>SUMIF('НПЗ Oilmap'!$B$2:$B$659,A27,'НПЗ Oilmap'!$O$2:$O$659)</f>
        <v>1</v>
      </c>
      <c r="G27" s="8">
        <f t="shared" si="0"/>
        <v>1</v>
      </c>
      <c r="H27" s="8"/>
      <c r="I27" s="11"/>
      <c r="J27" s="6"/>
      <c r="K27" s="6"/>
      <c r="L27" s="12"/>
      <c r="M27" s="6"/>
      <c r="N27" s="8"/>
      <c r="O27" s="6"/>
      <c r="P27" s="6"/>
      <c r="Q27" s="12" t="s">
        <v>83</v>
      </c>
    </row>
    <row r="28" spans="1:17" ht="66" customHeight="1" x14ac:dyDescent="0.2">
      <c r="A28" s="6" t="s">
        <v>232</v>
      </c>
      <c r="B28" s="6" t="s">
        <v>233</v>
      </c>
      <c r="C28" s="6" t="s">
        <v>238</v>
      </c>
      <c r="D28" s="8">
        <f>COUNTIF('НПЗ Oilmap'!$B$2:$B$659,A28)</f>
        <v>2</v>
      </c>
      <c r="E28" s="8">
        <f>IF(F28&gt;0,SUMIF('НПЗ Oilmap'!$B$2:$B$659,A28,'НПЗ Oilmap'!$E$2:$E$659),"")</f>
        <v>154900</v>
      </c>
      <c r="F28" s="8">
        <f>SUMIF('НПЗ Oilmap'!$B$2:$B$659,A28,'НПЗ Oilmap'!$O$2:$O$659)</f>
        <v>2</v>
      </c>
      <c r="G28" s="8">
        <f t="shared" si="0"/>
        <v>0</v>
      </c>
      <c r="H28" s="8"/>
      <c r="I28" s="11"/>
      <c r="J28" s="6"/>
      <c r="K28" s="6"/>
      <c r="L28" s="12"/>
      <c r="M28" s="6"/>
      <c r="N28" s="8"/>
      <c r="O28" s="6"/>
      <c r="P28" s="6"/>
      <c r="Q28" s="12" t="s">
        <v>83</v>
      </c>
    </row>
    <row r="29" spans="1:17" ht="66" customHeight="1" x14ac:dyDescent="0.2">
      <c r="A29" s="6" t="s">
        <v>239</v>
      </c>
      <c r="B29" s="6" t="s">
        <v>240</v>
      </c>
      <c r="C29" s="6" t="s">
        <v>243</v>
      </c>
      <c r="D29" s="8">
        <f>COUNTIF('НПЗ Oilmap'!$B$2:$B$659,A29)</f>
        <v>0</v>
      </c>
      <c r="E29" s="8" t="str">
        <f>IF(F29&gt;0,SUMIF('НПЗ Oilmap'!$B$2:$B$659,A29,'НПЗ Oilmap'!$E$2:$E$659),"")</f>
        <v/>
      </c>
      <c r="F29" s="8">
        <f>SUMIF('НПЗ Oilmap'!$B$2:$B$659,A29,'НПЗ Oilmap'!$O$2:$O$659)</f>
        <v>0</v>
      </c>
      <c r="G29" s="8">
        <f t="shared" si="0"/>
        <v>0</v>
      </c>
      <c r="H29" s="8"/>
      <c r="I29" s="11"/>
      <c r="J29" s="6"/>
      <c r="K29" s="6"/>
      <c r="L29" s="12"/>
      <c r="M29" s="6"/>
      <c r="N29" s="8"/>
      <c r="O29" s="6"/>
      <c r="P29" s="6"/>
      <c r="Q29" s="12" t="s">
        <v>83</v>
      </c>
    </row>
    <row r="30" spans="1:17" ht="66" customHeight="1" x14ac:dyDescent="0.2">
      <c r="A30" s="6" t="s">
        <v>244</v>
      </c>
      <c r="B30" s="6" t="s">
        <v>245</v>
      </c>
      <c r="C30" s="6" t="s">
        <v>250</v>
      </c>
      <c r="D30" s="8">
        <f>COUNTIF('НПЗ Oilmap'!$B$2:$B$659,A30)</f>
        <v>1</v>
      </c>
      <c r="E30" s="8">
        <f>IF(F30&gt;0,SUMIF('НПЗ Oilmap'!$B$2:$B$659,A30,'НПЗ Oilmap'!$E$2:$E$659),"")</f>
        <v>25000</v>
      </c>
      <c r="F30" s="8">
        <f>SUMIF('НПЗ Oilmap'!$B$2:$B$659,A30,'НПЗ Oilmap'!$O$2:$O$659)</f>
        <v>1</v>
      </c>
      <c r="G30" s="8">
        <f t="shared" si="0"/>
        <v>0</v>
      </c>
      <c r="H30" s="8"/>
      <c r="I30" s="11"/>
      <c r="J30" s="6"/>
      <c r="K30" s="6"/>
      <c r="L30" s="12"/>
      <c r="M30" s="6"/>
      <c r="N30" s="8"/>
      <c r="O30" s="6"/>
      <c r="P30" s="6"/>
      <c r="Q30" s="12" t="s">
        <v>83</v>
      </c>
    </row>
    <row r="31" spans="1:17" ht="66" customHeight="1" x14ac:dyDescent="0.2">
      <c r="A31" s="6" t="s">
        <v>251</v>
      </c>
      <c r="B31" s="6" t="s">
        <v>252</v>
      </c>
      <c r="C31" s="6" t="s">
        <v>257</v>
      </c>
      <c r="D31" s="8">
        <f>COUNTIF('НПЗ Oilmap'!$B$2:$B$659,A31)</f>
        <v>1</v>
      </c>
      <c r="E31" s="8">
        <f>IF(F31&gt;0,SUMIF('НПЗ Oilmap'!$B$2:$B$659,A31,'НПЗ Oilmap'!$E$2:$E$659),"")</f>
        <v>20000</v>
      </c>
      <c r="F31" s="8">
        <f>SUMIF('НПЗ Oilmap'!$B$2:$B$659,A31,'НПЗ Oilmap'!$O$2:$O$659)</f>
        <v>1</v>
      </c>
      <c r="G31" s="8">
        <f t="shared" si="0"/>
        <v>0</v>
      </c>
      <c r="H31" s="8"/>
      <c r="I31" s="11"/>
      <c r="J31" s="6"/>
      <c r="K31" s="6"/>
      <c r="L31" s="12"/>
      <c r="M31" s="6"/>
      <c r="N31" s="8"/>
      <c r="O31" s="6"/>
      <c r="P31" s="6"/>
      <c r="Q31" s="12" t="s">
        <v>83</v>
      </c>
    </row>
    <row r="32" spans="1:17" ht="66" customHeight="1" x14ac:dyDescent="0.2">
      <c r="A32" s="6" t="s">
        <v>258</v>
      </c>
      <c r="B32" s="6" t="s">
        <v>259</v>
      </c>
      <c r="C32" s="6" t="s">
        <v>263</v>
      </c>
      <c r="D32" s="8">
        <f>COUNTIF('НПЗ Oilmap'!$B$2:$B$659,A32)</f>
        <v>1</v>
      </c>
      <c r="E32" s="8">
        <f>IF(F32&gt;0,SUMIF('НПЗ Oilmap'!$B$2:$B$659,A32,'НПЗ Oilmap'!$E$2:$E$659),"")</f>
        <v>21000</v>
      </c>
      <c r="F32" s="8">
        <f>SUMIF('НПЗ Oilmap'!$B$2:$B$659,A32,'НПЗ Oilmap'!$O$2:$O$659)</f>
        <v>1</v>
      </c>
      <c r="G32" s="8">
        <f t="shared" si="0"/>
        <v>0</v>
      </c>
      <c r="H32" s="8"/>
      <c r="I32" s="11"/>
      <c r="J32" s="6"/>
      <c r="K32" s="6"/>
      <c r="L32" s="12"/>
      <c r="M32" s="6"/>
      <c r="N32" s="8"/>
      <c r="O32" s="6"/>
      <c r="P32" s="6"/>
      <c r="Q32" s="12" t="s">
        <v>83</v>
      </c>
    </row>
    <row r="33" spans="1:17" ht="66" customHeight="1" x14ac:dyDescent="0.2">
      <c r="A33" s="6" t="s">
        <v>264</v>
      </c>
      <c r="B33" s="6" t="s">
        <v>265</v>
      </c>
      <c r="C33" s="6" t="s">
        <v>270</v>
      </c>
      <c r="D33" s="8">
        <f>COUNTIF('НПЗ Oilmap'!$B$2:$B$659,A33)</f>
        <v>0</v>
      </c>
      <c r="E33" s="8" t="str">
        <f>IF(F33&gt;0,SUMIF('НПЗ Oilmap'!$B$2:$B$659,A33,'НПЗ Oilmap'!$E$2:$E$659),"")</f>
        <v/>
      </c>
      <c r="F33" s="8">
        <f>SUMIF('НПЗ Oilmap'!$B$2:$B$659,A33,'НПЗ Oilmap'!$O$2:$O$659)</f>
        <v>0</v>
      </c>
      <c r="G33" s="8">
        <f t="shared" si="0"/>
        <v>0</v>
      </c>
      <c r="H33" s="8"/>
      <c r="I33" s="11"/>
      <c r="J33" s="6"/>
      <c r="K33" s="6"/>
      <c r="L33" s="12"/>
      <c r="M33" s="6"/>
      <c r="N33" s="8"/>
      <c r="O33" s="6"/>
      <c r="P33" s="6"/>
      <c r="Q33" s="12" t="s">
        <v>83</v>
      </c>
    </row>
    <row r="34" spans="1:17" ht="66" customHeight="1" x14ac:dyDescent="0.2">
      <c r="A34" s="6" t="s">
        <v>271</v>
      </c>
      <c r="B34" s="6" t="s">
        <v>272</v>
      </c>
      <c r="C34" s="6" t="s">
        <v>277</v>
      </c>
      <c r="D34" s="8">
        <f>COUNTIF('НПЗ Oilmap'!$B$2:$B$659,A34)</f>
        <v>0</v>
      </c>
      <c r="E34" s="8" t="str">
        <f>IF(F34&gt;0,SUMIF('НПЗ Oilmap'!$B$2:$B$659,A34,'НПЗ Oilmap'!$E$2:$E$659),"")</f>
        <v/>
      </c>
      <c r="F34" s="8">
        <f>SUMIF('НПЗ Oilmap'!$B$2:$B$659,A34,'НПЗ Oilmap'!$O$2:$O$659)</f>
        <v>0</v>
      </c>
      <c r="G34" s="8">
        <f t="shared" si="0"/>
        <v>0</v>
      </c>
      <c r="H34" s="8"/>
      <c r="I34" s="11"/>
      <c r="J34" s="6"/>
      <c r="K34" s="6"/>
      <c r="L34" s="12"/>
      <c r="M34" s="6"/>
      <c r="N34" s="8"/>
      <c r="O34" s="6"/>
      <c r="P34" s="6"/>
      <c r="Q34" s="12" t="s">
        <v>83</v>
      </c>
    </row>
    <row r="35" spans="1:17" ht="66" customHeight="1" x14ac:dyDescent="0.2">
      <c r="A35" s="6" t="s">
        <v>278</v>
      </c>
      <c r="B35" s="6" t="s">
        <v>279</v>
      </c>
      <c r="C35" s="6" t="s">
        <v>284</v>
      </c>
      <c r="D35" s="8">
        <f>COUNTIF('НПЗ Oilmap'!$B$2:$B$659,A35)</f>
        <v>6</v>
      </c>
      <c r="E35" s="8">
        <f>IF(F35&gt;0,SUMIF('НПЗ Oilmap'!$B$2:$B$659,A35,'НПЗ Oilmap'!$E$2:$E$659),"")</f>
        <v>685000</v>
      </c>
      <c r="F35" s="8">
        <f>SUMIF('НПЗ Oilmap'!$B$2:$B$659,A35,'НПЗ Oilmap'!$O$2:$O$659)</f>
        <v>6</v>
      </c>
      <c r="G35" s="8">
        <f t="shared" si="0"/>
        <v>0</v>
      </c>
      <c r="H35" s="8"/>
      <c r="I35" s="11"/>
      <c r="J35" s="6"/>
      <c r="K35" s="6"/>
      <c r="L35" s="12"/>
      <c r="M35" s="6"/>
      <c r="N35" s="8">
        <v>10000</v>
      </c>
      <c r="O35" s="6">
        <v>2025</v>
      </c>
      <c r="P35" s="6" t="s">
        <v>1588</v>
      </c>
      <c r="Q35" s="12" t="s">
        <v>57</v>
      </c>
    </row>
    <row r="36" spans="1:17" ht="66" customHeight="1" x14ac:dyDescent="0.2">
      <c r="A36" s="6" t="s">
        <v>285</v>
      </c>
      <c r="B36" s="6" t="s">
        <v>286</v>
      </c>
      <c r="C36" s="6" t="s">
        <v>291</v>
      </c>
      <c r="D36" s="8">
        <f>COUNTIF('НПЗ Oilmap'!$B$2:$B$659,A36)</f>
        <v>2</v>
      </c>
      <c r="E36" s="8">
        <f>IF(F36&gt;0,SUMIF('НПЗ Oilmap'!$B$2:$B$659,A36,'НПЗ Oilmap'!$E$2:$E$659),"")</f>
        <v>183000</v>
      </c>
      <c r="F36" s="8">
        <f>SUMIF('НПЗ Oilmap'!$B$2:$B$659,A36,'НПЗ Oilmap'!$O$2:$O$659)</f>
        <v>2</v>
      </c>
      <c r="G36" s="8">
        <f t="shared" si="0"/>
        <v>0</v>
      </c>
      <c r="H36" s="8"/>
      <c r="I36" s="11"/>
      <c r="J36" s="6"/>
      <c r="K36" s="6"/>
      <c r="L36" s="12"/>
      <c r="M36" s="6"/>
      <c r="N36" s="8">
        <v>500000</v>
      </c>
      <c r="O36" s="6">
        <v>2025</v>
      </c>
      <c r="P36" s="6" t="s">
        <v>1588</v>
      </c>
      <c r="Q36" s="12" t="s">
        <v>57</v>
      </c>
    </row>
    <row r="37" spans="1:17" ht="66" customHeight="1" x14ac:dyDescent="0.2">
      <c r="A37" s="6" t="s">
        <v>292</v>
      </c>
      <c r="B37" s="6" t="s">
        <v>293</v>
      </c>
      <c r="C37" s="6" t="s">
        <v>298</v>
      </c>
      <c r="D37" s="8">
        <f>COUNTIF('НПЗ Oilmap'!$B$2:$B$659,A37)</f>
        <v>0</v>
      </c>
      <c r="E37" s="8" t="str">
        <f>IF(F37&gt;0,SUMIF('НПЗ Oilmap'!$B$2:$B$659,A37,'НПЗ Oilmap'!$E$2:$E$659),"")</f>
        <v/>
      </c>
      <c r="F37" s="8">
        <f>SUMIF('НПЗ Oilmap'!$B$2:$B$659,A37,'НПЗ Oilmap'!$O$2:$O$659)</f>
        <v>0</v>
      </c>
      <c r="G37" s="8">
        <f t="shared" si="0"/>
        <v>0</v>
      </c>
      <c r="H37" s="8"/>
      <c r="I37" s="11"/>
      <c r="J37" s="6"/>
      <c r="K37" s="6"/>
      <c r="L37" s="12"/>
      <c r="M37" s="6"/>
      <c r="N37" s="8"/>
      <c r="O37" s="6"/>
      <c r="P37" s="6"/>
      <c r="Q37" s="12" t="s">
        <v>83</v>
      </c>
    </row>
    <row r="38" spans="1:17" ht="66" customHeight="1" x14ac:dyDescent="0.2">
      <c r="A38" s="6" t="s">
        <v>299</v>
      </c>
      <c r="B38" s="6" t="s">
        <v>300</v>
      </c>
      <c r="C38" s="6" t="s">
        <v>305</v>
      </c>
      <c r="D38" s="8">
        <f>COUNTIF('НПЗ Oilmap'!$B$2:$B$659,A38)</f>
        <v>4</v>
      </c>
      <c r="E38" s="8">
        <f>IF(F38&gt;0,SUMIF('НПЗ Oilmap'!$B$2:$B$659,A38,'НПЗ Oilmap'!$E$2:$E$659),"")</f>
        <v>496500</v>
      </c>
      <c r="F38" s="8">
        <f>SUMIF('НПЗ Oilmap'!$B$2:$B$659,A38,'НПЗ Oilmap'!$O$2:$O$659)</f>
        <v>4</v>
      </c>
      <c r="G38" s="8">
        <f t="shared" si="0"/>
        <v>0</v>
      </c>
      <c r="H38" s="8"/>
      <c r="I38" s="11"/>
      <c r="J38" s="6"/>
      <c r="K38" s="6"/>
      <c r="L38" s="12"/>
      <c r="M38" s="6"/>
      <c r="N38" s="8">
        <v>209000</v>
      </c>
      <c r="O38" s="6">
        <v>2025</v>
      </c>
      <c r="P38" s="6" t="s">
        <v>1588</v>
      </c>
      <c r="Q38" s="12" t="s">
        <v>57</v>
      </c>
    </row>
    <row r="39" spans="1:17" ht="66" customHeight="1" x14ac:dyDescent="0.2">
      <c r="A39" s="6" t="s">
        <v>306</v>
      </c>
      <c r="B39" s="6" t="s">
        <v>307</v>
      </c>
      <c r="C39" s="6" t="s">
        <v>309</v>
      </c>
      <c r="D39" s="8">
        <f>COUNTIF('НПЗ Oilmap'!$B$2:$B$659,A39)</f>
        <v>0</v>
      </c>
      <c r="E39" s="8" t="str">
        <f>IF(F39&gt;0,SUMIF('НПЗ Oilmap'!$B$2:$B$659,A39,'НПЗ Oilmap'!$E$2:$E$659),"")</f>
        <v/>
      </c>
      <c r="F39" s="8">
        <f>SUMIF('НПЗ Oilmap'!$B$2:$B$659,A39,'НПЗ Oilmap'!$O$2:$O$659)</f>
        <v>0</v>
      </c>
      <c r="G39" s="8">
        <f t="shared" si="0"/>
        <v>0</v>
      </c>
      <c r="H39" s="8"/>
      <c r="I39" s="11"/>
      <c r="J39" s="6"/>
      <c r="K39" s="6"/>
      <c r="L39" s="12"/>
      <c r="M39" s="6"/>
      <c r="N39" s="8"/>
      <c r="O39" s="6"/>
      <c r="P39" s="6"/>
      <c r="Q39" s="12" t="s">
        <v>83</v>
      </c>
    </row>
    <row r="40" spans="1:17" ht="66" customHeight="1" x14ac:dyDescent="0.2">
      <c r="A40" s="6" t="s">
        <v>310</v>
      </c>
      <c r="B40" s="6" t="s">
        <v>311</v>
      </c>
      <c r="C40" s="6" t="s">
        <v>314</v>
      </c>
      <c r="D40" s="8">
        <f>COUNTIF('НПЗ Oilmap'!$B$2:$B$659,A40)</f>
        <v>0</v>
      </c>
      <c r="E40" s="8" t="str">
        <f>IF(F40&gt;0,SUMIF('НПЗ Oilmap'!$B$2:$B$659,A40,'НПЗ Oilmap'!$E$2:$E$659),"")</f>
        <v/>
      </c>
      <c r="F40" s="8">
        <f>SUMIF('НПЗ Oilmap'!$B$2:$B$659,A40,'НПЗ Oilmap'!$O$2:$O$659)</f>
        <v>0</v>
      </c>
      <c r="G40" s="8">
        <f t="shared" si="0"/>
        <v>0</v>
      </c>
      <c r="H40" s="8"/>
      <c r="I40" s="11"/>
      <c r="J40" s="6"/>
      <c r="K40" s="6"/>
      <c r="L40" s="12"/>
      <c r="M40" s="6"/>
      <c r="N40" s="8"/>
      <c r="O40" s="6"/>
      <c r="P40" s="6"/>
      <c r="Q40" s="12" t="s">
        <v>83</v>
      </c>
    </row>
    <row r="41" spans="1:17" ht="66" customHeight="1" x14ac:dyDescent="0.2">
      <c r="A41" s="6" t="s">
        <v>315</v>
      </c>
      <c r="B41" s="6" t="s">
        <v>316</v>
      </c>
      <c r="C41" s="6" t="s">
        <v>321</v>
      </c>
      <c r="D41" s="8">
        <f>COUNTIF('НПЗ Oilmap'!$B$2:$B$659,A41)</f>
        <v>1</v>
      </c>
      <c r="E41" s="8">
        <f>IF(F41&gt;0,SUMIF('НПЗ Oilmap'!$B$2:$B$659,A41,'НПЗ Oilmap'!$E$2:$E$659),"")</f>
        <v>106000</v>
      </c>
      <c r="F41" s="8">
        <f>SUMIF('НПЗ Oilmap'!$B$2:$B$659,A41,'НПЗ Oilmap'!$O$2:$O$659)</f>
        <v>1</v>
      </c>
      <c r="G41" s="8">
        <f t="shared" si="0"/>
        <v>0</v>
      </c>
      <c r="H41" s="8"/>
      <c r="I41" s="11"/>
      <c r="J41" s="6"/>
      <c r="K41" s="6"/>
      <c r="L41" s="12"/>
      <c r="M41" s="6"/>
      <c r="N41" s="8">
        <v>564000</v>
      </c>
      <c r="O41" s="6">
        <v>2025</v>
      </c>
      <c r="P41" s="6" t="s">
        <v>1588</v>
      </c>
      <c r="Q41" s="12" t="s">
        <v>57</v>
      </c>
    </row>
    <row r="42" spans="1:17" ht="66" customHeight="1" x14ac:dyDescent="0.2">
      <c r="A42" s="6" t="s">
        <v>322</v>
      </c>
      <c r="B42" s="6" t="s">
        <v>323</v>
      </c>
      <c r="C42" s="6" t="s">
        <v>328</v>
      </c>
      <c r="D42" s="8">
        <f>COUNTIF('НПЗ Oilmap'!$B$2:$B$659,A42)</f>
        <v>3</v>
      </c>
      <c r="E42" s="8">
        <f>IF(F42&gt;0,SUMIF('НПЗ Oilmap'!$B$2:$B$659,A42,'НПЗ Oilmap'!$E$2:$E$659),"")</f>
        <v>66000</v>
      </c>
      <c r="F42" s="8">
        <f>SUMIF('НПЗ Oilmap'!$B$2:$B$659,A42,'НПЗ Oilmap'!$O$2:$O$659)</f>
        <v>1</v>
      </c>
      <c r="G42" s="8">
        <f t="shared" si="0"/>
        <v>2</v>
      </c>
      <c r="H42" s="8"/>
      <c r="I42" s="11"/>
      <c r="J42" s="6"/>
      <c r="K42" s="6"/>
      <c r="L42" s="12"/>
      <c r="M42" s="6"/>
      <c r="N42" s="8">
        <v>232000</v>
      </c>
      <c r="O42" s="6">
        <v>2025</v>
      </c>
      <c r="P42" s="6" t="s">
        <v>1588</v>
      </c>
      <c r="Q42" s="12" t="s">
        <v>57</v>
      </c>
    </row>
    <row r="43" spans="1:17" ht="66" customHeight="1" x14ac:dyDescent="0.2">
      <c r="A43" s="6" t="s">
        <v>329</v>
      </c>
      <c r="B43" s="6" t="s">
        <v>330</v>
      </c>
      <c r="C43" s="6" t="s">
        <v>335</v>
      </c>
      <c r="D43" s="8">
        <f>COUNTIF('НПЗ Oilmap'!$B$2:$B$659,A43)</f>
        <v>3</v>
      </c>
      <c r="E43" s="8">
        <f>IF(F43&gt;0,SUMIF('НПЗ Oilmap'!$B$2:$B$659,A43,'НПЗ Oilmap'!$E$2:$E$659),"")</f>
        <v>427066</v>
      </c>
      <c r="F43" s="8">
        <f>SUMIF('НПЗ Oilmap'!$B$2:$B$659,A43,'НПЗ Oilmap'!$O$2:$O$659)</f>
        <v>3</v>
      </c>
      <c r="G43" s="8">
        <f t="shared" si="0"/>
        <v>0</v>
      </c>
      <c r="H43" s="8">
        <v>4</v>
      </c>
      <c r="I43" s="11">
        <v>19</v>
      </c>
      <c r="J43" s="6" t="s">
        <v>1589</v>
      </c>
      <c r="K43" s="6" t="s">
        <v>1537</v>
      </c>
      <c r="L43" s="12" t="s">
        <v>1596</v>
      </c>
      <c r="M43" s="6" t="s">
        <v>1597</v>
      </c>
      <c r="N43" s="8">
        <v>420000</v>
      </c>
      <c r="O43" s="6">
        <v>2025</v>
      </c>
      <c r="P43" s="6" t="s">
        <v>1588</v>
      </c>
      <c r="Q43" s="12" t="s">
        <v>121</v>
      </c>
    </row>
    <row r="44" spans="1:17" ht="66" customHeight="1" x14ac:dyDescent="0.2">
      <c r="A44" s="6" t="s">
        <v>336</v>
      </c>
      <c r="B44" s="6" t="s">
        <v>337</v>
      </c>
      <c r="C44" s="6" t="s">
        <v>341</v>
      </c>
      <c r="D44" s="8">
        <f>COUNTIF('НПЗ Oilmap'!$B$2:$B$659,A44)</f>
        <v>0</v>
      </c>
      <c r="E44" s="8" t="str">
        <f>IF(F44&gt;0,SUMIF('НПЗ Oilmap'!$B$2:$B$659,A44,'НПЗ Oilmap'!$E$2:$E$659),"")</f>
        <v/>
      </c>
      <c r="F44" s="8">
        <f>SUMIF('НПЗ Oilmap'!$B$2:$B$659,A44,'НПЗ Oilmap'!$O$2:$O$659)</f>
        <v>0</v>
      </c>
      <c r="G44" s="8">
        <f t="shared" si="0"/>
        <v>0</v>
      </c>
      <c r="H44" s="8"/>
      <c r="I44" s="11"/>
      <c r="J44" s="6"/>
      <c r="K44" s="6"/>
      <c r="L44" s="12"/>
      <c r="M44" s="6"/>
      <c r="N44" s="8"/>
      <c r="O44" s="6"/>
      <c r="P44" s="6"/>
      <c r="Q44" s="12" t="s">
        <v>83</v>
      </c>
    </row>
    <row r="45" spans="1:17" ht="66" customHeight="1" x14ac:dyDescent="0.2">
      <c r="A45" s="6" t="s">
        <v>342</v>
      </c>
      <c r="B45" s="6" t="s">
        <v>343</v>
      </c>
      <c r="C45" s="6" t="s">
        <v>348</v>
      </c>
      <c r="D45" s="8">
        <f>COUNTIF('НПЗ Oilmap'!$B$2:$B$659,A45)</f>
        <v>1</v>
      </c>
      <c r="E45" s="8">
        <f>IF(F45&gt;0,SUMIF('НПЗ Oilmap'!$B$2:$B$659,A45,'НПЗ Oilmap'!$E$2:$E$659),"")</f>
        <v>263000</v>
      </c>
      <c r="F45" s="8">
        <f>SUMIF('НПЗ Oilmap'!$B$2:$B$659,A45,'НПЗ Oilmap'!$O$2:$O$659)</f>
        <v>1</v>
      </c>
      <c r="G45" s="8">
        <f t="shared" si="0"/>
        <v>0</v>
      </c>
      <c r="H45" s="8">
        <v>1</v>
      </c>
      <c r="I45" s="11">
        <v>204000</v>
      </c>
      <c r="J45" s="6" t="s">
        <v>1593</v>
      </c>
      <c r="K45" s="6" t="s">
        <v>1537</v>
      </c>
      <c r="L45" s="12" t="s">
        <v>1594</v>
      </c>
      <c r="M45" s="6" t="s">
        <v>1595</v>
      </c>
      <c r="N45" s="8">
        <v>204000</v>
      </c>
      <c r="O45" s="6">
        <v>2025</v>
      </c>
      <c r="P45" s="6" t="s">
        <v>1588</v>
      </c>
      <c r="Q45" s="12" t="s">
        <v>121</v>
      </c>
    </row>
    <row r="46" spans="1:17" ht="66" customHeight="1" x14ac:dyDescent="0.2">
      <c r="A46" s="6" t="s">
        <v>349</v>
      </c>
      <c r="B46" s="6" t="s">
        <v>350</v>
      </c>
      <c r="C46" s="6" t="s">
        <v>355</v>
      </c>
      <c r="D46" s="8">
        <f>COUNTIF('НПЗ Oilmap'!$B$2:$B$659,A46)</f>
        <v>13</v>
      </c>
      <c r="E46" s="8">
        <f>IF(F46&gt;0,SUMIF('НПЗ Oilmap'!$B$2:$B$659,A46,'НПЗ Oilmap'!$E$2:$E$659),"")</f>
        <v>1972500</v>
      </c>
      <c r="F46" s="8">
        <f>SUMIF('НПЗ Oilmap'!$B$2:$B$659,A46,'НПЗ Oilmap'!$O$2:$O$659)</f>
        <v>13</v>
      </c>
      <c r="G46" s="8">
        <f t="shared" si="0"/>
        <v>0</v>
      </c>
      <c r="H46" s="8"/>
      <c r="I46" s="11"/>
      <c r="J46" s="6"/>
      <c r="K46" s="6"/>
      <c r="L46" s="12"/>
      <c r="M46" s="6"/>
      <c r="N46" s="8">
        <v>2296000</v>
      </c>
      <c r="O46" s="6">
        <v>2025</v>
      </c>
      <c r="P46" s="6" t="s">
        <v>1588</v>
      </c>
      <c r="Q46" s="12" t="s">
        <v>57</v>
      </c>
    </row>
    <row r="47" spans="1:17" ht="66" customHeight="1" x14ac:dyDescent="0.2">
      <c r="A47" s="6" t="s">
        <v>356</v>
      </c>
      <c r="B47" s="6" t="s">
        <v>357</v>
      </c>
      <c r="C47" s="6" t="s">
        <v>361</v>
      </c>
      <c r="D47" s="8">
        <f>COUNTIF('НПЗ Oilmap'!$B$2:$B$659,A47)</f>
        <v>1</v>
      </c>
      <c r="E47" s="8">
        <f>IF(F47&gt;0,SUMIF('НПЗ Oilmap'!$B$2:$B$659,A47,'НПЗ Oilmap'!$E$2:$E$659),"")</f>
        <v>40000</v>
      </c>
      <c r="F47" s="8">
        <f>SUMIF('НПЗ Oilmap'!$B$2:$B$659,A47,'НПЗ Oilmap'!$O$2:$O$659)</f>
        <v>1</v>
      </c>
      <c r="G47" s="8">
        <f t="shared" si="0"/>
        <v>0</v>
      </c>
      <c r="H47" s="8"/>
      <c r="I47" s="11"/>
      <c r="J47" s="6"/>
      <c r="K47" s="6"/>
      <c r="L47" s="12"/>
      <c r="M47" s="6"/>
      <c r="N47" s="8"/>
      <c r="O47" s="6"/>
      <c r="P47" s="6"/>
      <c r="Q47" s="12" t="s">
        <v>83</v>
      </c>
    </row>
    <row r="48" spans="1:17" ht="66" customHeight="1" x14ac:dyDescent="0.2">
      <c r="A48" s="6" t="s">
        <v>362</v>
      </c>
      <c r="B48" s="6" t="s">
        <v>363</v>
      </c>
      <c r="C48" s="6" t="s">
        <v>367</v>
      </c>
      <c r="D48" s="8">
        <f>COUNTIF('НПЗ Oilmap'!$B$2:$B$659,A48)</f>
        <v>0</v>
      </c>
      <c r="E48" s="8" t="str">
        <f>IF(F48&gt;0,SUMIF('НПЗ Oilmap'!$B$2:$B$659,A48,'НПЗ Oilmap'!$E$2:$E$659),"")</f>
        <v/>
      </c>
      <c r="F48" s="8">
        <f>SUMIF('НПЗ Oilmap'!$B$2:$B$659,A48,'НПЗ Oilmap'!$O$2:$O$659)</f>
        <v>0</v>
      </c>
      <c r="G48" s="8">
        <f t="shared" si="0"/>
        <v>0</v>
      </c>
      <c r="H48" s="8"/>
      <c r="I48" s="11"/>
      <c r="J48" s="6"/>
      <c r="K48" s="6"/>
      <c r="L48" s="12"/>
      <c r="M48" s="6"/>
      <c r="N48" s="8"/>
      <c r="O48" s="6"/>
      <c r="P48" s="6"/>
      <c r="Q48" s="12" t="s">
        <v>83</v>
      </c>
    </row>
    <row r="49" spans="1:17" ht="66" customHeight="1" x14ac:dyDescent="0.2">
      <c r="A49" s="6" t="s">
        <v>368</v>
      </c>
      <c r="B49" s="6" t="s">
        <v>369</v>
      </c>
      <c r="C49" s="6" t="s">
        <v>373</v>
      </c>
      <c r="D49" s="8">
        <f>COUNTIF('НПЗ Oilmap'!$B$2:$B$659,A49)</f>
        <v>41</v>
      </c>
      <c r="E49" s="8">
        <f>IF(F49&gt;0,SUMIF('НПЗ Oilmap'!$B$2:$B$659,A49,'НПЗ Oilmap'!$E$2:$E$659),"")</f>
        <v>5513129</v>
      </c>
      <c r="F49" s="8">
        <f>SUMIF('НПЗ Oilmap'!$B$2:$B$659,A49,'НПЗ Oilmap'!$O$2:$O$659)</f>
        <v>41</v>
      </c>
      <c r="G49" s="8">
        <f t="shared" si="0"/>
        <v>0</v>
      </c>
      <c r="H49" s="8"/>
      <c r="I49" s="11"/>
      <c r="J49" s="6"/>
      <c r="K49" s="6"/>
      <c r="L49" s="12"/>
      <c r="M49" s="6"/>
      <c r="N49" s="8">
        <v>6718000</v>
      </c>
      <c r="O49" s="6">
        <v>2025</v>
      </c>
      <c r="P49" s="6" t="s">
        <v>1588</v>
      </c>
      <c r="Q49" s="12" t="s">
        <v>57</v>
      </c>
    </row>
    <row r="50" spans="1:17" ht="66" customHeight="1" x14ac:dyDescent="0.2">
      <c r="A50" s="6" t="s">
        <v>374</v>
      </c>
      <c r="B50" s="6" t="s">
        <v>375</v>
      </c>
      <c r="C50" s="6" t="s">
        <v>380</v>
      </c>
      <c r="D50" s="8">
        <f>COUNTIF('НПЗ Oilmap'!$B$2:$B$659,A50)</f>
        <v>4</v>
      </c>
      <c r="E50" s="8">
        <f>IF(F50&gt;0,SUMIF('НПЗ Oilmap'!$B$2:$B$659,A50,'НПЗ Oilmap'!$E$2:$E$659),"")</f>
        <v>190000</v>
      </c>
      <c r="F50" s="8">
        <f>SUMIF('НПЗ Oilmap'!$B$2:$B$659,A50,'НПЗ Oilmap'!$O$2:$O$659)</f>
        <v>3</v>
      </c>
      <c r="G50" s="8">
        <f t="shared" si="0"/>
        <v>1</v>
      </c>
      <c r="H50" s="8">
        <v>2</v>
      </c>
      <c r="I50" s="11">
        <v>166000</v>
      </c>
      <c r="J50" s="6" t="s">
        <v>1593</v>
      </c>
      <c r="K50" s="6" t="s">
        <v>1537</v>
      </c>
      <c r="L50" s="12" t="s">
        <v>1594</v>
      </c>
      <c r="M50" s="6" t="s">
        <v>1595</v>
      </c>
      <c r="N50" s="8">
        <v>174000</v>
      </c>
      <c r="O50" s="6">
        <v>2025</v>
      </c>
      <c r="P50" s="6" t="s">
        <v>1588</v>
      </c>
      <c r="Q50" s="12" t="s">
        <v>121</v>
      </c>
    </row>
    <row r="51" spans="1:17" ht="66" customHeight="1" x14ac:dyDescent="0.2">
      <c r="A51" s="6" t="s">
        <v>381</v>
      </c>
      <c r="B51" s="6" t="s">
        <v>382</v>
      </c>
      <c r="C51" s="6" t="s">
        <v>387</v>
      </c>
      <c r="D51" s="8">
        <f>COUNTIF('НПЗ Oilmap'!$B$2:$B$659,A51)</f>
        <v>15</v>
      </c>
      <c r="E51" s="8">
        <f>IF(F51&gt;0,SUMIF('НПЗ Oilmap'!$B$2:$B$659,A51,'НПЗ Oilmap'!$E$2:$E$659),"")</f>
        <v>2335861</v>
      </c>
      <c r="F51" s="8">
        <f>SUMIF('НПЗ Oilmap'!$B$2:$B$659,A51,'НПЗ Oilmap'!$O$2:$O$659)</f>
        <v>13</v>
      </c>
      <c r="G51" s="8">
        <f t="shared" si="0"/>
        <v>2</v>
      </c>
      <c r="H51" s="8">
        <v>15</v>
      </c>
      <c r="I51" s="11">
        <v>2180400</v>
      </c>
      <c r="J51" s="6" t="s">
        <v>1593</v>
      </c>
      <c r="K51" s="6" t="s">
        <v>1537</v>
      </c>
      <c r="L51" s="12" t="s">
        <v>1594</v>
      </c>
      <c r="M51" s="6" t="s">
        <v>1595</v>
      </c>
      <c r="N51" s="8">
        <v>1951000</v>
      </c>
      <c r="O51" s="6">
        <v>2025</v>
      </c>
      <c r="P51" s="6" t="s">
        <v>1588</v>
      </c>
      <c r="Q51" s="12" t="s">
        <v>121</v>
      </c>
    </row>
    <row r="52" spans="1:17" ht="66" customHeight="1" x14ac:dyDescent="0.2">
      <c r="A52" s="6" t="s">
        <v>388</v>
      </c>
      <c r="B52" s="6" t="s">
        <v>389</v>
      </c>
      <c r="C52" s="6" t="s">
        <v>394</v>
      </c>
      <c r="D52" s="8">
        <f>COUNTIF('НПЗ Oilmap'!$B$2:$B$659,A52)</f>
        <v>0</v>
      </c>
      <c r="E52" s="8" t="str">
        <f>IF(F52&gt;0,SUMIF('НПЗ Oilmap'!$B$2:$B$659,A52,'НПЗ Oilmap'!$E$2:$E$659),"")</f>
        <v/>
      </c>
      <c r="F52" s="8">
        <f>SUMIF('НПЗ Oilmap'!$B$2:$B$659,A52,'НПЗ Oilmap'!$O$2:$O$659)</f>
        <v>0</v>
      </c>
      <c r="G52" s="8">
        <f t="shared" si="0"/>
        <v>0</v>
      </c>
      <c r="H52" s="8"/>
      <c r="I52" s="11"/>
      <c r="J52" s="6"/>
      <c r="K52" s="6"/>
      <c r="L52" s="12"/>
      <c r="M52" s="6"/>
      <c r="N52" s="8"/>
      <c r="O52" s="6"/>
      <c r="P52" s="6"/>
      <c r="Q52" s="12" t="s">
        <v>83</v>
      </c>
    </row>
    <row r="53" spans="1:17" ht="66" customHeight="1" x14ac:dyDescent="0.2">
      <c r="A53" s="6" t="s">
        <v>395</v>
      </c>
      <c r="B53" s="6" t="s">
        <v>396</v>
      </c>
      <c r="C53" s="6" t="s">
        <v>400</v>
      </c>
      <c r="D53" s="8">
        <f>COUNTIF('НПЗ Oilmap'!$B$2:$B$659,A53)</f>
        <v>0</v>
      </c>
      <c r="E53" s="8" t="str">
        <f>IF(F53&gt;0,SUMIF('НПЗ Oilmap'!$B$2:$B$659,A53,'НПЗ Oilmap'!$E$2:$E$659),"")</f>
        <v/>
      </c>
      <c r="F53" s="8">
        <f>SUMIF('НПЗ Oilmap'!$B$2:$B$659,A53,'НПЗ Oilmap'!$O$2:$O$659)</f>
        <v>0</v>
      </c>
      <c r="G53" s="8">
        <f t="shared" si="0"/>
        <v>0</v>
      </c>
      <c r="H53" s="8"/>
      <c r="I53" s="11"/>
      <c r="J53" s="6"/>
      <c r="K53" s="6"/>
      <c r="L53" s="12"/>
      <c r="M53" s="6"/>
      <c r="N53" s="8"/>
      <c r="O53" s="6"/>
      <c r="P53" s="6"/>
      <c r="Q53" s="12" t="s">
        <v>83</v>
      </c>
    </row>
    <row r="54" spans="1:17" ht="66" customHeight="1" x14ac:dyDescent="0.2">
      <c r="A54" s="6" t="s">
        <v>401</v>
      </c>
      <c r="B54" s="6" t="s">
        <v>402</v>
      </c>
      <c r="C54" s="6" t="s">
        <v>406</v>
      </c>
      <c r="D54" s="8">
        <f>COUNTIF('НПЗ Oilmap'!$B$2:$B$659,A54)</f>
        <v>2</v>
      </c>
      <c r="E54" s="8">
        <f>IF(F54&gt;0,SUMIF('НПЗ Oilmap'!$B$2:$B$659,A54,'НПЗ Oilmap'!$E$2:$E$659),"")</f>
        <v>200000</v>
      </c>
      <c r="F54" s="8">
        <f>SUMIF('НПЗ Oilmap'!$B$2:$B$659,A54,'НПЗ Oilmap'!$O$2:$O$659)</f>
        <v>2</v>
      </c>
      <c r="G54" s="8">
        <f t="shared" si="0"/>
        <v>0</v>
      </c>
      <c r="H54" s="8">
        <v>1</v>
      </c>
      <c r="I54" s="11">
        <v>219000</v>
      </c>
      <c r="J54" s="6" t="s">
        <v>1593</v>
      </c>
      <c r="K54" s="6" t="s">
        <v>1537</v>
      </c>
      <c r="L54" s="12" t="s">
        <v>1594</v>
      </c>
      <c r="M54" s="6" t="s">
        <v>1595</v>
      </c>
      <c r="N54" s="8">
        <v>226000</v>
      </c>
      <c r="O54" s="6">
        <v>2025</v>
      </c>
      <c r="P54" s="6" t="s">
        <v>1588</v>
      </c>
      <c r="Q54" s="12" t="s">
        <v>121</v>
      </c>
    </row>
    <row r="55" spans="1:17" ht="66" customHeight="1" x14ac:dyDescent="0.2">
      <c r="A55" s="6" t="s">
        <v>407</v>
      </c>
      <c r="B55" s="6" t="s">
        <v>408</v>
      </c>
      <c r="C55" s="6" t="s">
        <v>412</v>
      </c>
      <c r="D55" s="8">
        <f>COUNTIF('НПЗ Oilmap'!$B$2:$B$659,A55)</f>
        <v>5</v>
      </c>
      <c r="E55" s="8">
        <f>IF(F55&gt;0,SUMIF('НПЗ Oilmap'!$B$2:$B$659,A55,'НПЗ Oilmap'!$E$2:$E$659),"")</f>
        <v>416000</v>
      </c>
      <c r="F55" s="8">
        <f>SUMIF('НПЗ Oilmap'!$B$2:$B$659,A55,'НПЗ Oilmap'!$O$2:$O$659)</f>
        <v>5</v>
      </c>
      <c r="G55" s="8">
        <f t="shared" si="0"/>
        <v>0</v>
      </c>
      <c r="H55" s="8">
        <v>5</v>
      </c>
      <c r="I55" s="11">
        <v>463000</v>
      </c>
      <c r="J55" s="6" t="s">
        <v>1593</v>
      </c>
      <c r="K55" s="6" t="s">
        <v>1537</v>
      </c>
      <c r="L55" s="12" t="s">
        <v>1594</v>
      </c>
      <c r="M55" s="6" t="s">
        <v>1595</v>
      </c>
      <c r="N55" s="8">
        <v>472000</v>
      </c>
      <c r="O55" s="6">
        <v>2025</v>
      </c>
      <c r="P55" s="6" t="s">
        <v>1588</v>
      </c>
      <c r="Q55" s="12" t="s">
        <v>121</v>
      </c>
    </row>
    <row r="56" spans="1:17" ht="66" customHeight="1" x14ac:dyDescent="0.2">
      <c r="A56" s="6" t="s">
        <v>413</v>
      </c>
      <c r="B56" s="6" t="s">
        <v>414</v>
      </c>
      <c r="C56" s="6" t="s">
        <v>418</v>
      </c>
      <c r="D56" s="8">
        <f>COUNTIF('НПЗ Oilmap'!$B$2:$B$659,A56)</f>
        <v>2</v>
      </c>
      <c r="E56" s="8">
        <f>IF(F56&gt;0,SUMIF('НПЗ Oilmap'!$B$2:$B$659,A56,'НПЗ Oilmap'!$E$2:$E$659),"")</f>
        <v>200000</v>
      </c>
      <c r="F56" s="8">
        <f>SUMIF('НПЗ Oilmap'!$B$2:$B$659,A56,'НПЗ Oilmap'!$O$2:$O$659)</f>
        <v>2</v>
      </c>
      <c r="G56" s="8">
        <f t="shared" si="0"/>
        <v>0</v>
      </c>
      <c r="H56" s="8">
        <v>1</v>
      </c>
      <c r="I56" s="11">
        <v>215800</v>
      </c>
      <c r="J56" s="6" t="s">
        <v>1593</v>
      </c>
      <c r="K56" s="6" t="s">
        <v>1537</v>
      </c>
      <c r="L56" s="12" t="s">
        <v>1594</v>
      </c>
      <c r="M56" s="6" t="s">
        <v>1595</v>
      </c>
      <c r="N56" s="8">
        <v>206000</v>
      </c>
      <c r="O56" s="6">
        <v>2025</v>
      </c>
      <c r="P56" s="6" t="s">
        <v>1588</v>
      </c>
      <c r="Q56" s="12" t="s">
        <v>121</v>
      </c>
    </row>
    <row r="57" spans="1:17" ht="66" customHeight="1" x14ac:dyDescent="0.2">
      <c r="A57" s="6" t="s">
        <v>419</v>
      </c>
      <c r="B57" s="6" t="s">
        <v>420</v>
      </c>
      <c r="C57" s="6" t="s">
        <v>425</v>
      </c>
      <c r="D57" s="8">
        <f>COUNTIF('НПЗ Oilmap'!$B$2:$B$659,A57)</f>
        <v>0</v>
      </c>
      <c r="E57" s="8" t="str">
        <f>IF(F57&gt;0,SUMIF('НПЗ Oilmap'!$B$2:$B$659,A57,'НПЗ Oilmap'!$E$2:$E$659),"")</f>
        <v/>
      </c>
      <c r="F57" s="8">
        <f>SUMIF('НПЗ Oilmap'!$B$2:$B$659,A57,'НПЗ Oilmap'!$O$2:$O$659)</f>
        <v>0</v>
      </c>
      <c r="G57" s="8">
        <f t="shared" si="0"/>
        <v>0</v>
      </c>
      <c r="H57" s="8"/>
      <c r="I57" s="11"/>
      <c r="J57" s="6"/>
      <c r="K57" s="6"/>
      <c r="L57" s="12"/>
      <c r="M57" s="6"/>
      <c r="N57" s="8">
        <v>367000</v>
      </c>
      <c r="O57" s="6">
        <v>2025</v>
      </c>
      <c r="P57" s="6" t="s">
        <v>1588</v>
      </c>
      <c r="Q57" s="12" t="s">
        <v>57</v>
      </c>
    </row>
    <row r="58" spans="1:17" ht="66" customHeight="1" x14ac:dyDescent="0.2">
      <c r="A58" s="6" t="s">
        <v>426</v>
      </c>
      <c r="B58" s="6" t="s">
        <v>427</v>
      </c>
      <c r="C58" s="6" t="s">
        <v>431</v>
      </c>
      <c r="D58" s="8">
        <f>COUNTIF('НПЗ Oilmap'!$B$2:$B$659,A58)</f>
        <v>0</v>
      </c>
      <c r="E58" s="8" t="str">
        <f>IF(F58&gt;0,SUMIF('НПЗ Oilmap'!$B$2:$B$659,A58,'НПЗ Oilmap'!$E$2:$E$659),"")</f>
        <v/>
      </c>
      <c r="F58" s="8">
        <f>SUMIF('НПЗ Oilmap'!$B$2:$B$659,A58,'НПЗ Oilmap'!$O$2:$O$659)</f>
        <v>0</v>
      </c>
      <c r="G58" s="8">
        <f t="shared" si="0"/>
        <v>0</v>
      </c>
      <c r="H58" s="8"/>
      <c r="I58" s="11"/>
      <c r="J58" s="6"/>
      <c r="K58" s="6"/>
      <c r="L58" s="12"/>
      <c r="M58" s="6"/>
      <c r="N58" s="8"/>
      <c r="O58" s="6"/>
      <c r="P58" s="6"/>
      <c r="Q58" s="12" t="s">
        <v>83</v>
      </c>
    </row>
    <row r="59" spans="1:17" ht="66" customHeight="1" x14ac:dyDescent="0.2">
      <c r="A59" s="6" t="s">
        <v>432</v>
      </c>
      <c r="B59" s="6" t="s">
        <v>433</v>
      </c>
      <c r="C59" s="6" t="s">
        <v>438</v>
      </c>
      <c r="D59" s="8">
        <f>COUNTIF('НПЗ Oilmap'!$B$2:$B$659,A59)</f>
        <v>0</v>
      </c>
      <c r="E59" s="8" t="str">
        <f>IF(F59&gt;0,SUMIF('НПЗ Oilmap'!$B$2:$B$659,A59,'НПЗ Oilmap'!$E$2:$E$659),"")</f>
        <v/>
      </c>
      <c r="F59" s="8">
        <f>SUMIF('НПЗ Oilmap'!$B$2:$B$659,A59,'НПЗ Oilmap'!$O$2:$O$659)</f>
        <v>0</v>
      </c>
      <c r="G59" s="8">
        <f t="shared" si="0"/>
        <v>0</v>
      </c>
      <c r="H59" s="8"/>
      <c r="I59" s="11"/>
      <c r="J59" s="6"/>
      <c r="K59" s="6"/>
      <c r="L59" s="12"/>
      <c r="M59" s="6"/>
      <c r="N59" s="8"/>
      <c r="O59" s="6"/>
      <c r="P59" s="6"/>
      <c r="Q59" s="12" t="s">
        <v>83</v>
      </c>
    </row>
    <row r="60" spans="1:17" ht="66" customHeight="1" x14ac:dyDescent="0.2">
      <c r="A60" s="6" t="s">
        <v>439</v>
      </c>
      <c r="B60" s="6" t="s">
        <v>440</v>
      </c>
      <c r="C60" s="6" t="s">
        <v>444</v>
      </c>
      <c r="D60" s="8">
        <f>COUNTIF('НПЗ Oilmap'!$B$2:$B$659,A60)</f>
        <v>5</v>
      </c>
      <c r="E60" s="8">
        <f>IF(F60&gt;0,SUMIF('НПЗ Oilmap'!$B$2:$B$659,A60,'НПЗ Oilmap'!$E$2:$E$659),"")</f>
        <v>631300</v>
      </c>
      <c r="F60" s="8">
        <f>SUMIF('НПЗ Oilmap'!$B$2:$B$659,A60,'НПЗ Oilmap'!$O$2:$O$659)</f>
        <v>5</v>
      </c>
      <c r="G60" s="8">
        <f t="shared" si="0"/>
        <v>0</v>
      </c>
      <c r="H60" s="8"/>
      <c r="I60" s="11"/>
      <c r="J60" s="6"/>
      <c r="K60" s="6"/>
      <c r="L60" s="12"/>
      <c r="M60" s="6"/>
      <c r="N60" s="8">
        <v>1258000</v>
      </c>
      <c r="O60" s="6">
        <v>2025</v>
      </c>
      <c r="P60" s="6" t="s">
        <v>1588</v>
      </c>
      <c r="Q60" s="12" t="s">
        <v>57</v>
      </c>
    </row>
    <row r="61" spans="1:17" ht="66" customHeight="1" x14ac:dyDescent="0.2">
      <c r="A61" s="6" t="s">
        <v>445</v>
      </c>
      <c r="B61" s="6" t="s">
        <v>446</v>
      </c>
      <c r="C61" s="6" t="s">
        <v>450</v>
      </c>
      <c r="D61" s="8">
        <f>COUNTIF('НПЗ Oilmap'!$B$2:$B$659,A61)</f>
        <v>4</v>
      </c>
      <c r="E61" s="8">
        <f>IF(F61&gt;0,SUMIF('НПЗ Oilmap'!$B$2:$B$659,A61,'НПЗ Oilmap'!$E$2:$E$659),"")</f>
        <v>767000</v>
      </c>
      <c r="F61" s="8">
        <f>SUMIF('НПЗ Oilmap'!$B$2:$B$659,A61,'НПЗ Oilmap'!$O$2:$O$659)</f>
        <v>4</v>
      </c>
      <c r="G61" s="8">
        <f t="shared" si="0"/>
        <v>0</v>
      </c>
      <c r="H61" s="8">
        <v>2</v>
      </c>
      <c r="I61" s="11">
        <v>673600</v>
      </c>
      <c r="J61" s="6" t="s">
        <v>1593</v>
      </c>
      <c r="K61" s="6" t="s">
        <v>1537</v>
      </c>
      <c r="L61" s="12" t="s">
        <v>1594</v>
      </c>
      <c r="M61" s="6" t="s">
        <v>1595</v>
      </c>
      <c r="N61" s="8">
        <v>757000</v>
      </c>
      <c r="O61" s="6">
        <v>2025</v>
      </c>
      <c r="P61" s="6" t="s">
        <v>1588</v>
      </c>
      <c r="Q61" s="12" t="s">
        <v>121</v>
      </c>
    </row>
    <row r="62" spans="1:17" ht="66" customHeight="1" x14ac:dyDescent="0.2">
      <c r="A62" s="6" t="s">
        <v>451</v>
      </c>
      <c r="B62" s="6" t="s">
        <v>452</v>
      </c>
      <c r="C62" s="6" t="s">
        <v>457</v>
      </c>
      <c r="D62" s="8">
        <f>COUNTIF('НПЗ Oilmap'!$B$2:$B$659,A62)</f>
        <v>0</v>
      </c>
      <c r="E62" s="8" t="str">
        <f>IF(F62&gt;0,SUMIF('НПЗ Oilmap'!$B$2:$B$659,A62,'НПЗ Oilmap'!$E$2:$E$659),"")</f>
        <v/>
      </c>
      <c r="F62" s="8">
        <f>SUMIF('НПЗ Oilmap'!$B$2:$B$659,A62,'НПЗ Oilmap'!$O$2:$O$659)</f>
        <v>0</v>
      </c>
      <c r="G62" s="8">
        <f t="shared" si="0"/>
        <v>0</v>
      </c>
      <c r="H62" s="8"/>
      <c r="I62" s="11"/>
      <c r="J62" s="6"/>
      <c r="K62" s="6"/>
      <c r="L62" s="12"/>
      <c r="M62" s="6"/>
      <c r="N62" s="8"/>
      <c r="O62" s="6"/>
      <c r="P62" s="6"/>
      <c r="Q62" s="12" t="s">
        <v>83</v>
      </c>
    </row>
    <row r="63" spans="1:17" ht="66" customHeight="1" x14ac:dyDescent="0.2">
      <c r="A63" s="6" t="s">
        <v>458</v>
      </c>
      <c r="B63" s="6" t="s">
        <v>459</v>
      </c>
      <c r="C63" s="6" t="s">
        <v>463</v>
      </c>
      <c r="D63" s="8">
        <f>COUNTIF('НПЗ Oilmap'!$B$2:$B$659,A63)</f>
        <v>1</v>
      </c>
      <c r="E63" s="8">
        <f>IF(F63&gt;0,SUMIF('НПЗ Oilmap'!$B$2:$B$659,A63,'НПЗ Oilmap'!$E$2:$E$659),"")</f>
        <v>50000</v>
      </c>
      <c r="F63" s="8">
        <f>SUMIF('НПЗ Oilmap'!$B$2:$B$659,A63,'НПЗ Oilmap'!$O$2:$O$659)</f>
        <v>1</v>
      </c>
      <c r="G63" s="8">
        <f t="shared" si="0"/>
        <v>0</v>
      </c>
      <c r="H63" s="8"/>
      <c r="I63" s="11"/>
      <c r="J63" s="6"/>
      <c r="K63" s="6"/>
      <c r="L63" s="12"/>
      <c r="M63" s="6"/>
      <c r="N63" s="8"/>
      <c r="O63" s="6"/>
      <c r="P63" s="6"/>
      <c r="Q63" s="12" t="s">
        <v>83</v>
      </c>
    </row>
    <row r="64" spans="1:17" ht="66" customHeight="1" x14ac:dyDescent="0.2">
      <c r="A64" s="6" t="s">
        <v>464</v>
      </c>
      <c r="B64" s="6" t="s">
        <v>465</v>
      </c>
      <c r="C64" s="6" t="s">
        <v>470</v>
      </c>
      <c r="D64" s="8">
        <f>COUNTIF('НПЗ Oilmap'!$B$2:$B$659,A64)</f>
        <v>2</v>
      </c>
      <c r="E64" s="8">
        <f>IF(F64&gt;0,SUMIF('НПЗ Oilmap'!$B$2:$B$659,A64,'НПЗ Oilmap'!$E$2:$E$659),"")</f>
        <v>26300</v>
      </c>
      <c r="F64" s="8">
        <f>SUMIF('НПЗ Oilmap'!$B$2:$B$659,A64,'НПЗ Oilmap'!$O$2:$O$659)</f>
        <v>2</v>
      </c>
      <c r="G64" s="8">
        <f t="shared" si="0"/>
        <v>0</v>
      </c>
      <c r="H64" s="8"/>
      <c r="I64" s="11"/>
      <c r="J64" s="6"/>
      <c r="K64" s="6"/>
      <c r="L64" s="12"/>
      <c r="M64" s="6"/>
      <c r="N64" s="8"/>
      <c r="O64" s="6"/>
      <c r="P64" s="6"/>
      <c r="Q64" s="12" t="s">
        <v>83</v>
      </c>
    </row>
    <row r="65" spans="1:17" ht="66" customHeight="1" x14ac:dyDescent="0.2">
      <c r="A65" s="6" t="s">
        <v>471</v>
      </c>
      <c r="B65" s="6" t="s">
        <v>472</v>
      </c>
      <c r="C65" s="6" t="s">
        <v>477</v>
      </c>
      <c r="D65" s="8">
        <f>COUNTIF('НПЗ Oilmap'!$B$2:$B$659,A65)</f>
        <v>2</v>
      </c>
      <c r="E65" s="8">
        <f>IF(F65&gt;0,SUMIF('НПЗ Oilmap'!$B$2:$B$659,A65,'НПЗ Oilmap'!$E$2:$E$659),"")</f>
        <v>439000</v>
      </c>
      <c r="F65" s="8">
        <f>SUMIF('НПЗ Oilmap'!$B$2:$B$659,A65,'НПЗ Oilmap'!$O$2:$O$659)</f>
        <v>2</v>
      </c>
      <c r="G65" s="8">
        <f t="shared" si="0"/>
        <v>0</v>
      </c>
      <c r="H65" s="8"/>
      <c r="I65" s="11"/>
      <c r="J65" s="6"/>
      <c r="K65" s="6"/>
      <c r="L65" s="12"/>
      <c r="M65" s="6"/>
      <c r="N65" s="8">
        <v>120000</v>
      </c>
      <c r="O65" s="6">
        <v>2025</v>
      </c>
      <c r="P65" s="6" t="s">
        <v>1588</v>
      </c>
      <c r="Q65" s="12" t="s">
        <v>57</v>
      </c>
    </row>
    <row r="66" spans="1:17" ht="66" customHeight="1" x14ac:dyDescent="0.2">
      <c r="A66" s="6" t="s">
        <v>478</v>
      </c>
      <c r="B66" s="6" t="s">
        <v>479</v>
      </c>
      <c r="C66" s="6" t="s">
        <v>46</v>
      </c>
      <c r="D66" s="8">
        <f>COUNTIF('НПЗ Oilmap'!$B$2:$B$659,A66)</f>
        <v>0</v>
      </c>
      <c r="E66" s="8" t="str">
        <f>IF(F66&gt;0,SUMIF('НПЗ Oilmap'!$B$2:$B$659,A66,'НПЗ Oilmap'!$E$2:$E$659),"")</f>
        <v/>
      </c>
      <c r="F66" s="8">
        <f>SUMIF('НПЗ Oilmap'!$B$2:$B$659,A66,'НПЗ Oilmap'!$O$2:$O$659)</f>
        <v>0</v>
      </c>
      <c r="G66" s="8">
        <f t="shared" ref="G66:G129" si="1">D66-F66</f>
        <v>0</v>
      </c>
      <c r="H66" s="8"/>
      <c r="I66" s="11"/>
      <c r="J66" s="6"/>
      <c r="K66" s="6"/>
      <c r="L66" s="12"/>
      <c r="M66" s="6"/>
      <c r="N66" s="8"/>
      <c r="O66" s="6"/>
      <c r="P66" s="6"/>
      <c r="Q66" s="12" t="s">
        <v>83</v>
      </c>
    </row>
    <row r="67" spans="1:17" ht="66" customHeight="1" x14ac:dyDescent="0.2">
      <c r="A67" s="6" t="s">
        <v>482</v>
      </c>
      <c r="B67" s="6" t="s">
        <v>483</v>
      </c>
      <c r="C67" s="6" t="s">
        <v>487</v>
      </c>
      <c r="D67" s="8">
        <f>COUNTIF('НПЗ Oilmap'!$B$2:$B$659,A67)</f>
        <v>6</v>
      </c>
      <c r="E67" s="8">
        <f>IF(F67&gt;0,SUMIF('НПЗ Oilmap'!$B$2:$B$659,A67,'НПЗ Oilmap'!$E$2:$E$659),"")</f>
        <v>651000</v>
      </c>
      <c r="F67" s="8">
        <f>SUMIF('НПЗ Oilmap'!$B$2:$B$659,A67,'НПЗ Oilmap'!$O$2:$O$659)</f>
        <v>6</v>
      </c>
      <c r="G67" s="8">
        <f t="shared" si="1"/>
        <v>0</v>
      </c>
      <c r="H67" s="8"/>
      <c r="I67" s="11"/>
      <c r="J67" s="6"/>
      <c r="K67" s="6"/>
      <c r="L67" s="12"/>
      <c r="M67" s="6"/>
      <c r="N67" s="8">
        <v>801000</v>
      </c>
      <c r="O67" s="6">
        <v>2025</v>
      </c>
      <c r="P67" s="6" t="s">
        <v>1588</v>
      </c>
      <c r="Q67" s="12" t="s">
        <v>57</v>
      </c>
    </row>
    <row r="68" spans="1:17" ht="66" customHeight="1" x14ac:dyDescent="0.2">
      <c r="A68" s="6" t="s">
        <v>488</v>
      </c>
      <c r="B68" s="6" t="s">
        <v>489</v>
      </c>
      <c r="C68" s="6" t="s">
        <v>493</v>
      </c>
      <c r="D68" s="8">
        <f>COUNTIF('НПЗ Oilmap'!$B$2:$B$659,A68)</f>
        <v>9</v>
      </c>
      <c r="E68" s="8">
        <f>IF(F68&gt;0,SUMIF('НПЗ Oilmap'!$B$2:$B$659,A68,'НПЗ Oilmap'!$E$2:$E$659),"")</f>
        <v>1270000</v>
      </c>
      <c r="F68" s="8">
        <f>SUMIF('НПЗ Oilmap'!$B$2:$B$659,A68,'НПЗ Oilmap'!$O$2:$O$659)</f>
        <v>9</v>
      </c>
      <c r="G68" s="8">
        <f t="shared" si="1"/>
        <v>0</v>
      </c>
      <c r="H68" s="8">
        <v>9</v>
      </c>
      <c r="I68" s="11">
        <v>1506940</v>
      </c>
      <c r="J68" s="6" t="s">
        <v>1593</v>
      </c>
      <c r="K68" s="6" t="s">
        <v>1537</v>
      </c>
      <c r="L68" s="12" t="s">
        <v>1594</v>
      </c>
      <c r="M68" s="6" t="s">
        <v>1595</v>
      </c>
      <c r="N68" s="8">
        <v>1532000</v>
      </c>
      <c r="O68" s="6">
        <v>2025</v>
      </c>
      <c r="P68" s="6" t="s">
        <v>1588</v>
      </c>
      <c r="Q68" s="12" t="s">
        <v>121</v>
      </c>
    </row>
    <row r="69" spans="1:17" ht="66" customHeight="1" x14ac:dyDescent="0.2">
      <c r="A69" s="6" t="s">
        <v>494</v>
      </c>
      <c r="B69" s="6" t="s">
        <v>495</v>
      </c>
      <c r="C69" s="6" t="s">
        <v>499</v>
      </c>
      <c r="D69" s="8">
        <f>COUNTIF('НПЗ Oilmap'!$B$2:$B$659,A69)</f>
        <v>0</v>
      </c>
      <c r="E69" s="8" t="str">
        <f>IF(F69&gt;0,SUMIF('НПЗ Oilmap'!$B$2:$B$659,A69,'НПЗ Oilmap'!$E$2:$E$659),"")</f>
        <v/>
      </c>
      <c r="F69" s="8">
        <f>SUMIF('НПЗ Oilmap'!$B$2:$B$659,A69,'НПЗ Oilmap'!$O$2:$O$659)</f>
        <v>0</v>
      </c>
      <c r="G69" s="8">
        <f t="shared" si="1"/>
        <v>0</v>
      </c>
      <c r="H69" s="8"/>
      <c r="I69" s="11"/>
      <c r="J69" s="6"/>
      <c r="K69" s="6"/>
      <c r="L69" s="12"/>
      <c r="M69" s="6"/>
      <c r="N69" s="8"/>
      <c r="O69" s="6"/>
      <c r="P69" s="6"/>
      <c r="Q69" s="12" t="s">
        <v>83</v>
      </c>
    </row>
    <row r="70" spans="1:17" ht="66" customHeight="1" x14ac:dyDescent="0.2">
      <c r="A70" s="6" t="s">
        <v>500</v>
      </c>
      <c r="B70" s="6" t="s">
        <v>501</v>
      </c>
      <c r="C70" s="6" t="s">
        <v>505</v>
      </c>
      <c r="D70" s="8">
        <f>COUNTIF('НПЗ Oilmap'!$B$2:$B$659,A70)</f>
        <v>1</v>
      </c>
      <c r="E70" s="8" t="str">
        <f>IF(F70&gt;0,SUMIF('НПЗ Oilmap'!$B$2:$B$659,A70,'НПЗ Oilmap'!$E$2:$E$659),"")</f>
        <v/>
      </c>
      <c r="F70" s="8">
        <f>SUMIF('НПЗ Oilmap'!$B$2:$B$659,A70,'НПЗ Oilmap'!$O$2:$O$659)</f>
        <v>0</v>
      </c>
      <c r="G70" s="8">
        <f t="shared" si="1"/>
        <v>1</v>
      </c>
      <c r="H70" s="8"/>
      <c r="I70" s="11"/>
      <c r="J70" s="6"/>
      <c r="K70" s="6"/>
      <c r="L70" s="12"/>
      <c r="M70" s="6"/>
      <c r="N70" s="8"/>
      <c r="O70" s="6"/>
      <c r="P70" s="6"/>
      <c r="Q70" s="12" t="s">
        <v>83</v>
      </c>
    </row>
    <row r="71" spans="1:17" ht="66" customHeight="1" x14ac:dyDescent="0.2">
      <c r="A71" s="6" t="s">
        <v>506</v>
      </c>
      <c r="B71" s="6" t="s">
        <v>507</v>
      </c>
      <c r="C71" s="6" t="s">
        <v>511</v>
      </c>
      <c r="D71" s="8">
        <f>COUNTIF('НПЗ Oilmap'!$B$2:$B$659,A71)</f>
        <v>0</v>
      </c>
      <c r="E71" s="8" t="str">
        <f>IF(F71&gt;0,SUMIF('НПЗ Oilmap'!$B$2:$B$659,A71,'НПЗ Oilmap'!$E$2:$E$659),"")</f>
        <v/>
      </c>
      <c r="F71" s="8">
        <f>SUMIF('НПЗ Oilmap'!$B$2:$B$659,A71,'НПЗ Oilmap'!$O$2:$O$659)</f>
        <v>0</v>
      </c>
      <c r="G71" s="8">
        <f t="shared" si="1"/>
        <v>0</v>
      </c>
      <c r="H71" s="8"/>
      <c r="I71" s="11"/>
      <c r="J71" s="6"/>
      <c r="K71" s="6"/>
      <c r="L71" s="12"/>
      <c r="M71" s="6"/>
      <c r="N71" s="8"/>
      <c r="O71" s="6"/>
      <c r="P71" s="6"/>
      <c r="Q71" s="12" t="s">
        <v>83</v>
      </c>
    </row>
    <row r="72" spans="1:17" ht="66" customHeight="1" x14ac:dyDescent="0.2">
      <c r="A72" s="6" t="s">
        <v>512</v>
      </c>
      <c r="B72" s="6" t="s">
        <v>513</v>
      </c>
      <c r="C72" s="6" t="s">
        <v>517</v>
      </c>
      <c r="D72" s="8">
        <f>COUNTIF('НПЗ Oilmap'!$B$2:$B$659,A72)</f>
        <v>2</v>
      </c>
      <c r="E72" s="8">
        <f>IF(F72&gt;0,SUMIF('НПЗ Oilmap'!$B$2:$B$659,A72,'НПЗ Oilmap'!$E$2:$E$659),"")</f>
        <v>178000</v>
      </c>
      <c r="F72" s="8">
        <f>SUMIF('НПЗ Oilmap'!$B$2:$B$659,A72,'НПЗ Oilmap'!$O$2:$O$659)</f>
        <v>2</v>
      </c>
      <c r="G72" s="8">
        <f t="shared" si="1"/>
        <v>0</v>
      </c>
      <c r="H72" s="8">
        <v>2</v>
      </c>
      <c r="I72" s="11">
        <v>182500</v>
      </c>
      <c r="J72" s="6" t="s">
        <v>1593</v>
      </c>
      <c r="K72" s="6" t="s">
        <v>1537</v>
      </c>
      <c r="L72" s="12" t="s">
        <v>1594</v>
      </c>
      <c r="M72" s="6" t="s">
        <v>1595</v>
      </c>
      <c r="N72" s="8">
        <v>173000</v>
      </c>
      <c r="O72" s="6">
        <v>2025</v>
      </c>
      <c r="P72" s="6" t="s">
        <v>1588</v>
      </c>
      <c r="Q72" s="12" t="s">
        <v>121</v>
      </c>
    </row>
    <row r="73" spans="1:17" ht="66" customHeight="1" x14ac:dyDescent="0.2">
      <c r="A73" s="6" t="s">
        <v>518</v>
      </c>
      <c r="B73" s="6" t="s">
        <v>519</v>
      </c>
      <c r="C73" s="6" t="s">
        <v>523</v>
      </c>
      <c r="D73" s="8">
        <f>COUNTIF('НПЗ Oilmap'!$B$2:$B$659,A73)</f>
        <v>5</v>
      </c>
      <c r="E73" s="8">
        <f>IF(F73&gt;0,SUMIF('НПЗ Oilmap'!$B$2:$B$659,A73,'НПЗ Oilmap'!$E$2:$E$659),"")</f>
        <v>380000</v>
      </c>
      <c r="F73" s="8">
        <f>SUMIF('НПЗ Oilmap'!$B$2:$B$659,A73,'НПЗ Oilmap'!$O$2:$O$659)</f>
        <v>5</v>
      </c>
      <c r="G73" s="8">
        <f t="shared" si="1"/>
        <v>0</v>
      </c>
      <c r="H73" s="8"/>
      <c r="I73" s="11"/>
      <c r="J73" s="6"/>
      <c r="K73" s="6"/>
      <c r="L73" s="12"/>
      <c r="M73" s="6"/>
      <c r="N73" s="8"/>
      <c r="O73" s="6"/>
      <c r="P73" s="6"/>
      <c r="Q73" s="12" t="s">
        <v>83</v>
      </c>
    </row>
    <row r="74" spans="1:17" ht="66" customHeight="1" x14ac:dyDescent="0.2">
      <c r="A74" s="6" t="s">
        <v>524</v>
      </c>
      <c r="B74" s="6" t="s">
        <v>525</v>
      </c>
      <c r="C74" s="6" t="s">
        <v>529</v>
      </c>
      <c r="D74" s="8">
        <f>COUNTIF('НПЗ Oilmap'!$B$2:$B$659,A74)</f>
        <v>1</v>
      </c>
      <c r="E74" s="8">
        <f>IF(F74&gt;0,SUMIF('НПЗ Oilmap'!$B$2:$B$659,A74,'НПЗ Oilmap'!$E$2:$E$659),"")</f>
        <v>34000</v>
      </c>
      <c r="F74" s="8">
        <f>SUMIF('НПЗ Oilmap'!$B$2:$B$659,A74,'НПЗ Oilmap'!$O$2:$O$659)</f>
        <v>1</v>
      </c>
      <c r="G74" s="8">
        <f t="shared" si="1"/>
        <v>0</v>
      </c>
      <c r="H74" s="8"/>
      <c r="I74" s="11"/>
      <c r="J74" s="6"/>
      <c r="K74" s="6"/>
      <c r="L74" s="12"/>
      <c r="M74" s="6"/>
      <c r="N74" s="8"/>
      <c r="O74" s="6"/>
      <c r="P74" s="6"/>
      <c r="Q74" s="12" t="s">
        <v>83</v>
      </c>
    </row>
    <row r="75" spans="1:17" ht="66" customHeight="1" x14ac:dyDescent="0.2">
      <c r="A75" s="6" t="s">
        <v>530</v>
      </c>
      <c r="B75" s="6" t="s">
        <v>531</v>
      </c>
      <c r="C75" s="6" t="s">
        <v>536</v>
      </c>
      <c r="D75" s="8">
        <f>COUNTIF('НПЗ Oilmap'!$B$2:$B$659,A75)</f>
        <v>10</v>
      </c>
      <c r="E75" s="8">
        <f>IF(F75&gt;0,SUMIF('НПЗ Oilmap'!$B$2:$B$659,A75,'НПЗ Oilmap'!$E$2:$E$659),"")</f>
        <v>493000</v>
      </c>
      <c r="F75" s="8">
        <f>SUMIF('НПЗ Oilmap'!$B$2:$B$659,A75,'НПЗ Oilmap'!$O$2:$O$659)</f>
        <v>10</v>
      </c>
      <c r="G75" s="8">
        <f t="shared" si="1"/>
        <v>0</v>
      </c>
      <c r="H75" s="8">
        <v>3</v>
      </c>
      <c r="I75" s="11">
        <v>250300</v>
      </c>
      <c r="J75" s="6" t="s">
        <v>1593</v>
      </c>
      <c r="K75" s="6" t="s">
        <v>1537</v>
      </c>
      <c r="L75" s="12" t="s">
        <v>1594</v>
      </c>
      <c r="M75" s="6" t="s">
        <v>1595</v>
      </c>
      <c r="N75" s="8">
        <v>255000</v>
      </c>
      <c r="O75" s="6">
        <v>2025</v>
      </c>
      <c r="P75" s="6" t="s">
        <v>1588</v>
      </c>
      <c r="Q75" s="12" t="s">
        <v>121</v>
      </c>
    </row>
    <row r="76" spans="1:17" ht="66" customHeight="1" x14ac:dyDescent="0.2">
      <c r="A76" s="6" t="s">
        <v>537</v>
      </c>
      <c r="B76" s="6" t="s">
        <v>538</v>
      </c>
      <c r="C76" s="6" t="s">
        <v>542</v>
      </c>
      <c r="D76" s="8">
        <f>COUNTIF('НПЗ Oilmap'!$B$2:$B$659,A76)</f>
        <v>2</v>
      </c>
      <c r="E76" s="8">
        <f>IF(F76&gt;0,SUMIF('НПЗ Oilmap'!$B$2:$B$659,A76,'НПЗ Oilmap'!$E$2:$E$659),"")</f>
        <v>161000</v>
      </c>
      <c r="F76" s="8">
        <f>SUMIF('НПЗ Oilmap'!$B$2:$B$659,A76,'НПЗ Oilmap'!$O$2:$O$659)</f>
        <v>1</v>
      </c>
      <c r="G76" s="8">
        <f t="shared" si="1"/>
        <v>1</v>
      </c>
      <c r="H76" s="8">
        <v>1</v>
      </c>
      <c r="I76" s="11">
        <v>162000</v>
      </c>
      <c r="J76" s="6" t="s">
        <v>1593</v>
      </c>
      <c r="K76" s="6" t="s">
        <v>1537</v>
      </c>
      <c r="L76" s="12" t="s">
        <v>1594</v>
      </c>
      <c r="M76" s="6" t="s">
        <v>1595</v>
      </c>
      <c r="N76" s="8">
        <v>165000</v>
      </c>
      <c r="O76" s="6">
        <v>2025</v>
      </c>
      <c r="P76" s="6" t="s">
        <v>1588</v>
      </c>
      <c r="Q76" s="12" t="s">
        <v>121</v>
      </c>
    </row>
    <row r="77" spans="1:17" ht="66" customHeight="1" x14ac:dyDescent="0.2">
      <c r="A77" s="6" t="s">
        <v>543</v>
      </c>
      <c r="B77" s="6" t="s">
        <v>544</v>
      </c>
      <c r="C77" s="6" t="s">
        <v>548</v>
      </c>
      <c r="D77" s="8">
        <f>COUNTIF('НПЗ Oilmap'!$B$2:$B$659,A77)</f>
        <v>1</v>
      </c>
      <c r="E77" s="8">
        <f>IF(F77&gt;0,SUMIF('НПЗ Oilmap'!$B$2:$B$659,A77,'НПЗ Oilmap'!$E$2:$E$659),"")</f>
        <v>110000</v>
      </c>
      <c r="F77" s="8">
        <f>SUMIF('НПЗ Oilmap'!$B$2:$B$659,A77,'НПЗ Oilmap'!$O$2:$O$659)</f>
        <v>1</v>
      </c>
      <c r="G77" s="8">
        <f t="shared" si="1"/>
        <v>0</v>
      </c>
      <c r="H77" s="8">
        <v>1</v>
      </c>
      <c r="I77" s="11">
        <v>112000</v>
      </c>
      <c r="J77" s="6" t="s">
        <v>1593</v>
      </c>
      <c r="K77" s="6" t="s">
        <v>1537</v>
      </c>
      <c r="L77" s="12" t="s">
        <v>1594</v>
      </c>
      <c r="M77" s="6" t="s">
        <v>1595</v>
      </c>
      <c r="N77" s="8">
        <v>122000</v>
      </c>
      <c r="O77" s="6">
        <v>2025</v>
      </c>
      <c r="P77" s="6" t="s">
        <v>1588</v>
      </c>
      <c r="Q77" s="12" t="s">
        <v>121</v>
      </c>
    </row>
    <row r="78" spans="1:17" ht="66" customHeight="1" x14ac:dyDescent="0.2">
      <c r="A78" s="6" t="s">
        <v>549</v>
      </c>
      <c r="B78" s="6" t="s">
        <v>550</v>
      </c>
      <c r="C78" s="6" t="s">
        <v>554</v>
      </c>
      <c r="D78" s="8">
        <f>COUNTIF('НПЗ Oilmap'!$B$2:$B$659,A78)</f>
        <v>4</v>
      </c>
      <c r="E78" s="8">
        <f>IF(F78&gt;0,SUMIF('НПЗ Oilmap'!$B$2:$B$659,A78,'НПЗ Oilmap'!$E$2:$E$659),"")</f>
        <v>496500</v>
      </c>
      <c r="F78" s="8">
        <f>SUMIF('НПЗ Oilmap'!$B$2:$B$659,A78,'НПЗ Oilmap'!$O$2:$O$659)</f>
        <v>2</v>
      </c>
      <c r="G78" s="8">
        <f t="shared" si="1"/>
        <v>2</v>
      </c>
      <c r="H78" s="8">
        <v>3</v>
      </c>
      <c r="I78" s="11">
        <v>622000</v>
      </c>
      <c r="J78" s="6" t="s">
        <v>1593</v>
      </c>
      <c r="K78" s="6" t="s">
        <v>1537</v>
      </c>
      <c r="L78" s="12" t="s">
        <v>1594</v>
      </c>
      <c r="M78" s="6" t="s">
        <v>1595</v>
      </c>
      <c r="N78" s="8">
        <v>583000</v>
      </c>
      <c r="O78" s="6">
        <v>2025</v>
      </c>
      <c r="P78" s="6" t="s">
        <v>1588</v>
      </c>
      <c r="Q78" s="12" t="s">
        <v>121</v>
      </c>
    </row>
    <row r="79" spans="1:17" ht="66" customHeight="1" x14ac:dyDescent="0.2">
      <c r="A79" s="6" t="s">
        <v>555</v>
      </c>
      <c r="B79" s="6" t="s">
        <v>556</v>
      </c>
      <c r="C79" s="6" t="s">
        <v>560</v>
      </c>
      <c r="D79" s="8">
        <f>COUNTIF('НПЗ Oilmap'!$B$2:$B$659,A79)</f>
        <v>1</v>
      </c>
      <c r="E79" s="8">
        <f>IF(F79&gt;0,SUMIF('НПЗ Oilmap'!$B$2:$B$659,A79,'НПЗ Oilmap'!$E$2:$E$659),"")</f>
        <v>71000</v>
      </c>
      <c r="F79" s="8">
        <f>SUMIF('НПЗ Oilmap'!$B$2:$B$659,A79,'НПЗ Oilmap'!$O$2:$O$659)</f>
        <v>1</v>
      </c>
      <c r="G79" s="8">
        <f t="shared" si="1"/>
        <v>0</v>
      </c>
      <c r="H79" s="8">
        <v>1</v>
      </c>
      <c r="I79" s="11">
        <v>75000</v>
      </c>
      <c r="J79" s="6" t="s">
        <v>1593</v>
      </c>
      <c r="K79" s="6" t="s">
        <v>1537</v>
      </c>
      <c r="L79" s="12" t="s">
        <v>1594</v>
      </c>
      <c r="M79" s="6" t="s">
        <v>1595</v>
      </c>
      <c r="N79" s="8">
        <v>75000</v>
      </c>
      <c r="O79" s="6">
        <v>2025</v>
      </c>
      <c r="P79" s="6" t="s">
        <v>1588</v>
      </c>
      <c r="Q79" s="12" t="s">
        <v>121</v>
      </c>
    </row>
    <row r="80" spans="1:17" ht="66" customHeight="1" x14ac:dyDescent="0.2">
      <c r="A80" s="6" t="s">
        <v>561</v>
      </c>
      <c r="B80" s="6" t="s">
        <v>562</v>
      </c>
      <c r="C80" s="6" t="s">
        <v>566</v>
      </c>
      <c r="D80" s="8">
        <f>COUNTIF('НПЗ Oilmap'!$B$2:$B$659,A80)</f>
        <v>11</v>
      </c>
      <c r="E80" s="8">
        <f>IF(F80&gt;0,SUMIF('НПЗ Oilmap'!$B$2:$B$659,A80,'НПЗ Oilmap'!$E$2:$E$659),"")</f>
        <v>1891682</v>
      </c>
      <c r="F80" s="8">
        <f>SUMIF('НПЗ Oilmap'!$B$2:$B$659,A80,'НПЗ Oilmap'!$O$2:$O$659)</f>
        <v>11</v>
      </c>
      <c r="G80" s="8">
        <f t="shared" si="1"/>
        <v>0</v>
      </c>
      <c r="H80" s="8">
        <v>5</v>
      </c>
      <c r="I80" s="11">
        <v>955400</v>
      </c>
      <c r="J80" s="6" t="s">
        <v>1593</v>
      </c>
      <c r="K80" s="6" t="s">
        <v>1537</v>
      </c>
      <c r="L80" s="12" t="s">
        <v>1594</v>
      </c>
      <c r="M80" s="6" t="s">
        <v>1595</v>
      </c>
      <c r="N80" s="8">
        <v>1137000</v>
      </c>
      <c r="O80" s="6">
        <v>2025</v>
      </c>
      <c r="P80" s="6" t="s">
        <v>1588</v>
      </c>
      <c r="Q80" s="12" t="s">
        <v>121</v>
      </c>
    </row>
    <row r="81" spans="1:17" ht="66" customHeight="1" x14ac:dyDescent="0.2">
      <c r="A81" s="6" t="s">
        <v>567</v>
      </c>
      <c r="B81" s="6" t="s">
        <v>568</v>
      </c>
      <c r="C81" s="6" t="s">
        <v>572</v>
      </c>
      <c r="D81" s="8">
        <f>COUNTIF('НПЗ Oilmap'!$B$2:$B$659,A81)</f>
        <v>4</v>
      </c>
      <c r="E81" s="8">
        <f>IF(F81&gt;0,SUMIF('НПЗ Oilmap'!$B$2:$B$659,A81,'НПЗ Oilmap'!$E$2:$E$659),"")</f>
        <v>401500</v>
      </c>
      <c r="F81" s="8">
        <f>SUMIF('НПЗ Oilmap'!$B$2:$B$659,A81,'НПЗ Oilmap'!$O$2:$O$659)</f>
        <v>4</v>
      </c>
      <c r="G81" s="8">
        <f t="shared" si="1"/>
        <v>0</v>
      </c>
      <c r="H81" s="8">
        <v>4</v>
      </c>
      <c r="I81" s="11">
        <v>524000</v>
      </c>
      <c r="J81" s="6" t="s">
        <v>1593</v>
      </c>
      <c r="K81" s="6" t="s">
        <v>1537</v>
      </c>
      <c r="L81" s="12" t="s">
        <v>1594</v>
      </c>
      <c r="M81" s="6" t="s">
        <v>1595</v>
      </c>
      <c r="N81" s="8">
        <v>544000</v>
      </c>
      <c r="O81" s="6">
        <v>2025</v>
      </c>
      <c r="P81" s="6" t="s">
        <v>1588</v>
      </c>
      <c r="Q81" s="12" t="s">
        <v>121</v>
      </c>
    </row>
    <row r="82" spans="1:17" ht="66" customHeight="1" x14ac:dyDescent="0.2">
      <c r="A82" s="6" t="s">
        <v>573</v>
      </c>
      <c r="B82" s="6" t="s">
        <v>574</v>
      </c>
      <c r="C82" s="6" t="s">
        <v>578</v>
      </c>
      <c r="D82" s="8">
        <f>COUNTIF('НПЗ Oilmap'!$B$2:$B$659,A82)</f>
        <v>1</v>
      </c>
      <c r="E82" s="8">
        <f>IF(F82&gt;0,SUMIF('НПЗ Oilmap'!$B$2:$B$659,A82,'НПЗ Oilmap'!$E$2:$E$659),"")</f>
        <v>23750</v>
      </c>
      <c r="F82" s="8">
        <f>SUMIF('НПЗ Oilmap'!$B$2:$B$659,A82,'НПЗ Oilmap'!$O$2:$O$659)</f>
        <v>1</v>
      </c>
      <c r="G82" s="8">
        <f t="shared" si="1"/>
        <v>0</v>
      </c>
      <c r="H82" s="8"/>
      <c r="I82" s="11"/>
      <c r="J82" s="6"/>
      <c r="K82" s="6"/>
      <c r="L82" s="12"/>
      <c r="M82" s="6"/>
      <c r="N82" s="8"/>
      <c r="O82" s="6"/>
      <c r="P82" s="6"/>
      <c r="Q82" s="12" t="s">
        <v>83</v>
      </c>
    </row>
    <row r="83" spans="1:17" ht="66" customHeight="1" x14ac:dyDescent="0.2">
      <c r="A83" s="6" t="s">
        <v>579</v>
      </c>
      <c r="B83" s="6" t="s">
        <v>580</v>
      </c>
      <c r="C83" s="6" t="s">
        <v>584</v>
      </c>
      <c r="D83" s="8">
        <f>COUNTIF('НПЗ Oilmap'!$B$2:$B$659,A83)</f>
        <v>1</v>
      </c>
      <c r="E83" s="8">
        <f>IF(F83&gt;0,SUMIF('НПЗ Oilmap'!$B$2:$B$659,A83,'НПЗ Oilmap'!$E$2:$E$659),"")</f>
        <v>10000</v>
      </c>
      <c r="F83" s="8">
        <f>SUMIF('НПЗ Oilmap'!$B$2:$B$659,A83,'НПЗ Oilmap'!$O$2:$O$659)</f>
        <v>1</v>
      </c>
      <c r="G83" s="8">
        <f t="shared" si="1"/>
        <v>0</v>
      </c>
      <c r="H83" s="8"/>
      <c r="I83" s="11"/>
      <c r="J83" s="6"/>
      <c r="K83" s="6"/>
      <c r="L83" s="12"/>
      <c r="M83" s="6"/>
      <c r="N83" s="8"/>
      <c r="O83" s="6"/>
      <c r="P83" s="6"/>
      <c r="Q83" s="12" t="s">
        <v>83</v>
      </c>
    </row>
    <row r="84" spans="1:17" ht="66" customHeight="1" x14ac:dyDescent="0.2">
      <c r="A84" s="6" t="s">
        <v>585</v>
      </c>
      <c r="B84" s="6" t="s">
        <v>586</v>
      </c>
      <c r="C84" s="6" t="s">
        <v>590</v>
      </c>
      <c r="D84" s="8">
        <f>COUNTIF('НПЗ Oilmap'!$B$2:$B$659,A84)</f>
        <v>0</v>
      </c>
      <c r="E84" s="8" t="str">
        <f>IF(F84&gt;0,SUMIF('НПЗ Oilmap'!$B$2:$B$659,A84,'НПЗ Oilmap'!$E$2:$E$659),"")</f>
        <v/>
      </c>
      <c r="F84" s="8">
        <f>SUMIF('НПЗ Oilmap'!$B$2:$B$659,A84,'НПЗ Oilmap'!$O$2:$O$659)</f>
        <v>0</v>
      </c>
      <c r="G84" s="8">
        <f t="shared" si="1"/>
        <v>0</v>
      </c>
      <c r="H84" s="8"/>
      <c r="I84" s="11"/>
      <c r="J84" s="6"/>
      <c r="K84" s="6"/>
      <c r="L84" s="12"/>
      <c r="M84" s="6"/>
      <c r="N84" s="8"/>
      <c r="O84" s="6"/>
      <c r="P84" s="6"/>
      <c r="Q84" s="12" t="s">
        <v>83</v>
      </c>
    </row>
    <row r="85" spans="1:17" ht="66" customHeight="1" x14ac:dyDescent="0.2">
      <c r="A85" s="6" t="s">
        <v>591</v>
      </c>
      <c r="B85" s="6" t="s">
        <v>592</v>
      </c>
      <c r="C85" s="6" t="s">
        <v>596</v>
      </c>
      <c r="D85" s="8">
        <f>COUNTIF('НПЗ Oilmap'!$B$2:$B$659,A85)</f>
        <v>1</v>
      </c>
      <c r="E85" s="8">
        <f>IF(F85&gt;0,SUMIF('НПЗ Oilmap'!$B$2:$B$659,A85,'НПЗ Oilmap'!$E$2:$E$659),"")</f>
        <v>15000</v>
      </c>
      <c r="F85" s="8">
        <f>SUMIF('НПЗ Oilmap'!$B$2:$B$659,A85,'НПЗ Oilmap'!$O$2:$O$659)</f>
        <v>1</v>
      </c>
      <c r="G85" s="8">
        <f t="shared" si="1"/>
        <v>0</v>
      </c>
      <c r="H85" s="8"/>
      <c r="I85" s="11"/>
      <c r="J85" s="6"/>
      <c r="K85" s="6"/>
      <c r="L85" s="12"/>
      <c r="M85" s="6"/>
      <c r="N85" s="8"/>
      <c r="O85" s="6"/>
      <c r="P85" s="6"/>
      <c r="Q85" s="12" t="s">
        <v>83</v>
      </c>
    </row>
    <row r="86" spans="1:17" ht="66" customHeight="1" x14ac:dyDescent="0.2">
      <c r="A86" s="6" t="s">
        <v>597</v>
      </c>
      <c r="B86" s="6" t="s">
        <v>598</v>
      </c>
      <c r="C86" s="6" t="s">
        <v>602</v>
      </c>
      <c r="D86" s="8">
        <f>COUNTIF('НПЗ Oilmap'!$B$2:$B$659,A86)</f>
        <v>0</v>
      </c>
      <c r="E86" s="8" t="str">
        <f>IF(F86&gt;0,SUMIF('НПЗ Oilmap'!$B$2:$B$659,A86,'НПЗ Oilmap'!$E$2:$E$659),"")</f>
        <v/>
      </c>
      <c r="F86" s="8">
        <f>SUMIF('НПЗ Oilmap'!$B$2:$B$659,A86,'НПЗ Oilmap'!$O$2:$O$659)</f>
        <v>0</v>
      </c>
      <c r="G86" s="8">
        <f t="shared" si="1"/>
        <v>0</v>
      </c>
      <c r="H86" s="8"/>
      <c r="I86" s="11"/>
      <c r="J86" s="6"/>
      <c r="K86" s="6"/>
      <c r="L86" s="12"/>
      <c r="M86" s="6"/>
      <c r="N86" s="8"/>
      <c r="O86" s="6"/>
      <c r="P86" s="6"/>
      <c r="Q86" s="12" t="s">
        <v>83</v>
      </c>
    </row>
    <row r="87" spans="1:17" ht="66" customHeight="1" x14ac:dyDescent="0.2">
      <c r="A87" s="6" t="s">
        <v>603</v>
      </c>
      <c r="B87" s="6" t="s">
        <v>604</v>
      </c>
      <c r="C87" s="6" t="s">
        <v>609</v>
      </c>
      <c r="D87" s="8">
        <f>COUNTIF('НПЗ Oilmap'!$B$2:$B$659,A87)</f>
        <v>3</v>
      </c>
      <c r="E87" s="8">
        <f>IF(F87&gt;0,SUMIF('НПЗ Oilmap'!$B$2:$B$659,A87,'НПЗ Oilmap'!$E$2:$E$659),"")</f>
        <v>141700</v>
      </c>
      <c r="F87" s="8">
        <f>SUMIF('НПЗ Oilmap'!$B$2:$B$659,A87,'НПЗ Oilmap'!$O$2:$O$659)</f>
        <v>3</v>
      </c>
      <c r="G87" s="8">
        <f t="shared" si="1"/>
        <v>0</v>
      </c>
      <c r="H87" s="8"/>
      <c r="I87" s="11"/>
      <c r="J87" s="6"/>
      <c r="K87" s="6"/>
      <c r="L87" s="12"/>
      <c r="M87" s="6"/>
      <c r="N87" s="8"/>
      <c r="O87" s="6"/>
      <c r="P87" s="6"/>
      <c r="Q87" s="12" t="s">
        <v>83</v>
      </c>
    </row>
    <row r="88" spans="1:17" ht="66" customHeight="1" x14ac:dyDescent="0.2">
      <c r="A88" s="6" t="s">
        <v>610</v>
      </c>
      <c r="B88" s="6" t="s">
        <v>611</v>
      </c>
      <c r="C88" s="6" t="s">
        <v>614</v>
      </c>
      <c r="D88" s="8">
        <f>COUNTIF('НПЗ Oilmap'!$B$2:$B$659,A88)</f>
        <v>0</v>
      </c>
      <c r="E88" s="8" t="str">
        <f>IF(F88&gt;0,SUMIF('НПЗ Oilmap'!$B$2:$B$659,A88,'НПЗ Oilmap'!$E$2:$E$659),"")</f>
        <v/>
      </c>
      <c r="F88" s="8">
        <f>SUMIF('НПЗ Oilmap'!$B$2:$B$659,A88,'НПЗ Oilmap'!$O$2:$O$659)</f>
        <v>0</v>
      </c>
      <c r="G88" s="8">
        <f t="shared" si="1"/>
        <v>0</v>
      </c>
      <c r="H88" s="8"/>
      <c r="I88" s="11"/>
      <c r="J88" s="6"/>
      <c r="K88" s="6"/>
      <c r="L88" s="12"/>
      <c r="M88" s="6"/>
      <c r="N88" s="8"/>
      <c r="O88" s="6"/>
      <c r="P88" s="6"/>
      <c r="Q88" s="12" t="s">
        <v>83</v>
      </c>
    </row>
    <row r="89" spans="1:17" ht="66" customHeight="1" x14ac:dyDescent="0.2">
      <c r="A89" s="6" t="s">
        <v>615</v>
      </c>
      <c r="B89" s="6" t="s">
        <v>616</v>
      </c>
      <c r="C89" s="6" t="s">
        <v>618</v>
      </c>
      <c r="D89" s="8">
        <f>COUNTIF('НПЗ Oilmap'!$B$2:$B$659,A89)</f>
        <v>1</v>
      </c>
      <c r="E89" s="8">
        <f>IF(F89&gt;0,SUMIF('НПЗ Oilmap'!$B$2:$B$659,A89,'НПЗ Oilmap'!$E$2:$E$659),"")</f>
        <v>14564</v>
      </c>
      <c r="F89" s="8">
        <f>SUMIF('НПЗ Oilmap'!$B$2:$B$659,A89,'НПЗ Oilmap'!$O$2:$O$659)</f>
        <v>1</v>
      </c>
      <c r="G89" s="8">
        <f t="shared" si="1"/>
        <v>0</v>
      </c>
      <c r="H89" s="8"/>
      <c r="I89" s="11"/>
      <c r="J89" s="6"/>
      <c r="K89" s="6"/>
      <c r="L89" s="12"/>
      <c r="M89" s="6"/>
      <c r="N89" s="8"/>
      <c r="O89" s="6"/>
      <c r="P89" s="6"/>
      <c r="Q89" s="12" t="s">
        <v>83</v>
      </c>
    </row>
    <row r="90" spans="1:17" ht="66" customHeight="1" x14ac:dyDescent="0.2">
      <c r="A90" s="6" t="s">
        <v>619</v>
      </c>
      <c r="B90" s="6" t="s">
        <v>620</v>
      </c>
      <c r="C90" s="6" t="s">
        <v>625</v>
      </c>
      <c r="D90" s="8">
        <f>COUNTIF('НПЗ Oilmap'!$B$2:$B$659,A90)</f>
        <v>1</v>
      </c>
      <c r="E90" s="8">
        <f>IF(F90&gt;0,SUMIF('НПЗ Oilmap'!$B$2:$B$659,A90,'НПЗ Oilmap'!$E$2:$E$659),"")</f>
        <v>175000</v>
      </c>
      <c r="F90" s="8">
        <f>SUMIF('НПЗ Oilmap'!$B$2:$B$659,A90,'НПЗ Oilmap'!$O$2:$O$659)</f>
        <v>1</v>
      </c>
      <c r="G90" s="8">
        <f t="shared" si="1"/>
        <v>0</v>
      </c>
      <c r="H90" s="8">
        <v>1</v>
      </c>
      <c r="I90" s="11">
        <v>203900</v>
      </c>
      <c r="J90" s="6" t="s">
        <v>1593</v>
      </c>
      <c r="K90" s="6" t="s">
        <v>1537</v>
      </c>
      <c r="L90" s="12" t="s">
        <v>1594</v>
      </c>
      <c r="M90" s="6" t="s">
        <v>1595</v>
      </c>
      <c r="N90" s="8">
        <v>193000</v>
      </c>
      <c r="O90" s="6">
        <v>2025</v>
      </c>
      <c r="P90" s="6" t="s">
        <v>1588</v>
      </c>
      <c r="Q90" s="12" t="s">
        <v>121</v>
      </c>
    </row>
    <row r="91" spans="1:17" ht="66" customHeight="1" x14ac:dyDescent="0.2">
      <c r="A91" s="6" t="s">
        <v>626</v>
      </c>
      <c r="B91" s="6" t="s">
        <v>627</v>
      </c>
      <c r="C91" s="6" t="s">
        <v>633</v>
      </c>
      <c r="D91" s="8">
        <f>COUNTIF('НПЗ Oilmap'!$B$2:$B$659,A91)</f>
        <v>8</v>
      </c>
      <c r="E91" s="8">
        <f>IF(F91&gt;0,SUMIF('НПЗ Oilmap'!$B$2:$B$659,A91,'НПЗ Oilmap'!$E$2:$E$659),"")</f>
        <v>485500</v>
      </c>
      <c r="F91" s="8">
        <f>SUMIF('НПЗ Oilmap'!$B$2:$B$659,A91,'НПЗ Oilmap'!$O$2:$O$659)</f>
        <v>8</v>
      </c>
      <c r="G91" s="8">
        <f t="shared" si="1"/>
        <v>0</v>
      </c>
      <c r="H91" s="8"/>
      <c r="I91" s="11"/>
      <c r="J91" s="6"/>
      <c r="K91" s="6"/>
      <c r="L91" s="12"/>
      <c r="M91" s="6"/>
      <c r="N91" s="8">
        <v>1389000</v>
      </c>
      <c r="O91" s="6">
        <v>2025</v>
      </c>
      <c r="P91" s="6" t="s">
        <v>1588</v>
      </c>
      <c r="Q91" s="12" t="s">
        <v>57</v>
      </c>
    </row>
    <row r="92" spans="1:17" ht="66" customHeight="1" x14ac:dyDescent="0.2">
      <c r="A92" s="6" t="s">
        <v>634</v>
      </c>
      <c r="B92" s="6" t="s">
        <v>635</v>
      </c>
      <c r="C92" s="6" t="s">
        <v>640</v>
      </c>
      <c r="D92" s="8">
        <f>COUNTIF('НПЗ Oilmap'!$B$2:$B$659,A92)</f>
        <v>17</v>
      </c>
      <c r="E92" s="8">
        <f>IF(F92&gt;0,SUMIF('НПЗ Oilmap'!$B$2:$B$659,A92,'НПЗ Oilmap'!$E$2:$E$659),"")</f>
        <v>2030500</v>
      </c>
      <c r="F92" s="8">
        <f>SUMIF('НПЗ Oilmap'!$B$2:$B$659,A92,'НПЗ Oilmap'!$O$2:$O$659)</f>
        <v>17</v>
      </c>
      <c r="G92" s="8">
        <f t="shared" si="1"/>
        <v>0</v>
      </c>
      <c r="H92" s="8">
        <v>10</v>
      </c>
      <c r="I92" s="11">
        <v>1663670</v>
      </c>
      <c r="J92" s="6" t="s">
        <v>1593</v>
      </c>
      <c r="K92" s="6" t="s">
        <v>1537</v>
      </c>
      <c r="L92" s="12" t="s">
        <v>1594</v>
      </c>
      <c r="M92" s="6" t="s">
        <v>1595</v>
      </c>
      <c r="N92" s="8">
        <v>1673000</v>
      </c>
      <c r="O92" s="6">
        <v>2025</v>
      </c>
      <c r="P92" s="6" t="s">
        <v>1588</v>
      </c>
      <c r="Q92" s="12" t="s">
        <v>121</v>
      </c>
    </row>
    <row r="93" spans="1:17" ht="66" customHeight="1" x14ac:dyDescent="0.2">
      <c r="A93" s="6" t="s">
        <v>641</v>
      </c>
      <c r="B93" s="6" t="s">
        <v>642</v>
      </c>
      <c r="C93" s="6" t="s">
        <v>646</v>
      </c>
      <c r="D93" s="8">
        <f>COUNTIF('НПЗ Oilmap'!$B$2:$B$659,A93)</f>
        <v>2</v>
      </c>
      <c r="E93" s="8">
        <f>IF(F93&gt;0,SUMIF('НПЗ Oilmap'!$B$2:$B$659,A93,'НПЗ Oilmap'!$E$2:$E$659),"")</f>
        <v>113000</v>
      </c>
      <c r="F93" s="8">
        <f>SUMIF('НПЗ Oilmap'!$B$2:$B$659,A93,'НПЗ Oilmap'!$O$2:$O$659)</f>
        <v>2</v>
      </c>
      <c r="G93" s="8">
        <f t="shared" si="1"/>
        <v>0</v>
      </c>
      <c r="H93" s="8">
        <v>1</v>
      </c>
      <c r="I93" s="11">
        <v>68000</v>
      </c>
      <c r="J93" s="6" t="s">
        <v>1593</v>
      </c>
      <c r="K93" s="6" t="s">
        <v>1537</v>
      </c>
      <c r="L93" s="12" t="s">
        <v>1594</v>
      </c>
      <c r="M93" s="6" t="s">
        <v>1595</v>
      </c>
      <c r="N93" s="8">
        <v>68000</v>
      </c>
      <c r="O93" s="6">
        <v>2025</v>
      </c>
      <c r="P93" s="6" t="s">
        <v>1588</v>
      </c>
      <c r="Q93" s="12" t="s">
        <v>121</v>
      </c>
    </row>
    <row r="94" spans="1:17" ht="66" customHeight="1" x14ac:dyDescent="0.2">
      <c r="A94" s="6" t="s">
        <v>647</v>
      </c>
      <c r="B94" s="6" t="s">
        <v>648</v>
      </c>
      <c r="C94" s="6" t="s">
        <v>652</v>
      </c>
      <c r="D94" s="8">
        <f>COUNTIF('НПЗ Oilmap'!$B$2:$B$659,A94)</f>
        <v>9</v>
      </c>
      <c r="E94" s="8">
        <f>IF(F94&gt;0,SUMIF('НПЗ Oilmap'!$B$2:$B$659,A94,'НПЗ Oilmap'!$E$2:$E$659),"")</f>
        <v>1626000</v>
      </c>
      <c r="F94" s="8">
        <f>SUMIF('НПЗ Oilmap'!$B$2:$B$659,A94,'НПЗ Oilmap'!$O$2:$O$659)</f>
        <v>9</v>
      </c>
      <c r="G94" s="8">
        <f t="shared" si="1"/>
        <v>0</v>
      </c>
      <c r="H94" s="8"/>
      <c r="I94" s="11"/>
      <c r="J94" s="6"/>
      <c r="K94" s="6"/>
      <c r="L94" s="12"/>
      <c r="M94" s="6"/>
      <c r="N94" s="8">
        <v>2460000</v>
      </c>
      <c r="O94" s="6">
        <v>2025</v>
      </c>
      <c r="P94" s="6" t="s">
        <v>1588</v>
      </c>
      <c r="Q94" s="12" t="s">
        <v>57</v>
      </c>
    </row>
    <row r="95" spans="1:17" ht="66" customHeight="1" x14ac:dyDescent="0.2">
      <c r="A95" s="6" t="s">
        <v>653</v>
      </c>
      <c r="B95" s="6" t="s">
        <v>654</v>
      </c>
      <c r="C95" s="6" t="s">
        <v>659</v>
      </c>
      <c r="D95" s="8">
        <f>COUNTIF('НПЗ Oilmap'!$B$2:$B$659,A95)</f>
        <v>6</v>
      </c>
      <c r="E95" s="8">
        <f>IF(F95&gt;0,SUMIF('НПЗ Oilmap'!$B$2:$B$659,A95,'НПЗ Oilmap'!$E$2:$E$659),"")</f>
        <v>1250000</v>
      </c>
      <c r="F95" s="8">
        <f>SUMIF('НПЗ Oilmap'!$B$2:$B$659,A95,'НПЗ Oilmap'!$O$2:$O$659)</f>
        <v>6</v>
      </c>
      <c r="G95" s="8">
        <f t="shared" si="1"/>
        <v>0</v>
      </c>
      <c r="H95" s="8">
        <v>5</v>
      </c>
      <c r="I95" s="11">
        <v>1257100</v>
      </c>
      <c r="J95" s="6" t="s">
        <v>1593</v>
      </c>
      <c r="K95" s="6" t="s">
        <v>1537</v>
      </c>
      <c r="L95" s="12" t="s">
        <v>1594</v>
      </c>
      <c r="M95" s="6" t="s">
        <v>1595</v>
      </c>
      <c r="N95" s="8">
        <v>1260000</v>
      </c>
      <c r="O95" s="6">
        <v>2025</v>
      </c>
      <c r="P95" s="6" t="s">
        <v>1588</v>
      </c>
      <c r="Q95" s="12" t="s">
        <v>121</v>
      </c>
    </row>
    <row r="96" spans="1:17" ht="66" customHeight="1" x14ac:dyDescent="0.2">
      <c r="A96" s="6" t="s">
        <v>660</v>
      </c>
      <c r="B96" s="6" t="s">
        <v>661</v>
      </c>
      <c r="C96" s="6" t="s">
        <v>665</v>
      </c>
      <c r="D96" s="8">
        <f>COUNTIF('НПЗ Oilmap'!$B$2:$B$659,A96)</f>
        <v>0</v>
      </c>
      <c r="E96" s="8" t="str">
        <f>IF(F96&gt;0,SUMIF('НПЗ Oilmap'!$B$2:$B$659,A96,'НПЗ Oilmap'!$E$2:$E$659),"")</f>
        <v/>
      </c>
      <c r="F96" s="8">
        <f>SUMIF('НПЗ Oilmap'!$B$2:$B$659,A96,'НПЗ Oilmap'!$O$2:$O$659)</f>
        <v>0</v>
      </c>
      <c r="G96" s="8">
        <f t="shared" si="1"/>
        <v>0</v>
      </c>
      <c r="H96" s="8"/>
      <c r="I96" s="11"/>
      <c r="J96" s="6"/>
      <c r="K96" s="6"/>
      <c r="L96" s="12"/>
      <c r="M96" s="6"/>
      <c r="N96" s="8"/>
      <c r="O96" s="6"/>
      <c r="P96" s="6"/>
      <c r="Q96" s="12" t="s">
        <v>83</v>
      </c>
    </row>
    <row r="97" spans="1:17" ht="66" customHeight="1" x14ac:dyDescent="0.2">
      <c r="A97" s="6" t="s">
        <v>666</v>
      </c>
      <c r="B97" s="6" t="s">
        <v>667</v>
      </c>
      <c r="C97" s="6" t="s">
        <v>671</v>
      </c>
      <c r="D97" s="8">
        <f>COUNTIF('НПЗ Oilmap'!$B$2:$B$659,A97)</f>
        <v>1</v>
      </c>
      <c r="E97" s="8">
        <f>IF(F97&gt;0,SUMIF('НПЗ Oilmap'!$B$2:$B$659,A97,'НПЗ Oilmap'!$E$2:$E$659),"")</f>
        <v>70000</v>
      </c>
      <c r="F97" s="8">
        <f>SUMIF('НПЗ Oilmap'!$B$2:$B$659,A97,'НПЗ Oilmap'!$O$2:$O$659)</f>
        <v>1</v>
      </c>
      <c r="G97" s="8">
        <f t="shared" si="1"/>
        <v>0</v>
      </c>
      <c r="H97" s="8"/>
      <c r="I97" s="11"/>
      <c r="J97" s="6"/>
      <c r="K97" s="6"/>
      <c r="L97" s="12"/>
      <c r="M97" s="6"/>
      <c r="N97" s="8"/>
      <c r="O97" s="6"/>
      <c r="P97" s="6"/>
      <c r="Q97" s="12" t="s">
        <v>83</v>
      </c>
    </row>
    <row r="98" spans="1:17" ht="66" customHeight="1" x14ac:dyDescent="0.2">
      <c r="A98" s="6" t="s">
        <v>672</v>
      </c>
      <c r="B98" s="6" t="s">
        <v>673</v>
      </c>
      <c r="C98" s="6" t="s">
        <v>677</v>
      </c>
      <c r="D98" s="8">
        <f>COUNTIF('НПЗ Oilmap'!$B$2:$B$659,A98)</f>
        <v>2</v>
      </c>
      <c r="E98" s="8">
        <f>IF(F98&gt;0,SUMIF('НПЗ Oilmap'!$B$2:$B$659,A98,'НПЗ Oilmap'!$E$2:$E$659),"")</f>
        <v>214826</v>
      </c>
      <c r="F98" s="8">
        <f>SUMIF('НПЗ Oilmap'!$B$2:$B$659,A98,'НПЗ Oilmap'!$O$2:$O$659)</f>
        <v>2</v>
      </c>
      <c r="G98" s="8">
        <f t="shared" si="1"/>
        <v>0</v>
      </c>
      <c r="H98" s="8"/>
      <c r="I98" s="11"/>
      <c r="J98" s="6"/>
      <c r="K98" s="6"/>
      <c r="L98" s="12"/>
      <c r="M98" s="6"/>
      <c r="N98" s="8"/>
      <c r="O98" s="6"/>
      <c r="P98" s="6"/>
      <c r="Q98" s="12" t="s">
        <v>83</v>
      </c>
    </row>
    <row r="99" spans="1:17" ht="66" customHeight="1" x14ac:dyDescent="0.2">
      <c r="A99" s="6" t="s">
        <v>678</v>
      </c>
      <c r="B99" s="6" t="s">
        <v>679</v>
      </c>
      <c r="C99" s="6" t="s">
        <v>683</v>
      </c>
      <c r="D99" s="8">
        <f>COUNTIF('НПЗ Oilmap'!$B$2:$B$659,A99)</f>
        <v>0</v>
      </c>
      <c r="E99" s="8" t="str">
        <f>IF(F99&gt;0,SUMIF('НПЗ Oilmap'!$B$2:$B$659,A99,'НПЗ Oilmap'!$E$2:$E$659),"")</f>
        <v/>
      </c>
      <c r="F99" s="8">
        <f>SUMIF('НПЗ Oilmap'!$B$2:$B$659,A99,'НПЗ Oilmap'!$O$2:$O$659)</f>
        <v>0</v>
      </c>
      <c r="G99" s="8">
        <f t="shared" si="1"/>
        <v>0</v>
      </c>
      <c r="H99" s="8"/>
      <c r="I99" s="11"/>
      <c r="J99" s="6"/>
      <c r="K99" s="6"/>
      <c r="L99" s="12"/>
      <c r="M99" s="6"/>
      <c r="N99" s="8"/>
      <c r="O99" s="6"/>
      <c r="P99" s="6"/>
      <c r="Q99" s="12" t="s">
        <v>83</v>
      </c>
    </row>
    <row r="100" spans="1:17" ht="66" customHeight="1" x14ac:dyDescent="0.2">
      <c r="A100" s="6" t="s">
        <v>684</v>
      </c>
      <c r="B100" s="6" t="s">
        <v>685</v>
      </c>
      <c r="C100" s="6" t="s">
        <v>689</v>
      </c>
      <c r="D100" s="8">
        <f>COUNTIF('НПЗ Oilmap'!$B$2:$B$659,A100)</f>
        <v>1</v>
      </c>
      <c r="E100" s="8">
        <f>IF(F100&gt;0,SUMIF('НПЗ Oilmap'!$B$2:$B$659,A100,'НПЗ Oilmap'!$E$2:$E$659),"")</f>
        <v>27000</v>
      </c>
      <c r="F100" s="8">
        <f>SUMIF('НПЗ Oilmap'!$B$2:$B$659,A100,'НПЗ Oilmap'!$O$2:$O$659)</f>
        <v>1</v>
      </c>
      <c r="G100" s="8">
        <f t="shared" si="1"/>
        <v>0</v>
      </c>
      <c r="H100" s="8"/>
      <c r="I100" s="11"/>
      <c r="J100" s="6"/>
      <c r="K100" s="6"/>
      <c r="L100" s="12"/>
      <c r="M100" s="6"/>
      <c r="N100" s="8"/>
      <c r="O100" s="6"/>
      <c r="P100" s="6"/>
      <c r="Q100" s="12" t="s">
        <v>83</v>
      </c>
    </row>
    <row r="101" spans="1:17" ht="66" customHeight="1" x14ac:dyDescent="0.2">
      <c r="A101" s="6" t="s">
        <v>690</v>
      </c>
      <c r="B101" s="6" t="s">
        <v>691</v>
      </c>
      <c r="C101" s="6" t="s">
        <v>695</v>
      </c>
      <c r="D101" s="8">
        <f>COUNTIF('НПЗ Oilmap'!$B$2:$B$659,A101)</f>
        <v>4</v>
      </c>
      <c r="E101" s="8">
        <f>IF(F101&gt;0,SUMIF('НПЗ Oilmap'!$B$2:$B$659,A101,'НПЗ Oilmap'!$E$2:$E$659),"")</f>
        <v>445000</v>
      </c>
      <c r="F101" s="8">
        <f>SUMIF('НПЗ Oilmap'!$B$2:$B$659,A101,'НПЗ Oilmap'!$O$2:$O$659)</f>
        <v>4</v>
      </c>
      <c r="G101" s="8">
        <f t="shared" si="1"/>
        <v>0</v>
      </c>
      <c r="H101" s="8"/>
      <c r="I101" s="11"/>
      <c r="J101" s="6"/>
      <c r="K101" s="6"/>
      <c r="L101" s="12"/>
      <c r="M101" s="6"/>
      <c r="N101" s="8">
        <v>963000</v>
      </c>
      <c r="O101" s="6">
        <v>2025</v>
      </c>
      <c r="P101" s="6" t="s">
        <v>1588</v>
      </c>
      <c r="Q101" s="12" t="s">
        <v>57</v>
      </c>
    </row>
    <row r="102" spans="1:17" ht="66" customHeight="1" x14ac:dyDescent="0.2">
      <c r="A102" s="6" t="s">
        <v>696</v>
      </c>
      <c r="B102" s="6" t="s">
        <v>697</v>
      </c>
      <c r="C102" s="6" t="s">
        <v>701</v>
      </c>
      <c r="D102" s="8">
        <f>COUNTIF('НПЗ Oilmap'!$B$2:$B$659,A102)</f>
        <v>0</v>
      </c>
      <c r="E102" s="8" t="str">
        <f>IF(F102&gt;0,SUMIF('НПЗ Oilmap'!$B$2:$B$659,A102,'НПЗ Oilmap'!$E$2:$E$659),"")</f>
        <v/>
      </c>
      <c r="F102" s="8">
        <f>SUMIF('НПЗ Oilmap'!$B$2:$B$659,A102,'НПЗ Oilmap'!$O$2:$O$659)</f>
        <v>0</v>
      </c>
      <c r="G102" s="8">
        <f t="shared" si="1"/>
        <v>0</v>
      </c>
      <c r="H102" s="8"/>
      <c r="I102" s="11"/>
      <c r="J102" s="6"/>
      <c r="K102" s="6"/>
      <c r="L102" s="12"/>
      <c r="M102" s="6"/>
      <c r="N102" s="8"/>
      <c r="O102" s="6"/>
      <c r="P102" s="6"/>
      <c r="Q102" s="12" t="s">
        <v>83</v>
      </c>
    </row>
    <row r="103" spans="1:17" ht="66" customHeight="1" x14ac:dyDescent="0.2">
      <c r="A103" s="6" t="s">
        <v>702</v>
      </c>
      <c r="B103" s="6" t="s">
        <v>703</v>
      </c>
      <c r="C103" s="6" t="s">
        <v>707</v>
      </c>
      <c r="D103" s="8">
        <f>COUNTIF('НПЗ Oilmap'!$B$2:$B$659,A103)</f>
        <v>1</v>
      </c>
      <c r="E103" s="8">
        <f>IF(F103&gt;0,SUMIF('НПЗ Oilmap'!$B$2:$B$659,A103,'НПЗ Oilmap'!$E$2:$E$659),"")</f>
        <v>39000</v>
      </c>
      <c r="F103" s="8">
        <f>SUMIF('НПЗ Oilmap'!$B$2:$B$659,A103,'НПЗ Oilmap'!$O$2:$O$659)</f>
        <v>1</v>
      </c>
      <c r="G103" s="8">
        <f t="shared" si="1"/>
        <v>0</v>
      </c>
      <c r="H103" s="8"/>
      <c r="I103" s="11"/>
      <c r="J103" s="6"/>
      <c r="K103" s="6"/>
      <c r="L103" s="12"/>
      <c r="M103" s="6"/>
      <c r="N103" s="8"/>
      <c r="O103" s="6"/>
      <c r="P103" s="6"/>
      <c r="Q103" s="12" t="s">
        <v>83</v>
      </c>
    </row>
    <row r="104" spans="1:17" ht="66" customHeight="1" x14ac:dyDescent="0.2">
      <c r="A104" s="6" t="s">
        <v>708</v>
      </c>
      <c r="B104" s="6" t="s">
        <v>709</v>
      </c>
      <c r="C104" s="6" t="s">
        <v>713</v>
      </c>
      <c r="D104" s="8">
        <f>COUNTIF('НПЗ Oilmap'!$B$2:$B$659,A104)</f>
        <v>3</v>
      </c>
      <c r="E104" s="8">
        <f>IF(F104&gt;0,SUMIF('НПЗ Oilmap'!$B$2:$B$659,A104,'НПЗ Oilmap'!$E$2:$E$659),"")</f>
        <v>243337</v>
      </c>
      <c r="F104" s="8">
        <f>SUMIF('НПЗ Oilmap'!$B$2:$B$659,A104,'НПЗ Oilmap'!$O$2:$O$659)</f>
        <v>3</v>
      </c>
      <c r="G104" s="8">
        <f t="shared" si="1"/>
        <v>0</v>
      </c>
      <c r="H104" s="8">
        <v>1</v>
      </c>
      <c r="I104" s="11">
        <v>94900</v>
      </c>
      <c r="J104" s="6" t="s">
        <v>1593</v>
      </c>
      <c r="K104" s="6" t="s">
        <v>1537</v>
      </c>
      <c r="L104" s="12" t="s">
        <v>1594</v>
      </c>
      <c r="M104" s="6" t="s">
        <v>1595</v>
      </c>
      <c r="N104" s="8"/>
      <c r="O104" s="6"/>
      <c r="P104" s="6"/>
      <c r="Q104" s="12" t="s">
        <v>121</v>
      </c>
    </row>
    <row r="105" spans="1:17" ht="66" customHeight="1" x14ac:dyDescent="0.2">
      <c r="A105" s="6" t="s">
        <v>714</v>
      </c>
      <c r="B105" s="6" t="s">
        <v>715</v>
      </c>
      <c r="C105" s="6" t="s">
        <v>719</v>
      </c>
      <c r="D105" s="8">
        <f>COUNTIF('НПЗ Oilmap'!$B$2:$B$659,A105)</f>
        <v>1</v>
      </c>
      <c r="E105" s="8">
        <f>IF(F105&gt;0,SUMIF('НПЗ Oilmap'!$B$2:$B$659,A105,'НПЗ Oilmap'!$E$2:$E$659),"")</f>
        <v>13500</v>
      </c>
      <c r="F105" s="8">
        <f>SUMIF('НПЗ Oilmap'!$B$2:$B$659,A105,'НПЗ Oilmap'!$O$2:$O$659)</f>
        <v>1</v>
      </c>
      <c r="G105" s="8">
        <f t="shared" si="1"/>
        <v>0</v>
      </c>
      <c r="H105" s="8"/>
      <c r="I105" s="11"/>
      <c r="J105" s="6"/>
      <c r="K105" s="6"/>
      <c r="L105" s="12"/>
      <c r="M105" s="6"/>
      <c r="N105" s="8"/>
      <c r="O105" s="6"/>
      <c r="P105" s="6"/>
      <c r="Q105" s="12" t="s">
        <v>83</v>
      </c>
    </row>
    <row r="106" spans="1:17" ht="66" customHeight="1" x14ac:dyDescent="0.2">
      <c r="A106" s="6" t="s">
        <v>720</v>
      </c>
      <c r="B106" s="6" t="s">
        <v>721</v>
      </c>
      <c r="C106" s="6" t="s">
        <v>725</v>
      </c>
      <c r="D106" s="8">
        <f>COUNTIF('НПЗ Oilmap'!$B$2:$B$659,A106)</f>
        <v>1</v>
      </c>
      <c r="E106" s="8">
        <f>IF(F106&gt;0,SUMIF('НПЗ Oilmap'!$B$2:$B$659,A106,'НПЗ Oilmap'!$E$2:$E$659),"")</f>
        <v>200000</v>
      </c>
      <c r="F106" s="8">
        <f>SUMIF('НПЗ Oilmap'!$B$2:$B$659,A106,'НПЗ Oilmap'!$O$2:$O$659)</f>
        <v>1</v>
      </c>
      <c r="G106" s="8">
        <f t="shared" si="1"/>
        <v>0</v>
      </c>
      <c r="H106" s="8"/>
      <c r="I106" s="11"/>
      <c r="J106" s="6"/>
      <c r="K106" s="6"/>
      <c r="L106" s="12"/>
      <c r="M106" s="6"/>
      <c r="N106" s="8">
        <v>429000</v>
      </c>
      <c r="O106" s="6">
        <v>2025</v>
      </c>
      <c r="P106" s="6" t="s">
        <v>1588</v>
      </c>
      <c r="Q106" s="12" t="s">
        <v>57</v>
      </c>
    </row>
    <row r="107" spans="1:17" ht="66" customHeight="1" x14ac:dyDescent="0.2">
      <c r="A107" s="6" t="s">
        <v>726</v>
      </c>
      <c r="B107" s="6" t="s">
        <v>727</v>
      </c>
      <c r="C107" s="6" t="s">
        <v>731</v>
      </c>
      <c r="D107" s="8">
        <f>COUNTIF('НПЗ Oilmap'!$B$2:$B$659,A107)</f>
        <v>7</v>
      </c>
      <c r="E107" s="8">
        <f>IF(F107&gt;0,SUMIF('НПЗ Oilmap'!$B$2:$B$659,A107,'НПЗ Oilmap'!$E$2:$E$659),"")</f>
        <v>2100000</v>
      </c>
      <c r="F107" s="8">
        <f>SUMIF('НПЗ Oilmap'!$B$2:$B$659,A107,'НПЗ Oilmap'!$O$2:$O$659)</f>
        <v>7</v>
      </c>
      <c r="G107" s="8">
        <f t="shared" si="1"/>
        <v>0</v>
      </c>
      <c r="H107" s="8"/>
      <c r="I107" s="11"/>
      <c r="J107" s="6"/>
      <c r="K107" s="6"/>
      <c r="L107" s="12"/>
      <c r="M107" s="6"/>
      <c r="N107" s="8">
        <v>3289000</v>
      </c>
      <c r="O107" s="6">
        <v>2025</v>
      </c>
      <c r="P107" s="6" t="s">
        <v>1588</v>
      </c>
      <c r="Q107" s="12" t="s">
        <v>57</v>
      </c>
    </row>
    <row r="108" spans="1:17" ht="66" customHeight="1" x14ac:dyDescent="0.2">
      <c r="A108" s="6" t="s">
        <v>732</v>
      </c>
      <c r="B108" s="6" t="s">
        <v>733</v>
      </c>
      <c r="C108" s="6" t="s">
        <v>737</v>
      </c>
      <c r="D108" s="8">
        <f>COUNTIF('НПЗ Oilmap'!$B$2:$B$659,A108)</f>
        <v>0</v>
      </c>
      <c r="E108" s="8" t="str">
        <f>IF(F108&gt;0,SUMIF('НПЗ Oilmap'!$B$2:$B$659,A108,'НПЗ Oilmap'!$E$2:$E$659),"")</f>
        <v/>
      </c>
      <c r="F108" s="8">
        <f>SUMIF('НПЗ Oilmap'!$B$2:$B$659,A108,'НПЗ Oilmap'!$O$2:$O$659)</f>
        <v>0</v>
      </c>
      <c r="G108" s="8">
        <f t="shared" si="1"/>
        <v>0</v>
      </c>
      <c r="H108" s="8"/>
      <c r="I108" s="11"/>
      <c r="J108" s="6"/>
      <c r="K108" s="6"/>
      <c r="L108" s="12"/>
      <c r="M108" s="6"/>
      <c r="N108" s="8"/>
      <c r="O108" s="6"/>
      <c r="P108" s="6"/>
      <c r="Q108" s="12" t="s">
        <v>83</v>
      </c>
    </row>
    <row r="109" spans="1:17" ht="66" customHeight="1" x14ac:dyDescent="0.2">
      <c r="A109" s="6" t="s">
        <v>738</v>
      </c>
      <c r="B109" s="6" t="s">
        <v>739</v>
      </c>
      <c r="C109" s="6" t="s">
        <v>743</v>
      </c>
      <c r="D109" s="8">
        <f>COUNTIF('НПЗ Oilmap'!$B$2:$B$659,A109)</f>
        <v>0</v>
      </c>
      <c r="E109" s="8" t="str">
        <f>IF(F109&gt;0,SUMIF('НПЗ Oilmap'!$B$2:$B$659,A109,'НПЗ Oilmap'!$E$2:$E$659),"")</f>
        <v/>
      </c>
      <c r="F109" s="8">
        <f>SUMIF('НПЗ Oilmap'!$B$2:$B$659,A109,'НПЗ Oilmap'!$O$2:$O$659)</f>
        <v>0</v>
      </c>
      <c r="G109" s="8">
        <f t="shared" si="1"/>
        <v>0</v>
      </c>
      <c r="H109" s="8"/>
      <c r="I109" s="11"/>
      <c r="J109" s="6"/>
      <c r="K109" s="6"/>
      <c r="L109" s="12"/>
      <c r="M109" s="6"/>
      <c r="N109" s="8"/>
      <c r="O109" s="6"/>
      <c r="P109" s="6"/>
      <c r="Q109" s="12" t="s">
        <v>83</v>
      </c>
    </row>
    <row r="110" spans="1:17" ht="66" customHeight="1" x14ac:dyDescent="0.2">
      <c r="A110" s="6" t="s">
        <v>744</v>
      </c>
      <c r="B110" s="6" t="s">
        <v>745</v>
      </c>
      <c r="C110" s="6" t="s">
        <v>749</v>
      </c>
      <c r="D110" s="8">
        <f>COUNTIF('НПЗ Oilmap'!$B$2:$B$659,A110)</f>
        <v>5</v>
      </c>
      <c r="E110" s="8">
        <f>IF(F110&gt;0,SUMIF('НПЗ Oilmap'!$B$2:$B$659,A110,'НПЗ Oilmap'!$E$2:$E$659),"")</f>
        <v>268000</v>
      </c>
      <c r="F110" s="8">
        <f>SUMIF('НПЗ Oilmap'!$B$2:$B$659,A110,'НПЗ Oilmap'!$O$2:$O$659)</f>
        <v>5</v>
      </c>
      <c r="G110" s="8">
        <f t="shared" si="1"/>
        <v>0</v>
      </c>
      <c r="H110" s="8"/>
      <c r="I110" s="11"/>
      <c r="J110" s="6"/>
      <c r="K110" s="6"/>
      <c r="L110" s="12"/>
      <c r="M110" s="6"/>
      <c r="N110" s="8">
        <v>474000</v>
      </c>
      <c r="O110" s="6">
        <v>2025</v>
      </c>
      <c r="P110" s="6" t="s">
        <v>1588</v>
      </c>
      <c r="Q110" s="12" t="s">
        <v>57</v>
      </c>
    </row>
    <row r="111" spans="1:17" ht="66" customHeight="1" x14ac:dyDescent="0.2">
      <c r="A111" s="6" t="s">
        <v>750</v>
      </c>
      <c r="B111" s="6" t="s">
        <v>751</v>
      </c>
      <c r="C111" s="6" t="s">
        <v>755</v>
      </c>
      <c r="D111" s="8">
        <f>COUNTIF('НПЗ Oilmap'!$B$2:$B$659,A111)</f>
        <v>1</v>
      </c>
      <c r="E111" s="8">
        <f>IF(F111&gt;0,SUMIF('НПЗ Oilmap'!$B$2:$B$659,A111,'НПЗ Oilmap'!$E$2:$E$659),"")</f>
        <v>40000</v>
      </c>
      <c r="F111" s="8">
        <f>SUMIF('НПЗ Oilmap'!$B$2:$B$659,A111,'НПЗ Oilmap'!$O$2:$O$659)</f>
        <v>1</v>
      </c>
      <c r="G111" s="8">
        <f t="shared" si="1"/>
        <v>0</v>
      </c>
      <c r="H111" s="8">
        <v>1</v>
      </c>
      <c r="I111" s="11">
        <v>121300</v>
      </c>
      <c r="J111" s="6" t="s">
        <v>1593</v>
      </c>
      <c r="K111" s="6" t="s">
        <v>1537</v>
      </c>
      <c r="L111" s="12" t="s">
        <v>1594</v>
      </c>
      <c r="M111" s="6" t="s">
        <v>1595</v>
      </c>
      <c r="N111" s="8">
        <v>196000</v>
      </c>
      <c r="O111" s="6">
        <v>2025</v>
      </c>
      <c r="P111" s="6" t="s">
        <v>1588</v>
      </c>
      <c r="Q111" s="12" t="s">
        <v>121</v>
      </c>
    </row>
    <row r="112" spans="1:17" ht="66" customHeight="1" x14ac:dyDescent="0.2">
      <c r="A112" s="6" t="s">
        <v>756</v>
      </c>
      <c r="B112" s="6" t="s">
        <v>757</v>
      </c>
      <c r="C112" s="6" t="s">
        <v>761</v>
      </c>
      <c r="D112" s="8">
        <f>COUNTIF('НПЗ Oilmap'!$B$2:$B$659,A112)</f>
        <v>4</v>
      </c>
      <c r="E112" s="8">
        <f>IF(F112&gt;0,SUMIF('НПЗ Oilmap'!$B$2:$B$659,A112,'НПЗ Oilmap'!$E$2:$E$659),"")</f>
        <v>791500</v>
      </c>
      <c r="F112" s="8">
        <f>SUMIF('НПЗ Oilmap'!$B$2:$B$659,A112,'НПЗ Oilmap'!$O$2:$O$659)</f>
        <v>4</v>
      </c>
      <c r="G112" s="8">
        <f t="shared" si="1"/>
        <v>0</v>
      </c>
      <c r="H112" s="8"/>
      <c r="I112" s="11"/>
      <c r="J112" s="6"/>
      <c r="K112" s="6"/>
      <c r="L112" s="12"/>
      <c r="M112" s="6"/>
      <c r="N112" s="8">
        <v>1242000</v>
      </c>
      <c r="O112" s="6">
        <v>2025</v>
      </c>
      <c r="P112" s="6" t="s">
        <v>1588</v>
      </c>
      <c r="Q112" s="12" t="s">
        <v>57</v>
      </c>
    </row>
    <row r="113" spans="1:17" ht="66" customHeight="1" x14ac:dyDescent="0.2">
      <c r="A113" s="6" t="s">
        <v>762</v>
      </c>
      <c r="B113" s="6" t="s">
        <v>763</v>
      </c>
      <c r="C113" s="6" t="s">
        <v>767</v>
      </c>
      <c r="D113" s="8">
        <f>COUNTIF('НПЗ Oilmap'!$B$2:$B$659,A113)</f>
        <v>0</v>
      </c>
      <c r="E113" s="8" t="str">
        <f>IF(F113&gt;0,SUMIF('НПЗ Oilmap'!$B$2:$B$659,A113,'НПЗ Oilmap'!$E$2:$E$659),"")</f>
        <v/>
      </c>
      <c r="F113" s="8">
        <f>SUMIF('НПЗ Oilmap'!$B$2:$B$659,A113,'НПЗ Oilmap'!$O$2:$O$659)</f>
        <v>0</v>
      </c>
      <c r="G113" s="8">
        <f t="shared" si="1"/>
        <v>0</v>
      </c>
      <c r="H113" s="8"/>
      <c r="I113" s="11"/>
      <c r="J113" s="6"/>
      <c r="K113" s="6"/>
      <c r="L113" s="12"/>
      <c r="M113" s="6"/>
      <c r="N113" s="8"/>
      <c r="O113" s="6"/>
      <c r="P113" s="6"/>
      <c r="Q113" s="12" t="s">
        <v>83</v>
      </c>
    </row>
    <row r="114" spans="1:17" ht="66" customHeight="1" x14ac:dyDescent="0.2">
      <c r="A114" s="6" t="s">
        <v>768</v>
      </c>
      <c r="B114" s="6" t="s">
        <v>769</v>
      </c>
      <c r="C114" s="6" t="s">
        <v>773</v>
      </c>
      <c r="D114" s="8">
        <f>COUNTIF('НПЗ Oilmap'!$B$2:$B$659,A114)</f>
        <v>0</v>
      </c>
      <c r="E114" s="8" t="str">
        <f>IF(F114&gt;0,SUMIF('НПЗ Oilmap'!$B$2:$B$659,A114,'НПЗ Oilmap'!$E$2:$E$659),"")</f>
        <v/>
      </c>
      <c r="F114" s="8">
        <f>SUMIF('НПЗ Oilmap'!$B$2:$B$659,A114,'НПЗ Oilmap'!$O$2:$O$659)</f>
        <v>0</v>
      </c>
      <c r="G114" s="8">
        <f t="shared" si="1"/>
        <v>0</v>
      </c>
      <c r="H114" s="8"/>
      <c r="I114" s="11"/>
      <c r="J114" s="6"/>
      <c r="K114" s="6"/>
      <c r="L114" s="12"/>
      <c r="M114" s="6"/>
      <c r="N114" s="8"/>
      <c r="O114" s="6"/>
      <c r="P114" s="6"/>
      <c r="Q114" s="12" t="s">
        <v>83</v>
      </c>
    </row>
    <row r="115" spans="1:17" ht="66" customHeight="1" x14ac:dyDescent="0.2">
      <c r="A115" s="6" t="s">
        <v>774</v>
      </c>
      <c r="B115" s="6" t="s">
        <v>775</v>
      </c>
      <c r="C115" s="6" t="s">
        <v>779</v>
      </c>
      <c r="D115" s="8">
        <f>COUNTIF('НПЗ Oilmap'!$B$2:$B$659,A115)</f>
        <v>2</v>
      </c>
      <c r="E115" s="8">
        <f>IF(F115&gt;0,SUMIF('НПЗ Oilmap'!$B$2:$B$659,A115,'НПЗ Oilmap'!$E$2:$E$659),"")</f>
        <v>49000</v>
      </c>
      <c r="F115" s="8">
        <f>SUMIF('НПЗ Oilmap'!$B$2:$B$659,A115,'НПЗ Oilmap'!$O$2:$O$659)</f>
        <v>2</v>
      </c>
      <c r="G115" s="8">
        <f t="shared" si="1"/>
        <v>0</v>
      </c>
      <c r="H115" s="8"/>
      <c r="I115" s="11"/>
      <c r="J115" s="6"/>
      <c r="K115" s="6"/>
      <c r="L115" s="12"/>
      <c r="M115" s="6"/>
      <c r="N115" s="8"/>
      <c r="O115" s="6"/>
      <c r="P115" s="6"/>
      <c r="Q115" s="12" t="s">
        <v>83</v>
      </c>
    </row>
    <row r="116" spans="1:17" ht="66" customHeight="1" x14ac:dyDescent="0.2">
      <c r="A116" s="6" t="s">
        <v>780</v>
      </c>
      <c r="B116" s="6" t="s">
        <v>781</v>
      </c>
      <c r="C116" s="6" t="s">
        <v>784</v>
      </c>
      <c r="D116" s="8">
        <f>COUNTIF('НПЗ Oilmap'!$B$2:$B$659,A116)</f>
        <v>0</v>
      </c>
      <c r="E116" s="8" t="str">
        <f>IF(F116&gt;0,SUMIF('НПЗ Oilmap'!$B$2:$B$659,A116,'НПЗ Oilmap'!$E$2:$E$659),"")</f>
        <v/>
      </c>
      <c r="F116" s="8">
        <f>SUMIF('НПЗ Oilmap'!$B$2:$B$659,A116,'НПЗ Oilmap'!$O$2:$O$659)</f>
        <v>0</v>
      </c>
      <c r="G116" s="8">
        <f t="shared" si="1"/>
        <v>0</v>
      </c>
      <c r="H116" s="8"/>
      <c r="I116" s="11"/>
      <c r="J116" s="6"/>
      <c r="K116" s="6"/>
      <c r="L116" s="12"/>
      <c r="M116" s="6"/>
      <c r="N116" s="8"/>
      <c r="O116" s="6"/>
      <c r="P116" s="6"/>
      <c r="Q116" s="12" t="s">
        <v>83</v>
      </c>
    </row>
    <row r="117" spans="1:17" ht="66" customHeight="1" x14ac:dyDescent="0.2">
      <c r="A117" s="6" t="s">
        <v>785</v>
      </c>
      <c r="B117" s="6" t="s">
        <v>786</v>
      </c>
      <c r="C117" s="6" t="s">
        <v>790</v>
      </c>
      <c r="D117" s="8">
        <f>COUNTIF('НПЗ Oilmap'!$B$2:$B$659,A117)</f>
        <v>3</v>
      </c>
      <c r="E117" s="8">
        <f>IF(F117&gt;0,SUMIF('НПЗ Oilmap'!$B$2:$B$659,A117,'НПЗ Oilmap'!$E$2:$E$659),"")</f>
        <v>831000</v>
      </c>
      <c r="F117" s="8">
        <f>SUMIF('НПЗ Oilmap'!$B$2:$B$659,A117,'НПЗ Oilmap'!$O$2:$O$659)</f>
        <v>3</v>
      </c>
      <c r="G117" s="8">
        <f t="shared" si="1"/>
        <v>0</v>
      </c>
      <c r="H117" s="8"/>
      <c r="I117" s="11"/>
      <c r="J117" s="6"/>
      <c r="K117" s="6"/>
      <c r="L117" s="12"/>
      <c r="M117" s="6"/>
      <c r="N117" s="8">
        <v>1430000</v>
      </c>
      <c r="O117" s="6">
        <v>2025</v>
      </c>
      <c r="P117" s="6" t="s">
        <v>1588</v>
      </c>
      <c r="Q117" s="12" t="s">
        <v>57</v>
      </c>
    </row>
    <row r="118" spans="1:17" ht="66" customHeight="1" x14ac:dyDescent="0.2">
      <c r="A118" s="6" t="s">
        <v>791</v>
      </c>
      <c r="B118" s="6" t="s">
        <v>792</v>
      </c>
      <c r="C118" s="6" t="s">
        <v>796</v>
      </c>
      <c r="D118" s="8">
        <f>COUNTIF('НПЗ Oilmap'!$B$2:$B$659,A118)</f>
        <v>1</v>
      </c>
      <c r="E118" s="8">
        <f>IF(F118&gt;0,SUMIF('НПЗ Oilmap'!$B$2:$B$659,A118,'НПЗ Oilmap'!$E$2:$E$659),"")</f>
        <v>22000</v>
      </c>
      <c r="F118" s="8">
        <f>SUMIF('НПЗ Oilmap'!$B$2:$B$659,A118,'НПЗ Oilmap'!$O$2:$O$659)</f>
        <v>1</v>
      </c>
      <c r="G118" s="8">
        <f t="shared" si="1"/>
        <v>0</v>
      </c>
      <c r="H118" s="8"/>
      <c r="I118" s="11"/>
      <c r="J118" s="6"/>
      <c r="K118" s="6"/>
      <c r="L118" s="12"/>
      <c r="M118" s="6"/>
      <c r="N118" s="8"/>
      <c r="O118" s="6"/>
      <c r="P118" s="6"/>
      <c r="Q118" s="12" t="s">
        <v>83</v>
      </c>
    </row>
    <row r="119" spans="1:17" ht="66" customHeight="1" x14ac:dyDescent="0.2">
      <c r="A119" s="6" t="s">
        <v>797</v>
      </c>
      <c r="B119" s="6" t="s">
        <v>798</v>
      </c>
      <c r="C119" s="6" t="s">
        <v>802</v>
      </c>
      <c r="D119" s="8">
        <f>COUNTIF('НПЗ Oilmap'!$B$2:$B$659,A119)</f>
        <v>0</v>
      </c>
      <c r="E119" s="8" t="str">
        <f>IF(F119&gt;0,SUMIF('НПЗ Oilmap'!$B$2:$B$659,A119,'НПЗ Oilmap'!$E$2:$E$659),"")</f>
        <v/>
      </c>
      <c r="F119" s="8">
        <f>SUMIF('НПЗ Oilmap'!$B$2:$B$659,A119,'НПЗ Oilmap'!$O$2:$O$659)</f>
        <v>0</v>
      </c>
      <c r="G119" s="8">
        <f t="shared" si="1"/>
        <v>0</v>
      </c>
      <c r="H119" s="8"/>
      <c r="I119" s="11"/>
      <c r="J119" s="6"/>
      <c r="K119" s="6"/>
      <c r="L119" s="12"/>
      <c r="M119" s="6"/>
      <c r="N119" s="8"/>
      <c r="O119" s="6"/>
      <c r="P119" s="6"/>
      <c r="Q119" s="12" t="s">
        <v>83</v>
      </c>
    </row>
    <row r="120" spans="1:17" ht="66" customHeight="1" x14ac:dyDescent="0.2">
      <c r="A120" s="6" t="s">
        <v>803</v>
      </c>
      <c r="B120" s="6" t="s">
        <v>804</v>
      </c>
      <c r="C120" s="6" t="s">
        <v>807</v>
      </c>
      <c r="D120" s="8">
        <f>COUNTIF('НПЗ Oilmap'!$B$2:$B$659,A120)</f>
        <v>0</v>
      </c>
      <c r="E120" s="8" t="str">
        <f>IF(F120&gt;0,SUMIF('НПЗ Oilmap'!$B$2:$B$659,A120,'НПЗ Oilmap'!$E$2:$E$659),"")</f>
        <v/>
      </c>
      <c r="F120" s="8">
        <f>SUMIF('НПЗ Oilmap'!$B$2:$B$659,A120,'НПЗ Oilmap'!$O$2:$O$659)</f>
        <v>0</v>
      </c>
      <c r="G120" s="8">
        <f t="shared" si="1"/>
        <v>0</v>
      </c>
      <c r="H120" s="8"/>
      <c r="I120" s="11"/>
      <c r="J120" s="6"/>
      <c r="K120" s="6"/>
      <c r="L120" s="12"/>
      <c r="M120" s="6"/>
      <c r="N120" s="8"/>
      <c r="O120" s="6"/>
      <c r="P120" s="6"/>
      <c r="Q120" s="12" t="s">
        <v>83</v>
      </c>
    </row>
    <row r="121" spans="1:17" ht="66" customHeight="1" x14ac:dyDescent="0.2">
      <c r="A121" s="6" t="s">
        <v>808</v>
      </c>
      <c r="B121" s="6" t="s">
        <v>809</v>
      </c>
      <c r="C121" s="6" t="s">
        <v>812</v>
      </c>
      <c r="D121" s="8">
        <f>COUNTIF('НПЗ Oilmap'!$B$2:$B$659,A121)</f>
        <v>1</v>
      </c>
      <c r="E121" s="8">
        <f>IF(F121&gt;0,SUMIF('НПЗ Oilmap'!$B$2:$B$659,A121,'НПЗ Oilmap'!$E$2:$E$659),"")</f>
        <v>8600</v>
      </c>
      <c r="F121" s="8">
        <f>SUMIF('НПЗ Oilmap'!$B$2:$B$659,A121,'НПЗ Oilmap'!$O$2:$O$659)</f>
        <v>1</v>
      </c>
      <c r="G121" s="8">
        <f t="shared" si="1"/>
        <v>0</v>
      </c>
      <c r="H121" s="8"/>
      <c r="I121" s="11"/>
      <c r="J121" s="6"/>
      <c r="K121" s="6"/>
      <c r="L121" s="12"/>
      <c r="M121" s="6"/>
      <c r="N121" s="8"/>
      <c r="O121" s="6"/>
      <c r="P121" s="6"/>
      <c r="Q121" s="12" t="s">
        <v>83</v>
      </c>
    </row>
    <row r="122" spans="1:17" ht="66" customHeight="1" x14ac:dyDescent="0.2">
      <c r="A122" s="6" t="s">
        <v>813</v>
      </c>
      <c r="B122" s="6" t="s">
        <v>814</v>
      </c>
      <c r="C122" s="6" t="s">
        <v>818</v>
      </c>
      <c r="D122" s="8">
        <f>COUNTIF('НПЗ Oilmap'!$B$2:$B$659,A122)</f>
        <v>0</v>
      </c>
      <c r="E122" s="8" t="str">
        <f>IF(F122&gt;0,SUMIF('НПЗ Oilmap'!$B$2:$B$659,A122,'НПЗ Oilmap'!$E$2:$E$659),"")</f>
        <v/>
      </c>
      <c r="F122" s="8">
        <f>SUMIF('НПЗ Oilmap'!$B$2:$B$659,A122,'НПЗ Oilmap'!$O$2:$O$659)</f>
        <v>0</v>
      </c>
      <c r="G122" s="8">
        <f t="shared" si="1"/>
        <v>0</v>
      </c>
      <c r="H122" s="8"/>
      <c r="I122" s="11"/>
      <c r="J122" s="6"/>
      <c r="K122" s="6"/>
      <c r="L122" s="12"/>
      <c r="M122" s="6"/>
      <c r="N122" s="8"/>
      <c r="O122" s="6"/>
      <c r="P122" s="6"/>
      <c r="Q122" s="12" t="s">
        <v>83</v>
      </c>
    </row>
    <row r="123" spans="1:17" ht="66" customHeight="1" x14ac:dyDescent="0.2">
      <c r="A123" s="6" t="s">
        <v>819</v>
      </c>
      <c r="B123" s="6" t="s">
        <v>820</v>
      </c>
      <c r="C123" s="6" t="s">
        <v>824</v>
      </c>
      <c r="D123" s="8">
        <f>COUNTIF('НПЗ Oilmap'!$B$2:$B$659,A123)</f>
        <v>4</v>
      </c>
      <c r="E123" s="8">
        <f>IF(F123&gt;0,SUMIF('НПЗ Oilmap'!$B$2:$B$659,A123,'НПЗ Oilmap'!$E$2:$E$659),"")</f>
        <v>404000</v>
      </c>
      <c r="F123" s="8">
        <f>SUMIF('НПЗ Oilmap'!$B$2:$B$659,A123,'НПЗ Oilmap'!$O$2:$O$659)</f>
        <v>3</v>
      </c>
      <c r="G123" s="8">
        <f t="shared" si="1"/>
        <v>1</v>
      </c>
      <c r="H123" s="8"/>
      <c r="I123" s="11"/>
      <c r="J123" s="6"/>
      <c r="K123" s="6"/>
      <c r="L123" s="12"/>
      <c r="M123" s="6"/>
      <c r="N123" s="8">
        <v>647000</v>
      </c>
      <c r="O123" s="6">
        <v>2025</v>
      </c>
      <c r="P123" s="6" t="s">
        <v>1588</v>
      </c>
      <c r="Q123" s="12" t="s">
        <v>57</v>
      </c>
    </row>
    <row r="124" spans="1:17" ht="66" customHeight="1" x14ac:dyDescent="0.2">
      <c r="A124" s="6" t="s">
        <v>825</v>
      </c>
      <c r="B124" s="6" t="s">
        <v>826</v>
      </c>
      <c r="C124" s="6" t="s">
        <v>830</v>
      </c>
      <c r="D124" s="8">
        <f>COUNTIF('НПЗ Oilmap'!$B$2:$B$659,A124)</f>
        <v>0</v>
      </c>
      <c r="E124" s="8" t="str">
        <f>IF(F124&gt;0,SUMIF('НПЗ Oilmap'!$B$2:$B$659,A124,'НПЗ Oilmap'!$E$2:$E$659),"")</f>
        <v/>
      </c>
      <c r="F124" s="8">
        <f>SUMIF('НПЗ Oilmap'!$B$2:$B$659,A124,'НПЗ Oilmap'!$O$2:$O$659)</f>
        <v>0</v>
      </c>
      <c r="G124" s="8">
        <f t="shared" si="1"/>
        <v>0</v>
      </c>
      <c r="H124" s="8"/>
      <c r="I124" s="11"/>
      <c r="J124" s="6"/>
      <c r="K124" s="6"/>
      <c r="L124" s="12"/>
      <c r="M124" s="6"/>
      <c r="N124" s="8"/>
      <c r="O124" s="6"/>
      <c r="P124" s="6"/>
      <c r="Q124" s="12" t="s">
        <v>83</v>
      </c>
    </row>
    <row r="125" spans="1:17" ht="66" customHeight="1" x14ac:dyDescent="0.2">
      <c r="A125" s="6" t="s">
        <v>831</v>
      </c>
      <c r="B125" s="6" t="s">
        <v>832</v>
      </c>
      <c r="C125" s="6" t="s">
        <v>836</v>
      </c>
      <c r="D125" s="8">
        <f>COUNTIF('НПЗ Oilmap'!$B$2:$B$659,A125)</f>
        <v>0</v>
      </c>
      <c r="E125" s="8" t="str">
        <f>IF(F125&gt;0,SUMIF('НПЗ Oilmap'!$B$2:$B$659,A125,'НПЗ Oilmap'!$E$2:$E$659),"")</f>
        <v/>
      </c>
      <c r="F125" s="8">
        <f>SUMIF('НПЗ Oilmap'!$B$2:$B$659,A125,'НПЗ Oilmap'!$O$2:$O$659)</f>
        <v>0</v>
      </c>
      <c r="G125" s="8">
        <f t="shared" si="1"/>
        <v>0</v>
      </c>
      <c r="H125" s="8"/>
      <c r="I125" s="11"/>
      <c r="J125" s="6"/>
      <c r="K125" s="6"/>
      <c r="L125" s="12"/>
      <c r="M125" s="6"/>
      <c r="N125" s="8"/>
      <c r="O125" s="6"/>
      <c r="P125" s="6"/>
      <c r="Q125" s="12" t="s">
        <v>83</v>
      </c>
    </row>
    <row r="126" spans="1:17" ht="66" customHeight="1" x14ac:dyDescent="0.2">
      <c r="A126" s="6" t="s">
        <v>837</v>
      </c>
      <c r="B126" s="6" t="s">
        <v>838</v>
      </c>
      <c r="C126" s="6" t="s">
        <v>842</v>
      </c>
      <c r="D126" s="8">
        <f>COUNTIF('НПЗ Oilmap'!$B$2:$B$659,A126)</f>
        <v>0</v>
      </c>
      <c r="E126" s="8" t="str">
        <f>IF(F126&gt;0,SUMIF('НПЗ Oilmap'!$B$2:$B$659,A126,'НПЗ Oilmap'!$E$2:$E$659),"")</f>
        <v/>
      </c>
      <c r="F126" s="8">
        <f>SUMIF('НПЗ Oilmap'!$B$2:$B$659,A126,'НПЗ Oilmap'!$O$2:$O$659)</f>
        <v>0</v>
      </c>
      <c r="G126" s="8">
        <f t="shared" si="1"/>
        <v>0</v>
      </c>
      <c r="H126" s="8"/>
      <c r="I126" s="11"/>
      <c r="J126" s="6"/>
      <c r="K126" s="6"/>
      <c r="L126" s="12"/>
      <c r="M126" s="6"/>
      <c r="N126" s="8"/>
      <c r="O126" s="6"/>
      <c r="P126" s="6"/>
      <c r="Q126" s="12" t="s">
        <v>83</v>
      </c>
    </row>
    <row r="127" spans="1:17" ht="66" customHeight="1" x14ac:dyDescent="0.2">
      <c r="A127" s="6" t="s">
        <v>843</v>
      </c>
      <c r="B127" s="6" t="s">
        <v>844</v>
      </c>
      <c r="C127" s="6" t="s">
        <v>848</v>
      </c>
      <c r="D127" s="8">
        <f>COUNTIF('НПЗ Oilmap'!$B$2:$B$659,A127)</f>
        <v>0</v>
      </c>
      <c r="E127" s="8" t="str">
        <f>IF(F127&gt;0,SUMIF('НПЗ Oilmap'!$B$2:$B$659,A127,'НПЗ Oilmap'!$E$2:$E$659),"")</f>
        <v/>
      </c>
      <c r="F127" s="8">
        <f>SUMIF('НПЗ Oilmap'!$B$2:$B$659,A127,'НПЗ Oilmap'!$O$2:$O$659)</f>
        <v>0</v>
      </c>
      <c r="G127" s="8">
        <f t="shared" si="1"/>
        <v>0</v>
      </c>
      <c r="H127" s="8"/>
      <c r="I127" s="11"/>
      <c r="J127" s="6"/>
      <c r="K127" s="6"/>
      <c r="L127" s="12"/>
      <c r="M127" s="6"/>
      <c r="N127" s="8"/>
      <c r="O127" s="6"/>
      <c r="P127" s="6"/>
      <c r="Q127" s="12" t="s">
        <v>83</v>
      </c>
    </row>
    <row r="128" spans="1:17" ht="66" customHeight="1" x14ac:dyDescent="0.2">
      <c r="A128" s="6" t="s">
        <v>849</v>
      </c>
      <c r="B128" s="6" t="s">
        <v>850</v>
      </c>
      <c r="C128" s="6" t="s">
        <v>854</v>
      </c>
      <c r="D128" s="8">
        <f>COUNTIF('НПЗ Oilmap'!$B$2:$B$659,A128)</f>
        <v>3</v>
      </c>
      <c r="E128" s="8">
        <f>IF(F128&gt;0,SUMIF('НПЗ Oilmap'!$B$2:$B$659,A128,'НПЗ Oilmap'!$E$2:$E$659),"")</f>
        <v>57000</v>
      </c>
      <c r="F128" s="8">
        <f>SUMIF('НПЗ Oilmap'!$B$2:$B$659,A128,'НПЗ Oilmap'!$O$2:$O$659)</f>
        <v>3</v>
      </c>
      <c r="G128" s="8">
        <f t="shared" si="1"/>
        <v>0</v>
      </c>
      <c r="H128" s="8"/>
      <c r="I128" s="11"/>
      <c r="J128" s="6"/>
      <c r="K128" s="6"/>
      <c r="L128" s="12"/>
      <c r="M128" s="6"/>
      <c r="N128" s="8"/>
      <c r="O128" s="6"/>
      <c r="P128" s="6"/>
      <c r="Q128" s="12" t="s">
        <v>83</v>
      </c>
    </row>
    <row r="129" spans="1:17" ht="66" customHeight="1" x14ac:dyDescent="0.2">
      <c r="A129" s="6" t="s">
        <v>855</v>
      </c>
      <c r="B129" s="6" t="s">
        <v>856</v>
      </c>
      <c r="C129" s="6" t="s">
        <v>860</v>
      </c>
      <c r="D129" s="8">
        <f>COUNTIF('НПЗ Oilmap'!$B$2:$B$659,A129)</f>
        <v>1</v>
      </c>
      <c r="E129" s="8">
        <f>IF(F129&gt;0,SUMIF('НПЗ Oilmap'!$B$2:$B$659,A129,'НПЗ Oilmap'!$E$2:$E$659),"")</f>
        <v>33000</v>
      </c>
      <c r="F129" s="8">
        <f>SUMIF('НПЗ Oilmap'!$B$2:$B$659,A129,'НПЗ Oilmap'!$O$2:$O$659)</f>
        <v>1</v>
      </c>
      <c r="G129" s="8">
        <f t="shared" si="1"/>
        <v>0</v>
      </c>
      <c r="H129" s="8"/>
      <c r="I129" s="11"/>
      <c r="J129" s="6"/>
      <c r="K129" s="6"/>
      <c r="L129" s="12"/>
      <c r="M129" s="6"/>
      <c r="N129" s="8">
        <v>43000</v>
      </c>
      <c r="O129" s="6">
        <v>2025</v>
      </c>
      <c r="P129" s="6" t="s">
        <v>1588</v>
      </c>
      <c r="Q129" s="12" t="s">
        <v>57</v>
      </c>
    </row>
    <row r="130" spans="1:17" ht="66" customHeight="1" x14ac:dyDescent="0.2">
      <c r="A130" s="6" t="s">
        <v>861</v>
      </c>
      <c r="B130" s="6" t="s">
        <v>862</v>
      </c>
      <c r="C130" s="6" t="s">
        <v>866</v>
      </c>
      <c r="D130" s="8">
        <f>COUNTIF('НПЗ Oilmap'!$B$2:$B$659,A130)</f>
        <v>0</v>
      </c>
      <c r="E130" s="8" t="str">
        <f>IF(F130&gt;0,SUMIF('НПЗ Oilmap'!$B$2:$B$659,A130,'НПЗ Oilmap'!$E$2:$E$659),"")</f>
        <v/>
      </c>
      <c r="F130" s="8">
        <f>SUMIF('НПЗ Oilmap'!$B$2:$B$659,A130,'НПЗ Oilmap'!$O$2:$O$659)</f>
        <v>0</v>
      </c>
      <c r="G130" s="8">
        <f t="shared" ref="G130:G193" si="2">D130-F130</f>
        <v>0</v>
      </c>
      <c r="H130" s="8"/>
      <c r="I130" s="11"/>
      <c r="J130" s="6"/>
      <c r="K130" s="6"/>
      <c r="L130" s="12"/>
      <c r="M130" s="6"/>
      <c r="N130" s="8"/>
      <c r="O130" s="6"/>
      <c r="P130" s="6"/>
      <c r="Q130" s="12" t="s">
        <v>83</v>
      </c>
    </row>
    <row r="131" spans="1:17" ht="66" customHeight="1" x14ac:dyDescent="0.2">
      <c r="A131" s="6" t="s">
        <v>867</v>
      </c>
      <c r="B131" s="6" t="s">
        <v>868</v>
      </c>
      <c r="C131" s="6" t="s">
        <v>872</v>
      </c>
      <c r="D131" s="8">
        <f>COUNTIF('НПЗ Oilmap'!$B$2:$B$659,A131)</f>
        <v>0</v>
      </c>
      <c r="E131" s="8" t="str">
        <f>IF(F131&gt;0,SUMIF('НПЗ Oilmap'!$B$2:$B$659,A131,'НПЗ Oilmap'!$E$2:$E$659),"")</f>
        <v/>
      </c>
      <c r="F131" s="8">
        <f>SUMIF('НПЗ Oilmap'!$B$2:$B$659,A131,'НПЗ Oilmap'!$O$2:$O$659)</f>
        <v>0</v>
      </c>
      <c r="G131" s="8">
        <f t="shared" si="2"/>
        <v>0</v>
      </c>
      <c r="H131" s="8"/>
      <c r="I131" s="11"/>
      <c r="J131" s="6"/>
      <c r="K131" s="6"/>
      <c r="L131" s="12"/>
      <c r="M131" s="6"/>
      <c r="N131" s="8"/>
      <c r="O131" s="6"/>
      <c r="P131" s="6"/>
      <c r="Q131" s="12" t="s">
        <v>83</v>
      </c>
    </row>
    <row r="132" spans="1:17" ht="66" customHeight="1" x14ac:dyDescent="0.2">
      <c r="A132" s="6" t="s">
        <v>873</v>
      </c>
      <c r="B132" s="6" t="s">
        <v>874</v>
      </c>
      <c r="C132" s="6" t="s">
        <v>878</v>
      </c>
      <c r="D132" s="8">
        <f>COUNTIF('НПЗ Oilmap'!$B$2:$B$659,A132)</f>
        <v>0</v>
      </c>
      <c r="E132" s="8" t="str">
        <f>IF(F132&gt;0,SUMIF('НПЗ Oilmap'!$B$2:$B$659,A132,'НПЗ Oilmap'!$E$2:$E$659),"")</f>
        <v/>
      </c>
      <c r="F132" s="8">
        <f>SUMIF('НПЗ Oilmap'!$B$2:$B$659,A132,'НПЗ Oilmap'!$O$2:$O$659)</f>
        <v>0</v>
      </c>
      <c r="G132" s="8">
        <f t="shared" si="2"/>
        <v>0</v>
      </c>
      <c r="H132" s="8"/>
      <c r="I132" s="11"/>
      <c r="J132" s="6"/>
      <c r="K132" s="6"/>
      <c r="L132" s="12"/>
      <c r="M132" s="6"/>
      <c r="N132" s="8"/>
      <c r="O132" s="6"/>
      <c r="P132" s="6"/>
      <c r="Q132" s="12" t="s">
        <v>83</v>
      </c>
    </row>
    <row r="133" spans="1:17" ht="66" customHeight="1" x14ac:dyDescent="0.2">
      <c r="A133" s="6" t="s">
        <v>879</v>
      </c>
      <c r="B133" s="6" t="s">
        <v>880</v>
      </c>
      <c r="C133" s="6" t="s">
        <v>884</v>
      </c>
      <c r="D133" s="8">
        <f>COUNTIF('НПЗ Oilmap'!$B$2:$B$659,A133)</f>
        <v>0</v>
      </c>
      <c r="E133" s="8" t="str">
        <f>IF(F133&gt;0,SUMIF('НПЗ Oilmap'!$B$2:$B$659,A133,'НПЗ Oilmap'!$E$2:$E$659),"")</f>
        <v/>
      </c>
      <c r="F133" s="8">
        <f>SUMIF('НПЗ Oilmap'!$B$2:$B$659,A133,'НПЗ Oilmap'!$O$2:$O$659)</f>
        <v>0</v>
      </c>
      <c r="G133" s="8">
        <f t="shared" si="2"/>
        <v>0</v>
      </c>
      <c r="H133" s="8"/>
      <c r="I133" s="11"/>
      <c r="J133" s="6"/>
      <c r="K133" s="6"/>
      <c r="L133" s="12"/>
      <c r="M133" s="6"/>
      <c r="N133" s="8"/>
      <c r="O133" s="6"/>
      <c r="P133" s="6"/>
      <c r="Q133" s="12" t="s">
        <v>83</v>
      </c>
    </row>
    <row r="134" spans="1:17" ht="66" customHeight="1" x14ac:dyDescent="0.2">
      <c r="A134" s="6" t="s">
        <v>885</v>
      </c>
      <c r="B134" s="6" t="s">
        <v>886</v>
      </c>
      <c r="C134" s="6" t="s">
        <v>890</v>
      </c>
      <c r="D134" s="8">
        <f>COUNTIF('НПЗ Oilmap'!$B$2:$B$659,A134)</f>
        <v>0</v>
      </c>
      <c r="E134" s="8" t="str">
        <f>IF(F134&gt;0,SUMIF('НПЗ Oilmap'!$B$2:$B$659,A134,'НПЗ Oilmap'!$E$2:$E$659),"")</f>
        <v/>
      </c>
      <c r="F134" s="8">
        <f>SUMIF('НПЗ Oilmap'!$B$2:$B$659,A134,'НПЗ Oilmap'!$O$2:$O$659)</f>
        <v>0</v>
      </c>
      <c r="G134" s="8">
        <f t="shared" si="2"/>
        <v>0</v>
      </c>
      <c r="H134" s="8"/>
      <c r="I134" s="11"/>
      <c r="J134" s="6"/>
      <c r="K134" s="6"/>
      <c r="L134" s="12"/>
      <c r="M134" s="6"/>
      <c r="N134" s="8"/>
      <c r="O134" s="6"/>
      <c r="P134" s="6"/>
      <c r="Q134" s="12" t="s">
        <v>83</v>
      </c>
    </row>
    <row r="135" spans="1:17" ht="66" customHeight="1" x14ac:dyDescent="0.2">
      <c r="A135" s="6" t="s">
        <v>891</v>
      </c>
      <c r="B135" s="6" t="s">
        <v>892</v>
      </c>
      <c r="C135" s="6" t="s">
        <v>46</v>
      </c>
      <c r="D135" s="8">
        <f>COUNTIF('НПЗ Oilmap'!$B$2:$B$659,A135)</f>
        <v>0</v>
      </c>
      <c r="E135" s="8" t="str">
        <f>IF(F135&gt;0,SUMIF('НПЗ Oilmap'!$B$2:$B$659,A135,'НПЗ Oilmap'!$E$2:$E$659),"")</f>
        <v/>
      </c>
      <c r="F135" s="8">
        <f>SUMIF('НПЗ Oilmap'!$B$2:$B$659,A135,'НПЗ Oilmap'!$O$2:$O$659)</f>
        <v>0</v>
      </c>
      <c r="G135" s="8">
        <f t="shared" si="2"/>
        <v>0</v>
      </c>
      <c r="H135" s="8"/>
      <c r="I135" s="11"/>
      <c r="J135" s="6"/>
      <c r="K135" s="6"/>
      <c r="L135" s="12"/>
      <c r="M135" s="6"/>
      <c r="N135" s="8"/>
      <c r="O135" s="6"/>
      <c r="P135" s="6"/>
      <c r="Q135" s="12" t="s">
        <v>83</v>
      </c>
    </row>
    <row r="136" spans="1:17" ht="66" customHeight="1" x14ac:dyDescent="0.2">
      <c r="A136" s="6" t="s">
        <v>893</v>
      </c>
      <c r="B136" s="6" t="s">
        <v>894</v>
      </c>
      <c r="C136" s="6" t="s">
        <v>898</v>
      </c>
      <c r="D136" s="8">
        <f>COUNTIF('НПЗ Oilmap'!$B$2:$B$659,A136)</f>
        <v>4</v>
      </c>
      <c r="E136" s="8">
        <f>IF(F136&gt;0,SUMIF('НПЗ Oilmap'!$B$2:$B$659,A136,'НПЗ Oilmap'!$E$2:$E$659),"")</f>
        <v>304500</v>
      </c>
      <c r="F136" s="8">
        <f>SUMIF('НПЗ Oilmap'!$B$2:$B$659,A136,'НПЗ Oilmap'!$O$2:$O$659)</f>
        <v>4</v>
      </c>
      <c r="G136" s="8">
        <f t="shared" si="2"/>
        <v>0</v>
      </c>
      <c r="H136" s="8"/>
      <c r="I136" s="11"/>
      <c r="J136" s="6"/>
      <c r="K136" s="6"/>
      <c r="L136" s="12"/>
      <c r="M136" s="6"/>
      <c r="N136" s="8"/>
      <c r="O136" s="6"/>
      <c r="P136" s="6"/>
      <c r="Q136" s="12" t="s">
        <v>83</v>
      </c>
    </row>
    <row r="137" spans="1:17" ht="66" customHeight="1" x14ac:dyDescent="0.2">
      <c r="A137" s="6" t="s">
        <v>899</v>
      </c>
      <c r="B137" s="6" t="s">
        <v>900</v>
      </c>
      <c r="C137" s="6" t="s">
        <v>904</v>
      </c>
      <c r="D137" s="8">
        <f>COUNTIF('НПЗ Oilmap'!$B$2:$B$659,A137)</f>
        <v>0</v>
      </c>
      <c r="E137" s="8" t="str">
        <f>IF(F137&gt;0,SUMIF('НПЗ Oilmap'!$B$2:$B$659,A137,'НПЗ Oilmap'!$E$2:$E$659),"")</f>
        <v/>
      </c>
      <c r="F137" s="8">
        <f>SUMIF('НПЗ Oilmap'!$B$2:$B$659,A137,'НПЗ Oilmap'!$O$2:$O$659)</f>
        <v>0</v>
      </c>
      <c r="G137" s="8">
        <f t="shared" si="2"/>
        <v>0</v>
      </c>
      <c r="H137" s="8"/>
      <c r="I137" s="11"/>
      <c r="J137" s="6"/>
      <c r="K137" s="6"/>
      <c r="L137" s="12"/>
      <c r="M137" s="6"/>
      <c r="N137" s="8"/>
      <c r="O137" s="6"/>
      <c r="P137" s="6"/>
      <c r="Q137" s="12" t="s">
        <v>83</v>
      </c>
    </row>
    <row r="138" spans="1:17" ht="66" customHeight="1" x14ac:dyDescent="0.2">
      <c r="A138" s="6" t="s">
        <v>905</v>
      </c>
      <c r="B138" s="6" t="s">
        <v>906</v>
      </c>
      <c r="C138" s="6" t="s">
        <v>910</v>
      </c>
      <c r="D138" s="8">
        <f>COUNTIF('НПЗ Oilmap'!$B$2:$B$659,A138)</f>
        <v>3</v>
      </c>
      <c r="E138" s="8">
        <f>IF(F138&gt;0,SUMIF('НПЗ Oilmap'!$B$2:$B$659,A138,'НПЗ Oilmap'!$E$2:$E$659),"")</f>
        <v>175000</v>
      </c>
      <c r="F138" s="8">
        <f>SUMIF('НПЗ Oilmap'!$B$2:$B$659,A138,'НПЗ Oilmap'!$O$2:$O$659)</f>
        <v>3</v>
      </c>
      <c r="G138" s="8">
        <f t="shared" si="2"/>
        <v>0</v>
      </c>
      <c r="H138" s="8"/>
      <c r="I138" s="11"/>
      <c r="J138" s="6"/>
      <c r="K138" s="6"/>
      <c r="L138" s="12"/>
      <c r="M138" s="6"/>
      <c r="N138" s="8">
        <v>176000</v>
      </c>
      <c r="O138" s="6">
        <v>2025</v>
      </c>
      <c r="P138" s="6" t="s">
        <v>1588</v>
      </c>
      <c r="Q138" s="12" t="s">
        <v>57</v>
      </c>
    </row>
    <row r="139" spans="1:17" ht="66" customHeight="1" x14ac:dyDescent="0.2">
      <c r="A139" s="6" t="s">
        <v>911</v>
      </c>
      <c r="B139" s="6" t="s">
        <v>912</v>
      </c>
      <c r="C139" s="6" t="s">
        <v>916</v>
      </c>
      <c r="D139" s="8">
        <f>COUNTIF('НПЗ Oilmap'!$B$2:$B$659,A139)</f>
        <v>5</v>
      </c>
      <c r="E139" s="8">
        <f>IF(F139&gt;0,SUMIF('НПЗ Oilmap'!$B$2:$B$659,A139,'НПЗ Oilmap'!$E$2:$E$659),"")</f>
        <v>287550</v>
      </c>
      <c r="F139" s="8">
        <f>SUMIF('НПЗ Oilmap'!$B$2:$B$659,A139,'НПЗ Oilmap'!$O$2:$O$659)</f>
        <v>5</v>
      </c>
      <c r="G139" s="8">
        <f t="shared" si="2"/>
        <v>0</v>
      </c>
      <c r="H139" s="8"/>
      <c r="I139" s="11"/>
      <c r="J139" s="6"/>
      <c r="K139" s="6"/>
      <c r="L139" s="12"/>
      <c r="M139" s="6"/>
      <c r="N139" s="8">
        <v>465000</v>
      </c>
      <c r="O139" s="6">
        <v>2025</v>
      </c>
      <c r="P139" s="6" t="s">
        <v>1588</v>
      </c>
      <c r="Q139" s="12" t="s">
        <v>57</v>
      </c>
    </row>
    <row r="140" spans="1:17" ht="66" customHeight="1" x14ac:dyDescent="0.2">
      <c r="A140" s="6" t="s">
        <v>917</v>
      </c>
      <c r="B140" s="6" t="s">
        <v>918</v>
      </c>
      <c r="C140" s="6" t="s">
        <v>922</v>
      </c>
      <c r="D140" s="8">
        <f>COUNTIF('НПЗ Oilmap'!$B$2:$B$659,A140)</f>
        <v>1</v>
      </c>
      <c r="E140" s="8">
        <f>IF(F140&gt;0,SUMIF('НПЗ Oilmap'!$B$2:$B$659,A140,'НПЗ Oilmap'!$E$2:$E$659),"")</f>
        <v>7500</v>
      </c>
      <c r="F140" s="8">
        <f>SUMIF('НПЗ Oilmap'!$B$2:$B$659,A140,'НПЗ Oilmap'!$O$2:$O$659)</f>
        <v>1</v>
      </c>
      <c r="G140" s="8">
        <f t="shared" si="2"/>
        <v>0</v>
      </c>
      <c r="H140" s="8"/>
      <c r="I140" s="11"/>
      <c r="J140" s="6"/>
      <c r="K140" s="6"/>
      <c r="L140" s="12"/>
      <c r="M140" s="6"/>
      <c r="N140" s="8"/>
      <c r="O140" s="6"/>
      <c r="P140" s="6"/>
      <c r="Q140" s="12" t="s">
        <v>83</v>
      </c>
    </row>
    <row r="141" spans="1:17" ht="66" customHeight="1" x14ac:dyDescent="0.2">
      <c r="A141" s="6" t="s">
        <v>923</v>
      </c>
      <c r="B141" s="6" t="s">
        <v>924</v>
      </c>
      <c r="C141" s="6" t="s">
        <v>355</v>
      </c>
      <c r="D141" s="8">
        <f>COUNTIF('НПЗ Oilmap'!$B$2:$B$659,A141)</f>
        <v>0</v>
      </c>
      <c r="E141" s="8" t="str">
        <f>IF(F141&gt;0,SUMIF('НПЗ Oilmap'!$B$2:$B$659,A141,'НПЗ Oilmap'!$E$2:$E$659),"")</f>
        <v/>
      </c>
      <c r="F141" s="8">
        <f>SUMIF('НПЗ Oilmap'!$B$2:$B$659,A141,'НПЗ Oilmap'!$O$2:$O$659)</f>
        <v>0</v>
      </c>
      <c r="G141" s="8">
        <f t="shared" si="2"/>
        <v>0</v>
      </c>
      <c r="H141" s="8"/>
      <c r="I141" s="11"/>
      <c r="J141" s="6"/>
      <c r="K141" s="6"/>
      <c r="L141" s="12"/>
      <c r="M141" s="6"/>
      <c r="N141" s="8"/>
      <c r="O141" s="6"/>
      <c r="P141" s="6"/>
      <c r="Q141" s="12" t="s">
        <v>83</v>
      </c>
    </row>
    <row r="142" spans="1:17" ht="66" customHeight="1" x14ac:dyDescent="0.2">
      <c r="A142" s="6" t="s">
        <v>925</v>
      </c>
      <c r="B142" s="6" t="s">
        <v>926</v>
      </c>
      <c r="C142" s="6" t="s">
        <v>930</v>
      </c>
      <c r="D142" s="8">
        <f>COUNTIF('НПЗ Oilmap'!$B$2:$B$659,A142)</f>
        <v>2</v>
      </c>
      <c r="E142" s="8">
        <f>IF(F142&gt;0,SUMIF('НПЗ Oilmap'!$B$2:$B$659,A142,'НПЗ Oilmap'!$E$2:$E$659),"")</f>
        <v>300000</v>
      </c>
      <c r="F142" s="8">
        <f>SUMIF('НПЗ Oilmap'!$B$2:$B$659,A142,'НПЗ Oilmap'!$O$2:$O$659)</f>
        <v>2</v>
      </c>
      <c r="G142" s="8">
        <f t="shared" si="2"/>
        <v>0</v>
      </c>
      <c r="H142" s="8">
        <v>1</v>
      </c>
      <c r="I142" s="11">
        <v>237900</v>
      </c>
      <c r="J142" s="6" t="s">
        <v>1593</v>
      </c>
      <c r="K142" s="6" t="s">
        <v>1537</v>
      </c>
      <c r="L142" s="12" t="s">
        <v>1594</v>
      </c>
      <c r="M142" s="6" t="s">
        <v>1595</v>
      </c>
      <c r="N142" s="8">
        <v>221000</v>
      </c>
      <c r="O142" s="6">
        <v>2025</v>
      </c>
      <c r="P142" s="6" t="s">
        <v>1588</v>
      </c>
      <c r="Q142" s="12" t="s">
        <v>121</v>
      </c>
    </row>
    <row r="143" spans="1:17" ht="66" customHeight="1" x14ac:dyDescent="0.2">
      <c r="A143" s="6" t="s">
        <v>931</v>
      </c>
      <c r="B143" s="6" t="s">
        <v>932</v>
      </c>
      <c r="C143" s="6" t="s">
        <v>936</v>
      </c>
      <c r="D143" s="8">
        <f>COUNTIF('НПЗ Oilmap'!$B$2:$B$659,A143)</f>
        <v>0</v>
      </c>
      <c r="E143" s="8" t="str">
        <f>IF(F143&gt;0,SUMIF('НПЗ Oilmap'!$B$2:$B$659,A143,'НПЗ Oilmap'!$E$2:$E$659),"")</f>
        <v/>
      </c>
      <c r="F143" s="8">
        <f>SUMIF('НПЗ Oilmap'!$B$2:$B$659,A143,'НПЗ Oilmap'!$O$2:$O$659)</f>
        <v>0</v>
      </c>
      <c r="G143" s="8">
        <f t="shared" si="2"/>
        <v>0</v>
      </c>
      <c r="H143" s="8"/>
      <c r="I143" s="11"/>
      <c r="J143" s="6"/>
      <c r="K143" s="6"/>
      <c r="L143" s="12"/>
      <c r="M143" s="6"/>
      <c r="N143" s="8"/>
      <c r="O143" s="6"/>
      <c r="P143" s="6"/>
      <c r="Q143" s="12" t="s">
        <v>83</v>
      </c>
    </row>
    <row r="144" spans="1:17" ht="66" customHeight="1" x14ac:dyDescent="0.2">
      <c r="A144" s="6" t="s">
        <v>937</v>
      </c>
      <c r="B144" s="6" t="s">
        <v>938</v>
      </c>
      <c r="C144" s="6" t="s">
        <v>942</v>
      </c>
      <c r="D144" s="8">
        <f>COUNTIF('НПЗ Oilmap'!$B$2:$B$659,A144)</f>
        <v>2</v>
      </c>
      <c r="E144" s="8">
        <f>IF(F144&gt;0,SUMIF('НПЗ Oilmap'!$B$2:$B$659,A144,'НПЗ Oilmap'!$E$2:$E$659),"")</f>
        <v>236000</v>
      </c>
      <c r="F144" s="8">
        <f>SUMIF('НПЗ Oilmap'!$B$2:$B$659,A144,'НПЗ Oilmap'!$O$2:$O$659)</f>
        <v>2</v>
      </c>
      <c r="G144" s="8">
        <f t="shared" si="2"/>
        <v>0</v>
      </c>
      <c r="H144" s="8"/>
      <c r="I144" s="11"/>
      <c r="J144" s="6"/>
      <c r="K144" s="6"/>
      <c r="L144" s="12"/>
      <c r="M144" s="6"/>
      <c r="N144" s="8">
        <v>320000</v>
      </c>
      <c r="O144" s="6">
        <v>2025</v>
      </c>
      <c r="P144" s="6" t="s">
        <v>1588</v>
      </c>
      <c r="Q144" s="12" t="s">
        <v>57</v>
      </c>
    </row>
    <row r="145" spans="1:17" ht="66" customHeight="1" x14ac:dyDescent="0.2">
      <c r="A145" s="6" t="s">
        <v>943</v>
      </c>
      <c r="B145" s="6" t="s">
        <v>944</v>
      </c>
      <c r="C145" s="6" t="s">
        <v>948</v>
      </c>
      <c r="D145" s="8">
        <f>COUNTIF('НПЗ Oilmap'!$B$2:$B$659,A145)</f>
        <v>1</v>
      </c>
      <c r="E145" s="8">
        <f>IF(F145&gt;0,SUMIF('НПЗ Oilmap'!$B$2:$B$659,A145,'НПЗ Oilmap'!$E$2:$E$659),"")</f>
        <v>90400</v>
      </c>
      <c r="F145" s="8">
        <f>SUMIF('НПЗ Oilmap'!$B$2:$B$659,A145,'НПЗ Oilmap'!$O$2:$O$659)</f>
        <v>1</v>
      </c>
      <c r="G145" s="8">
        <f t="shared" si="2"/>
        <v>0</v>
      </c>
      <c r="H145" s="8"/>
      <c r="I145" s="11"/>
      <c r="J145" s="6"/>
      <c r="K145" s="6"/>
      <c r="L145" s="12"/>
      <c r="M145" s="6"/>
      <c r="N145" s="8"/>
      <c r="O145" s="6"/>
      <c r="P145" s="6"/>
      <c r="Q145" s="12" t="s">
        <v>83</v>
      </c>
    </row>
    <row r="146" spans="1:17" ht="66" customHeight="1" x14ac:dyDescent="0.2">
      <c r="A146" s="6" t="s">
        <v>949</v>
      </c>
      <c r="B146" s="6" t="s">
        <v>950</v>
      </c>
      <c r="C146" s="6" t="s">
        <v>954</v>
      </c>
      <c r="D146" s="8">
        <f>COUNTIF('НПЗ Oilmap'!$B$2:$B$659,A146)</f>
        <v>0</v>
      </c>
      <c r="E146" s="8" t="str">
        <f>IF(F146&gt;0,SUMIF('НПЗ Oilmap'!$B$2:$B$659,A146,'НПЗ Oilmap'!$E$2:$E$659),"")</f>
        <v/>
      </c>
      <c r="F146" s="8">
        <f>SUMIF('НПЗ Oilmap'!$B$2:$B$659,A146,'НПЗ Oilmap'!$O$2:$O$659)</f>
        <v>0</v>
      </c>
      <c r="G146" s="8">
        <f t="shared" si="2"/>
        <v>0</v>
      </c>
      <c r="H146" s="8"/>
      <c r="I146" s="11"/>
      <c r="J146" s="6"/>
      <c r="K146" s="6"/>
      <c r="L146" s="12"/>
      <c r="M146" s="6"/>
      <c r="N146" s="8"/>
      <c r="O146" s="6"/>
      <c r="P146" s="6"/>
      <c r="Q146" s="12" t="s">
        <v>83</v>
      </c>
    </row>
    <row r="147" spans="1:17" ht="66" customHeight="1" x14ac:dyDescent="0.2">
      <c r="A147" s="6" t="s">
        <v>955</v>
      </c>
      <c r="B147" s="6" t="s">
        <v>956</v>
      </c>
      <c r="C147" s="6" t="s">
        <v>960</v>
      </c>
      <c r="D147" s="8">
        <f>COUNTIF('НПЗ Oilmap'!$B$2:$B$659,A147)</f>
        <v>0</v>
      </c>
      <c r="E147" s="8" t="str">
        <f>IF(F147&gt;0,SUMIF('НПЗ Oilmap'!$B$2:$B$659,A147,'НПЗ Oilmap'!$E$2:$E$659),"")</f>
        <v/>
      </c>
      <c r="F147" s="8">
        <f>SUMIF('НПЗ Oilmap'!$B$2:$B$659,A147,'НПЗ Oilmap'!$O$2:$O$659)</f>
        <v>0</v>
      </c>
      <c r="G147" s="8">
        <f t="shared" si="2"/>
        <v>0</v>
      </c>
      <c r="H147" s="8"/>
      <c r="I147" s="11"/>
      <c r="J147" s="6"/>
      <c r="K147" s="6"/>
      <c r="L147" s="12"/>
      <c r="M147" s="6"/>
      <c r="N147" s="8"/>
      <c r="O147" s="6"/>
      <c r="P147" s="6"/>
      <c r="Q147" s="12" t="s">
        <v>83</v>
      </c>
    </row>
    <row r="148" spans="1:17" ht="66" customHeight="1" x14ac:dyDescent="0.2">
      <c r="A148" s="6" t="s">
        <v>961</v>
      </c>
      <c r="B148" s="6" t="s">
        <v>962</v>
      </c>
      <c r="C148" s="6" t="s">
        <v>966</v>
      </c>
      <c r="D148" s="8">
        <f>COUNTIF('НПЗ Oilmap'!$B$2:$B$659,A148)</f>
        <v>1</v>
      </c>
      <c r="E148" s="8">
        <f>IF(F148&gt;0,SUMIF('НПЗ Oilmap'!$B$2:$B$659,A148,'НПЗ Oilmap'!$E$2:$E$659),"")</f>
        <v>42000</v>
      </c>
      <c r="F148" s="8">
        <f>SUMIF('НПЗ Oilmap'!$B$2:$B$659,A148,'НПЗ Oilmap'!$O$2:$O$659)</f>
        <v>1</v>
      </c>
      <c r="G148" s="8">
        <f t="shared" si="2"/>
        <v>0</v>
      </c>
      <c r="H148" s="8"/>
      <c r="I148" s="11"/>
      <c r="J148" s="6"/>
      <c r="K148" s="6"/>
      <c r="L148" s="12"/>
      <c r="M148" s="6"/>
      <c r="N148" s="8"/>
      <c r="O148" s="6"/>
      <c r="P148" s="6"/>
      <c r="Q148" s="12" t="s">
        <v>83</v>
      </c>
    </row>
    <row r="149" spans="1:17" ht="66" customHeight="1" x14ac:dyDescent="0.2">
      <c r="A149" s="6" t="s">
        <v>967</v>
      </c>
      <c r="B149" s="6" t="s">
        <v>968</v>
      </c>
      <c r="C149" s="6" t="s">
        <v>973</v>
      </c>
      <c r="D149" s="8">
        <f>COUNTIF('НПЗ Oilmap'!$B$2:$B$659,A149)</f>
        <v>1</v>
      </c>
      <c r="E149" s="8">
        <f>IF(F149&gt;0,SUMIF('НПЗ Oilmap'!$B$2:$B$659,A149,'НПЗ Oilmap'!$E$2:$E$659),"")</f>
        <v>21000</v>
      </c>
      <c r="F149" s="8">
        <f>SUMIF('НПЗ Oilmap'!$B$2:$B$659,A149,'НПЗ Oilmap'!$O$2:$O$659)</f>
        <v>1</v>
      </c>
      <c r="G149" s="8">
        <f t="shared" si="2"/>
        <v>0</v>
      </c>
      <c r="H149" s="8"/>
      <c r="I149" s="11"/>
      <c r="J149" s="6"/>
      <c r="K149" s="6"/>
      <c r="L149" s="12"/>
      <c r="M149" s="6"/>
      <c r="N149" s="8"/>
      <c r="O149" s="6"/>
      <c r="P149" s="6"/>
      <c r="Q149" s="12" t="s">
        <v>83</v>
      </c>
    </row>
    <row r="150" spans="1:17" ht="66" customHeight="1" x14ac:dyDescent="0.2">
      <c r="A150" s="6" t="s">
        <v>974</v>
      </c>
      <c r="B150" s="6" t="s">
        <v>975</v>
      </c>
      <c r="C150" s="6" t="s">
        <v>979</v>
      </c>
      <c r="D150" s="8">
        <f>COUNTIF('НПЗ Oilmap'!$B$2:$B$659,A150)</f>
        <v>0</v>
      </c>
      <c r="E150" s="8" t="str">
        <f>IF(F150&gt;0,SUMIF('НПЗ Oilmap'!$B$2:$B$659,A150,'НПЗ Oilmap'!$E$2:$E$659),"")</f>
        <v/>
      </c>
      <c r="F150" s="8">
        <f>SUMIF('НПЗ Oilmap'!$B$2:$B$659,A150,'НПЗ Oilmap'!$O$2:$O$659)</f>
        <v>0</v>
      </c>
      <c r="G150" s="8">
        <f t="shared" si="2"/>
        <v>0</v>
      </c>
      <c r="H150" s="8"/>
      <c r="I150" s="11"/>
      <c r="J150" s="6"/>
      <c r="K150" s="6"/>
      <c r="L150" s="12"/>
      <c r="M150" s="6"/>
      <c r="N150" s="8"/>
      <c r="O150" s="6"/>
      <c r="P150" s="6"/>
      <c r="Q150" s="12" t="s">
        <v>83</v>
      </c>
    </row>
    <row r="151" spans="1:17" ht="66" customHeight="1" x14ac:dyDescent="0.2">
      <c r="A151" s="6" t="s">
        <v>980</v>
      </c>
      <c r="B151" s="6" t="s">
        <v>981</v>
      </c>
      <c r="C151" s="6" t="s">
        <v>985</v>
      </c>
      <c r="D151" s="8">
        <f>COUNTIF('НПЗ Oilmap'!$B$2:$B$659,A151)</f>
        <v>0</v>
      </c>
      <c r="E151" s="8" t="str">
        <f>IF(F151&gt;0,SUMIF('НПЗ Oilmap'!$B$2:$B$659,A151,'НПЗ Oilmap'!$E$2:$E$659),"")</f>
        <v/>
      </c>
      <c r="F151" s="8">
        <f>SUMIF('НПЗ Oilmap'!$B$2:$B$659,A151,'НПЗ Oilmap'!$O$2:$O$659)</f>
        <v>0</v>
      </c>
      <c r="G151" s="8">
        <f t="shared" si="2"/>
        <v>0</v>
      </c>
      <c r="H151" s="8"/>
      <c r="I151" s="11"/>
      <c r="J151" s="6"/>
      <c r="K151" s="6"/>
      <c r="L151" s="12"/>
      <c r="M151" s="6"/>
      <c r="N151" s="8"/>
      <c r="O151" s="6"/>
      <c r="P151" s="6"/>
      <c r="Q151" s="12" t="s">
        <v>83</v>
      </c>
    </row>
    <row r="152" spans="1:17" ht="66" customHeight="1" x14ac:dyDescent="0.2">
      <c r="A152" s="6" t="s">
        <v>986</v>
      </c>
      <c r="B152" s="6" t="s">
        <v>987</v>
      </c>
      <c r="C152" s="6" t="s">
        <v>991</v>
      </c>
      <c r="D152" s="8">
        <f>COUNTIF('НПЗ Oilmap'!$B$2:$B$659,A152)</f>
        <v>0</v>
      </c>
      <c r="E152" s="8" t="str">
        <f>IF(F152&gt;0,SUMIF('НПЗ Oilmap'!$B$2:$B$659,A152,'НПЗ Oilmap'!$E$2:$E$659),"")</f>
        <v/>
      </c>
      <c r="F152" s="8">
        <f>SUMIF('НПЗ Oilmap'!$B$2:$B$659,A152,'НПЗ Oilmap'!$O$2:$O$659)</f>
        <v>0</v>
      </c>
      <c r="G152" s="8">
        <f t="shared" si="2"/>
        <v>0</v>
      </c>
      <c r="H152" s="8"/>
      <c r="I152" s="11"/>
      <c r="J152" s="6"/>
      <c r="K152" s="6"/>
      <c r="L152" s="12"/>
      <c r="M152" s="6"/>
      <c r="N152" s="8"/>
      <c r="O152" s="6"/>
      <c r="P152" s="6"/>
      <c r="Q152" s="12" t="s">
        <v>83</v>
      </c>
    </row>
    <row r="153" spans="1:17" ht="66" customHeight="1" x14ac:dyDescent="0.2">
      <c r="A153" s="6" t="s">
        <v>992</v>
      </c>
      <c r="B153" s="6" t="s">
        <v>993</v>
      </c>
      <c r="C153" s="6" t="s">
        <v>997</v>
      </c>
      <c r="D153" s="8">
        <f>COUNTIF('НПЗ Oilmap'!$B$2:$B$659,A153)</f>
        <v>1</v>
      </c>
      <c r="E153" s="8">
        <f>IF(F153&gt;0,SUMIF('НПЗ Oilmap'!$B$2:$B$659,A153,'НПЗ Oilmap'!$E$2:$E$659),"")</f>
        <v>45000</v>
      </c>
      <c r="F153" s="8">
        <f>SUMIF('НПЗ Oilmap'!$B$2:$B$659,A153,'НПЗ Oilmap'!$O$2:$O$659)</f>
        <v>1</v>
      </c>
      <c r="G153" s="8">
        <f t="shared" si="2"/>
        <v>0</v>
      </c>
      <c r="H153" s="8"/>
      <c r="I153" s="11"/>
      <c r="J153" s="6"/>
      <c r="K153" s="6"/>
      <c r="L153" s="12"/>
      <c r="M153" s="6"/>
      <c r="N153" s="8"/>
      <c r="O153" s="6"/>
      <c r="P153" s="6"/>
      <c r="Q153" s="12" t="s">
        <v>83</v>
      </c>
    </row>
    <row r="154" spans="1:17" ht="66" customHeight="1" x14ac:dyDescent="0.2">
      <c r="A154" s="6" t="s">
        <v>998</v>
      </c>
      <c r="B154" s="6" t="s">
        <v>999</v>
      </c>
      <c r="C154" s="6" t="s">
        <v>1002</v>
      </c>
      <c r="D154" s="8">
        <f>COUNTIF('НПЗ Oilmap'!$B$2:$B$659,A154)</f>
        <v>0</v>
      </c>
      <c r="E154" s="8" t="str">
        <f>IF(F154&gt;0,SUMIF('НПЗ Oilmap'!$B$2:$B$659,A154,'НПЗ Oilmap'!$E$2:$E$659),"")</f>
        <v/>
      </c>
      <c r="F154" s="8">
        <f>SUMIF('НПЗ Oilmap'!$B$2:$B$659,A154,'НПЗ Oilmap'!$O$2:$O$659)</f>
        <v>0</v>
      </c>
      <c r="G154" s="8">
        <f t="shared" si="2"/>
        <v>0</v>
      </c>
      <c r="H154" s="8"/>
      <c r="I154" s="11"/>
      <c r="J154" s="6"/>
      <c r="K154" s="6"/>
      <c r="L154" s="12"/>
      <c r="M154" s="6"/>
      <c r="N154" s="8"/>
      <c r="O154" s="6"/>
      <c r="P154" s="6"/>
      <c r="Q154" s="12" t="s">
        <v>83</v>
      </c>
    </row>
    <row r="155" spans="1:17" ht="66" customHeight="1" x14ac:dyDescent="0.2">
      <c r="A155" s="6" t="s">
        <v>1003</v>
      </c>
      <c r="B155" s="6" t="s">
        <v>1004</v>
      </c>
      <c r="C155" s="6" t="s">
        <v>1006</v>
      </c>
      <c r="D155" s="8">
        <f>COUNTIF('НПЗ Oilmap'!$B$2:$B$659,A155)</f>
        <v>0</v>
      </c>
      <c r="E155" s="8" t="str">
        <f>IF(F155&gt;0,SUMIF('НПЗ Oilmap'!$B$2:$B$659,A155,'НПЗ Oilmap'!$E$2:$E$659),"")</f>
        <v/>
      </c>
      <c r="F155" s="8">
        <f>SUMIF('НПЗ Oilmap'!$B$2:$B$659,A155,'НПЗ Oilmap'!$O$2:$O$659)</f>
        <v>0</v>
      </c>
      <c r="G155" s="8">
        <f t="shared" si="2"/>
        <v>0</v>
      </c>
      <c r="H155" s="8"/>
      <c r="I155" s="11"/>
      <c r="J155" s="6"/>
      <c r="K155" s="6"/>
      <c r="L155" s="12"/>
      <c r="M155" s="6"/>
      <c r="N155" s="8"/>
      <c r="O155" s="6"/>
      <c r="P155" s="6"/>
      <c r="Q155" s="12" t="s">
        <v>83</v>
      </c>
    </row>
    <row r="156" spans="1:17" ht="66" customHeight="1" x14ac:dyDescent="0.2">
      <c r="A156" s="6" t="s">
        <v>1007</v>
      </c>
      <c r="B156" s="6" t="s">
        <v>1008</v>
      </c>
      <c r="C156" s="6" t="s">
        <v>1012</v>
      </c>
      <c r="D156" s="8">
        <f>COUNTIF('НПЗ Oilmap'!$B$2:$B$659,A156)</f>
        <v>131</v>
      </c>
      <c r="E156" s="8">
        <f>IF(F156&gt;0,SUMIF('НПЗ Oilmap'!$B$2:$B$659,A156,'НПЗ Oilmap'!$E$2:$E$659),"")</f>
        <v>16852250</v>
      </c>
      <c r="F156" s="8">
        <f>SUMIF('НПЗ Oilmap'!$B$2:$B$659,A156,'НПЗ Oilmap'!$O$2:$O$659)</f>
        <v>130</v>
      </c>
      <c r="G156" s="8">
        <f t="shared" si="2"/>
        <v>1</v>
      </c>
      <c r="H156" s="8">
        <v>130</v>
      </c>
      <c r="I156" s="11">
        <v>18160493</v>
      </c>
      <c r="J156" s="6" t="s">
        <v>1593</v>
      </c>
      <c r="K156" s="6" t="s">
        <v>1598</v>
      </c>
      <c r="L156" s="12" t="s">
        <v>1599</v>
      </c>
      <c r="M156" s="6" t="s">
        <v>1600</v>
      </c>
      <c r="N156" s="8">
        <v>18172000</v>
      </c>
      <c r="O156" s="6">
        <v>2025</v>
      </c>
      <c r="P156" s="6" t="s">
        <v>1588</v>
      </c>
      <c r="Q156" s="12" t="s">
        <v>121</v>
      </c>
    </row>
    <row r="157" spans="1:17" ht="66" customHeight="1" x14ac:dyDescent="0.2">
      <c r="A157" s="6" t="s">
        <v>1013</v>
      </c>
      <c r="B157" s="6" t="s">
        <v>1014</v>
      </c>
      <c r="C157" s="6" t="s">
        <v>1018</v>
      </c>
      <c r="D157" s="8">
        <f>COUNTIF('НПЗ Oilmap'!$B$2:$B$659,A157)</f>
        <v>19</v>
      </c>
      <c r="E157" s="8">
        <f>IF(F157&gt;0,SUMIF('НПЗ Oilmap'!$B$2:$B$659,A157,'НПЗ Oilmap'!$E$2:$E$659),"")</f>
        <v>2060200</v>
      </c>
      <c r="F157" s="8">
        <f>SUMIF('НПЗ Oilmap'!$B$2:$B$659,A157,'НПЗ Oilmap'!$O$2:$O$659)</f>
        <v>19</v>
      </c>
      <c r="G157" s="8">
        <f t="shared" si="2"/>
        <v>0</v>
      </c>
      <c r="H157" s="8"/>
      <c r="I157" s="11"/>
      <c r="J157" s="6"/>
      <c r="K157" s="6"/>
      <c r="L157" s="12"/>
      <c r="M157" s="6"/>
      <c r="N157" s="8">
        <v>1943000</v>
      </c>
      <c r="O157" s="6">
        <v>2025</v>
      </c>
      <c r="P157" s="6" t="s">
        <v>1588</v>
      </c>
      <c r="Q157" s="12" t="s">
        <v>57</v>
      </c>
    </row>
    <row r="158" spans="1:17" ht="66" customHeight="1" x14ac:dyDescent="0.2">
      <c r="A158" s="6" t="s">
        <v>1019</v>
      </c>
      <c r="B158" s="6" t="s">
        <v>1020</v>
      </c>
      <c r="C158" s="6" t="s">
        <v>1024</v>
      </c>
      <c r="D158" s="8">
        <f>COUNTIF('НПЗ Oilmap'!$B$2:$B$659,A158)</f>
        <v>6</v>
      </c>
      <c r="E158" s="8">
        <f>IF(F158&gt;0,SUMIF('НПЗ Oilmap'!$B$2:$B$659,A158,'НПЗ Oilmap'!$E$2:$E$659),"")</f>
        <v>1528000</v>
      </c>
      <c r="F158" s="8">
        <f>SUMIF('НПЗ Oilmap'!$B$2:$B$659,A158,'НПЗ Oilmap'!$O$2:$O$659)</f>
        <v>6</v>
      </c>
      <c r="G158" s="8">
        <f t="shared" si="2"/>
        <v>0</v>
      </c>
      <c r="H158" s="8"/>
      <c r="I158" s="11"/>
      <c r="J158" s="6"/>
      <c r="K158" s="6"/>
      <c r="L158" s="12"/>
      <c r="M158" s="6"/>
      <c r="N158" s="8">
        <v>1847000</v>
      </c>
      <c r="O158" s="6">
        <v>2025</v>
      </c>
      <c r="P158" s="6" t="s">
        <v>1588</v>
      </c>
      <c r="Q158" s="12" t="s">
        <v>57</v>
      </c>
    </row>
    <row r="159" spans="1:17" ht="66" customHeight="1" x14ac:dyDescent="0.2">
      <c r="A159" s="6" t="s">
        <v>1025</v>
      </c>
      <c r="B159" s="6" t="s">
        <v>1026</v>
      </c>
      <c r="C159" s="6" t="s">
        <v>1030</v>
      </c>
      <c r="D159" s="8">
        <f>COUNTIF('НПЗ Oilmap'!$B$2:$B$659,A159)</f>
        <v>0</v>
      </c>
      <c r="E159" s="8" t="str">
        <f>IF(F159&gt;0,SUMIF('НПЗ Oilmap'!$B$2:$B$659,A159,'НПЗ Oilmap'!$E$2:$E$659),"")</f>
        <v/>
      </c>
      <c r="F159" s="8">
        <f>SUMIF('НПЗ Oilmap'!$B$2:$B$659,A159,'НПЗ Oilmap'!$O$2:$O$659)</f>
        <v>0</v>
      </c>
      <c r="G159" s="8">
        <f t="shared" si="2"/>
        <v>0</v>
      </c>
      <c r="H159" s="8"/>
      <c r="I159" s="11"/>
      <c r="J159" s="6"/>
      <c r="K159" s="6"/>
      <c r="L159" s="12"/>
      <c r="M159" s="6"/>
      <c r="N159" s="8"/>
      <c r="O159" s="6"/>
      <c r="P159" s="6"/>
      <c r="Q159" s="12" t="s">
        <v>83</v>
      </c>
    </row>
    <row r="160" spans="1:17" ht="66" customHeight="1" x14ac:dyDescent="0.2">
      <c r="A160" s="6" t="s">
        <v>1031</v>
      </c>
      <c r="B160" s="6" t="s">
        <v>1032</v>
      </c>
      <c r="C160" s="6" t="s">
        <v>1036</v>
      </c>
      <c r="D160" s="8">
        <f>COUNTIF('НПЗ Oilmap'!$B$2:$B$659,A160)</f>
        <v>0</v>
      </c>
      <c r="E160" s="8" t="str">
        <f>IF(F160&gt;0,SUMIF('НПЗ Oilmap'!$B$2:$B$659,A160,'НПЗ Oilmap'!$E$2:$E$659),"")</f>
        <v/>
      </c>
      <c r="F160" s="8">
        <f>SUMIF('НПЗ Oilmap'!$B$2:$B$659,A160,'НПЗ Oilmap'!$O$2:$O$659)</f>
        <v>0</v>
      </c>
      <c r="G160" s="8">
        <f t="shared" si="2"/>
        <v>0</v>
      </c>
      <c r="H160" s="8"/>
      <c r="I160" s="11"/>
      <c r="J160" s="6"/>
      <c r="K160" s="6"/>
      <c r="L160" s="12"/>
      <c r="M160" s="6"/>
      <c r="N160" s="8"/>
      <c r="O160" s="6"/>
      <c r="P160" s="6"/>
      <c r="Q160" s="12" t="s">
        <v>83</v>
      </c>
    </row>
    <row r="161" spans="1:17" ht="66" customHeight="1" x14ac:dyDescent="0.2">
      <c r="A161" s="6" t="s">
        <v>1037</v>
      </c>
      <c r="B161" s="6" t="s">
        <v>1038</v>
      </c>
      <c r="C161" s="6" t="s">
        <v>1042</v>
      </c>
      <c r="D161" s="8">
        <f>COUNTIF('НПЗ Oilmap'!$B$2:$B$659,A161)</f>
        <v>5</v>
      </c>
      <c r="E161" s="8">
        <f>IF(F161&gt;0,SUMIF('НПЗ Oilmap'!$B$2:$B$659,A161,'НПЗ Oilmap'!$E$2:$E$659),"")</f>
        <v>689000</v>
      </c>
      <c r="F161" s="8">
        <f>SUMIF('НПЗ Oilmap'!$B$2:$B$659,A161,'НПЗ Oilmap'!$O$2:$O$659)</f>
        <v>4</v>
      </c>
      <c r="G161" s="8">
        <f t="shared" si="2"/>
        <v>1</v>
      </c>
      <c r="H161" s="8"/>
      <c r="I161" s="11"/>
      <c r="J161" s="6"/>
      <c r="K161" s="6"/>
      <c r="L161" s="12"/>
      <c r="M161" s="6"/>
      <c r="N161" s="8">
        <v>1303000</v>
      </c>
      <c r="O161" s="6">
        <v>2025</v>
      </c>
      <c r="P161" s="6" t="s">
        <v>1588</v>
      </c>
      <c r="Q161" s="12" t="s">
        <v>57</v>
      </c>
    </row>
    <row r="162" spans="1:17" ht="66" customHeight="1" x14ac:dyDescent="0.2">
      <c r="A162" s="6" t="s">
        <v>1043</v>
      </c>
      <c r="B162" s="6" t="s">
        <v>1044</v>
      </c>
      <c r="C162" s="6" t="s">
        <v>1047</v>
      </c>
      <c r="D162" s="8">
        <f>COUNTIF('НПЗ Oilmap'!$B$2:$B$659,A162)</f>
        <v>1</v>
      </c>
      <c r="E162" s="8">
        <f>IF(F162&gt;0,SUMIF('НПЗ Oilmap'!$B$2:$B$659,A162,'НПЗ Oilmap'!$E$2:$E$659),"")</f>
        <v>32500</v>
      </c>
      <c r="F162" s="8">
        <f>SUMIF('НПЗ Oilmap'!$B$2:$B$659,A162,'НПЗ Oilmap'!$O$2:$O$659)</f>
        <v>1</v>
      </c>
      <c r="G162" s="8">
        <f t="shared" si="2"/>
        <v>0</v>
      </c>
      <c r="H162" s="8"/>
      <c r="I162" s="11"/>
      <c r="J162" s="6"/>
      <c r="K162" s="6"/>
      <c r="L162" s="12"/>
      <c r="M162" s="6"/>
      <c r="N162" s="8"/>
      <c r="O162" s="6"/>
      <c r="P162" s="6"/>
      <c r="Q162" s="12" t="s">
        <v>83</v>
      </c>
    </row>
    <row r="163" spans="1:17" ht="66" customHeight="1" x14ac:dyDescent="0.2">
      <c r="A163" s="6" t="s">
        <v>1048</v>
      </c>
      <c r="B163" s="6" t="s">
        <v>1049</v>
      </c>
      <c r="C163" s="6" t="s">
        <v>1054</v>
      </c>
      <c r="D163" s="8">
        <f>COUNTIF('НПЗ Oilmap'!$B$2:$B$659,A163)</f>
        <v>9</v>
      </c>
      <c r="E163" s="8">
        <f>IF(F163&gt;0,SUMIF('НПЗ Oilmap'!$B$2:$B$659,A163,'НПЗ Oilmap'!$E$2:$E$659),"")</f>
        <v>725550</v>
      </c>
      <c r="F163" s="8">
        <f>SUMIF('НПЗ Oilmap'!$B$2:$B$659,A163,'НПЗ Oilmap'!$O$2:$O$659)</f>
        <v>9</v>
      </c>
      <c r="G163" s="8">
        <f t="shared" si="2"/>
        <v>0</v>
      </c>
      <c r="H163" s="8"/>
      <c r="I163" s="11"/>
      <c r="J163" s="6"/>
      <c r="K163" s="6"/>
      <c r="L163" s="12"/>
      <c r="M163" s="6"/>
      <c r="N163" s="8">
        <v>872000</v>
      </c>
      <c r="O163" s="6">
        <v>2025</v>
      </c>
      <c r="P163" s="6" t="s">
        <v>1588</v>
      </c>
      <c r="Q163" s="12" t="s">
        <v>57</v>
      </c>
    </row>
    <row r="164" spans="1:17" ht="66" customHeight="1" x14ac:dyDescent="0.2">
      <c r="A164" s="6" t="s">
        <v>1055</v>
      </c>
      <c r="B164" s="6" t="s">
        <v>1056</v>
      </c>
      <c r="C164" s="6" t="s">
        <v>1059</v>
      </c>
      <c r="D164" s="8">
        <f>COUNTIF('НПЗ Oilmap'!$B$2:$B$659,A164)</f>
        <v>2</v>
      </c>
      <c r="E164" s="8">
        <f>IF(F164&gt;0,SUMIF('НПЗ Oilmap'!$B$2:$B$659,A164,'НПЗ Oilmap'!$E$2:$E$659),"")</f>
        <v>140000</v>
      </c>
      <c r="F164" s="8">
        <f>SUMIF('НПЗ Oilmap'!$B$2:$B$659,A164,'НПЗ Oilmap'!$O$2:$O$659)</f>
        <v>2</v>
      </c>
      <c r="G164" s="8">
        <f t="shared" si="2"/>
        <v>0</v>
      </c>
      <c r="H164" s="8"/>
      <c r="I164" s="11"/>
      <c r="J164" s="6"/>
      <c r="K164" s="6"/>
      <c r="L164" s="12"/>
      <c r="M164" s="6"/>
      <c r="N164" s="8"/>
      <c r="O164" s="6"/>
      <c r="P164" s="6"/>
      <c r="Q164" s="12" t="s">
        <v>83</v>
      </c>
    </row>
    <row r="165" spans="1:17" ht="66" customHeight="1" x14ac:dyDescent="0.2">
      <c r="A165" s="6" t="s">
        <v>1060</v>
      </c>
      <c r="B165" s="6" t="s">
        <v>1061</v>
      </c>
      <c r="C165" s="6" t="s">
        <v>1065</v>
      </c>
      <c r="D165" s="8">
        <f>COUNTIF('НПЗ Oilmap'!$B$2:$B$659,A165)</f>
        <v>0</v>
      </c>
      <c r="E165" s="8" t="str">
        <f>IF(F165&gt;0,SUMIF('НПЗ Oilmap'!$B$2:$B$659,A165,'НПЗ Oilmap'!$E$2:$E$659),"")</f>
        <v/>
      </c>
      <c r="F165" s="8">
        <f>SUMIF('НПЗ Oilmap'!$B$2:$B$659,A165,'НПЗ Oilmap'!$O$2:$O$659)</f>
        <v>0</v>
      </c>
      <c r="G165" s="8">
        <f t="shared" si="2"/>
        <v>0</v>
      </c>
      <c r="H165" s="8"/>
      <c r="I165" s="11"/>
      <c r="J165" s="6"/>
      <c r="K165" s="6"/>
      <c r="L165" s="12"/>
      <c r="M165" s="6"/>
      <c r="N165" s="8"/>
      <c r="O165" s="6"/>
      <c r="P165" s="6"/>
      <c r="Q165" s="12" t="s">
        <v>83</v>
      </c>
    </row>
    <row r="166" spans="1:17" ht="66" customHeight="1" x14ac:dyDescent="0.2">
      <c r="A166" s="6" t="s">
        <v>1066</v>
      </c>
      <c r="B166" s="6" t="s">
        <v>1067</v>
      </c>
      <c r="C166" s="6" t="s">
        <v>1071</v>
      </c>
      <c r="D166" s="8">
        <f>COUNTIF('НПЗ Oilmap'!$B$2:$B$659,A166)</f>
        <v>0</v>
      </c>
      <c r="E166" s="8" t="str">
        <f>IF(F166&gt;0,SUMIF('НПЗ Oilmap'!$B$2:$B$659,A166,'НПЗ Oilmap'!$E$2:$E$659),"")</f>
        <v/>
      </c>
      <c r="F166" s="8">
        <f>SUMIF('НПЗ Oilmap'!$B$2:$B$659,A166,'НПЗ Oilmap'!$O$2:$O$659)</f>
        <v>0</v>
      </c>
      <c r="G166" s="8">
        <f t="shared" si="2"/>
        <v>0</v>
      </c>
      <c r="H166" s="8"/>
      <c r="I166" s="11"/>
      <c r="J166" s="6"/>
      <c r="K166" s="6"/>
      <c r="L166" s="12"/>
      <c r="M166" s="6"/>
      <c r="N166" s="8"/>
      <c r="O166" s="6"/>
      <c r="P166" s="6"/>
      <c r="Q166" s="12" t="s">
        <v>83</v>
      </c>
    </row>
    <row r="167" spans="1:17" ht="66" customHeight="1" x14ac:dyDescent="0.2">
      <c r="A167" s="6" t="s">
        <v>1072</v>
      </c>
      <c r="B167" s="6" t="s">
        <v>1073</v>
      </c>
      <c r="C167" s="6" t="s">
        <v>1077</v>
      </c>
      <c r="D167" s="8">
        <f>COUNTIF('НПЗ Oilmap'!$B$2:$B$659,A167)</f>
        <v>0</v>
      </c>
      <c r="E167" s="8" t="str">
        <f>IF(F167&gt;0,SUMIF('НПЗ Oilmap'!$B$2:$B$659,A167,'НПЗ Oilmap'!$E$2:$E$659),"")</f>
        <v/>
      </c>
      <c r="F167" s="8">
        <f>SUMIF('НПЗ Oilmap'!$B$2:$B$659,A167,'НПЗ Oilmap'!$O$2:$O$659)</f>
        <v>0</v>
      </c>
      <c r="G167" s="8">
        <f t="shared" si="2"/>
        <v>0</v>
      </c>
      <c r="H167" s="8"/>
      <c r="I167" s="11"/>
      <c r="J167" s="6"/>
      <c r="K167" s="6"/>
      <c r="L167" s="12"/>
      <c r="M167" s="6"/>
      <c r="N167" s="8"/>
      <c r="O167" s="6"/>
      <c r="P167" s="6"/>
      <c r="Q167" s="12" t="s">
        <v>83</v>
      </c>
    </row>
    <row r="168" spans="1:17" ht="66" customHeight="1" x14ac:dyDescent="0.2">
      <c r="A168" s="6" t="s">
        <v>1078</v>
      </c>
      <c r="B168" s="6" t="s">
        <v>1079</v>
      </c>
      <c r="C168" s="6" t="s">
        <v>1084</v>
      </c>
      <c r="D168" s="8">
        <f>COUNTIF('НПЗ Oilmap'!$B$2:$B$659,A168)</f>
        <v>0</v>
      </c>
      <c r="E168" s="8" t="str">
        <f>IF(F168&gt;0,SUMIF('НПЗ Oilmap'!$B$2:$B$659,A168,'НПЗ Oilmap'!$E$2:$E$659),"")</f>
        <v/>
      </c>
      <c r="F168" s="8">
        <f>SUMIF('НПЗ Oilmap'!$B$2:$B$659,A168,'НПЗ Oilmap'!$O$2:$O$659)</f>
        <v>0</v>
      </c>
      <c r="G168" s="8">
        <f t="shared" si="2"/>
        <v>0</v>
      </c>
      <c r="H168" s="8"/>
      <c r="I168" s="11"/>
      <c r="J168" s="6"/>
      <c r="K168" s="6"/>
      <c r="L168" s="12"/>
      <c r="M168" s="6"/>
      <c r="N168" s="8"/>
      <c r="O168" s="6"/>
      <c r="P168" s="6"/>
      <c r="Q168" s="12" t="s">
        <v>83</v>
      </c>
    </row>
    <row r="169" spans="1:17" ht="66" customHeight="1" x14ac:dyDescent="0.2">
      <c r="A169" s="6" t="s">
        <v>1085</v>
      </c>
      <c r="B169" s="6" t="s">
        <v>1086</v>
      </c>
      <c r="C169" s="6" t="s">
        <v>1088</v>
      </c>
      <c r="D169" s="8">
        <f>COUNTIF('НПЗ Oilmap'!$B$2:$B$659,A169)</f>
        <v>0</v>
      </c>
      <c r="E169" s="8" t="str">
        <f>IF(F169&gt;0,SUMIF('НПЗ Oilmap'!$B$2:$B$659,A169,'НПЗ Oilmap'!$E$2:$E$659),"")</f>
        <v/>
      </c>
      <c r="F169" s="8">
        <f>SUMIF('НПЗ Oilmap'!$B$2:$B$659,A169,'НПЗ Oilmap'!$O$2:$O$659)</f>
        <v>0</v>
      </c>
      <c r="G169" s="8">
        <f t="shared" si="2"/>
        <v>0</v>
      </c>
      <c r="H169" s="8"/>
      <c r="I169" s="11"/>
      <c r="J169" s="6"/>
      <c r="K169" s="6"/>
      <c r="L169" s="12"/>
      <c r="M169" s="6"/>
      <c r="N169" s="8"/>
      <c r="O169" s="6"/>
      <c r="P169" s="6"/>
      <c r="Q169" s="12" t="s">
        <v>83</v>
      </c>
    </row>
    <row r="170" spans="1:17" ht="66" customHeight="1" x14ac:dyDescent="0.2">
      <c r="A170" s="6" t="s">
        <v>1089</v>
      </c>
      <c r="B170" s="6" t="s">
        <v>1090</v>
      </c>
      <c r="C170" s="6" t="s">
        <v>46</v>
      </c>
      <c r="D170" s="8">
        <f>COUNTIF('НПЗ Oilmap'!$B$2:$B$659,A170)</f>
        <v>0</v>
      </c>
      <c r="E170" s="8" t="str">
        <f>IF(F170&gt;0,SUMIF('НПЗ Oilmap'!$B$2:$B$659,A170,'НПЗ Oilmap'!$E$2:$E$659),"")</f>
        <v/>
      </c>
      <c r="F170" s="8">
        <f>SUMIF('НПЗ Oilmap'!$B$2:$B$659,A170,'НПЗ Oilmap'!$O$2:$O$659)</f>
        <v>0</v>
      </c>
      <c r="G170" s="8">
        <f t="shared" si="2"/>
        <v>0</v>
      </c>
      <c r="H170" s="8"/>
      <c r="I170" s="11"/>
      <c r="J170" s="6"/>
      <c r="K170" s="6"/>
      <c r="L170" s="12"/>
      <c r="M170" s="6"/>
      <c r="N170" s="8"/>
      <c r="O170" s="6"/>
      <c r="P170" s="6"/>
      <c r="Q170" s="12" t="s">
        <v>83</v>
      </c>
    </row>
    <row r="171" spans="1:17" ht="66" customHeight="1" x14ac:dyDescent="0.2">
      <c r="A171" s="6" t="s">
        <v>1091</v>
      </c>
      <c r="B171" s="6" t="s">
        <v>1092</v>
      </c>
      <c r="C171" s="6" t="s">
        <v>46</v>
      </c>
      <c r="D171" s="8">
        <f>COUNTIF('НПЗ Oilmap'!$B$2:$B$659,A171)</f>
        <v>0</v>
      </c>
      <c r="E171" s="8" t="str">
        <f>IF(F171&gt;0,SUMIF('НПЗ Oilmap'!$B$2:$B$659,A171,'НПЗ Oilmap'!$E$2:$E$659),"")</f>
        <v/>
      </c>
      <c r="F171" s="8">
        <f>SUMIF('НПЗ Oilmap'!$B$2:$B$659,A171,'НПЗ Oilmap'!$O$2:$O$659)</f>
        <v>0</v>
      </c>
      <c r="G171" s="8">
        <f t="shared" si="2"/>
        <v>0</v>
      </c>
      <c r="H171" s="8"/>
      <c r="I171" s="11"/>
      <c r="J171" s="6"/>
      <c r="K171" s="6"/>
      <c r="L171" s="12"/>
      <c r="M171" s="6"/>
      <c r="N171" s="8"/>
      <c r="O171" s="6"/>
      <c r="P171" s="6"/>
      <c r="Q171" s="12" t="s">
        <v>83</v>
      </c>
    </row>
    <row r="172" spans="1:17" ht="66" customHeight="1" x14ac:dyDescent="0.2">
      <c r="A172" s="6" t="s">
        <v>1093</v>
      </c>
      <c r="B172" s="6" t="s">
        <v>1094</v>
      </c>
      <c r="C172" s="6" t="s">
        <v>46</v>
      </c>
      <c r="D172" s="8">
        <f>COUNTIF('НПЗ Oilmap'!$B$2:$B$659,A172)</f>
        <v>0</v>
      </c>
      <c r="E172" s="8" t="str">
        <f>IF(F172&gt;0,SUMIF('НПЗ Oilmap'!$B$2:$B$659,A172,'НПЗ Oilmap'!$E$2:$E$659),"")</f>
        <v/>
      </c>
      <c r="F172" s="8">
        <f>SUMIF('НПЗ Oilmap'!$B$2:$B$659,A172,'НПЗ Oilmap'!$O$2:$O$659)</f>
        <v>0</v>
      </c>
      <c r="G172" s="8">
        <f t="shared" si="2"/>
        <v>0</v>
      </c>
      <c r="H172" s="8"/>
      <c r="I172" s="11"/>
      <c r="J172" s="6"/>
      <c r="K172" s="6"/>
      <c r="L172" s="12"/>
      <c r="M172" s="6"/>
      <c r="N172" s="8"/>
      <c r="O172" s="6"/>
      <c r="P172" s="6"/>
      <c r="Q172" s="12" t="s">
        <v>83</v>
      </c>
    </row>
    <row r="173" spans="1:17" ht="66" customHeight="1" x14ac:dyDescent="0.2">
      <c r="A173" s="6" t="s">
        <v>1095</v>
      </c>
      <c r="B173" s="6" t="s">
        <v>1096</v>
      </c>
      <c r="C173" s="6" t="s">
        <v>335</v>
      </c>
      <c r="D173" s="8">
        <f>COUNTIF('НПЗ Oilmap'!$B$2:$B$659,A173)</f>
        <v>0</v>
      </c>
      <c r="E173" s="8" t="str">
        <f>IF(F173&gt;0,SUMIF('НПЗ Oilmap'!$B$2:$B$659,A173,'НПЗ Oilmap'!$E$2:$E$659),"")</f>
        <v/>
      </c>
      <c r="F173" s="8">
        <f>SUMIF('НПЗ Oilmap'!$B$2:$B$659,A173,'НПЗ Oilmap'!$O$2:$O$659)</f>
        <v>0</v>
      </c>
      <c r="G173" s="8">
        <f t="shared" si="2"/>
        <v>0</v>
      </c>
      <c r="H173" s="8"/>
      <c r="I173" s="11"/>
      <c r="J173" s="6"/>
      <c r="K173" s="6"/>
      <c r="L173" s="12"/>
      <c r="M173" s="6"/>
      <c r="N173" s="8"/>
      <c r="O173" s="6"/>
      <c r="P173" s="6"/>
      <c r="Q173" s="12" t="s">
        <v>83</v>
      </c>
    </row>
    <row r="174" spans="1:17" ht="66" customHeight="1" x14ac:dyDescent="0.2">
      <c r="A174" s="6" t="s">
        <v>1097</v>
      </c>
      <c r="B174" s="6" t="s">
        <v>1098</v>
      </c>
      <c r="C174" s="6" t="s">
        <v>46</v>
      </c>
      <c r="D174" s="8">
        <f>COUNTIF('НПЗ Oilmap'!$B$2:$B$659,A174)</f>
        <v>0</v>
      </c>
      <c r="E174" s="8" t="str">
        <f>IF(F174&gt;0,SUMIF('НПЗ Oilmap'!$B$2:$B$659,A174,'НПЗ Oilmap'!$E$2:$E$659),"")</f>
        <v/>
      </c>
      <c r="F174" s="8">
        <f>SUMIF('НПЗ Oilmap'!$B$2:$B$659,A174,'НПЗ Oilmap'!$O$2:$O$659)</f>
        <v>0</v>
      </c>
      <c r="G174" s="8">
        <f t="shared" si="2"/>
        <v>0</v>
      </c>
      <c r="H174" s="8"/>
      <c r="I174" s="11"/>
      <c r="J174" s="6"/>
      <c r="K174" s="6"/>
      <c r="L174" s="12"/>
      <c r="M174" s="6"/>
      <c r="N174" s="8"/>
      <c r="O174" s="6"/>
      <c r="P174" s="6"/>
      <c r="Q174" s="12" t="s">
        <v>83</v>
      </c>
    </row>
    <row r="175" spans="1:17" ht="66" customHeight="1" x14ac:dyDescent="0.2">
      <c r="A175" s="6" t="s">
        <v>1099</v>
      </c>
      <c r="B175" s="6" t="s">
        <v>1100</v>
      </c>
      <c r="C175" s="6" t="s">
        <v>46</v>
      </c>
      <c r="D175" s="8">
        <f>COUNTIF('НПЗ Oilmap'!$B$2:$B$659,A175)</f>
        <v>0</v>
      </c>
      <c r="E175" s="8" t="str">
        <f>IF(F175&gt;0,SUMIF('НПЗ Oilmap'!$B$2:$B$659,A175,'НПЗ Oilmap'!$E$2:$E$659),"")</f>
        <v/>
      </c>
      <c r="F175" s="8">
        <f>SUMIF('НПЗ Oilmap'!$B$2:$B$659,A175,'НПЗ Oilmap'!$O$2:$O$659)</f>
        <v>0</v>
      </c>
      <c r="G175" s="8">
        <f t="shared" si="2"/>
        <v>0</v>
      </c>
      <c r="H175" s="8"/>
      <c r="I175" s="11"/>
      <c r="J175" s="6"/>
      <c r="K175" s="6"/>
      <c r="L175" s="12"/>
      <c r="M175" s="6"/>
      <c r="N175" s="8"/>
      <c r="O175" s="6"/>
      <c r="P175" s="6"/>
      <c r="Q175" s="12" t="s">
        <v>83</v>
      </c>
    </row>
    <row r="176" spans="1:17" ht="66" customHeight="1" x14ac:dyDescent="0.2">
      <c r="A176" s="6" t="s">
        <v>1101</v>
      </c>
      <c r="B176" s="6" t="s">
        <v>1102</v>
      </c>
      <c r="C176" s="6" t="s">
        <v>46</v>
      </c>
      <c r="D176" s="8">
        <f>COUNTIF('НПЗ Oilmap'!$B$2:$B$659,A176)</f>
        <v>0</v>
      </c>
      <c r="E176" s="8" t="str">
        <f>IF(F176&gt;0,SUMIF('НПЗ Oilmap'!$B$2:$B$659,A176,'НПЗ Oilmap'!$E$2:$E$659),"")</f>
        <v/>
      </c>
      <c r="F176" s="8">
        <f>SUMIF('НПЗ Oilmap'!$B$2:$B$659,A176,'НПЗ Oilmap'!$O$2:$O$659)</f>
        <v>0</v>
      </c>
      <c r="G176" s="8">
        <f t="shared" si="2"/>
        <v>0</v>
      </c>
      <c r="H176" s="8"/>
      <c r="I176" s="11"/>
      <c r="J176" s="6"/>
      <c r="K176" s="6"/>
      <c r="L176" s="12"/>
      <c r="M176" s="6"/>
      <c r="N176" s="8"/>
      <c r="O176" s="6"/>
      <c r="P176" s="6"/>
      <c r="Q176" s="12" t="s">
        <v>83</v>
      </c>
    </row>
    <row r="177" spans="1:17" ht="66" customHeight="1" x14ac:dyDescent="0.2">
      <c r="A177" s="6" t="s">
        <v>1103</v>
      </c>
      <c r="B177" s="6" t="s">
        <v>1104</v>
      </c>
      <c r="C177" s="6" t="s">
        <v>1106</v>
      </c>
      <c r="D177" s="8">
        <f>COUNTIF('НПЗ Oilmap'!$B$2:$B$659,A177)</f>
        <v>0</v>
      </c>
      <c r="E177" s="8" t="str">
        <f>IF(F177&gt;0,SUMIF('НПЗ Oilmap'!$B$2:$B$659,A177,'НПЗ Oilmap'!$E$2:$E$659),"")</f>
        <v/>
      </c>
      <c r="F177" s="8">
        <f>SUMIF('НПЗ Oilmap'!$B$2:$B$659,A177,'НПЗ Oilmap'!$O$2:$O$659)</f>
        <v>0</v>
      </c>
      <c r="G177" s="8">
        <f t="shared" si="2"/>
        <v>0</v>
      </c>
      <c r="H177" s="8"/>
      <c r="I177" s="11"/>
      <c r="J177" s="6"/>
      <c r="K177" s="6"/>
      <c r="L177" s="12"/>
      <c r="M177" s="6"/>
      <c r="N177" s="8"/>
      <c r="O177" s="6"/>
      <c r="P177" s="6"/>
      <c r="Q177" s="12" t="s">
        <v>83</v>
      </c>
    </row>
    <row r="178" spans="1:17" ht="66" customHeight="1" x14ac:dyDescent="0.2">
      <c r="A178" s="6" t="s">
        <v>1107</v>
      </c>
      <c r="B178" s="6" t="s">
        <v>1108</v>
      </c>
      <c r="C178" s="6" t="s">
        <v>1112</v>
      </c>
      <c r="D178" s="8">
        <f>COUNTIF('НПЗ Oilmap'!$B$2:$B$659,A178)</f>
        <v>7</v>
      </c>
      <c r="E178" s="8">
        <f>IF(F178&gt;0,SUMIF('НПЗ Oilmap'!$B$2:$B$659,A178,'НПЗ Oilmap'!$E$2:$E$659),"")</f>
        <v>792000</v>
      </c>
      <c r="F178" s="8">
        <f>SUMIF('НПЗ Oilmap'!$B$2:$B$659,A178,'НПЗ Oilmap'!$O$2:$O$659)</f>
        <v>7</v>
      </c>
      <c r="G178" s="8">
        <f t="shared" si="2"/>
        <v>0</v>
      </c>
      <c r="H178" s="8">
        <v>2</v>
      </c>
      <c r="I178" s="11"/>
      <c r="J178" s="6"/>
      <c r="K178" s="6" t="s">
        <v>1601</v>
      </c>
      <c r="L178" s="12" t="s">
        <v>1602</v>
      </c>
      <c r="M178" s="6" t="s">
        <v>1603</v>
      </c>
      <c r="N178" s="8">
        <v>237000</v>
      </c>
      <c r="O178" s="6">
        <v>2025</v>
      </c>
      <c r="P178" s="6" t="s">
        <v>1588</v>
      </c>
      <c r="Q178" s="12" t="s">
        <v>121</v>
      </c>
    </row>
    <row r="179" spans="1:17" ht="66" customHeight="1" x14ac:dyDescent="0.2">
      <c r="A179" s="6" t="s">
        <v>1113</v>
      </c>
      <c r="B179" s="6" t="s">
        <v>1114</v>
      </c>
      <c r="C179" s="6" t="s">
        <v>1116</v>
      </c>
      <c r="D179" s="8">
        <f>COUNTIF('НПЗ Oilmap'!$B$2:$B$659,A179)</f>
        <v>0</v>
      </c>
      <c r="E179" s="8" t="str">
        <f>IF(F179&gt;0,SUMIF('НПЗ Oilmap'!$B$2:$B$659,A179,'НПЗ Oilmap'!$E$2:$E$659),"")</f>
        <v/>
      </c>
      <c r="F179" s="8">
        <f>SUMIF('НПЗ Oilmap'!$B$2:$B$659,A179,'НПЗ Oilmap'!$O$2:$O$659)</f>
        <v>0</v>
      </c>
      <c r="G179" s="8">
        <f t="shared" si="2"/>
        <v>0</v>
      </c>
      <c r="H179" s="8"/>
      <c r="I179" s="11"/>
      <c r="J179" s="6"/>
      <c r="K179" s="6"/>
      <c r="L179" s="12"/>
      <c r="M179" s="6"/>
      <c r="N179" s="8"/>
      <c r="O179" s="6"/>
      <c r="P179" s="6"/>
      <c r="Q179" s="12" t="s">
        <v>83</v>
      </c>
    </row>
    <row r="180" spans="1:17" ht="66" customHeight="1" x14ac:dyDescent="0.2">
      <c r="A180" s="6" t="s">
        <v>1117</v>
      </c>
      <c r="B180" s="6" t="s">
        <v>1118</v>
      </c>
      <c r="C180" s="6" t="s">
        <v>1122</v>
      </c>
      <c r="D180" s="8">
        <f>COUNTIF('НПЗ Oilmap'!$B$2:$B$659,A180)</f>
        <v>0</v>
      </c>
      <c r="E180" s="8" t="str">
        <f>IF(F180&gt;0,SUMIF('НПЗ Oilmap'!$B$2:$B$659,A180,'НПЗ Oilmap'!$E$2:$E$659),"")</f>
        <v/>
      </c>
      <c r="F180" s="8">
        <f>SUMIF('НПЗ Oilmap'!$B$2:$B$659,A180,'НПЗ Oilmap'!$O$2:$O$659)</f>
        <v>0</v>
      </c>
      <c r="G180" s="8">
        <f t="shared" si="2"/>
        <v>0</v>
      </c>
      <c r="H180" s="8"/>
      <c r="I180" s="11"/>
      <c r="J180" s="6"/>
      <c r="K180" s="6"/>
      <c r="L180" s="12"/>
      <c r="M180" s="6"/>
      <c r="N180" s="8"/>
      <c r="O180" s="6"/>
      <c r="P180" s="6"/>
      <c r="Q180" s="12" t="s">
        <v>83</v>
      </c>
    </row>
    <row r="181" spans="1:17" ht="66" customHeight="1" x14ac:dyDescent="0.2">
      <c r="A181" s="6" t="s">
        <v>1123</v>
      </c>
      <c r="B181" s="6" t="s">
        <v>1124</v>
      </c>
      <c r="C181" s="6" t="s">
        <v>1129</v>
      </c>
      <c r="D181" s="8">
        <f>COUNTIF('НПЗ Oilmap'!$B$2:$B$659,A181)</f>
        <v>1</v>
      </c>
      <c r="E181" s="8">
        <f>IF(F181&gt;0,SUMIF('НПЗ Oilmap'!$B$2:$B$659,A181,'НПЗ Oilmap'!$E$2:$E$659),"")</f>
        <v>90000</v>
      </c>
      <c r="F181" s="8">
        <f>SUMIF('НПЗ Oilmap'!$B$2:$B$659,A181,'НПЗ Oilmap'!$O$2:$O$659)</f>
        <v>1</v>
      </c>
      <c r="G181" s="8">
        <f t="shared" si="2"/>
        <v>0</v>
      </c>
      <c r="H181" s="8">
        <v>0</v>
      </c>
      <c r="I181" s="11">
        <v>0</v>
      </c>
      <c r="J181" s="6" t="s">
        <v>1593</v>
      </c>
      <c r="K181" s="6" t="s">
        <v>1604</v>
      </c>
      <c r="L181" s="12" t="s">
        <v>1605</v>
      </c>
      <c r="M181" s="6" t="s">
        <v>1606</v>
      </c>
      <c r="N181" s="8">
        <v>30000</v>
      </c>
      <c r="O181" s="6">
        <v>2025</v>
      </c>
      <c r="P181" s="6" t="s">
        <v>1588</v>
      </c>
      <c r="Q181" s="12" t="s">
        <v>121</v>
      </c>
    </row>
    <row r="182" spans="1:17" ht="66" customHeight="1" x14ac:dyDescent="0.2">
      <c r="A182" s="6" t="s">
        <v>1130</v>
      </c>
      <c r="B182" s="6" t="s">
        <v>1131</v>
      </c>
      <c r="C182" s="6" t="s">
        <v>1134</v>
      </c>
      <c r="D182" s="8">
        <f>COUNTIF('НПЗ Oilmap'!$B$2:$B$659,A182)</f>
        <v>0</v>
      </c>
      <c r="E182" s="8" t="str">
        <f>IF(F182&gt;0,SUMIF('НПЗ Oilmap'!$B$2:$B$659,A182,'НПЗ Oilmap'!$E$2:$E$659),"")</f>
        <v/>
      </c>
      <c r="F182" s="8">
        <f>SUMIF('НПЗ Oilmap'!$B$2:$B$659,A182,'НПЗ Oilmap'!$O$2:$O$659)</f>
        <v>0</v>
      </c>
      <c r="G182" s="8">
        <f t="shared" si="2"/>
        <v>0</v>
      </c>
      <c r="H182" s="8"/>
      <c r="I182" s="11"/>
      <c r="J182" s="6"/>
      <c r="K182" s="6"/>
      <c r="L182" s="12"/>
      <c r="M182" s="6"/>
      <c r="N182" s="8"/>
      <c r="O182" s="6"/>
      <c r="P182" s="6"/>
      <c r="Q182" s="12" t="s">
        <v>83</v>
      </c>
    </row>
    <row r="183" spans="1:17" ht="66" customHeight="1" x14ac:dyDescent="0.2">
      <c r="A183" s="6" t="s">
        <v>1135</v>
      </c>
      <c r="B183" s="6" t="s">
        <v>1136</v>
      </c>
      <c r="C183" s="6" t="s">
        <v>1140</v>
      </c>
      <c r="D183" s="8">
        <f>COUNTIF('НПЗ Oilmap'!$B$2:$B$659,A183)</f>
        <v>0</v>
      </c>
      <c r="E183" s="8" t="str">
        <f>IF(F183&gt;0,SUMIF('НПЗ Oilmap'!$B$2:$B$659,A183,'НПЗ Oilmap'!$E$2:$E$659),"")</f>
        <v/>
      </c>
      <c r="F183" s="8">
        <f>SUMIF('НПЗ Oilmap'!$B$2:$B$659,A183,'НПЗ Oilmap'!$O$2:$O$659)</f>
        <v>0</v>
      </c>
      <c r="G183" s="8">
        <f t="shared" si="2"/>
        <v>0</v>
      </c>
      <c r="H183" s="8"/>
      <c r="I183" s="11"/>
      <c r="J183" s="6"/>
      <c r="K183" s="6"/>
      <c r="L183" s="12"/>
      <c r="M183" s="6"/>
      <c r="N183" s="8"/>
      <c r="O183" s="6"/>
      <c r="P183" s="6"/>
      <c r="Q183" s="12" t="s">
        <v>83</v>
      </c>
    </row>
    <row r="184" spans="1:17" ht="66" customHeight="1" x14ac:dyDescent="0.2">
      <c r="A184" s="6" t="s">
        <v>1141</v>
      </c>
      <c r="B184" s="6" t="s">
        <v>1142</v>
      </c>
      <c r="C184" s="6" t="s">
        <v>1147</v>
      </c>
      <c r="D184" s="8">
        <f>COUNTIF('НПЗ Oilmap'!$B$2:$B$659,A184)</f>
        <v>3</v>
      </c>
      <c r="E184" s="8">
        <f>IF(F184&gt;0,SUMIF('НПЗ Oilmap'!$B$2:$B$659,A184,'НПЗ Oilmap'!$E$2:$E$659),"")</f>
        <v>300000</v>
      </c>
      <c r="F184" s="8">
        <f>SUMIF('НПЗ Oilmap'!$B$2:$B$659,A184,'НПЗ Oilmap'!$O$2:$O$659)</f>
        <v>2</v>
      </c>
      <c r="G184" s="8">
        <f t="shared" si="2"/>
        <v>1</v>
      </c>
      <c r="H184" s="8"/>
      <c r="I184" s="11"/>
      <c r="J184" s="6"/>
      <c r="K184" s="6"/>
      <c r="L184" s="12"/>
      <c r="M184" s="6"/>
      <c r="N184" s="8">
        <v>180000</v>
      </c>
      <c r="O184" s="6">
        <v>2025</v>
      </c>
      <c r="P184" s="6" t="s">
        <v>1588</v>
      </c>
      <c r="Q184" s="12" t="s">
        <v>57</v>
      </c>
    </row>
    <row r="185" spans="1:17" ht="66" customHeight="1" x14ac:dyDescent="0.2">
      <c r="A185" s="6" t="s">
        <v>1148</v>
      </c>
      <c r="B185" s="6" t="s">
        <v>1149</v>
      </c>
      <c r="C185" s="6" t="s">
        <v>1154</v>
      </c>
      <c r="D185" s="8">
        <f>COUNTIF('НПЗ Oilmap'!$B$2:$B$659,A185)</f>
        <v>1</v>
      </c>
      <c r="E185" s="8">
        <f>IF(F185&gt;0,SUMIF('НПЗ Oilmap'!$B$2:$B$659,A185,'НПЗ Oilmap'!$E$2:$E$659),"")</f>
        <v>50000</v>
      </c>
      <c r="F185" s="8">
        <f>SUMIF('НПЗ Oilmap'!$B$2:$B$659,A185,'НПЗ Oilmap'!$O$2:$O$659)</f>
        <v>1</v>
      </c>
      <c r="G185" s="8">
        <f t="shared" si="2"/>
        <v>0</v>
      </c>
      <c r="H185" s="8"/>
      <c r="I185" s="11"/>
      <c r="J185" s="6"/>
      <c r="K185" s="6"/>
      <c r="L185" s="12"/>
      <c r="M185" s="6"/>
      <c r="N185" s="8"/>
      <c r="O185" s="6"/>
      <c r="P185" s="6"/>
      <c r="Q185" s="12" t="s">
        <v>83</v>
      </c>
    </row>
    <row r="186" spans="1:17" ht="66" customHeight="1" x14ac:dyDescent="0.2">
      <c r="A186" s="6" t="s">
        <v>1155</v>
      </c>
      <c r="B186" s="6" t="s">
        <v>1156</v>
      </c>
      <c r="C186" s="6" t="s">
        <v>1160</v>
      </c>
      <c r="D186" s="8">
        <f>COUNTIF('НПЗ Oilmap'!$B$2:$B$659,A186)</f>
        <v>1</v>
      </c>
      <c r="E186" s="8">
        <f>IF(F186&gt;0,SUMIF('НПЗ Oilmap'!$B$2:$B$659,A186,'НПЗ Oilmap'!$E$2:$E$659),"")</f>
        <v>320000</v>
      </c>
      <c r="F186" s="8">
        <f>SUMIF('НПЗ Oilmap'!$B$2:$B$659,A186,'НПЗ Oilmap'!$O$2:$O$659)</f>
        <v>1</v>
      </c>
      <c r="G186" s="8">
        <f t="shared" si="2"/>
        <v>0</v>
      </c>
      <c r="H186" s="8"/>
      <c r="I186" s="11"/>
      <c r="J186" s="6"/>
      <c r="K186" s="6"/>
      <c r="L186" s="12"/>
      <c r="M186" s="6"/>
      <c r="N186" s="8"/>
      <c r="O186" s="6"/>
      <c r="P186" s="6"/>
      <c r="Q186" s="12" t="s">
        <v>83</v>
      </c>
    </row>
    <row r="187" spans="1:17" ht="66" customHeight="1" x14ac:dyDescent="0.2">
      <c r="A187" s="6" t="s">
        <v>1161</v>
      </c>
      <c r="B187" s="6" t="s">
        <v>1162</v>
      </c>
      <c r="C187" s="6" t="s">
        <v>1166</v>
      </c>
      <c r="D187" s="8">
        <f>COUNTIF('НПЗ Oilmap'!$B$2:$B$659,A187)</f>
        <v>1</v>
      </c>
      <c r="E187" s="8">
        <f>IF(F187&gt;0,SUMIF('НПЗ Oilmap'!$B$2:$B$659,A187,'НПЗ Oilmap'!$E$2:$E$659),"")</f>
        <v>275000</v>
      </c>
      <c r="F187" s="8">
        <f>SUMIF('НПЗ Oilmap'!$B$2:$B$659,A187,'НПЗ Oilmap'!$O$2:$O$659)</f>
        <v>1</v>
      </c>
      <c r="G187" s="8">
        <f t="shared" si="2"/>
        <v>0</v>
      </c>
      <c r="H187" s="8"/>
      <c r="I187" s="11"/>
      <c r="J187" s="6"/>
      <c r="K187" s="6"/>
      <c r="L187" s="12"/>
      <c r="M187" s="6"/>
      <c r="N187" s="8"/>
      <c r="O187" s="6"/>
      <c r="P187" s="6"/>
      <c r="Q187" s="12" t="s">
        <v>83</v>
      </c>
    </row>
    <row r="188" spans="1:17" ht="66" customHeight="1" x14ac:dyDescent="0.2">
      <c r="A188" s="6" t="s">
        <v>1167</v>
      </c>
      <c r="B188" s="6" t="s">
        <v>1168</v>
      </c>
      <c r="C188" s="6" t="s">
        <v>1172</v>
      </c>
      <c r="D188" s="8">
        <f>COUNTIF('НПЗ Oilmap'!$B$2:$B$659,A188)</f>
        <v>0</v>
      </c>
      <c r="E188" s="8" t="str">
        <f>IF(F188&gt;0,SUMIF('НПЗ Oilmap'!$B$2:$B$659,A188,'НПЗ Oilmap'!$E$2:$E$659),"")</f>
        <v/>
      </c>
      <c r="F188" s="8">
        <f>SUMIF('НПЗ Oilmap'!$B$2:$B$659,A188,'НПЗ Oilmap'!$O$2:$O$659)</f>
        <v>0</v>
      </c>
      <c r="G188" s="8">
        <f t="shared" si="2"/>
        <v>0</v>
      </c>
      <c r="H188" s="8"/>
      <c r="I188" s="11"/>
      <c r="J188" s="6"/>
      <c r="K188" s="6"/>
      <c r="L188" s="12"/>
      <c r="M188" s="6"/>
      <c r="N188" s="8"/>
      <c r="O188" s="6"/>
      <c r="P188" s="6"/>
      <c r="Q188" s="12" t="s">
        <v>83</v>
      </c>
    </row>
    <row r="189" spans="1:17" ht="66" customHeight="1" x14ac:dyDescent="0.2">
      <c r="A189" s="6" t="s">
        <v>1173</v>
      </c>
      <c r="B189" s="6" t="s">
        <v>1174</v>
      </c>
      <c r="C189" s="6" t="s">
        <v>1177</v>
      </c>
      <c r="D189" s="8">
        <f>COUNTIF('НПЗ Oilmap'!$B$2:$B$659,A189)</f>
        <v>0</v>
      </c>
      <c r="E189" s="8" t="str">
        <f>IF(F189&gt;0,SUMIF('НПЗ Oilmap'!$B$2:$B$659,A189,'НПЗ Oilmap'!$E$2:$E$659),"")</f>
        <v/>
      </c>
      <c r="F189" s="8">
        <f>SUMIF('НПЗ Oilmap'!$B$2:$B$659,A189,'НПЗ Oilmap'!$O$2:$O$659)</f>
        <v>0</v>
      </c>
      <c r="G189" s="8">
        <f t="shared" si="2"/>
        <v>0</v>
      </c>
      <c r="H189" s="8"/>
      <c r="I189" s="11"/>
      <c r="J189" s="6"/>
      <c r="K189" s="6"/>
      <c r="L189" s="12"/>
      <c r="M189" s="6"/>
      <c r="N189" s="8"/>
      <c r="O189" s="6"/>
      <c r="P189" s="6"/>
      <c r="Q189" s="12" t="s">
        <v>83</v>
      </c>
    </row>
    <row r="190" spans="1:17" ht="66" customHeight="1" x14ac:dyDescent="0.2">
      <c r="A190" s="6" t="s">
        <v>1178</v>
      </c>
      <c r="B190" s="6" t="s">
        <v>1179</v>
      </c>
      <c r="C190" s="6" t="s">
        <v>1183</v>
      </c>
      <c r="D190" s="8">
        <f>COUNTIF('НПЗ Oilmap'!$B$2:$B$659,A190)</f>
        <v>4</v>
      </c>
      <c r="E190" s="8">
        <f>IF(F190&gt;0,SUMIF('НПЗ Oilmap'!$B$2:$B$659,A190,'НПЗ Oilmap'!$E$2:$E$659),"")</f>
        <v>770000</v>
      </c>
      <c r="F190" s="8">
        <f>SUMIF('НПЗ Oilmap'!$B$2:$B$659,A190,'НПЗ Oilmap'!$O$2:$O$659)</f>
        <v>3</v>
      </c>
      <c r="G190" s="8">
        <f t="shared" si="2"/>
        <v>1</v>
      </c>
      <c r="H190" s="8"/>
      <c r="I190" s="11"/>
      <c r="J190" s="6"/>
      <c r="K190" s="6"/>
      <c r="L190" s="12"/>
      <c r="M190" s="6"/>
      <c r="N190" s="8">
        <v>1140000</v>
      </c>
      <c r="O190" s="6">
        <v>2025</v>
      </c>
      <c r="P190" s="6" t="s">
        <v>1588</v>
      </c>
      <c r="Q190" s="12" t="s">
        <v>57</v>
      </c>
    </row>
    <row r="191" spans="1:17" ht="66" customHeight="1" x14ac:dyDescent="0.2">
      <c r="A191" s="6" t="s">
        <v>1184</v>
      </c>
      <c r="B191" s="6" t="s">
        <v>1185</v>
      </c>
      <c r="C191" s="6" t="s">
        <v>1190</v>
      </c>
      <c r="D191" s="8">
        <f>COUNTIF('НПЗ Oilmap'!$B$2:$B$659,A191)</f>
        <v>31</v>
      </c>
      <c r="E191" s="8">
        <f>IF(F191&gt;0,SUMIF('НПЗ Oilmap'!$B$2:$B$659,A191,'НПЗ Oilmap'!$E$2:$E$659),"")</f>
        <v>4625000</v>
      </c>
      <c r="F191" s="8">
        <f>SUMIF('НПЗ Oilmap'!$B$2:$B$659,A191,'НПЗ Oilmap'!$O$2:$O$659)</f>
        <v>28</v>
      </c>
      <c r="G191" s="8">
        <f t="shared" si="2"/>
        <v>3</v>
      </c>
      <c r="H191" s="8"/>
      <c r="I191" s="11"/>
      <c r="J191" s="6"/>
      <c r="K191" s="6"/>
      <c r="L191" s="12"/>
      <c r="M191" s="6"/>
      <c r="N191" s="8">
        <v>3110000</v>
      </c>
      <c r="O191" s="6">
        <v>2025</v>
      </c>
      <c r="P191" s="6" t="s">
        <v>1588</v>
      </c>
      <c r="Q191" s="12" t="s">
        <v>57</v>
      </c>
    </row>
    <row r="192" spans="1:17" ht="66" customHeight="1" x14ac:dyDescent="0.2">
      <c r="A192" s="6" t="s">
        <v>1191</v>
      </c>
      <c r="B192" s="6" t="s">
        <v>1192</v>
      </c>
      <c r="C192" s="6" t="s">
        <v>1194</v>
      </c>
      <c r="D192" s="8">
        <f>COUNTIF('НПЗ Oilmap'!$B$2:$B$659,A192)</f>
        <v>0</v>
      </c>
      <c r="E192" s="8" t="str">
        <f>IF(F192&gt;0,SUMIF('НПЗ Oilmap'!$B$2:$B$659,A192,'НПЗ Oilmap'!$E$2:$E$659),"")</f>
        <v/>
      </c>
      <c r="F192" s="8">
        <f>SUMIF('НПЗ Oilmap'!$B$2:$B$659,A192,'НПЗ Oilmap'!$O$2:$O$659)</f>
        <v>0</v>
      </c>
      <c r="G192" s="8">
        <f t="shared" si="2"/>
        <v>0</v>
      </c>
      <c r="H192" s="8"/>
      <c r="I192" s="11"/>
      <c r="J192" s="6"/>
      <c r="K192" s="6"/>
      <c r="L192" s="12"/>
      <c r="M192" s="6"/>
      <c r="N192" s="8"/>
      <c r="O192" s="6"/>
      <c r="P192" s="6"/>
      <c r="Q192" s="12" t="s">
        <v>83</v>
      </c>
    </row>
    <row r="193" spans="1:17" ht="66" customHeight="1" x14ac:dyDescent="0.2">
      <c r="A193" s="6" t="s">
        <v>1195</v>
      </c>
      <c r="B193" s="6" t="s">
        <v>1196</v>
      </c>
      <c r="C193" s="6" t="s">
        <v>1200</v>
      </c>
      <c r="D193" s="8">
        <f>COUNTIF('НПЗ Oilmap'!$B$2:$B$659,A193)</f>
        <v>0</v>
      </c>
      <c r="E193" s="8" t="str">
        <f>IF(F193&gt;0,SUMIF('НПЗ Oilmap'!$B$2:$B$659,A193,'НПЗ Oilmap'!$E$2:$E$659),"")</f>
        <v/>
      </c>
      <c r="F193" s="8">
        <f>SUMIF('НПЗ Oilmap'!$B$2:$B$659,A193,'НПЗ Oilmap'!$O$2:$O$659)</f>
        <v>0</v>
      </c>
      <c r="G193" s="8">
        <f t="shared" si="2"/>
        <v>0</v>
      </c>
      <c r="H193" s="8"/>
      <c r="I193" s="11"/>
      <c r="J193" s="6"/>
      <c r="K193" s="6"/>
      <c r="L193" s="12"/>
      <c r="M193" s="6"/>
      <c r="N193" s="8"/>
      <c r="O193" s="6"/>
      <c r="P193" s="6"/>
      <c r="Q193" s="12" t="s">
        <v>83</v>
      </c>
    </row>
    <row r="194" spans="1:17" ht="66" customHeight="1" x14ac:dyDescent="0.2">
      <c r="A194" s="6" t="s">
        <v>1201</v>
      </c>
      <c r="B194" s="6" t="s">
        <v>1202</v>
      </c>
      <c r="C194" s="6" t="s">
        <v>1204</v>
      </c>
      <c r="D194" s="8">
        <f>COUNTIF('НПЗ Oilmap'!$B$2:$B$659,A194)</f>
        <v>0</v>
      </c>
      <c r="E194" s="8" t="str">
        <f>IF(F194&gt;0,SUMIF('НПЗ Oilmap'!$B$2:$B$659,A194,'НПЗ Oilmap'!$E$2:$E$659),"")</f>
        <v/>
      </c>
      <c r="F194" s="8">
        <f>SUMIF('НПЗ Oilmap'!$B$2:$B$659,A194,'НПЗ Oilmap'!$O$2:$O$659)</f>
        <v>0</v>
      </c>
      <c r="G194" s="8">
        <f t="shared" ref="G194:G257" si="3">D194-F194</f>
        <v>0</v>
      </c>
      <c r="H194" s="8"/>
      <c r="I194" s="11"/>
      <c r="J194" s="6"/>
      <c r="K194" s="6"/>
      <c r="L194" s="12"/>
      <c r="M194" s="6"/>
      <c r="N194" s="8"/>
      <c r="O194" s="6"/>
      <c r="P194" s="6"/>
      <c r="Q194" s="12" t="s">
        <v>83</v>
      </c>
    </row>
    <row r="195" spans="1:17" ht="66" customHeight="1" x14ac:dyDescent="0.2">
      <c r="A195" s="6" t="s">
        <v>1205</v>
      </c>
      <c r="B195" s="6" t="s">
        <v>1206</v>
      </c>
      <c r="C195" s="6" t="s">
        <v>1209</v>
      </c>
      <c r="D195" s="8">
        <f>COUNTIF('НПЗ Oilmap'!$B$2:$B$659,A195)</f>
        <v>0</v>
      </c>
      <c r="E195" s="8" t="str">
        <f>IF(F195&gt;0,SUMIF('НПЗ Oilmap'!$B$2:$B$659,A195,'НПЗ Oilmap'!$E$2:$E$659),"")</f>
        <v/>
      </c>
      <c r="F195" s="8">
        <f>SUMIF('НПЗ Oilmap'!$B$2:$B$659,A195,'НПЗ Oilmap'!$O$2:$O$659)</f>
        <v>0</v>
      </c>
      <c r="G195" s="8">
        <f t="shared" si="3"/>
        <v>0</v>
      </c>
      <c r="H195" s="8"/>
      <c r="I195" s="11"/>
      <c r="J195" s="6"/>
      <c r="K195" s="6"/>
      <c r="L195" s="12"/>
      <c r="M195" s="6"/>
      <c r="N195" s="8"/>
      <c r="O195" s="6"/>
      <c r="P195" s="6"/>
      <c r="Q195" s="12" t="s">
        <v>83</v>
      </c>
    </row>
    <row r="196" spans="1:17" ht="66" customHeight="1" x14ac:dyDescent="0.2">
      <c r="A196" s="6" t="s">
        <v>1210</v>
      </c>
      <c r="B196" s="6" t="s">
        <v>1211</v>
      </c>
      <c r="C196" s="6" t="s">
        <v>1213</v>
      </c>
      <c r="D196" s="8">
        <f>COUNTIF('НПЗ Oilmap'!$B$2:$B$659,A196)</f>
        <v>0</v>
      </c>
      <c r="E196" s="8" t="str">
        <f>IF(F196&gt;0,SUMIF('НПЗ Oilmap'!$B$2:$B$659,A196,'НПЗ Oilmap'!$E$2:$E$659),"")</f>
        <v/>
      </c>
      <c r="F196" s="8">
        <f>SUMIF('НПЗ Oilmap'!$B$2:$B$659,A196,'НПЗ Oilmap'!$O$2:$O$659)</f>
        <v>0</v>
      </c>
      <c r="G196" s="8">
        <f t="shared" si="3"/>
        <v>0</v>
      </c>
      <c r="H196" s="8"/>
      <c r="I196" s="11"/>
      <c r="J196" s="6"/>
      <c r="K196" s="6"/>
      <c r="L196" s="12"/>
      <c r="M196" s="6"/>
      <c r="N196" s="8"/>
      <c r="O196" s="6"/>
      <c r="P196" s="6"/>
      <c r="Q196" s="12" t="s">
        <v>83</v>
      </c>
    </row>
    <row r="197" spans="1:17" ht="66" customHeight="1" x14ac:dyDescent="0.2">
      <c r="A197" s="6" t="s">
        <v>1214</v>
      </c>
      <c r="B197" s="6" t="s">
        <v>1215</v>
      </c>
      <c r="C197" s="6" t="s">
        <v>1219</v>
      </c>
      <c r="D197" s="8">
        <f>COUNTIF('НПЗ Oilmap'!$B$2:$B$659,A197)</f>
        <v>0</v>
      </c>
      <c r="E197" s="8" t="str">
        <f>IF(F197&gt;0,SUMIF('НПЗ Oilmap'!$B$2:$B$659,A197,'НПЗ Oilmap'!$E$2:$E$659),"")</f>
        <v/>
      </c>
      <c r="F197" s="8">
        <f>SUMIF('НПЗ Oilmap'!$B$2:$B$659,A197,'НПЗ Oilmap'!$O$2:$O$659)</f>
        <v>0</v>
      </c>
      <c r="G197" s="8">
        <f t="shared" si="3"/>
        <v>0</v>
      </c>
      <c r="H197" s="8"/>
      <c r="I197" s="11"/>
      <c r="J197" s="6"/>
      <c r="K197" s="6"/>
      <c r="L197" s="12"/>
      <c r="M197" s="6"/>
      <c r="N197" s="8"/>
      <c r="O197" s="6"/>
      <c r="P197" s="6"/>
      <c r="Q197" s="12" t="s">
        <v>83</v>
      </c>
    </row>
    <row r="198" spans="1:17" ht="66" customHeight="1" x14ac:dyDescent="0.2">
      <c r="A198" s="6" t="s">
        <v>1220</v>
      </c>
      <c r="B198" s="6" t="s">
        <v>1221</v>
      </c>
      <c r="C198" s="6" t="s">
        <v>1224</v>
      </c>
      <c r="D198" s="8">
        <f>COUNTIF('НПЗ Oilmap'!$B$2:$B$659,A198)</f>
        <v>0</v>
      </c>
      <c r="E198" s="8" t="str">
        <f>IF(F198&gt;0,SUMIF('НПЗ Oilmap'!$B$2:$B$659,A198,'НПЗ Oilmap'!$E$2:$E$659),"")</f>
        <v/>
      </c>
      <c r="F198" s="8">
        <f>SUMIF('НПЗ Oilmap'!$B$2:$B$659,A198,'НПЗ Oilmap'!$O$2:$O$659)</f>
        <v>0</v>
      </c>
      <c r="G198" s="8">
        <f t="shared" si="3"/>
        <v>0</v>
      </c>
      <c r="H198" s="8"/>
      <c r="I198" s="11"/>
      <c r="J198" s="6"/>
      <c r="K198" s="6"/>
      <c r="L198" s="12"/>
      <c r="M198" s="6"/>
      <c r="N198" s="8"/>
      <c r="O198" s="6"/>
      <c r="P198" s="6"/>
      <c r="Q198" s="12" t="s">
        <v>83</v>
      </c>
    </row>
    <row r="199" spans="1:17" ht="66" customHeight="1" x14ac:dyDescent="0.2">
      <c r="A199" s="6" t="s">
        <v>1225</v>
      </c>
      <c r="B199" s="6" t="s">
        <v>1226</v>
      </c>
      <c r="C199" s="6" t="s">
        <v>1229</v>
      </c>
      <c r="D199" s="8">
        <f>COUNTIF('НПЗ Oilmap'!$B$2:$B$659,A199)</f>
        <v>0</v>
      </c>
      <c r="E199" s="8" t="str">
        <f>IF(F199&gt;0,SUMIF('НПЗ Oilmap'!$B$2:$B$659,A199,'НПЗ Oilmap'!$E$2:$E$659),"")</f>
        <v/>
      </c>
      <c r="F199" s="8">
        <f>SUMIF('НПЗ Oilmap'!$B$2:$B$659,A199,'НПЗ Oilmap'!$O$2:$O$659)</f>
        <v>0</v>
      </c>
      <c r="G199" s="8">
        <f t="shared" si="3"/>
        <v>0</v>
      </c>
      <c r="H199" s="8"/>
      <c r="I199" s="11"/>
      <c r="J199" s="6"/>
      <c r="K199" s="6"/>
      <c r="L199" s="12"/>
      <c r="M199" s="6"/>
      <c r="N199" s="8"/>
      <c r="O199" s="6"/>
      <c r="P199" s="6"/>
      <c r="Q199" s="12" t="s">
        <v>83</v>
      </c>
    </row>
    <row r="200" spans="1:17" ht="66" customHeight="1" x14ac:dyDescent="0.2">
      <c r="A200" s="6" t="s">
        <v>1230</v>
      </c>
      <c r="B200" s="6" t="s">
        <v>1231</v>
      </c>
      <c r="C200" s="6" t="s">
        <v>1235</v>
      </c>
      <c r="D200" s="8">
        <f>COUNTIF('НПЗ Oilmap'!$B$2:$B$659,A200)</f>
        <v>1</v>
      </c>
      <c r="E200" s="8">
        <f>IF(F200&gt;0,SUMIF('НПЗ Oilmap'!$B$2:$B$659,A200,'НПЗ Oilmap'!$E$2:$E$659),"")</f>
        <v>165000</v>
      </c>
      <c r="F200" s="8">
        <f>SUMIF('НПЗ Oilmap'!$B$2:$B$659,A200,'НПЗ Oilmap'!$O$2:$O$659)</f>
        <v>1</v>
      </c>
      <c r="G200" s="8">
        <f t="shared" si="3"/>
        <v>0</v>
      </c>
      <c r="H200" s="8"/>
      <c r="I200" s="11"/>
      <c r="J200" s="6"/>
      <c r="K200" s="6"/>
      <c r="L200" s="12"/>
      <c r="M200" s="6"/>
      <c r="N200" s="8"/>
      <c r="O200" s="6"/>
      <c r="P200" s="6"/>
      <c r="Q200" s="12" t="s">
        <v>83</v>
      </c>
    </row>
    <row r="201" spans="1:17" ht="66" customHeight="1" x14ac:dyDescent="0.2">
      <c r="A201" s="6" t="s">
        <v>1236</v>
      </c>
      <c r="B201" s="6" t="s">
        <v>1237</v>
      </c>
      <c r="C201" s="6" t="s">
        <v>1241</v>
      </c>
      <c r="D201" s="8">
        <f>COUNTIF('НПЗ Oilmap'!$B$2:$B$659,A201)</f>
        <v>0</v>
      </c>
      <c r="E201" s="8" t="str">
        <f>IF(F201&gt;0,SUMIF('НПЗ Oilmap'!$B$2:$B$659,A201,'НПЗ Oilmap'!$E$2:$E$659),"")</f>
        <v/>
      </c>
      <c r="F201" s="8">
        <f>SUMIF('НПЗ Oilmap'!$B$2:$B$659,A201,'НПЗ Oilmap'!$O$2:$O$659)</f>
        <v>0</v>
      </c>
      <c r="G201" s="8">
        <f t="shared" si="3"/>
        <v>0</v>
      </c>
      <c r="H201" s="8"/>
      <c r="I201" s="11"/>
      <c r="J201" s="6"/>
      <c r="K201" s="6"/>
      <c r="L201" s="12"/>
      <c r="M201" s="6"/>
      <c r="N201" s="8"/>
      <c r="O201" s="6"/>
      <c r="P201" s="6"/>
      <c r="Q201" s="12" t="s">
        <v>83</v>
      </c>
    </row>
    <row r="202" spans="1:17" ht="66" customHeight="1" x14ac:dyDescent="0.2">
      <c r="A202" s="6" t="s">
        <v>1242</v>
      </c>
      <c r="B202" s="6" t="s">
        <v>1243</v>
      </c>
      <c r="C202" s="6" t="s">
        <v>1246</v>
      </c>
      <c r="D202" s="8">
        <f>COUNTIF('НПЗ Oilmap'!$B$2:$B$659,A202)</f>
        <v>0</v>
      </c>
      <c r="E202" s="8" t="str">
        <f>IF(F202&gt;0,SUMIF('НПЗ Oilmap'!$B$2:$B$659,A202,'НПЗ Oilmap'!$E$2:$E$659),"")</f>
        <v/>
      </c>
      <c r="F202" s="8">
        <f>SUMIF('НПЗ Oilmap'!$B$2:$B$659,A202,'НПЗ Oilmap'!$O$2:$O$659)</f>
        <v>0</v>
      </c>
      <c r="G202" s="8">
        <f t="shared" si="3"/>
        <v>0</v>
      </c>
      <c r="H202" s="8"/>
      <c r="I202" s="11"/>
      <c r="J202" s="6"/>
      <c r="K202" s="6"/>
      <c r="L202" s="12"/>
      <c r="M202" s="6"/>
      <c r="N202" s="8"/>
      <c r="O202" s="6"/>
      <c r="P202" s="6"/>
      <c r="Q202" s="12" t="s">
        <v>83</v>
      </c>
    </row>
    <row r="203" spans="1:17" ht="66" customHeight="1" x14ac:dyDescent="0.2">
      <c r="A203" s="6" t="s">
        <v>1247</v>
      </c>
      <c r="B203" s="6" t="s">
        <v>1248</v>
      </c>
      <c r="C203" s="6" t="s">
        <v>1252</v>
      </c>
      <c r="D203" s="8">
        <f>COUNTIF('НПЗ Oilmap'!$B$2:$B$659,A203)</f>
        <v>0</v>
      </c>
      <c r="E203" s="8" t="str">
        <f>IF(F203&gt;0,SUMIF('НПЗ Oilmap'!$B$2:$B$659,A203,'НПЗ Oilmap'!$E$2:$E$659),"")</f>
        <v/>
      </c>
      <c r="F203" s="8">
        <f>SUMIF('НПЗ Oilmap'!$B$2:$B$659,A203,'НПЗ Oilmap'!$O$2:$O$659)</f>
        <v>0</v>
      </c>
      <c r="G203" s="8">
        <f t="shared" si="3"/>
        <v>0</v>
      </c>
      <c r="H203" s="8"/>
      <c r="I203" s="11"/>
      <c r="J203" s="6"/>
      <c r="K203" s="6"/>
      <c r="L203" s="12"/>
      <c r="M203" s="6"/>
      <c r="N203" s="8"/>
      <c r="O203" s="6"/>
      <c r="P203" s="6"/>
      <c r="Q203" s="12" t="s">
        <v>83</v>
      </c>
    </row>
    <row r="204" spans="1:17" ht="66" customHeight="1" x14ac:dyDescent="0.2">
      <c r="A204" s="6" t="s">
        <v>1253</v>
      </c>
      <c r="B204" s="6" t="s">
        <v>1254</v>
      </c>
      <c r="C204" s="6" t="s">
        <v>1258</v>
      </c>
      <c r="D204" s="8">
        <f>COUNTIF('НПЗ Oilmap'!$B$2:$B$659,A204)</f>
        <v>0</v>
      </c>
      <c r="E204" s="8" t="str">
        <f>IF(F204&gt;0,SUMIF('НПЗ Oilmap'!$B$2:$B$659,A204,'НПЗ Oilmap'!$E$2:$E$659),"")</f>
        <v/>
      </c>
      <c r="F204" s="8">
        <f>SUMIF('НПЗ Oilmap'!$B$2:$B$659,A204,'НПЗ Oilmap'!$O$2:$O$659)</f>
        <v>0</v>
      </c>
      <c r="G204" s="8">
        <f t="shared" si="3"/>
        <v>0</v>
      </c>
      <c r="H204" s="8"/>
      <c r="I204" s="11"/>
      <c r="J204" s="6"/>
      <c r="K204" s="6"/>
      <c r="L204" s="12"/>
      <c r="M204" s="6"/>
      <c r="N204" s="8"/>
      <c r="O204" s="6"/>
      <c r="P204" s="6"/>
      <c r="Q204" s="12" t="s">
        <v>83</v>
      </c>
    </row>
    <row r="205" spans="1:17" ht="66" customHeight="1" x14ac:dyDescent="0.2">
      <c r="A205" s="6" t="s">
        <v>1259</v>
      </c>
      <c r="B205" s="6" t="s">
        <v>1260</v>
      </c>
      <c r="C205" s="6" t="s">
        <v>1264</v>
      </c>
      <c r="D205" s="8">
        <f>COUNTIF('НПЗ Oilmap'!$B$2:$B$659,A205)</f>
        <v>0</v>
      </c>
      <c r="E205" s="8" t="str">
        <f>IF(F205&gt;0,SUMIF('НПЗ Oilmap'!$B$2:$B$659,A205,'НПЗ Oilmap'!$E$2:$E$659),"")</f>
        <v/>
      </c>
      <c r="F205" s="8">
        <f>SUMIF('НПЗ Oilmap'!$B$2:$B$659,A205,'НПЗ Oilmap'!$O$2:$O$659)</f>
        <v>0</v>
      </c>
      <c r="G205" s="8">
        <f t="shared" si="3"/>
        <v>0</v>
      </c>
      <c r="H205" s="8"/>
      <c r="I205" s="11"/>
      <c r="J205" s="6"/>
      <c r="K205" s="6"/>
      <c r="L205" s="12"/>
      <c r="M205" s="6"/>
      <c r="N205" s="8"/>
      <c r="O205" s="6"/>
      <c r="P205" s="6"/>
      <c r="Q205" s="12" t="s">
        <v>83</v>
      </c>
    </row>
    <row r="206" spans="1:17" ht="66" customHeight="1" x14ac:dyDescent="0.2">
      <c r="A206" s="6" t="s">
        <v>1265</v>
      </c>
      <c r="B206" s="6" t="s">
        <v>1266</v>
      </c>
      <c r="C206" s="6" t="s">
        <v>1268</v>
      </c>
      <c r="D206" s="8">
        <f>COUNTIF('НПЗ Oilmap'!$B$2:$B$659,A206)</f>
        <v>0</v>
      </c>
      <c r="E206" s="8" t="str">
        <f>IF(F206&gt;0,SUMIF('НПЗ Oilmap'!$B$2:$B$659,A206,'НПЗ Oilmap'!$E$2:$E$659),"")</f>
        <v/>
      </c>
      <c r="F206" s="8">
        <f>SUMIF('НПЗ Oilmap'!$B$2:$B$659,A206,'НПЗ Oilmap'!$O$2:$O$659)</f>
        <v>0</v>
      </c>
      <c r="G206" s="8">
        <f t="shared" si="3"/>
        <v>0</v>
      </c>
      <c r="H206" s="8"/>
      <c r="I206" s="11"/>
      <c r="J206" s="6"/>
      <c r="K206" s="6"/>
      <c r="L206" s="12"/>
      <c r="M206" s="6"/>
      <c r="N206" s="8"/>
      <c r="O206" s="6"/>
      <c r="P206" s="6"/>
      <c r="Q206" s="12" t="s">
        <v>83</v>
      </c>
    </row>
    <row r="207" spans="1:17" ht="66" customHeight="1" x14ac:dyDescent="0.2">
      <c r="A207" s="6" t="s">
        <v>1269</v>
      </c>
      <c r="B207" s="6" t="s">
        <v>1270</v>
      </c>
      <c r="C207" s="6" t="s">
        <v>1272</v>
      </c>
      <c r="D207" s="8">
        <f>COUNTIF('НПЗ Oilmap'!$B$2:$B$659,A207)</f>
        <v>0</v>
      </c>
      <c r="E207" s="8" t="str">
        <f>IF(F207&gt;0,SUMIF('НПЗ Oilmap'!$B$2:$B$659,A207,'НПЗ Oilmap'!$E$2:$E$659),"")</f>
        <v/>
      </c>
      <c r="F207" s="8">
        <f>SUMIF('НПЗ Oilmap'!$B$2:$B$659,A207,'НПЗ Oilmap'!$O$2:$O$659)</f>
        <v>0</v>
      </c>
      <c r="G207" s="8">
        <f t="shared" si="3"/>
        <v>0</v>
      </c>
      <c r="H207" s="8"/>
      <c r="I207" s="11"/>
      <c r="J207" s="6"/>
      <c r="K207" s="6"/>
      <c r="L207" s="12"/>
      <c r="M207" s="6"/>
      <c r="N207" s="8"/>
      <c r="O207" s="6"/>
      <c r="P207" s="6"/>
      <c r="Q207" s="12" t="s">
        <v>83</v>
      </c>
    </row>
    <row r="208" spans="1:17" ht="66" customHeight="1" x14ac:dyDescent="0.2">
      <c r="A208" s="6" t="s">
        <v>1273</v>
      </c>
      <c r="B208" s="6" t="s">
        <v>1274</v>
      </c>
      <c r="C208" s="6" t="s">
        <v>1277</v>
      </c>
      <c r="D208" s="8">
        <f>COUNTIF('НПЗ Oilmap'!$B$2:$B$659,A208)</f>
        <v>0</v>
      </c>
      <c r="E208" s="8" t="str">
        <f>IF(F208&gt;0,SUMIF('НПЗ Oilmap'!$B$2:$B$659,A208,'НПЗ Oilmap'!$E$2:$E$659),"")</f>
        <v/>
      </c>
      <c r="F208" s="8">
        <f>SUMIF('НПЗ Oilmap'!$B$2:$B$659,A208,'НПЗ Oilmap'!$O$2:$O$659)</f>
        <v>0</v>
      </c>
      <c r="G208" s="8">
        <f t="shared" si="3"/>
        <v>0</v>
      </c>
      <c r="H208" s="8"/>
      <c r="I208" s="11"/>
      <c r="J208" s="6"/>
      <c r="K208" s="6"/>
      <c r="L208" s="12"/>
      <c r="M208" s="6"/>
      <c r="N208" s="8"/>
      <c r="O208" s="6"/>
      <c r="P208" s="6"/>
      <c r="Q208" s="12" t="s">
        <v>83</v>
      </c>
    </row>
    <row r="209" spans="1:17" ht="66" customHeight="1" x14ac:dyDescent="0.2">
      <c r="A209" s="6" t="s">
        <v>1278</v>
      </c>
      <c r="B209" s="6" t="s">
        <v>1279</v>
      </c>
      <c r="C209" s="6" t="s">
        <v>1282</v>
      </c>
      <c r="D209" s="8">
        <f>COUNTIF('НПЗ Oilmap'!$B$2:$B$659,A209)</f>
        <v>0</v>
      </c>
      <c r="E209" s="8" t="str">
        <f>IF(F209&gt;0,SUMIF('НПЗ Oilmap'!$B$2:$B$659,A209,'НПЗ Oilmap'!$E$2:$E$659),"")</f>
        <v/>
      </c>
      <c r="F209" s="8">
        <f>SUMIF('НПЗ Oilmap'!$B$2:$B$659,A209,'НПЗ Oilmap'!$O$2:$O$659)</f>
        <v>0</v>
      </c>
      <c r="G209" s="8">
        <f t="shared" si="3"/>
        <v>0</v>
      </c>
      <c r="H209" s="8"/>
      <c r="I209" s="11"/>
      <c r="J209" s="6"/>
      <c r="K209" s="6"/>
      <c r="L209" s="12"/>
      <c r="M209" s="6"/>
      <c r="N209" s="8"/>
      <c r="O209" s="6"/>
      <c r="P209" s="6"/>
      <c r="Q209" s="12" t="s">
        <v>83</v>
      </c>
    </row>
    <row r="210" spans="1:17" ht="66" customHeight="1" x14ac:dyDescent="0.2">
      <c r="A210" s="6" t="s">
        <v>1283</v>
      </c>
      <c r="B210" s="6" t="s">
        <v>1284</v>
      </c>
      <c r="C210" s="6" t="s">
        <v>1286</v>
      </c>
      <c r="D210" s="8">
        <f>COUNTIF('НПЗ Oilmap'!$B$2:$B$659,A210)</f>
        <v>1</v>
      </c>
      <c r="E210" s="8">
        <f>IF(F210&gt;0,SUMIF('НПЗ Oilmap'!$B$2:$B$659,A210,'НПЗ Oilmap'!$E$2:$E$659),"")</f>
        <v>494000</v>
      </c>
      <c r="F210" s="8">
        <f>SUMIF('НПЗ Oilmap'!$B$2:$B$659,A210,'НПЗ Oilmap'!$O$2:$O$659)</f>
        <v>1</v>
      </c>
      <c r="G210" s="8">
        <f t="shared" si="3"/>
        <v>0</v>
      </c>
      <c r="H210" s="8"/>
      <c r="I210" s="11"/>
      <c r="J210" s="6"/>
      <c r="K210" s="6"/>
      <c r="L210" s="12"/>
      <c r="M210" s="6"/>
      <c r="N210" s="8"/>
      <c r="O210" s="6"/>
      <c r="P210" s="6"/>
      <c r="Q210" s="12" t="s">
        <v>83</v>
      </c>
    </row>
    <row r="211" spans="1:17" ht="66" customHeight="1" x14ac:dyDescent="0.2">
      <c r="A211" s="6" t="s">
        <v>1287</v>
      </c>
      <c r="B211" s="6" t="s">
        <v>1288</v>
      </c>
      <c r="C211" s="6" t="s">
        <v>1290</v>
      </c>
      <c r="D211" s="8">
        <f>COUNTIF('НПЗ Oilmap'!$B$2:$B$659,A211)</f>
        <v>0</v>
      </c>
      <c r="E211" s="8" t="str">
        <f>IF(F211&gt;0,SUMIF('НПЗ Oilmap'!$B$2:$B$659,A211,'НПЗ Oilmap'!$E$2:$E$659),"")</f>
        <v/>
      </c>
      <c r="F211" s="8">
        <f>SUMIF('НПЗ Oilmap'!$B$2:$B$659,A211,'НПЗ Oilmap'!$O$2:$O$659)</f>
        <v>0</v>
      </c>
      <c r="G211" s="8">
        <f t="shared" si="3"/>
        <v>0</v>
      </c>
      <c r="H211" s="8"/>
      <c r="I211" s="11"/>
      <c r="J211" s="6"/>
      <c r="K211" s="6"/>
      <c r="L211" s="12"/>
      <c r="M211" s="6"/>
      <c r="N211" s="8"/>
      <c r="O211" s="6"/>
      <c r="P211" s="6"/>
      <c r="Q211" s="12" t="s">
        <v>83</v>
      </c>
    </row>
    <row r="212" spans="1:17" ht="66" customHeight="1" x14ac:dyDescent="0.2">
      <c r="A212" s="6" t="s">
        <v>1291</v>
      </c>
      <c r="B212" s="6" t="s">
        <v>1292</v>
      </c>
      <c r="C212" s="6" t="s">
        <v>1296</v>
      </c>
      <c r="D212" s="8">
        <f>COUNTIF('НПЗ Oilmap'!$B$2:$B$659,A212)</f>
        <v>1</v>
      </c>
      <c r="E212" s="8">
        <f>IF(F212&gt;0,SUMIF('НПЗ Oilmap'!$B$2:$B$659,A212,'НПЗ Oilmap'!$E$2:$E$659),"")</f>
        <v>73000</v>
      </c>
      <c r="F212" s="8">
        <f>SUMIF('НПЗ Oilmap'!$B$2:$B$659,A212,'НПЗ Oilmap'!$O$2:$O$659)</f>
        <v>1</v>
      </c>
      <c r="G212" s="8">
        <f t="shared" si="3"/>
        <v>0</v>
      </c>
      <c r="H212" s="8"/>
      <c r="I212" s="11"/>
      <c r="J212" s="6"/>
      <c r="K212" s="6"/>
      <c r="L212" s="12"/>
      <c r="M212" s="6"/>
      <c r="N212" s="8"/>
      <c r="O212" s="6"/>
      <c r="P212" s="6"/>
      <c r="Q212" s="12" t="s">
        <v>83</v>
      </c>
    </row>
    <row r="213" spans="1:17" ht="66" customHeight="1" x14ac:dyDescent="0.2">
      <c r="A213" s="6" t="s">
        <v>1297</v>
      </c>
      <c r="B213" s="6" t="s">
        <v>1298</v>
      </c>
      <c r="C213" s="6" t="s">
        <v>1300</v>
      </c>
      <c r="D213" s="8">
        <f>COUNTIF('НПЗ Oilmap'!$B$2:$B$659,A213)</f>
        <v>0</v>
      </c>
      <c r="E213" s="8" t="str">
        <f>IF(F213&gt;0,SUMIF('НПЗ Oilmap'!$B$2:$B$659,A213,'НПЗ Oilmap'!$E$2:$E$659),"")</f>
        <v/>
      </c>
      <c r="F213" s="8">
        <f>SUMIF('НПЗ Oilmap'!$B$2:$B$659,A213,'НПЗ Oilmap'!$O$2:$O$659)</f>
        <v>0</v>
      </c>
      <c r="G213" s="8">
        <f t="shared" si="3"/>
        <v>0</v>
      </c>
      <c r="H213" s="8"/>
      <c r="I213" s="11"/>
      <c r="J213" s="6"/>
      <c r="K213" s="6"/>
      <c r="L213" s="12"/>
      <c r="M213" s="6"/>
      <c r="N213" s="8"/>
      <c r="O213" s="6"/>
      <c r="P213" s="6"/>
      <c r="Q213" s="12" t="s">
        <v>83</v>
      </c>
    </row>
    <row r="214" spans="1:17" ht="66" customHeight="1" x14ac:dyDescent="0.2">
      <c r="A214" s="6" t="s">
        <v>1301</v>
      </c>
      <c r="B214" s="6" t="s">
        <v>1302</v>
      </c>
      <c r="C214" s="6" t="s">
        <v>1304</v>
      </c>
      <c r="D214" s="8">
        <f>COUNTIF('НПЗ Oilmap'!$B$2:$B$659,A214)</f>
        <v>0</v>
      </c>
      <c r="E214" s="8" t="str">
        <f>IF(F214&gt;0,SUMIF('НПЗ Oilmap'!$B$2:$B$659,A214,'НПЗ Oilmap'!$E$2:$E$659),"")</f>
        <v/>
      </c>
      <c r="F214" s="8">
        <f>SUMIF('НПЗ Oilmap'!$B$2:$B$659,A214,'НПЗ Oilmap'!$O$2:$O$659)</f>
        <v>0</v>
      </c>
      <c r="G214" s="8">
        <f t="shared" si="3"/>
        <v>0</v>
      </c>
      <c r="H214" s="8"/>
      <c r="I214" s="11"/>
      <c r="J214" s="6"/>
      <c r="K214" s="6"/>
      <c r="L214" s="12"/>
      <c r="M214" s="6"/>
      <c r="N214" s="8"/>
      <c r="O214" s="6"/>
      <c r="P214" s="6"/>
      <c r="Q214" s="12" t="s">
        <v>83</v>
      </c>
    </row>
    <row r="215" spans="1:17" ht="66" customHeight="1" x14ac:dyDescent="0.2">
      <c r="A215" s="6" t="s">
        <v>1305</v>
      </c>
      <c r="B215" s="6" t="s">
        <v>1306</v>
      </c>
      <c r="C215" s="6" t="s">
        <v>1310</v>
      </c>
      <c r="D215" s="8">
        <f>COUNTIF('НПЗ Oilmap'!$B$2:$B$659,A215)</f>
        <v>1</v>
      </c>
      <c r="E215" s="8">
        <f>IF(F215&gt;0,SUMIF('НПЗ Oilmap'!$B$2:$B$659,A215,'НПЗ Oilmap'!$E$2:$E$659),"")</f>
        <v>36000</v>
      </c>
      <c r="F215" s="8">
        <f>SUMIF('НПЗ Oilmap'!$B$2:$B$659,A215,'НПЗ Oilmap'!$O$2:$O$659)</f>
        <v>1</v>
      </c>
      <c r="G215" s="8">
        <f t="shared" si="3"/>
        <v>0</v>
      </c>
      <c r="H215" s="8"/>
      <c r="I215" s="11"/>
      <c r="J215" s="6"/>
      <c r="K215" s="6"/>
      <c r="L215" s="12"/>
      <c r="M215" s="6"/>
      <c r="N215" s="8"/>
      <c r="O215" s="6"/>
      <c r="P215" s="6"/>
      <c r="Q215" s="12" t="s">
        <v>83</v>
      </c>
    </row>
    <row r="216" spans="1:17" ht="66" customHeight="1" x14ac:dyDescent="0.2">
      <c r="A216" s="6" t="s">
        <v>1311</v>
      </c>
      <c r="B216" s="6" t="s">
        <v>1312</v>
      </c>
      <c r="C216" s="6" t="s">
        <v>1316</v>
      </c>
      <c r="D216" s="8">
        <f>COUNTIF('НПЗ Oilmap'!$B$2:$B$659,A216)</f>
        <v>0</v>
      </c>
      <c r="E216" s="8" t="str">
        <f>IF(F216&gt;0,SUMIF('НПЗ Oilmap'!$B$2:$B$659,A216,'НПЗ Oilmap'!$E$2:$E$659),"")</f>
        <v/>
      </c>
      <c r="F216" s="8">
        <f>SUMIF('НПЗ Oilmap'!$B$2:$B$659,A216,'НПЗ Oilmap'!$O$2:$O$659)</f>
        <v>0</v>
      </c>
      <c r="G216" s="8">
        <f t="shared" si="3"/>
        <v>0</v>
      </c>
      <c r="H216" s="8"/>
      <c r="I216" s="11"/>
      <c r="J216" s="6"/>
      <c r="K216" s="6"/>
      <c r="L216" s="12"/>
      <c r="M216" s="6"/>
      <c r="N216" s="8"/>
      <c r="O216" s="6"/>
      <c r="P216" s="6"/>
      <c r="Q216" s="12" t="s">
        <v>83</v>
      </c>
    </row>
    <row r="217" spans="1:17" ht="66" customHeight="1" x14ac:dyDescent="0.2">
      <c r="A217" s="6" t="s">
        <v>1317</v>
      </c>
      <c r="B217" s="6" t="s">
        <v>1318</v>
      </c>
      <c r="C217" s="6" t="s">
        <v>1321</v>
      </c>
      <c r="D217" s="8">
        <f>COUNTIF('НПЗ Oilmap'!$B$2:$B$659,A217)</f>
        <v>0</v>
      </c>
      <c r="E217" s="8" t="str">
        <f>IF(F217&gt;0,SUMIF('НПЗ Oilmap'!$B$2:$B$659,A217,'НПЗ Oilmap'!$E$2:$E$659),"")</f>
        <v/>
      </c>
      <c r="F217" s="8">
        <f>SUMIF('НПЗ Oilmap'!$B$2:$B$659,A217,'НПЗ Oilmap'!$O$2:$O$659)</f>
        <v>0</v>
      </c>
      <c r="G217" s="8">
        <f t="shared" si="3"/>
        <v>0</v>
      </c>
      <c r="H217" s="8"/>
      <c r="I217" s="11"/>
      <c r="J217" s="6"/>
      <c r="K217" s="6"/>
      <c r="L217" s="12"/>
      <c r="M217" s="6"/>
      <c r="N217" s="8"/>
      <c r="O217" s="6"/>
      <c r="P217" s="6"/>
      <c r="Q217" s="12" t="s">
        <v>83</v>
      </c>
    </row>
    <row r="218" spans="1:17" ht="66" customHeight="1" x14ac:dyDescent="0.2">
      <c r="A218" s="6" t="s">
        <v>1322</v>
      </c>
      <c r="B218" s="6" t="s">
        <v>1323</v>
      </c>
      <c r="C218" s="6" t="s">
        <v>1325</v>
      </c>
      <c r="D218" s="8">
        <f>COUNTIF('НПЗ Oilmap'!$B$2:$B$659,A218)</f>
        <v>0</v>
      </c>
      <c r="E218" s="8" t="str">
        <f>IF(F218&gt;0,SUMIF('НПЗ Oilmap'!$B$2:$B$659,A218,'НПЗ Oilmap'!$E$2:$E$659),"")</f>
        <v/>
      </c>
      <c r="F218" s="8">
        <f>SUMIF('НПЗ Oilmap'!$B$2:$B$659,A218,'НПЗ Oilmap'!$O$2:$O$659)</f>
        <v>0</v>
      </c>
      <c r="G218" s="8">
        <f t="shared" si="3"/>
        <v>0</v>
      </c>
      <c r="H218" s="8"/>
      <c r="I218" s="11"/>
      <c r="J218" s="6"/>
      <c r="K218" s="6"/>
      <c r="L218" s="12"/>
      <c r="M218" s="6"/>
      <c r="N218" s="8"/>
      <c r="O218" s="6"/>
      <c r="P218" s="6"/>
      <c r="Q218" s="12" t="s">
        <v>83</v>
      </c>
    </row>
    <row r="219" spans="1:17" ht="66" customHeight="1" x14ac:dyDescent="0.2">
      <c r="A219" s="6" t="s">
        <v>1326</v>
      </c>
      <c r="B219" s="6" t="s">
        <v>1327</v>
      </c>
      <c r="C219" s="6" t="s">
        <v>1329</v>
      </c>
      <c r="D219" s="8">
        <f>COUNTIF('НПЗ Oilmap'!$B$2:$B$659,A219)</f>
        <v>0</v>
      </c>
      <c r="E219" s="8" t="str">
        <f>IF(F219&gt;0,SUMIF('НПЗ Oilmap'!$B$2:$B$659,A219,'НПЗ Oilmap'!$E$2:$E$659),"")</f>
        <v/>
      </c>
      <c r="F219" s="8">
        <f>SUMIF('НПЗ Oilmap'!$B$2:$B$659,A219,'НПЗ Oilmap'!$O$2:$O$659)</f>
        <v>0</v>
      </c>
      <c r="G219" s="8">
        <f t="shared" si="3"/>
        <v>0</v>
      </c>
      <c r="H219" s="8"/>
      <c r="I219" s="11"/>
      <c r="J219" s="6"/>
      <c r="K219" s="6"/>
      <c r="L219" s="12"/>
      <c r="M219" s="6"/>
      <c r="N219" s="8"/>
      <c r="O219" s="6"/>
      <c r="P219" s="6"/>
      <c r="Q219" s="12" t="s">
        <v>83</v>
      </c>
    </row>
    <row r="220" spans="1:17" ht="66" customHeight="1" x14ac:dyDescent="0.2">
      <c r="A220" s="6" t="s">
        <v>1330</v>
      </c>
      <c r="B220" s="6" t="s">
        <v>1331</v>
      </c>
      <c r="C220" s="6" t="s">
        <v>1335</v>
      </c>
      <c r="D220" s="8">
        <f>COUNTIF('НПЗ Oilmap'!$B$2:$B$659,A220)</f>
        <v>0</v>
      </c>
      <c r="E220" s="8" t="str">
        <f>IF(F220&gt;0,SUMIF('НПЗ Oilmap'!$B$2:$B$659,A220,'НПЗ Oilmap'!$E$2:$E$659),"")</f>
        <v/>
      </c>
      <c r="F220" s="8">
        <f>SUMIF('НПЗ Oilmap'!$B$2:$B$659,A220,'НПЗ Oilmap'!$O$2:$O$659)</f>
        <v>0</v>
      </c>
      <c r="G220" s="8">
        <f t="shared" si="3"/>
        <v>0</v>
      </c>
      <c r="H220" s="8"/>
      <c r="I220" s="11"/>
      <c r="J220" s="6"/>
      <c r="K220" s="6"/>
      <c r="L220" s="12"/>
      <c r="M220" s="6"/>
      <c r="N220" s="8"/>
      <c r="O220" s="6"/>
      <c r="P220" s="6"/>
      <c r="Q220" s="12" t="s">
        <v>83</v>
      </c>
    </row>
    <row r="221" spans="1:17" ht="66" customHeight="1" x14ac:dyDescent="0.2">
      <c r="A221" s="6" t="s">
        <v>1336</v>
      </c>
      <c r="B221" s="6" t="s">
        <v>1337</v>
      </c>
      <c r="C221" s="6" t="s">
        <v>1340</v>
      </c>
      <c r="D221" s="8">
        <f>COUNTIF('НПЗ Oilmap'!$B$2:$B$659,A221)</f>
        <v>0</v>
      </c>
      <c r="E221" s="8" t="str">
        <f>IF(F221&gt;0,SUMIF('НПЗ Oilmap'!$B$2:$B$659,A221,'НПЗ Oilmap'!$E$2:$E$659),"")</f>
        <v/>
      </c>
      <c r="F221" s="8">
        <f>SUMIF('НПЗ Oilmap'!$B$2:$B$659,A221,'НПЗ Oilmap'!$O$2:$O$659)</f>
        <v>0</v>
      </c>
      <c r="G221" s="8">
        <f t="shared" si="3"/>
        <v>0</v>
      </c>
      <c r="H221" s="8"/>
      <c r="I221" s="11"/>
      <c r="J221" s="6"/>
      <c r="K221" s="6"/>
      <c r="L221" s="12"/>
      <c r="M221" s="6"/>
      <c r="N221" s="8"/>
      <c r="O221" s="6"/>
      <c r="P221" s="6"/>
      <c r="Q221" s="12" t="s">
        <v>83</v>
      </c>
    </row>
    <row r="222" spans="1:17" ht="66" customHeight="1" x14ac:dyDescent="0.2">
      <c r="A222" s="6" t="s">
        <v>1341</v>
      </c>
      <c r="B222" s="6" t="s">
        <v>1342</v>
      </c>
      <c r="C222" s="6" t="s">
        <v>1345</v>
      </c>
      <c r="D222" s="8">
        <f>COUNTIF('НПЗ Oilmap'!$B$2:$B$659,A222)</f>
        <v>0</v>
      </c>
      <c r="E222" s="8" t="str">
        <f>IF(F222&gt;0,SUMIF('НПЗ Oilmap'!$B$2:$B$659,A222,'НПЗ Oilmap'!$E$2:$E$659),"")</f>
        <v/>
      </c>
      <c r="F222" s="8">
        <f>SUMIF('НПЗ Oilmap'!$B$2:$B$659,A222,'НПЗ Oilmap'!$O$2:$O$659)</f>
        <v>0</v>
      </c>
      <c r="G222" s="8">
        <f t="shared" si="3"/>
        <v>0</v>
      </c>
      <c r="H222" s="8"/>
      <c r="I222" s="11"/>
      <c r="J222" s="6"/>
      <c r="K222" s="6"/>
      <c r="L222" s="12"/>
      <c r="M222" s="6"/>
      <c r="N222" s="8"/>
      <c r="O222" s="6"/>
      <c r="P222" s="6"/>
      <c r="Q222" s="12" t="s">
        <v>83</v>
      </c>
    </row>
    <row r="223" spans="1:17" ht="66" customHeight="1" x14ac:dyDescent="0.2">
      <c r="A223" s="6" t="s">
        <v>1346</v>
      </c>
      <c r="B223" s="6" t="s">
        <v>1347</v>
      </c>
      <c r="C223" s="6" t="s">
        <v>1351</v>
      </c>
      <c r="D223" s="8">
        <f>COUNTIF('НПЗ Oilmap'!$B$2:$B$659,A223)</f>
        <v>0</v>
      </c>
      <c r="E223" s="8" t="str">
        <f>IF(F223&gt;0,SUMIF('НПЗ Oilmap'!$B$2:$B$659,A223,'НПЗ Oilmap'!$E$2:$E$659),"")</f>
        <v/>
      </c>
      <c r="F223" s="8">
        <f>SUMIF('НПЗ Oilmap'!$B$2:$B$659,A223,'НПЗ Oilmap'!$O$2:$O$659)</f>
        <v>0</v>
      </c>
      <c r="G223" s="8">
        <f t="shared" si="3"/>
        <v>0</v>
      </c>
      <c r="H223" s="8"/>
      <c r="I223" s="11"/>
      <c r="J223" s="6"/>
      <c r="K223" s="6"/>
      <c r="L223" s="12"/>
      <c r="M223" s="6"/>
      <c r="N223" s="8"/>
      <c r="O223" s="6"/>
      <c r="P223" s="6"/>
      <c r="Q223" s="12" t="s">
        <v>83</v>
      </c>
    </row>
    <row r="224" spans="1:17" ht="66" customHeight="1" x14ac:dyDescent="0.2">
      <c r="A224" s="6" t="s">
        <v>1352</v>
      </c>
      <c r="B224" s="6" t="s">
        <v>1353</v>
      </c>
      <c r="C224" s="6" t="s">
        <v>1357</v>
      </c>
      <c r="D224" s="8">
        <f>COUNTIF('НПЗ Oilmap'!$B$2:$B$659,A224)</f>
        <v>0</v>
      </c>
      <c r="E224" s="8" t="str">
        <f>IF(F224&gt;0,SUMIF('НПЗ Oilmap'!$B$2:$B$659,A224,'НПЗ Oilmap'!$E$2:$E$659),"")</f>
        <v/>
      </c>
      <c r="F224" s="8">
        <f>SUMIF('НПЗ Oilmap'!$B$2:$B$659,A224,'НПЗ Oilmap'!$O$2:$O$659)</f>
        <v>0</v>
      </c>
      <c r="G224" s="8">
        <f t="shared" si="3"/>
        <v>0</v>
      </c>
      <c r="H224" s="8"/>
      <c r="I224" s="11"/>
      <c r="J224" s="6"/>
      <c r="K224" s="6"/>
      <c r="L224" s="12"/>
      <c r="M224" s="6"/>
      <c r="N224" s="8"/>
      <c r="O224" s="6"/>
      <c r="P224" s="6"/>
      <c r="Q224" s="12" t="s">
        <v>83</v>
      </c>
    </row>
    <row r="225" spans="1:17" ht="66" customHeight="1" x14ac:dyDescent="0.2">
      <c r="A225" s="6" t="s">
        <v>1358</v>
      </c>
      <c r="B225" s="6" t="s">
        <v>1359</v>
      </c>
      <c r="C225" s="6" t="s">
        <v>1361</v>
      </c>
      <c r="D225" s="8">
        <f>COUNTIF('НПЗ Oilmap'!$B$2:$B$659,A225)</f>
        <v>0</v>
      </c>
      <c r="E225" s="8" t="str">
        <f>IF(F225&gt;0,SUMIF('НПЗ Oilmap'!$B$2:$B$659,A225,'НПЗ Oilmap'!$E$2:$E$659),"")</f>
        <v/>
      </c>
      <c r="F225" s="8">
        <f>SUMIF('НПЗ Oilmap'!$B$2:$B$659,A225,'НПЗ Oilmap'!$O$2:$O$659)</f>
        <v>0</v>
      </c>
      <c r="G225" s="8">
        <f t="shared" si="3"/>
        <v>0</v>
      </c>
      <c r="H225" s="8"/>
      <c r="I225" s="11"/>
      <c r="J225" s="6"/>
      <c r="K225" s="6"/>
      <c r="L225" s="12"/>
      <c r="M225" s="6"/>
      <c r="N225" s="8"/>
      <c r="O225" s="6"/>
      <c r="P225" s="6"/>
      <c r="Q225" s="12" t="s">
        <v>83</v>
      </c>
    </row>
    <row r="226" spans="1:17" ht="66" customHeight="1" x14ac:dyDescent="0.2">
      <c r="A226" s="6" t="s">
        <v>1362</v>
      </c>
      <c r="B226" s="6" t="s">
        <v>1363</v>
      </c>
      <c r="C226" s="6" t="s">
        <v>1365</v>
      </c>
      <c r="D226" s="8">
        <f>COUNTIF('НПЗ Oilmap'!$B$2:$B$659,A226)</f>
        <v>0</v>
      </c>
      <c r="E226" s="8" t="str">
        <f>IF(F226&gt;0,SUMIF('НПЗ Oilmap'!$B$2:$B$659,A226,'НПЗ Oilmap'!$E$2:$E$659),"")</f>
        <v/>
      </c>
      <c r="F226" s="8">
        <f>SUMIF('НПЗ Oilmap'!$B$2:$B$659,A226,'НПЗ Oilmap'!$O$2:$O$659)</f>
        <v>0</v>
      </c>
      <c r="G226" s="8">
        <f t="shared" si="3"/>
        <v>0</v>
      </c>
      <c r="H226" s="8"/>
      <c r="I226" s="11"/>
      <c r="J226" s="6"/>
      <c r="K226" s="6"/>
      <c r="L226" s="12"/>
      <c r="M226" s="6"/>
      <c r="N226" s="8"/>
      <c r="O226" s="6"/>
      <c r="P226" s="6"/>
      <c r="Q226" s="12" t="s">
        <v>83</v>
      </c>
    </row>
    <row r="227" spans="1:17" ht="66" customHeight="1" x14ac:dyDescent="0.2">
      <c r="A227" s="6" t="s">
        <v>1366</v>
      </c>
      <c r="B227" s="6" t="s">
        <v>1367</v>
      </c>
      <c r="C227" s="6" t="s">
        <v>1369</v>
      </c>
      <c r="D227" s="8">
        <f>COUNTIF('НПЗ Oilmap'!$B$2:$B$659,A227)</f>
        <v>0</v>
      </c>
      <c r="E227" s="8" t="str">
        <f>IF(F227&gt;0,SUMIF('НПЗ Oilmap'!$B$2:$B$659,A227,'НПЗ Oilmap'!$E$2:$E$659),"")</f>
        <v/>
      </c>
      <c r="F227" s="8">
        <f>SUMIF('НПЗ Oilmap'!$B$2:$B$659,A227,'НПЗ Oilmap'!$O$2:$O$659)</f>
        <v>0</v>
      </c>
      <c r="G227" s="8">
        <f t="shared" si="3"/>
        <v>0</v>
      </c>
      <c r="H227" s="8"/>
      <c r="I227" s="11"/>
      <c r="J227" s="6"/>
      <c r="K227" s="6"/>
      <c r="L227" s="12"/>
      <c r="M227" s="6"/>
      <c r="N227" s="8"/>
      <c r="O227" s="6"/>
      <c r="P227" s="6"/>
      <c r="Q227" s="12" t="s">
        <v>83</v>
      </c>
    </row>
    <row r="228" spans="1:17" ht="66" customHeight="1" x14ac:dyDescent="0.2">
      <c r="A228" s="6" t="s">
        <v>1370</v>
      </c>
      <c r="B228" s="6" t="s">
        <v>1371</v>
      </c>
      <c r="C228" s="6" t="s">
        <v>1373</v>
      </c>
      <c r="D228" s="8">
        <f>COUNTIF('НПЗ Oilmap'!$B$2:$B$659,A228)</f>
        <v>0</v>
      </c>
      <c r="E228" s="8" t="str">
        <f>IF(F228&gt;0,SUMIF('НПЗ Oilmap'!$B$2:$B$659,A228,'НПЗ Oilmap'!$E$2:$E$659),"")</f>
        <v/>
      </c>
      <c r="F228" s="8">
        <f>SUMIF('НПЗ Oilmap'!$B$2:$B$659,A228,'НПЗ Oilmap'!$O$2:$O$659)</f>
        <v>0</v>
      </c>
      <c r="G228" s="8">
        <f t="shared" si="3"/>
        <v>0</v>
      </c>
      <c r="H228" s="8"/>
      <c r="I228" s="11"/>
      <c r="J228" s="6"/>
      <c r="K228" s="6"/>
      <c r="L228" s="12"/>
      <c r="M228" s="6"/>
      <c r="N228" s="8"/>
      <c r="O228" s="6"/>
      <c r="P228" s="6"/>
      <c r="Q228" s="12" t="s">
        <v>83</v>
      </c>
    </row>
    <row r="229" spans="1:17" ht="66" customHeight="1" x14ac:dyDescent="0.2">
      <c r="A229" s="6" t="s">
        <v>1374</v>
      </c>
      <c r="B229" s="6" t="s">
        <v>1375</v>
      </c>
      <c r="C229" s="6" t="s">
        <v>1378</v>
      </c>
      <c r="D229" s="8">
        <f>COUNTIF('НПЗ Oilmap'!$B$2:$B$659,A229)</f>
        <v>0</v>
      </c>
      <c r="E229" s="8" t="str">
        <f>IF(F229&gt;0,SUMIF('НПЗ Oilmap'!$B$2:$B$659,A229,'НПЗ Oilmap'!$E$2:$E$659),"")</f>
        <v/>
      </c>
      <c r="F229" s="8">
        <f>SUMIF('НПЗ Oilmap'!$B$2:$B$659,A229,'НПЗ Oilmap'!$O$2:$O$659)</f>
        <v>0</v>
      </c>
      <c r="G229" s="8">
        <f t="shared" si="3"/>
        <v>0</v>
      </c>
      <c r="H229" s="8"/>
      <c r="I229" s="11"/>
      <c r="J229" s="6"/>
      <c r="K229" s="6"/>
      <c r="L229" s="12"/>
      <c r="M229" s="6"/>
      <c r="N229" s="8"/>
      <c r="O229" s="6"/>
      <c r="P229" s="6"/>
      <c r="Q229" s="12" t="s">
        <v>83</v>
      </c>
    </row>
    <row r="230" spans="1:17" ht="66" customHeight="1" x14ac:dyDescent="0.2">
      <c r="A230" s="6" t="s">
        <v>1379</v>
      </c>
      <c r="B230" s="6" t="s">
        <v>1380</v>
      </c>
      <c r="C230" s="6" t="s">
        <v>1112</v>
      </c>
      <c r="D230" s="8">
        <f>COUNTIF('НПЗ Oilmap'!$B$2:$B$659,A230)</f>
        <v>0</v>
      </c>
      <c r="E230" s="8" t="str">
        <f>IF(F230&gt;0,SUMIF('НПЗ Oilmap'!$B$2:$B$659,A230,'НПЗ Oilmap'!$E$2:$E$659),"")</f>
        <v/>
      </c>
      <c r="F230" s="8">
        <f>SUMIF('НПЗ Oilmap'!$B$2:$B$659,A230,'НПЗ Oilmap'!$O$2:$O$659)</f>
        <v>0</v>
      </c>
      <c r="G230" s="8">
        <f t="shared" si="3"/>
        <v>0</v>
      </c>
      <c r="H230" s="8"/>
      <c r="I230" s="11"/>
      <c r="J230" s="6"/>
      <c r="K230" s="6"/>
      <c r="L230" s="12"/>
      <c r="M230" s="6"/>
      <c r="N230" s="8"/>
      <c r="O230" s="6"/>
      <c r="P230" s="6"/>
      <c r="Q230" s="12" t="s">
        <v>83</v>
      </c>
    </row>
    <row r="231" spans="1:17" ht="66" customHeight="1" x14ac:dyDescent="0.2">
      <c r="A231" s="6" t="s">
        <v>1382</v>
      </c>
      <c r="B231" s="6" t="s">
        <v>1383</v>
      </c>
      <c r="C231" s="6" t="s">
        <v>1385</v>
      </c>
      <c r="D231" s="8">
        <f>COUNTIF('НПЗ Oilmap'!$B$2:$B$659,A231)</f>
        <v>0</v>
      </c>
      <c r="E231" s="8" t="str">
        <f>IF(F231&gt;0,SUMIF('НПЗ Oilmap'!$B$2:$B$659,A231,'НПЗ Oilmap'!$E$2:$E$659),"")</f>
        <v/>
      </c>
      <c r="F231" s="8">
        <f>SUMIF('НПЗ Oilmap'!$B$2:$B$659,A231,'НПЗ Oilmap'!$O$2:$O$659)</f>
        <v>0</v>
      </c>
      <c r="G231" s="8">
        <f t="shared" si="3"/>
        <v>0</v>
      </c>
      <c r="H231" s="8"/>
      <c r="I231" s="11"/>
      <c r="J231" s="6"/>
      <c r="K231" s="6"/>
      <c r="L231" s="12"/>
      <c r="M231" s="6"/>
      <c r="N231" s="8"/>
      <c r="O231" s="6"/>
      <c r="P231" s="6"/>
      <c r="Q231" s="12" t="s">
        <v>83</v>
      </c>
    </row>
    <row r="232" spans="1:17" ht="66" customHeight="1" x14ac:dyDescent="0.2">
      <c r="A232" s="6" t="s">
        <v>1386</v>
      </c>
      <c r="B232" s="6" t="s">
        <v>1387</v>
      </c>
      <c r="C232" s="6" t="s">
        <v>1391</v>
      </c>
      <c r="D232" s="8">
        <f>COUNTIF('НПЗ Oilmap'!$B$2:$B$659,A232)</f>
        <v>3</v>
      </c>
      <c r="E232" s="8">
        <f>IF(F232&gt;0,SUMIF('НПЗ Oilmap'!$B$2:$B$659,A232,'НПЗ Oilmap'!$E$2:$E$659),"")</f>
        <v>1348000</v>
      </c>
      <c r="F232" s="8">
        <f>SUMIF('НПЗ Oilmap'!$B$2:$B$659,A232,'НПЗ Oilmap'!$O$2:$O$659)</f>
        <v>3</v>
      </c>
      <c r="G232" s="8">
        <f t="shared" si="3"/>
        <v>0</v>
      </c>
      <c r="H232" s="8"/>
      <c r="I232" s="11"/>
      <c r="J232" s="6"/>
      <c r="K232" s="6"/>
      <c r="L232" s="12"/>
      <c r="M232" s="6"/>
      <c r="N232" s="8">
        <v>1289000</v>
      </c>
      <c r="O232" s="6">
        <v>2025</v>
      </c>
      <c r="P232" s="6" t="s">
        <v>1588</v>
      </c>
      <c r="Q232" s="12" t="s">
        <v>57</v>
      </c>
    </row>
    <row r="233" spans="1:17" ht="66" customHeight="1" x14ac:dyDescent="0.2">
      <c r="A233" s="6" t="s">
        <v>1392</v>
      </c>
      <c r="B233" s="6" t="s">
        <v>1393</v>
      </c>
      <c r="C233" s="6" t="s">
        <v>1395</v>
      </c>
      <c r="D233" s="8">
        <f>COUNTIF('НПЗ Oilmap'!$B$2:$B$659,A233)</f>
        <v>0</v>
      </c>
      <c r="E233" s="8" t="str">
        <f>IF(F233&gt;0,SUMIF('НПЗ Oilmap'!$B$2:$B$659,A233,'НПЗ Oilmap'!$E$2:$E$659),"")</f>
        <v/>
      </c>
      <c r="F233" s="8">
        <f>SUMIF('НПЗ Oilmap'!$B$2:$B$659,A233,'НПЗ Oilmap'!$O$2:$O$659)</f>
        <v>0</v>
      </c>
      <c r="G233" s="8">
        <f t="shared" si="3"/>
        <v>0</v>
      </c>
      <c r="H233" s="8"/>
      <c r="I233" s="11"/>
      <c r="J233" s="6"/>
      <c r="K233" s="6"/>
      <c r="L233" s="12"/>
      <c r="M233" s="6"/>
      <c r="N233" s="8"/>
      <c r="O233" s="6"/>
      <c r="P233" s="6"/>
      <c r="Q233" s="12" t="s">
        <v>83</v>
      </c>
    </row>
    <row r="234" spans="1:17" ht="66" customHeight="1" x14ac:dyDescent="0.2">
      <c r="A234" s="6" t="s">
        <v>1396</v>
      </c>
      <c r="B234" s="6" t="s">
        <v>1397</v>
      </c>
      <c r="C234" s="6" t="s">
        <v>1399</v>
      </c>
      <c r="D234" s="8">
        <f>COUNTIF('НПЗ Oilmap'!$B$2:$B$659,A234)</f>
        <v>0</v>
      </c>
      <c r="E234" s="8" t="str">
        <f>IF(F234&gt;0,SUMIF('НПЗ Oilmap'!$B$2:$B$659,A234,'НПЗ Oilmap'!$E$2:$E$659),"")</f>
        <v/>
      </c>
      <c r="F234" s="8">
        <f>SUMIF('НПЗ Oilmap'!$B$2:$B$659,A234,'НПЗ Oilmap'!$O$2:$O$659)</f>
        <v>0</v>
      </c>
      <c r="G234" s="8">
        <f t="shared" si="3"/>
        <v>0</v>
      </c>
      <c r="H234" s="8"/>
      <c r="I234" s="11"/>
      <c r="J234" s="6"/>
      <c r="K234" s="6"/>
      <c r="L234" s="12"/>
      <c r="M234" s="6"/>
      <c r="N234" s="8"/>
      <c r="O234" s="6"/>
      <c r="P234" s="6"/>
      <c r="Q234" s="12" t="s">
        <v>83</v>
      </c>
    </row>
    <row r="235" spans="1:17" ht="66" customHeight="1" x14ac:dyDescent="0.2">
      <c r="A235" s="6" t="s">
        <v>1400</v>
      </c>
      <c r="B235" s="6" t="s">
        <v>1401</v>
      </c>
      <c r="C235" s="6" t="s">
        <v>1404</v>
      </c>
      <c r="D235" s="8">
        <f>COUNTIF('НПЗ Oilmap'!$B$2:$B$659,A235)</f>
        <v>0</v>
      </c>
      <c r="E235" s="8" t="str">
        <f>IF(F235&gt;0,SUMIF('НПЗ Oilmap'!$B$2:$B$659,A235,'НПЗ Oilmap'!$E$2:$E$659),"")</f>
        <v/>
      </c>
      <c r="F235" s="8">
        <f>SUMIF('НПЗ Oilmap'!$B$2:$B$659,A235,'НПЗ Oilmap'!$O$2:$O$659)</f>
        <v>0</v>
      </c>
      <c r="G235" s="8">
        <f t="shared" si="3"/>
        <v>0</v>
      </c>
      <c r="H235" s="8"/>
      <c r="I235" s="11"/>
      <c r="J235" s="6"/>
      <c r="K235" s="6"/>
      <c r="L235" s="12"/>
      <c r="M235" s="6"/>
      <c r="N235" s="8"/>
      <c r="O235" s="6"/>
      <c r="P235" s="6"/>
      <c r="Q235" s="12" t="s">
        <v>83</v>
      </c>
    </row>
    <row r="236" spans="1:17" ht="66" customHeight="1" x14ac:dyDescent="0.2">
      <c r="A236" s="6" t="s">
        <v>1405</v>
      </c>
      <c r="B236" s="6" t="s">
        <v>1406</v>
      </c>
      <c r="C236" s="6" t="s">
        <v>1409</v>
      </c>
      <c r="D236" s="8">
        <f>COUNTIF('НПЗ Oilmap'!$B$2:$B$659,A236)</f>
        <v>0</v>
      </c>
      <c r="E236" s="8" t="str">
        <f>IF(F236&gt;0,SUMIF('НПЗ Oilmap'!$B$2:$B$659,A236,'НПЗ Oilmap'!$E$2:$E$659),"")</f>
        <v/>
      </c>
      <c r="F236" s="8">
        <f>SUMIF('НПЗ Oilmap'!$B$2:$B$659,A236,'НПЗ Oilmap'!$O$2:$O$659)</f>
        <v>0</v>
      </c>
      <c r="G236" s="8">
        <f t="shared" si="3"/>
        <v>0</v>
      </c>
      <c r="H236" s="8"/>
      <c r="I236" s="11"/>
      <c r="J236" s="6"/>
      <c r="K236" s="6"/>
      <c r="L236" s="12"/>
      <c r="M236" s="6"/>
      <c r="N236" s="8"/>
      <c r="O236" s="6"/>
      <c r="P236" s="6"/>
      <c r="Q236" s="12" t="s">
        <v>83</v>
      </c>
    </row>
    <row r="237" spans="1:17" ht="66" customHeight="1" x14ac:dyDescent="0.2">
      <c r="A237" s="6" t="s">
        <v>1410</v>
      </c>
      <c r="B237" s="6" t="s">
        <v>1411</v>
      </c>
      <c r="C237" s="6" t="s">
        <v>1414</v>
      </c>
      <c r="D237" s="8">
        <f>COUNTIF('НПЗ Oilmap'!$B$2:$B$659,A237)</f>
        <v>0</v>
      </c>
      <c r="E237" s="8" t="str">
        <f>IF(F237&gt;0,SUMIF('НПЗ Oilmap'!$B$2:$B$659,A237,'НПЗ Oilmap'!$E$2:$E$659),"")</f>
        <v/>
      </c>
      <c r="F237" s="8">
        <f>SUMIF('НПЗ Oilmap'!$B$2:$B$659,A237,'НПЗ Oilmap'!$O$2:$O$659)</f>
        <v>0</v>
      </c>
      <c r="G237" s="8">
        <f t="shared" si="3"/>
        <v>0</v>
      </c>
      <c r="H237" s="8"/>
      <c r="I237" s="11"/>
      <c r="J237" s="6"/>
      <c r="K237" s="6"/>
      <c r="L237" s="12"/>
      <c r="M237" s="6"/>
      <c r="N237" s="8"/>
      <c r="O237" s="6"/>
      <c r="P237" s="6"/>
      <c r="Q237" s="12" t="s">
        <v>83</v>
      </c>
    </row>
    <row r="238" spans="1:17" ht="66" customHeight="1" x14ac:dyDescent="0.2">
      <c r="A238" s="6" t="s">
        <v>1415</v>
      </c>
      <c r="B238" s="6" t="s">
        <v>1416</v>
      </c>
      <c r="C238" s="6" t="s">
        <v>1419</v>
      </c>
      <c r="D238" s="8">
        <f>COUNTIF('НПЗ Oilmap'!$B$2:$B$659,A238)</f>
        <v>0</v>
      </c>
      <c r="E238" s="8" t="str">
        <f>IF(F238&gt;0,SUMIF('НПЗ Oilmap'!$B$2:$B$659,A238,'НПЗ Oilmap'!$E$2:$E$659),"")</f>
        <v/>
      </c>
      <c r="F238" s="8">
        <f>SUMIF('НПЗ Oilmap'!$B$2:$B$659,A238,'НПЗ Oilmap'!$O$2:$O$659)</f>
        <v>0</v>
      </c>
      <c r="G238" s="8">
        <f t="shared" si="3"/>
        <v>0</v>
      </c>
      <c r="H238" s="8"/>
      <c r="I238" s="11"/>
      <c r="J238" s="6"/>
      <c r="K238" s="6"/>
      <c r="L238" s="12"/>
      <c r="M238" s="6"/>
      <c r="N238" s="8"/>
      <c r="O238" s="6"/>
      <c r="P238" s="6"/>
      <c r="Q238" s="12" t="s">
        <v>83</v>
      </c>
    </row>
    <row r="239" spans="1:17" ht="66" customHeight="1" x14ac:dyDescent="0.2">
      <c r="A239" s="6" t="s">
        <v>1420</v>
      </c>
      <c r="B239" s="6" t="s">
        <v>1421</v>
      </c>
      <c r="C239" s="6" t="s">
        <v>1424</v>
      </c>
      <c r="D239" s="8">
        <f>COUNTIF('НПЗ Oilmap'!$B$2:$B$659,A239)</f>
        <v>0</v>
      </c>
      <c r="E239" s="8" t="str">
        <f>IF(F239&gt;0,SUMIF('НПЗ Oilmap'!$B$2:$B$659,A239,'НПЗ Oilmap'!$E$2:$E$659),"")</f>
        <v/>
      </c>
      <c r="F239" s="8">
        <f>SUMIF('НПЗ Oilmap'!$B$2:$B$659,A239,'НПЗ Oilmap'!$O$2:$O$659)</f>
        <v>0</v>
      </c>
      <c r="G239" s="8">
        <f t="shared" si="3"/>
        <v>0</v>
      </c>
      <c r="H239" s="8"/>
      <c r="I239" s="11"/>
      <c r="J239" s="6"/>
      <c r="K239" s="6"/>
      <c r="L239" s="12"/>
      <c r="M239" s="6"/>
      <c r="N239" s="8"/>
      <c r="O239" s="6"/>
      <c r="P239" s="6"/>
      <c r="Q239" s="12" t="s">
        <v>83</v>
      </c>
    </row>
    <row r="240" spans="1:17" ht="66" customHeight="1" x14ac:dyDescent="0.2">
      <c r="A240" s="6" t="s">
        <v>1425</v>
      </c>
      <c r="B240" s="6" t="s">
        <v>1426</v>
      </c>
      <c r="C240" s="6" t="s">
        <v>1430</v>
      </c>
      <c r="D240" s="8">
        <f>COUNTIF('НПЗ Oilmap'!$B$2:$B$659,A240)</f>
        <v>0</v>
      </c>
      <c r="E240" s="8" t="str">
        <f>IF(F240&gt;0,SUMIF('НПЗ Oilmap'!$B$2:$B$659,A240,'НПЗ Oilmap'!$E$2:$E$659),"")</f>
        <v/>
      </c>
      <c r="F240" s="8">
        <f>SUMIF('НПЗ Oilmap'!$B$2:$B$659,A240,'НПЗ Oilmap'!$O$2:$O$659)</f>
        <v>0</v>
      </c>
      <c r="G240" s="8">
        <f t="shared" si="3"/>
        <v>0</v>
      </c>
      <c r="H240" s="8"/>
      <c r="I240" s="11"/>
      <c r="J240" s="6"/>
      <c r="K240" s="6"/>
      <c r="L240" s="12"/>
      <c r="M240" s="6"/>
      <c r="N240" s="8"/>
      <c r="O240" s="6"/>
      <c r="P240" s="6"/>
      <c r="Q240" s="12" t="s">
        <v>83</v>
      </c>
    </row>
    <row r="241" spans="1:17" ht="66" customHeight="1" x14ac:dyDescent="0.2">
      <c r="A241" s="6" t="s">
        <v>1431</v>
      </c>
      <c r="B241" s="6" t="s">
        <v>1432</v>
      </c>
      <c r="C241" s="6" t="s">
        <v>1435</v>
      </c>
      <c r="D241" s="8">
        <f>COUNTIF('НПЗ Oilmap'!$B$2:$B$659,A241)</f>
        <v>0</v>
      </c>
      <c r="E241" s="8" t="str">
        <f>IF(F241&gt;0,SUMIF('НПЗ Oilmap'!$B$2:$B$659,A241,'НПЗ Oilmap'!$E$2:$E$659),"")</f>
        <v/>
      </c>
      <c r="F241" s="8">
        <f>SUMIF('НПЗ Oilmap'!$B$2:$B$659,A241,'НПЗ Oilmap'!$O$2:$O$659)</f>
        <v>0</v>
      </c>
      <c r="G241" s="8">
        <f t="shared" si="3"/>
        <v>0</v>
      </c>
      <c r="H241" s="8"/>
      <c r="I241" s="11"/>
      <c r="J241" s="6"/>
      <c r="K241" s="6"/>
      <c r="L241" s="12"/>
      <c r="M241" s="6"/>
      <c r="N241" s="8"/>
      <c r="O241" s="6"/>
      <c r="P241" s="6"/>
      <c r="Q241" s="12" t="s">
        <v>83</v>
      </c>
    </row>
    <row r="242" spans="1:17" ht="66" customHeight="1" x14ac:dyDescent="0.2">
      <c r="A242" s="6" t="s">
        <v>1436</v>
      </c>
      <c r="B242" s="6" t="s">
        <v>1437</v>
      </c>
      <c r="C242" s="6" t="s">
        <v>1440</v>
      </c>
      <c r="D242" s="8">
        <f>COUNTIF('НПЗ Oilmap'!$B$2:$B$659,A242)</f>
        <v>0</v>
      </c>
      <c r="E242" s="8" t="str">
        <f>IF(F242&gt;0,SUMIF('НПЗ Oilmap'!$B$2:$B$659,A242,'НПЗ Oilmap'!$E$2:$E$659),"")</f>
        <v/>
      </c>
      <c r="F242" s="8">
        <f>SUMIF('НПЗ Oilmap'!$B$2:$B$659,A242,'НПЗ Oilmap'!$O$2:$O$659)</f>
        <v>0</v>
      </c>
      <c r="G242" s="8">
        <f t="shared" si="3"/>
        <v>0</v>
      </c>
      <c r="H242" s="8"/>
      <c r="I242" s="11"/>
      <c r="J242" s="6"/>
      <c r="K242" s="6"/>
      <c r="L242" s="12"/>
      <c r="M242" s="6"/>
      <c r="N242" s="8"/>
      <c r="O242" s="6"/>
      <c r="P242" s="6"/>
      <c r="Q242" s="12" t="s">
        <v>83</v>
      </c>
    </row>
    <row r="243" spans="1:17" ht="66" customHeight="1" x14ac:dyDescent="0.2">
      <c r="A243" s="6" t="s">
        <v>1441</v>
      </c>
      <c r="B243" s="6" t="s">
        <v>1442</v>
      </c>
      <c r="C243" s="6" t="s">
        <v>1444</v>
      </c>
      <c r="D243" s="8">
        <f>COUNTIF('НПЗ Oilmap'!$B$2:$B$659,A243)</f>
        <v>0</v>
      </c>
      <c r="E243" s="8" t="str">
        <f>IF(F243&gt;0,SUMIF('НПЗ Oilmap'!$B$2:$B$659,A243,'НПЗ Oilmap'!$E$2:$E$659),"")</f>
        <v/>
      </c>
      <c r="F243" s="8">
        <f>SUMIF('НПЗ Oilmap'!$B$2:$B$659,A243,'НПЗ Oilmap'!$O$2:$O$659)</f>
        <v>0</v>
      </c>
      <c r="G243" s="8">
        <f t="shared" si="3"/>
        <v>0</v>
      </c>
      <c r="H243" s="8"/>
      <c r="I243" s="11"/>
      <c r="J243" s="6"/>
      <c r="K243" s="6"/>
      <c r="L243" s="12"/>
      <c r="M243" s="6"/>
      <c r="N243" s="8"/>
      <c r="O243" s="6"/>
      <c r="P243" s="6"/>
      <c r="Q243" s="12" t="s">
        <v>83</v>
      </c>
    </row>
    <row r="244" spans="1:17" ht="66" customHeight="1" x14ac:dyDescent="0.2">
      <c r="A244" s="6" t="s">
        <v>1445</v>
      </c>
      <c r="B244" s="6" t="s">
        <v>1446</v>
      </c>
      <c r="C244" s="6" t="s">
        <v>1448</v>
      </c>
      <c r="D244" s="8">
        <f>COUNTIF('НПЗ Oilmap'!$B$2:$B$659,A244)</f>
        <v>0</v>
      </c>
      <c r="E244" s="8" t="str">
        <f>IF(F244&gt;0,SUMIF('НПЗ Oilmap'!$B$2:$B$659,A244,'НПЗ Oilmap'!$E$2:$E$659),"")</f>
        <v/>
      </c>
      <c r="F244" s="8">
        <f>SUMIF('НПЗ Oilmap'!$B$2:$B$659,A244,'НПЗ Oilmap'!$O$2:$O$659)</f>
        <v>0</v>
      </c>
      <c r="G244" s="8">
        <f t="shared" si="3"/>
        <v>0</v>
      </c>
      <c r="H244" s="8"/>
      <c r="I244" s="11"/>
      <c r="J244" s="6"/>
      <c r="K244" s="6"/>
      <c r="L244" s="12"/>
      <c r="M244" s="6"/>
      <c r="N244" s="8"/>
      <c r="O244" s="6"/>
      <c r="P244" s="6"/>
      <c r="Q244" s="12" t="s">
        <v>83</v>
      </c>
    </row>
    <row r="245" spans="1:17" ht="66" customHeight="1" x14ac:dyDescent="0.2">
      <c r="A245" s="6" t="s">
        <v>1449</v>
      </c>
      <c r="B245" s="6" t="s">
        <v>1450</v>
      </c>
      <c r="C245" s="6" t="s">
        <v>1453</v>
      </c>
      <c r="D245" s="8">
        <f>COUNTIF('НПЗ Oilmap'!$B$2:$B$659,A245)</f>
        <v>0</v>
      </c>
      <c r="E245" s="8" t="str">
        <f>IF(F245&gt;0,SUMIF('НПЗ Oilmap'!$B$2:$B$659,A245,'НПЗ Oilmap'!$E$2:$E$659),"")</f>
        <v/>
      </c>
      <c r="F245" s="8">
        <f>SUMIF('НПЗ Oilmap'!$B$2:$B$659,A245,'НПЗ Oilmap'!$O$2:$O$659)</f>
        <v>0</v>
      </c>
      <c r="G245" s="8">
        <f t="shared" si="3"/>
        <v>0</v>
      </c>
      <c r="H245" s="8"/>
      <c r="I245" s="11"/>
      <c r="J245" s="6"/>
      <c r="K245" s="6"/>
      <c r="L245" s="12"/>
      <c r="M245" s="6"/>
      <c r="N245" s="8"/>
      <c r="O245" s="6"/>
      <c r="P245" s="6"/>
      <c r="Q245" s="12" t="s">
        <v>83</v>
      </c>
    </row>
    <row r="246" spans="1:17" ht="66" customHeight="1" x14ac:dyDescent="0.2">
      <c r="A246" s="6" t="s">
        <v>1454</v>
      </c>
      <c r="B246" s="6" t="s">
        <v>1455</v>
      </c>
      <c r="C246" s="6" t="s">
        <v>1457</v>
      </c>
      <c r="D246" s="8">
        <f>COUNTIF('НПЗ Oilmap'!$B$2:$B$659,A246)</f>
        <v>0</v>
      </c>
      <c r="E246" s="8" t="str">
        <f>IF(F246&gt;0,SUMIF('НПЗ Oilmap'!$B$2:$B$659,A246,'НПЗ Oilmap'!$E$2:$E$659),"")</f>
        <v/>
      </c>
      <c r="F246" s="8">
        <f>SUMIF('НПЗ Oilmap'!$B$2:$B$659,A246,'НПЗ Oilmap'!$O$2:$O$659)</f>
        <v>0</v>
      </c>
      <c r="G246" s="8">
        <f t="shared" si="3"/>
        <v>0</v>
      </c>
      <c r="H246" s="8"/>
      <c r="I246" s="11"/>
      <c r="J246" s="6"/>
      <c r="K246" s="6"/>
      <c r="L246" s="12"/>
      <c r="M246" s="6"/>
      <c r="N246" s="8"/>
      <c r="O246" s="6"/>
      <c r="P246" s="6"/>
      <c r="Q246" s="12" t="s">
        <v>83</v>
      </c>
    </row>
    <row r="247" spans="1:17" ht="66" customHeight="1" x14ac:dyDescent="0.2">
      <c r="A247" s="6" t="s">
        <v>1458</v>
      </c>
      <c r="B247" s="6" t="s">
        <v>1459</v>
      </c>
      <c r="C247" s="6" t="s">
        <v>1461</v>
      </c>
      <c r="D247" s="8">
        <f>COUNTIF('НПЗ Oilmap'!$B$2:$B$659,A247)</f>
        <v>0</v>
      </c>
      <c r="E247" s="8" t="str">
        <f>IF(F247&gt;0,SUMIF('НПЗ Oilmap'!$B$2:$B$659,A247,'НПЗ Oilmap'!$E$2:$E$659),"")</f>
        <v/>
      </c>
      <c r="F247" s="8">
        <f>SUMIF('НПЗ Oilmap'!$B$2:$B$659,A247,'НПЗ Oilmap'!$O$2:$O$659)</f>
        <v>0</v>
      </c>
      <c r="G247" s="8">
        <f t="shared" si="3"/>
        <v>0</v>
      </c>
      <c r="H247" s="8"/>
      <c r="I247" s="11"/>
      <c r="J247" s="6"/>
      <c r="K247" s="6"/>
      <c r="L247" s="12"/>
      <c r="M247" s="6"/>
      <c r="N247" s="8"/>
      <c r="O247" s="6"/>
      <c r="P247" s="6"/>
      <c r="Q247" s="12" t="s">
        <v>83</v>
      </c>
    </row>
    <row r="248" spans="1:17" ht="66" customHeight="1" x14ac:dyDescent="0.2">
      <c r="A248" s="6" t="s">
        <v>1462</v>
      </c>
      <c r="B248" s="6" t="s">
        <v>1463</v>
      </c>
      <c r="C248" s="6" t="s">
        <v>1466</v>
      </c>
      <c r="D248" s="8">
        <f>COUNTIF('НПЗ Oilmap'!$B$2:$B$659,A248)</f>
        <v>0</v>
      </c>
      <c r="E248" s="8" t="str">
        <f>IF(F248&gt;0,SUMIF('НПЗ Oilmap'!$B$2:$B$659,A248,'НПЗ Oilmap'!$E$2:$E$659),"")</f>
        <v/>
      </c>
      <c r="F248" s="8">
        <f>SUMIF('НПЗ Oilmap'!$B$2:$B$659,A248,'НПЗ Oilmap'!$O$2:$O$659)</f>
        <v>0</v>
      </c>
      <c r="G248" s="8">
        <f t="shared" si="3"/>
        <v>0</v>
      </c>
      <c r="H248" s="8"/>
      <c r="I248" s="11"/>
      <c r="J248" s="6"/>
      <c r="K248" s="6"/>
      <c r="L248" s="12"/>
      <c r="M248" s="6"/>
      <c r="N248" s="8"/>
      <c r="O248" s="6"/>
      <c r="P248" s="6"/>
      <c r="Q248" s="12" t="s">
        <v>83</v>
      </c>
    </row>
    <row r="249" spans="1:17" ht="66" customHeight="1" x14ac:dyDescent="0.2">
      <c r="A249" s="6" t="s">
        <v>1467</v>
      </c>
      <c r="B249" s="6" t="s">
        <v>1468</v>
      </c>
      <c r="C249" s="6" t="s">
        <v>1470</v>
      </c>
      <c r="D249" s="8">
        <f>COUNTIF('НПЗ Oilmap'!$B$2:$B$659,A249)</f>
        <v>0</v>
      </c>
      <c r="E249" s="8" t="str">
        <f>IF(F249&gt;0,SUMIF('НПЗ Oilmap'!$B$2:$B$659,A249,'НПЗ Oilmap'!$E$2:$E$659),"")</f>
        <v/>
      </c>
      <c r="F249" s="8">
        <f>SUMIF('НПЗ Oilmap'!$B$2:$B$659,A249,'НПЗ Oilmap'!$O$2:$O$659)</f>
        <v>0</v>
      </c>
      <c r="G249" s="8">
        <f t="shared" si="3"/>
        <v>0</v>
      </c>
      <c r="H249" s="8"/>
      <c r="I249" s="11"/>
      <c r="J249" s="6"/>
      <c r="K249" s="6"/>
      <c r="L249" s="12"/>
      <c r="M249" s="6"/>
      <c r="N249" s="8"/>
      <c r="O249" s="6"/>
      <c r="P249" s="6"/>
      <c r="Q249" s="12" t="s">
        <v>83</v>
      </c>
    </row>
    <row r="250" spans="1:17" ht="66" customHeight="1" x14ac:dyDescent="0.2">
      <c r="A250" s="6" t="s">
        <v>1471</v>
      </c>
      <c r="B250" s="6" t="s">
        <v>1472</v>
      </c>
      <c r="C250" s="6" t="s">
        <v>1474</v>
      </c>
      <c r="D250" s="8">
        <f>COUNTIF('НПЗ Oilmap'!$B$2:$B$659,A250)</f>
        <v>0</v>
      </c>
      <c r="E250" s="8" t="str">
        <f>IF(F250&gt;0,SUMIF('НПЗ Oilmap'!$B$2:$B$659,A250,'НПЗ Oilmap'!$E$2:$E$659),"")</f>
        <v/>
      </c>
      <c r="F250" s="8">
        <f>SUMIF('НПЗ Oilmap'!$B$2:$B$659,A250,'НПЗ Oilmap'!$O$2:$O$659)</f>
        <v>0</v>
      </c>
      <c r="G250" s="8">
        <f t="shared" si="3"/>
        <v>0</v>
      </c>
      <c r="H250" s="8"/>
      <c r="I250" s="11"/>
      <c r="J250" s="6"/>
      <c r="K250" s="6"/>
      <c r="L250" s="12"/>
      <c r="M250" s="6"/>
      <c r="N250" s="8"/>
      <c r="O250" s="6"/>
      <c r="P250" s="6"/>
      <c r="Q250" s="12" t="s">
        <v>83</v>
      </c>
    </row>
    <row r="251" spans="1:17" ht="66" customHeight="1" x14ac:dyDescent="0.2">
      <c r="A251" s="6" t="s">
        <v>1475</v>
      </c>
      <c r="B251" s="6" t="s">
        <v>1476</v>
      </c>
      <c r="C251" s="6" t="s">
        <v>1480</v>
      </c>
      <c r="D251" s="8">
        <f>COUNTIF('НПЗ Oilmap'!$B$2:$B$659,A251)</f>
        <v>1</v>
      </c>
      <c r="E251" s="8">
        <f>IF(F251&gt;0,SUMIF('НПЗ Oilmap'!$B$2:$B$659,A251,'НПЗ Oilmap'!$E$2:$E$659),"")</f>
        <v>250000</v>
      </c>
      <c r="F251" s="8">
        <f>SUMIF('НПЗ Oilmap'!$B$2:$B$659,A251,'НПЗ Oilmap'!$O$2:$O$659)</f>
        <v>1</v>
      </c>
      <c r="G251" s="8">
        <f t="shared" si="3"/>
        <v>0</v>
      </c>
      <c r="H251" s="8"/>
      <c r="I251" s="11"/>
      <c r="J251" s="6"/>
      <c r="K251" s="6"/>
      <c r="L251" s="12"/>
      <c r="M251" s="6"/>
      <c r="N251" s="8">
        <v>320000</v>
      </c>
      <c r="O251" s="6">
        <v>2025</v>
      </c>
      <c r="P251" s="6" t="s">
        <v>1588</v>
      </c>
      <c r="Q251" s="12" t="s">
        <v>57</v>
      </c>
    </row>
    <row r="252" spans="1:17" ht="66" customHeight="1" x14ac:dyDescent="0.2">
      <c r="A252" s="6" t="s">
        <v>1481</v>
      </c>
      <c r="B252" s="6" t="s">
        <v>1482</v>
      </c>
      <c r="C252" s="6" t="s">
        <v>1112</v>
      </c>
      <c r="D252" s="8">
        <f>COUNTIF('НПЗ Oilmap'!$B$2:$B$659,A252)</f>
        <v>0</v>
      </c>
      <c r="E252" s="8" t="str">
        <f>IF(F252&gt;0,SUMIF('НПЗ Oilmap'!$B$2:$B$659,A252,'НПЗ Oilmap'!$E$2:$E$659),"")</f>
        <v/>
      </c>
      <c r="F252" s="8">
        <f>SUMIF('НПЗ Oilmap'!$B$2:$B$659,A252,'НПЗ Oilmap'!$O$2:$O$659)</f>
        <v>0</v>
      </c>
      <c r="G252" s="8">
        <f t="shared" si="3"/>
        <v>0</v>
      </c>
      <c r="H252" s="8"/>
      <c r="I252" s="11"/>
      <c r="J252" s="6"/>
      <c r="K252" s="6"/>
      <c r="L252" s="12"/>
      <c r="M252" s="6"/>
      <c r="N252" s="8"/>
      <c r="O252" s="6"/>
      <c r="P252" s="6"/>
      <c r="Q252" s="12" t="s">
        <v>83</v>
      </c>
    </row>
    <row r="253" spans="1:17" ht="66" customHeight="1" x14ac:dyDescent="0.2">
      <c r="A253" s="6" t="s">
        <v>1483</v>
      </c>
      <c r="B253" s="6" t="s">
        <v>1484</v>
      </c>
      <c r="C253" s="6" t="s">
        <v>46</v>
      </c>
      <c r="D253" s="8">
        <f>COUNTIF('НПЗ Oilmap'!$B$2:$B$659,A253)</f>
        <v>0</v>
      </c>
      <c r="E253" s="8" t="str">
        <f>IF(F253&gt;0,SUMIF('НПЗ Oilmap'!$B$2:$B$659,A253,'НПЗ Oilmap'!$E$2:$E$659),"")</f>
        <v/>
      </c>
      <c r="F253" s="8">
        <f>SUMIF('НПЗ Oilmap'!$B$2:$B$659,A253,'НПЗ Oilmap'!$O$2:$O$659)</f>
        <v>0</v>
      </c>
      <c r="G253" s="8">
        <f t="shared" si="3"/>
        <v>0</v>
      </c>
      <c r="H253" s="8"/>
      <c r="I253" s="11"/>
      <c r="J253" s="6"/>
      <c r="K253" s="6"/>
      <c r="L253" s="12"/>
      <c r="M253" s="6"/>
      <c r="N253" s="8"/>
      <c r="O253" s="6"/>
      <c r="P253" s="6"/>
      <c r="Q253" s="12" t="s">
        <v>83</v>
      </c>
    </row>
    <row r="254" spans="1:17" ht="66" customHeight="1" x14ac:dyDescent="0.2">
      <c r="A254" s="6" t="s">
        <v>1485</v>
      </c>
      <c r="B254" s="6" t="s">
        <v>1486</v>
      </c>
      <c r="C254" s="6" t="s">
        <v>205</v>
      </c>
      <c r="D254" s="8">
        <f>COUNTIF('НПЗ Oilmap'!$B$2:$B$659,A254)</f>
        <v>0</v>
      </c>
      <c r="E254" s="8" t="str">
        <f>IF(F254&gt;0,SUMIF('НПЗ Oilmap'!$B$2:$B$659,A254,'НПЗ Oilmap'!$E$2:$E$659),"")</f>
        <v/>
      </c>
      <c r="F254" s="8">
        <f>SUMIF('НПЗ Oilmap'!$B$2:$B$659,A254,'НПЗ Oilmap'!$O$2:$O$659)</f>
        <v>0</v>
      </c>
      <c r="G254" s="8">
        <f t="shared" si="3"/>
        <v>0</v>
      </c>
      <c r="H254" s="8"/>
      <c r="I254" s="11"/>
      <c r="J254" s="6"/>
      <c r="K254" s="6"/>
      <c r="L254" s="12"/>
      <c r="M254" s="6"/>
      <c r="N254" s="8"/>
      <c r="O254" s="6"/>
      <c r="P254" s="6"/>
      <c r="Q254" s="12" t="s">
        <v>83</v>
      </c>
    </row>
    <row r="255" spans="1:17" ht="66" customHeight="1" x14ac:dyDescent="0.2">
      <c r="A255" s="6" t="s">
        <v>1487</v>
      </c>
      <c r="B255" s="6" t="s">
        <v>1488</v>
      </c>
      <c r="C255" s="6" t="s">
        <v>1491</v>
      </c>
      <c r="D255" s="8">
        <f>COUNTIF('НПЗ Oilmap'!$B$2:$B$659,A255)</f>
        <v>0</v>
      </c>
      <c r="E255" s="8" t="str">
        <f>IF(F255&gt;0,SUMIF('НПЗ Oilmap'!$B$2:$B$659,A255,'НПЗ Oilmap'!$E$2:$E$659),"")</f>
        <v/>
      </c>
      <c r="F255" s="8">
        <f>SUMIF('НПЗ Oilmap'!$B$2:$B$659,A255,'НПЗ Oilmap'!$O$2:$O$659)</f>
        <v>0</v>
      </c>
      <c r="G255" s="8">
        <f t="shared" si="3"/>
        <v>0</v>
      </c>
      <c r="H255" s="8"/>
      <c r="I255" s="11"/>
      <c r="J255" s="6"/>
      <c r="K255" s="6"/>
      <c r="L255" s="12"/>
      <c r="M255" s="6"/>
      <c r="N255" s="8"/>
      <c r="O255" s="6"/>
      <c r="P255" s="6"/>
      <c r="Q255" s="12" t="s">
        <v>83</v>
      </c>
    </row>
    <row r="256" spans="1:17" ht="66" customHeight="1" x14ac:dyDescent="0.2">
      <c r="A256" s="6" t="s">
        <v>1492</v>
      </c>
      <c r="B256" s="6" t="s">
        <v>1493</v>
      </c>
      <c r="C256" s="6" t="s">
        <v>1112</v>
      </c>
      <c r="D256" s="8">
        <f>COUNTIF('НПЗ Oilmap'!$B$2:$B$659,A256)</f>
        <v>0</v>
      </c>
      <c r="E256" s="8" t="str">
        <f>IF(F256&gt;0,SUMIF('НПЗ Oilmap'!$B$2:$B$659,A256,'НПЗ Oilmap'!$E$2:$E$659),"")</f>
        <v/>
      </c>
      <c r="F256" s="8">
        <f>SUMIF('НПЗ Oilmap'!$B$2:$B$659,A256,'НПЗ Oilmap'!$O$2:$O$659)</f>
        <v>0</v>
      </c>
      <c r="G256" s="8">
        <f t="shared" si="3"/>
        <v>0</v>
      </c>
      <c r="H256" s="8"/>
      <c r="I256" s="11"/>
      <c r="J256" s="6"/>
      <c r="K256" s="6"/>
      <c r="L256" s="12"/>
      <c r="M256" s="6"/>
      <c r="N256" s="8"/>
      <c r="O256" s="6"/>
      <c r="P256" s="6"/>
      <c r="Q256" s="12" t="s">
        <v>83</v>
      </c>
    </row>
    <row r="257" spans="1:17" ht="66" customHeight="1" x14ac:dyDescent="0.2">
      <c r="A257" s="6" t="s">
        <v>1494</v>
      </c>
      <c r="B257" s="6" t="s">
        <v>1495</v>
      </c>
      <c r="C257" s="6" t="s">
        <v>46</v>
      </c>
      <c r="D257" s="8">
        <f>COUNTIF('НПЗ Oilmap'!$B$2:$B$659,A257)</f>
        <v>0</v>
      </c>
      <c r="E257" s="8" t="str">
        <f>IF(F257&gt;0,SUMIF('НПЗ Oilmap'!$B$2:$B$659,A257,'НПЗ Oilmap'!$E$2:$E$659),"")</f>
        <v/>
      </c>
      <c r="F257" s="8">
        <f>SUMIF('НПЗ Oilmap'!$B$2:$B$659,A257,'НПЗ Oilmap'!$O$2:$O$659)</f>
        <v>0</v>
      </c>
      <c r="G257" s="8">
        <f t="shared" si="3"/>
        <v>0</v>
      </c>
      <c r="H257" s="8"/>
      <c r="I257" s="11"/>
      <c r="J257" s="6"/>
      <c r="K257" s="6"/>
      <c r="L257" s="12"/>
      <c r="M257" s="6"/>
      <c r="N257" s="8"/>
      <c r="O257" s="6"/>
      <c r="P257" s="6"/>
      <c r="Q257" s="12" t="s">
        <v>83</v>
      </c>
    </row>
    <row r="258" spans="1:17" ht="66" customHeight="1" x14ac:dyDescent="0.2">
      <c r="A258" s="6" t="s">
        <v>1496</v>
      </c>
      <c r="B258" s="6" t="s">
        <v>1497</v>
      </c>
      <c r="C258" s="6" t="s">
        <v>46</v>
      </c>
      <c r="D258" s="8">
        <f>COUNTIF('НПЗ Oilmap'!$B$2:$B$659,A258)</f>
        <v>0</v>
      </c>
      <c r="E258" s="8" t="str">
        <f>IF(F258&gt;0,SUMIF('НПЗ Oilmap'!$B$2:$B$659,A258,'НПЗ Oilmap'!$E$2:$E$659),"")</f>
        <v/>
      </c>
      <c r="F258" s="8">
        <f>SUMIF('НПЗ Oilmap'!$B$2:$B$659,A258,'НПЗ Oilmap'!$O$2:$O$659)</f>
        <v>0</v>
      </c>
      <c r="G258" s="8">
        <f t="shared" ref="G258:G321" si="4">D258-F258</f>
        <v>0</v>
      </c>
      <c r="H258" s="8"/>
      <c r="I258" s="11"/>
      <c r="J258" s="6"/>
      <c r="K258" s="6"/>
      <c r="L258" s="12"/>
      <c r="M258" s="6"/>
      <c r="N258" s="8"/>
      <c r="O258" s="6"/>
      <c r="P258" s="6"/>
      <c r="Q258" s="12" t="s">
        <v>83</v>
      </c>
    </row>
    <row r="259" spans="1:17" ht="66" customHeight="1" x14ac:dyDescent="0.2">
      <c r="A259" s="6" t="s">
        <v>1498</v>
      </c>
      <c r="B259" s="6" t="s">
        <v>1499</v>
      </c>
      <c r="C259" s="6" t="s">
        <v>46</v>
      </c>
      <c r="D259" s="8">
        <f>COUNTIF('НПЗ Oilmap'!$B$2:$B$659,A259)</f>
        <v>0</v>
      </c>
      <c r="E259" s="8" t="str">
        <f>IF(F259&gt;0,SUMIF('НПЗ Oilmap'!$B$2:$B$659,A259,'НПЗ Oilmap'!$E$2:$E$659),"")</f>
        <v/>
      </c>
      <c r="F259" s="8">
        <f>SUMIF('НПЗ Oilmap'!$B$2:$B$659,A259,'НПЗ Oilmap'!$O$2:$O$659)</f>
        <v>0</v>
      </c>
      <c r="G259" s="8">
        <f t="shared" si="4"/>
        <v>0</v>
      </c>
      <c r="H259" s="8"/>
      <c r="I259" s="11"/>
      <c r="J259" s="6"/>
      <c r="K259" s="6"/>
      <c r="L259" s="12"/>
      <c r="M259" s="6"/>
      <c r="N259" s="8"/>
      <c r="O259" s="6"/>
      <c r="P259" s="6"/>
      <c r="Q259" s="12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59"/>
  <sheetViews>
    <sheetView showGridLines="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2" customWidth="1"/>
    <col min="2" max="2" width="28" customWidth="1"/>
    <col min="3" max="3" width="10" customWidth="1"/>
    <col min="4" max="4" width="65" customWidth="1"/>
    <col min="5" max="5" width="21" customWidth="1"/>
    <col min="6" max="6" width="10" customWidth="1"/>
    <col min="7" max="8" width="17" customWidth="1"/>
    <col min="9" max="10" width="65" customWidth="1"/>
    <col min="11" max="11" width="15" customWidth="1"/>
    <col min="12" max="12" width="20" customWidth="1"/>
    <col min="13" max="13" width="16" customWidth="1"/>
    <col min="14" max="14" width="30" customWidth="1"/>
    <col min="15" max="15" width="17" customWidth="1"/>
  </cols>
  <sheetData>
    <row r="1" spans="1:15" ht="66" customHeight="1" x14ac:dyDescent="0.2">
      <c r="A1" s="7" t="s">
        <v>1607</v>
      </c>
      <c r="B1" s="7" t="s">
        <v>1573</v>
      </c>
      <c r="C1" s="7" t="s">
        <v>34</v>
      </c>
      <c r="D1" s="7" t="s">
        <v>1608</v>
      </c>
      <c r="E1" s="7" t="s">
        <v>1609</v>
      </c>
      <c r="F1" s="7" t="s">
        <v>1610</v>
      </c>
      <c r="G1" s="7" t="s">
        <v>1611</v>
      </c>
      <c r="H1" s="7" t="s">
        <v>1612</v>
      </c>
      <c r="I1" s="7" t="s">
        <v>1613</v>
      </c>
      <c r="J1" s="7" t="s">
        <v>1614</v>
      </c>
      <c r="K1" s="7" t="s">
        <v>1615</v>
      </c>
      <c r="L1" s="7" t="s">
        <v>1616</v>
      </c>
      <c r="M1" s="7" t="s">
        <v>1617</v>
      </c>
      <c r="N1" s="7" t="s">
        <v>1506</v>
      </c>
      <c r="O1" s="7" t="s">
        <v>1618</v>
      </c>
    </row>
    <row r="2" spans="1:15" ht="30" customHeight="1" x14ac:dyDescent="0.2">
      <c r="A2" s="6">
        <v>1</v>
      </c>
      <c r="B2" s="6" t="s">
        <v>1013</v>
      </c>
      <c r="C2" s="6" t="s">
        <v>1018</v>
      </c>
      <c r="D2" s="6" t="s">
        <v>1619</v>
      </c>
      <c r="E2" s="8">
        <v>90000</v>
      </c>
      <c r="F2" s="6"/>
      <c r="G2" s="9">
        <v>-104.57070350646973</v>
      </c>
      <c r="H2" s="9">
        <v>50.487057262059736</v>
      </c>
      <c r="I2" s="6"/>
      <c r="J2" s="6"/>
      <c r="K2" s="6" t="s">
        <v>56</v>
      </c>
      <c r="L2" s="6" t="s">
        <v>1620</v>
      </c>
      <c r="M2" s="10">
        <v>0</v>
      </c>
      <c r="N2" s="6" t="s">
        <v>1621</v>
      </c>
      <c r="O2" s="6">
        <v>1</v>
      </c>
    </row>
    <row r="3" spans="1:15" ht="30" customHeight="1" x14ac:dyDescent="0.2">
      <c r="A3" s="6">
        <v>2</v>
      </c>
      <c r="B3" s="6" t="s">
        <v>1107</v>
      </c>
      <c r="C3" s="6" t="s">
        <v>1112</v>
      </c>
      <c r="D3" s="6" t="s">
        <v>1622</v>
      </c>
      <c r="E3" s="8">
        <v>73000</v>
      </c>
      <c r="F3" s="6"/>
      <c r="G3" s="9">
        <v>153.13937187194824</v>
      </c>
      <c r="H3" s="9">
        <v>-27.403013603626256</v>
      </c>
      <c r="I3" s="6" t="s">
        <v>1623</v>
      </c>
      <c r="J3" s="6" t="s">
        <v>1624</v>
      </c>
      <c r="K3" s="6" t="s">
        <v>56</v>
      </c>
      <c r="L3" s="6" t="s">
        <v>1620</v>
      </c>
      <c r="M3" s="10">
        <v>0</v>
      </c>
      <c r="N3" s="6" t="s">
        <v>1621</v>
      </c>
      <c r="O3" s="6">
        <v>1</v>
      </c>
    </row>
    <row r="4" spans="1:15" ht="30" customHeight="1" x14ac:dyDescent="0.2">
      <c r="A4" s="6">
        <v>3</v>
      </c>
      <c r="B4" s="6" t="s">
        <v>1107</v>
      </c>
      <c r="C4" s="6" t="s">
        <v>1112</v>
      </c>
      <c r="D4" s="6" t="s">
        <v>1625</v>
      </c>
      <c r="E4" s="8">
        <v>138000</v>
      </c>
      <c r="F4" s="6"/>
      <c r="G4" s="9">
        <v>115.76388359069824</v>
      </c>
      <c r="H4" s="9">
        <v>-32.226597654322127</v>
      </c>
      <c r="I4" s="6" t="s">
        <v>1623</v>
      </c>
      <c r="J4" s="6" t="s">
        <v>1624</v>
      </c>
      <c r="K4" s="6" t="s">
        <v>56</v>
      </c>
      <c r="L4" s="6" t="s">
        <v>1620</v>
      </c>
      <c r="M4" s="10">
        <v>0</v>
      </c>
      <c r="N4" s="6" t="s">
        <v>1621</v>
      </c>
      <c r="O4" s="6">
        <v>1</v>
      </c>
    </row>
    <row r="5" spans="1:15" ht="30" customHeight="1" x14ac:dyDescent="0.2">
      <c r="A5" s="6">
        <v>4</v>
      </c>
      <c r="B5" s="6" t="s">
        <v>1107</v>
      </c>
      <c r="C5" s="6" t="s">
        <v>1112</v>
      </c>
      <c r="D5" s="6" t="s">
        <v>1626</v>
      </c>
      <c r="E5" s="8">
        <v>117000</v>
      </c>
      <c r="F5" s="6"/>
      <c r="G5" s="9">
        <v>151.21702194213867</v>
      </c>
      <c r="H5" s="9">
        <v>-34.016241889667015</v>
      </c>
      <c r="I5" s="6" t="s">
        <v>1627</v>
      </c>
      <c r="J5" s="6" t="s">
        <v>1628</v>
      </c>
      <c r="K5" s="6" t="s">
        <v>56</v>
      </c>
      <c r="L5" s="6" t="s">
        <v>1629</v>
      </c>
      <c r="M5" s="10">
        <v>0.90400000000000003</v>
      </c>
      <c r="N5" s="6" t="s">
        <v>1621</v>
      </c>
      <c r="O5" s="6">
        <v>1</v>
      </c>
    </row>
    <row r="6" spans="1:15" ht="30" customHeight="1" x14ac:dyDescent="0.2">
      <c r="A6" s="6">
        <v>5</v>
      </c>
      <c r="B6" s="6" t="s">
        <v>1107</v>
      </c>
      <c r="C6" s="6" t="s">
        <v>1112</v>
      </c>
      <c r="D6" s="6" t="s">
        <v>1630</v>
      </c>
      <c r="E6" s="8">
        <v>104000</v>
      </c>
      <c r="F6" s="6"/>
      <c r="G6" s="9">
        <v>153.15816879272461</v>
      </c>
      <c r="H6" s="9">
        <v>-27.413071509994982</v>
      </c>
      <c r="I6" s="6" t="s">
        <v>1627</v>
      </c>
      <c r="J6" s="6" t="s">
        <v>1631</v>
      </c>
      <c r="K6" s="6" t="s">
        <v>56</v>
      </c>
      <c r="L6" s="6" t="s">
        <v>1620</v>
      </c>
      <c r="M6" s="10">
        <v>0</v>
      </c>
      <c r="N6" s="6" t="s">
        <v>1621</v>
      </c>
      <c r="O6" s="6">
        <v>1</v>
      </c>
    </row>
    <row r="7" spans="1:15" ht="30" customHeight="1" x14ac:dyDescent="0.2">
      <c r="A7" s="6">
        <v>6</v>
      </c>
      <c r="B7" s="6" t="s">
        <v>1107</v>
      </c>
      <c r="C7" s="6" t="s">
        <v>1112</v>
      </c>
      <c r="D7" s="6" t="s">
        <v>1632</v>
      </c>
      <c r="E7" s="8">
        <v>130000</v>
      </c>
      <c r="F7" s="6"/>
      <c r="G7" s="9">
        <v>144.8503589630127</v>
      </c>
      <c r="H7" s="9">
        <v>-37.850120214309655</v>
      </c>
      <c r="I7" s="6"/>
      <c r="J7" s="6" t="s">
        <v>1633</v>
      </c>
      <c r="K7" s="6" t="s">
        <v>56</v>
      </c>
      <c r="L7" s="6" t="s">
        <v>1620</v>
      </c>
      <c r="M7" s="10">
        <v>0</v>
      </c>
      <c r="N7" s="6" t="s">
        <v>1621</v>
      </c>
      <c r="O7" s="6">
        <v>1</v>
      </c>
    </row>
    <row r="8" spans="1:15" ht="30" customHeight="1" x14ac:dyDescent="0.2">
      <c r="A8" s="6">
        <v>7</v>
      </c>
      <c r="B8" s="6" t="s">
        <v>1107</v>
      </c>
      <c r="C8" s="6" t="s">
        <v>1112</v>
      </c>
      <c r="D8" s="6" t="s">
        <v>1634</v>
      </c>
      <c r="E8" s="8">
        <v>100000</v>
      </c>
      <c r="F8" s="6"/>
      <c r="G8" s="9">
        <v>151.03763580322266</v>
      </c>
      <c r="H8" s="9">
        <v>-33.828501309514714</v>
      </c>
      <c r="I8" s="6"/>
      <c r="J8" s="6" t="s">
        <v>1635</v>
      </c>
      <c r="K8" s="6" t="s">
        <v>56</v>
      </c>
      <c r="L8" s="6" t="s">
        <v>1620</v>
      </c>
      <c r="M8" s="10">
        <v>0</v>
      </c>
      <c r="N8" s="6" t="s">
        <v>1621</v>
      </c>
      <c r="O8" s="6">
        <v>1</v>
      </c>
    </row>
    <row r="9" spans="1:15" ht="30" customHeight="1" x14ac:dyDescent="0.2">
      <c r="A9" s="6">
        <v>8</v>
      </c>
      <c r="B9" s="6" t="s">
        <v>1107</v>
      </c>
      <c r="C9" s="6" t="s">
        <v>1112</v>
      </c>
      <c r="D9" s="6" t="s">
        <v>1636</v>
      </c>
      <c r="E9" s="8">
        <v>130000</v>
      </c>
      <c r="F9" s="6"/>
      <c r="G9" s="9">
        <v>144.38180923461914</v>
      </c>
      <c r="H9" s="9">
        <v>-38.078027813350076</v>
      </c>
      <c r="I9" s="6"/>
      <c r="J9" s="6" t="s">
        <v>1637</v>
      </c>
      <c r="K9" s="6" t="s">
        <v>56</v>
      </c>
      <c r="L9" s="6" t="s">
        <v>1620</v>
      </c>
      <c r="M9" s="10">
        <v>0</v>
      </c>
      <c r="N9" s="6" t="s">
        <v>1621</v>
      </c>
      <c r="O9" s="6">
        <v>1</v>
      </c>
    </row>
    <row r="10" spans="1:15" ht="30" customHeight="1" x14ac:dyDescent="0.2">
      <c r="A10" s="6">
        <v>9</v>
      </c>
      <c r="B10" s="6" t="s">
        <v>1123</v>
      </c>
      <c r="C10" s="6" t="s">
        <v>1129</v>
      </c>
      <c r="D10" s="6" t="s">
        <v>1638</v>
      </c>
      <c r="E10" s="8">
        <v>90000</v>
      </c>
      <c r="F10" s="6"/>
      <c r="G10" s="9">
        <v>174.49353218078613</v>
      </c>
      <c r="H10" s="9">
        <v>-35.84363002249767</v>
      </c>
      <c r="I10" s="6" t="s">
        <v>1639</v>
      </c>
      <c r="J10" s="6" t="s">
        <v>1640</v>
      </c>
      <c r="K10" s="6" t="s">
        <v>56</v>
      </c>
      <c r="L10" s="6" t="s">
        <v>1620</v>
      </c>
      <c r="M10" s="10">
        <v>0</v>
      </c>
      <c r="N10" s="6" t="s">
        <v>1621</v>
      </c>
      <c r="O10" s="6">
        <v>1</v>
      </c>
    </row>
    <row r="11" spans="1:15" ht="30" customHeight="1" x14ac:dyDescent="0.2">
      <c r="A11" s="6">
        <v>10</v>
      </c>
      <c r="B11" s="6" t="s">
        <v>1043</v>
      </c>
      <c r="C11" s="6" t="s">
        <v>1047</v>
      </c>
      <c r="D11" s="6" t="s">
        <v>1641</v>
      </c>
      <c r="E11" s="8">
        <v>32500</v>
      </c>
      <c r="F11" s="6"/>
      <c r="G11" s="9">
        <v>147.11483001708984</v>
      </c>
      <c r="H11" s="9">
        <v>-9.4556657219014593</v>
      </c>
      <c r="I11" s="6" t="s">
        <v>1639</v>
      </c>
      <c r="J11" s="6" t="s">
        <v>1642</v>
      </c>
      <c r="K11" s="6" t="s">
        <v>56</v>
      </c>
      <c r="L11" s="6" t="s">
        <v>1629</v>
      </c>
      <c r="M11" s="10">
        <v>0.83599999999999997</v>
      </c>
      <c r="N11" s="6" t="s">
        <v>1621</v>
      </c>
      <c r="O11" s="6">
        <v>1</v>
      </c>
    </row>
    <row r="12" spans="1:15" ht="30" customHeight="1" x14ac:dyDescent="0.2">
      <c r="A12" s="6">
        <v>11</v>
      </c>
      <c r="B12" s="6" t="s">
        <v>819</v>
      </c>
      <c r="C12" s="6" t="s">
        <v>824</v>
      </c>
      <c r="D12" s="6" t="s">
        <v>1643</v>
      </c>
      <c r="E12" s="8">
        <v>54000</v>
      </c>
      <c r="F12" s="6"/>
      <c r="G12" s="9">
        <v>-0.259552001953125</v>
      </c>
      <c r="H12" s="9">
        <v>35.809669710367089</v>
      </c>
      <c r="I12" s="6" t="s">
        <v>1644</v>
      </c>
      <c r="J12" s="6" t="s">
        <v>1645</v>
      </c>
      <c r="K12" s="6" t="s">
        <v>56</v>
      </c>
      <c r="L12" s="6" t="s">
        <v>1620</v>
      </c>
      <c r="M12" s="10">
        <v>0</v>
      </c>
      <c r="N12" s="6" t="s">
        <v>1621</v>
      </c>
      <c r="O12" s="6">
        <v>1</v>
      </c>
    </row>
    <row r="13" spans="1:15" ht="30" customHeight="1" x14ac:dyDescent="0.2">
      <c r="A13" s="6">
        <v>12</v>
      </c>
      <c r="B13" s="6" t="s">
        <v>819</v>
      </c>
      <c r="C13" s="6" t="s">
        <v>824</v>
      </c>
      <c r="D13" s="6" t="s">
        <v>1646</v>
      </c>
      <c r="E13" s="8"/>
      <c r="F13" s="6"/>
      <c r="G13" s="9">
        <v>3.1257820129394531</v>
      </c>
      <c r="H13" s="9">
        <v>36.736407927835963</v>
      </c>
      <c r="I13" s="6" t="s">
        <v>1644</v>
      </c>
      <c r="J13" s="6" t="s">
        <v>1645</v>
      </c>
      <c r="K13" s="6" t="s">
        <v>56</v>
      </c>
      <c r="L13" s="6" t="s">
        <v>1620</v>
      </c>
      <c r="M13" s="10">
        <v>0</v>
      </c>
      <c r="N13" s="6" t="s">
        <v>1621</v>
      </c>
      <c r="O13" s="6">
        <v>0</v>
      </c>
    </row>
    <row r="14" spans="1:15" ht="30" customHeight="1" x14ac:dyDescent="0.2">
      <c r="A14" s="6">
        <v>13</v>
      </c>
      <c r="B14" s="6" t="s">
        <v>819</v>
      </c>
      <c r="C14" s="6" t="s">
        <v>824</v>
      </c>
      <c r="D14" s="6" t="s">
        <v>1647</v>
      </c>
      <c r="E14" s="8">
        <v>27000</v>
      </c>
      <c r="F14" s="6"/>
      <c r="G14" s="9">
        <v>6.0568141937255859</v>
      </c>
      <c r="H14" s="9">
        <v>31.792169109600913</v>
      </c>
      <c r="I14" s="6" t="s">
        <v>1644</v>
      </c>
      <c r="J14" s="6" t="s">
        <v>1645</v>
      </c>
      <c r="K14" s="6" t="s">
        <v>56</v>
      </c>
      <c r="L14" s="6" t="s">
        <v>1620</v>
      </c>
      <c r="M14" s="10">
        <v>0</v>
      </c>
      <c r="N14" s="6" t="s">
        <v>1621</v>
      </c>
      <c r="O14" s="6">
        <v>1</v>
      </c>
    </row>
    <row r="15" spans="1:15" ht="30" customHeight="1" x14ac:dyDescent="0.2">
      <c r="A15" s="6">
        <v>14</v>
      </c>
      <c r="B15" s="6" t="s">
        <v>819</v>
      </c>
      <c r="C15" s="6" t="s">
        <v>824</v>
      </c>
      <c r="D15" s="6" t="s">
        <v>1648</v>
      </c>
      <c r="E15" s="8">
        <v>323000</v>
      </c>
      <c r="F15" s="6"/>
      <c r="G15" s="9">
        <v>6.9743442535400391</v>
      </c>
      <c r="H15" s="9">
        <v>36.873098024497928</v>
      </c>
      <c r="I15" s="6" t="s">
        <v>1644</v>
      </c>
      <c r="J15" s="6" t="s">
        <v>1645</v>
      </c>
      <c r="K15" s="6" t="s">
        <v>56</v>
      </c>
      <c r="L15" s="6" t="s">
        <v>1620</v>
      </c>
      <c r="M15" s="10">
        <v>0</v>
      </c>
      <c r="N15" s="6" t="s">
        <v>1621</v>
      </c>
      <c r="O15" s="6">
        <v>1</v>
      </c>
    </row>
    <row r="16" spans="1:15" ht="30" customHeight="1" x14ac:dyDescent="0.2">
      <c r="A16" s="6">
        <v>15</v>
      </c>
      <c r="B16" s="6" t="s">
        <v>1048</v>
      </c>
      <c r="C16" s="6" t="s">
        <v>1054</v>
      </c>
      <c r="D16" s="6" t="s">
        <v>1649</v>
      </c>
      <c r="E16" s="8">
        <v>100000</v>
      </c>
      <c r="F16" s="6"/>
      <c r="G16" s="9">
        <v>29.67106819152832</v>
      </c>
      <c r="H16" s="9">
        <v>31.049183862056463</v>
      </c>
      <c r="I16" s="6" t="s">
        <v>1639</v>
      </c>
      <c r="J16" s="6" t="s">
        <v>1650</v>
      </c>
      <c r="K16" s="6" t="s">
        <v>56</v>
      </c>
      <c r="L16" s="6" t="s">
        <v>1620</v>
      </c>
      <c r="M16" s="10">
        <v>0</v>
      </c>
      <c r="N16" s="6" t="s">
        <v>1621</v>
      </c>
      <c r="O16" s="6">
        <v>1</v>
      </c>
    </row>
    <row r="17" spans="1:15" ht="30" customHeight="1" x14ac:dyDescent="0.2">
      <c r="A17" s="6">
        <v>16</v>
      </c>
      <c r="B17" s="6" t="s">
        <v>1048</v>
      </c>
      <c r="C17" s="6" t="s">
        <v>1054</v>
      </c>
      <c r="D17" s="6" t="s">
        <v>1651</v>
      </c>
      <c r="E17" s="8">
        <v>100000</v>
      </c>
      <c r="F17" s="6"/>
      <c r="G17" s="9">
        <v>29.863071441650391</v>
      </c>
      <c r="H17" s="9">
        <v>31.098291416535922</v>
      </c>
      <c r="I17" s="6" t="s">
        <v>1639</v>
      </c>
      <c r="J17" s="6" t="s">
        <v>1650</v>
      </c>
      <c r="K17" s="6" t="s">
        <v>56</v>
      </c>
      <c r="L17" s="6" t="s">
        <v>1620</v>
      </c>
      <c r="M17" s="10">
        <v>0</v>
      </c>
      <c r="N17" s="6" t="s">
        <v>1621</v>
      </c>
      <c r="O17" s="6">
        <v>1</v>
      </c>
    </row>
    <row r="18" spans="1:15" ht="30" customHeight="1" x14ac:dyDescent="0.2">
      <c r="A18" s="6">
        <v>17</v>
      </c>
      <c r="B18" s="6" t="s">
        <v>1048</v>
      </c>
      <c r="C18" s="6" t="s">
        <v>1054</v>
      </c>
      <c r="D18" s="6" t="s">
        <v>1652</v>
      </c>
      <c r="E18" s="8">
        <v>78000</v>
      </c>
      <c r="F18" s="6"/>
      <c r="G18" s="9">
        <v>29.844274520874023</v>
      </c>
      <c r="H18" s="9">
        <v>31.002846620746688</v>
      </c>
      <c r="I18" s="6" t="s">
        <v>1639</v>
      </c>
      <c r="J18" s="6" t="s">
        <v>1650</v>
      </c>
      <c r="K18" s="6" t="s">
        <v>56</v>
      </c>
      <c r="L18" s="6" t="s">
        <v>1620</v>
      </c>
      <c r="M18" s="10">
        <v>0</v>
      </c>
      <c r="N18" s="6" t="s">
        <v>1621</v>
      </c>
      <c r="O18" s="6">
        <v>1</v>
      </c>
    </row>
    <row r="19" spans="1:15" ht="30" customHeight="1" x14ac:dyDescent="0.2">
      <c r="A19" s="6">
        <v>18</v>
      </c>
      <c r="B19" s="6" t="s">
        <v>1048</v>
      </c>
      <c r="C19" s="6" t="s">
        <v>1054</v>
      </c>
      <c r="D19" s="6" t="s">
        <v>1653</v>
      </c>
      <c r="E19" s="8">
        <v>47000</v>
      </c>
      <c r="F19" s="6"/>
      <c r="G19" s="9">
        <v>30.991144180297852</v>
      </c>
      <c r="H19" s="9">
        <v>27.19616706696598</v>
      </c>
      <c r="I19" s="6" t="s">
        <v>1639</v>
      </c>
      <c r="J19" s="6" t="s">
        <v>1650</v>
      </c>
      <c r="K19" s="6" t="s">
        <v>56</v>
      </c>
      <c r="L19" s="6" t="s">
        <v>1620</v>
      </c>
      <c r="M19" s="10">
        <v>0</v>
      </c>
      <c r="N19" s="6" t="s">
        <v>1621</v>
      </c>
      <c r="O19" s="6">
        <v>1</v>
      </c>
    </row>
    <row r="20" spans="1:15" ht="30" customHeight="1" x14ac:dyDescent="0.2">
      <c r="A20" s="6">
        <v>19</v>
      </c>
      <c r="B20" s="6" t="s">
        <v>1048</v>
      </c>
      <c r="C20" s="6" t="s">
        <v>1054</v>
      </c>
      <c r="D20" s="6" t="s">
        <v>1654</v>
      </c>
      <c r="E20" s="8">
        <v>145000</v>
      </c>
      <c r="F20" s="6"/>
      <c r="G20" s="9">
        <v>30.957584381103516</v>
      </c>
      <c r="H20" s="9">
        <v>30.793460661130524</v>
      </c>
      <c r="I20" s="6" t="s">
        <v>1639</v>
      </c>
      <c r="J20" s="6" t="s">
        <v>1650</v>
      </c>
      <c r="K20" s="6" t="s">
        <v>56</v>
      </c>
      <c r="L20" s="6" t="s">
        <v>1620</v>
      </c>
      <c r="M20" s="10">
        <v>0</v>
      </c>
      <c r="N20" s="6" t="s">
        <v>1621</v>
      </c>
      <c r="O20" s="6">
        <v>1</v>
      </c>
    </row>
    <row r="21" spans="1:15" ht="30" customHeight="1" x14ac:dyDescent="0.2">
      <c r="A21" s="6">
        <v>20</v>
      </c>
      <c r="B21" s="6" t="s">
        <v>1048</v>
      </c>
      <c r="C21" s="6" t="s">
        <v>1054</v>
      </c>
      <c r="D21" s="6" t="s">
        <v>1655</v>
      </c>
      <c r="E21" s="8">
        <v>146000</v>
      </c>
      <c r="F21" s="6"/>
      <c r="G21" s="9">
        <v>32.532749176025391</v>
      </c>
      <c r="H21" s="9">
        <v>29.957314210401563</v>
      </c>
      <c r="I21" s="6" t="s">
        <v>1639</v>
      </c>
      <c r="J21" s="6" t="s">
        <v>1650</v>
      </c>
      <c r="K21" s="6" t="s">
        <v>56</v>
      </c>
      <c r="L21" s="6" t="s">
        <v>1629</v>
      </c>
      <c r="M21" s="10">
        <v>2.4E-2</v>
      </c>
      <c r="N21" s="6" t="s">
        <v>1621</v>
      </c>
      <c r="O21" s="6">
        <v>1</v>
      </c>
    </row>
    <row r="22" spans="1:15" ht="30" customHeight="1" x14ac:dyDescent="0.2">
      <c r="A22" s="6">
        <v>21</v>
      </c>
      <c r="B22" s="6" t="s">
        <v>1048</v>
      </c>
      <c r="C22" s="6" t="s">
        <v>1054</v>
      </c>
      <c r="D22" s="6" t="s">
        <v>1656</v>
      </c>
      <c r="E22" s="8">
        <v>35000</v>
      </c>
      <c r="F22" s="6"/>
      <c r="G22" s="9">
        <v>29.765310287475586</v>
      </c>
      <c r="H22" s="9">
        <v>31.022487536964871</v>
      </c>
      <c r="I22" s="6" t="s">
        <v>1639</v>
      </c>
      <c r="J22" s="6" t="s">
        <v>1650</v>
      </c>
      <c r="K22" s="6" t="s">
        <v>56</v>
      </c>
      <c r="L22" s="6" t="s">
        <v>1620</v>
      </c>
      <c r="M22" s="10">
        <v>0</v>
      </c>
      <c r="N22" s="6" t="s">
        <v>1621</v>
      </c>
      <c r="O22" s="6">
        <v>1</v>
      </c>
    </row>
    <row r="23" spans="1:15" ht="30" customHeight="1" x14ac:dyDescent="0.2">
      <c r="A23" s="6">
        <v>22</v>
      </c>
      <c r="B23" s="6" t="s">
        <v>1048</v>
      </c>
      <c r="C23" s="6" t="s">
        <v>1054</v>
      </c>
      <c r="D23" s="6" t="s">
        <v>1657</v>
      </c>
      <c r="E23" s="8">
        <v>8550</v>
      </c>
      <c r="F23" s="6"/>
      <c r="G23" s="9">
        <v>33.221626281738281</v>
      </c>
      <c r="H23" s="9">
        <v>28.734549429666007</v>
      </c>
      <c r="I23" s="6" t="s">
        <v>1639</v>
      </c>
      <c r="J23" s="6" t="s">
        <v>1650</v>
      </c>
      <c r="K23" s="6" t="s">
        <v>56</v>
      </c>
      <c r="L23" s="6" t="s">
        <v>1620</v>
      </c>
      <c r="M23" s="10">
        <v>0</v>
      </c>
      <c r="N23" s="6" t="s">
        <v>1621</v>
      </c>
      <c r="O23" s="6">
        <v>1</v>
      </c>
    </row>
    <row r="24" spans="1:15" ht="30" customHeight="1" x14ac:dyDescent="0.2">
      <c r="A24" s="6">
        <v>23</v>
      </c>
      <c r="B24" s="6" t="s">
        <v>1048</v>
      </c>
      <c r="C24" s="6" t="s">
        <v>1054</v>
      </c>
      <c r="D24" s="6" t="s">
        <v>1658</v>
      </c>
      <c r="E24" s="8">
        <v>66000</v>
      </c>
      <c r="F24" s="6"/>
      <c r="G24" s="9">
        <v>32.520217895507813</v>
      </c>
      <c r="H24" s="9">
        <v>29.958652744538703</v>
      </c>
      <c r="I24" s="6" t="s">
        <v>1639</v>
      </c>
      <c r="J24" s="6" t="s">
        <v>1650</v>
      </c>
      <c r="K24" s="6" t="s">
        <v>56</v>
      </c>
      <c r="L24" s="6" t="s">
        <v>1629</v>
      </c>
      <c r="M24" s="10">
        <v>7.5999999999999998E-2</v>
      </c>
      <c r="N24" s="6" t="s">
        <v>1621</v>
      </c>
      <c r="O24" s="6">
        <v>1</v>
      </c>
    </row>
    <row r="25" spans="1:15" ht="30" customHeight="1" x14ac:dyDescent="0.2">
      <c r="A25" s="6">
        <v>24</v>
      </c>
      <c r="B25" s="6" t="s">
        <v>615</v>
      </c>
      <c r="C25" s="6" t="s">
        <v>618</v>
      </c>
      <c r="D25" s="6" t="s">
        <v>1659</v>
      </c>
      <c r="E25" s="8">
        <v>14564</v>
      </c>
      <c r="F25" s="6"/>
      <c r="G25" s="9">
        <v>42.733554840087891</v>
      </c>
      <c r="H25" s="9">
        <v>12.985824071305602</v>
      </c>
      <c r="I25" s="6" t="s">
        <v>1639</v>
      </c>
      <c r="J25" s="6" t="s">
        <v>1660</v>
      </c>
      <c r="K25" s="6" t="s">
        <v>56</v>
      </c>
      <c r="L25" s="6" t="s">
        <v>1620</v>
      </c>
      <c r="M25" s="10">
        <v>0</v>
      </c>
      <c r="N25" s="6" t="s">
        <v>1621</v>
      </c>
      <c r="O25" s="6">
        <v>1</v>
      </c>
    </row>
    <row r="26" spans="1:15" ht="30" customHeight="1" x14ac:dyDescent="0.2">
      <c r="A26" s="6">
        <v>25</v>
      </c>
      <c r="B26" s="6" t="s">
        <v>518</v>
      </c>
      <c r="C26" s="6" t="s">
        <v>523</v>
      </c>
      <c r="D26" s="6" t="s">
        <v>1661</v>
      </c>
      <c r="E26" s="8">
        <v>10000</v>
      </c>
      <c r="F26" s="6"/>
      <c r="G26" s="9">
        <v>19.598751068115234</v>
      </c>
      <c r="H26" s="9">
        <v>30.401454577394574</v>
      </c>
      <c r="I26" s="6" t="s">
        <v>1662</v>
      </c>
      <c r="J26" s="6" t="s">
        <v>1663</v>
      </c>
      <c r="K26" s="6" t="s">
        <v>56</v>
      </c>
      <c r="L26" s="6" t="s">
        <v>1620</v>
      </c>
      <c r="M26" s="10">
        <v>0</v>
      </c>
      <c r="N26" s="6" t="s">
        <v>1621</v>
      </c>
      <c r="O26" s="6">
        <v>1</v>
      </c>
    </row>
    <row r="27" spans="1:15" ht="30" customHeight="1" x14ac:dyDescent="0.2">
      <c r="A27" s="6">
        <v>26</v>
      </c>
      <c r="B27" s="6" t="s">
        <v>518</v>
      </c>
      <c r="C27" s="6" t="s">
        <v>523</v>
      </c>
      <c r="D27" s="6" t="s">
        <v>1664</v>
      </c>
      <c r="E27" s="8">
        <v>220000</v>
      </c>
      <c r="F27" s="6"/>
      <c r="G27" s="9">
        <v>18.574705123901367</v>
      </c>
      <c r="H27" s="9">
        <v>30.477008961167435</v>
      </c>
      <c r="I27" s="6" t="s">
        <v>1665</v>
      </c>
      <c r="J27" s="6" t="s">
        <v>1666</v>
      </c>
      <c r="K27" s="6" t="s">
        <v>56</v>
      </c>
      <c r="L27" s="6" t="s">
        <v>1620</v>
      </c>
      <c r="M27" s="10">
        <v>0</v>
      </c>
      <c r="N27" s="6" t="s">
        <v>1621</v>
      </c>
      <c r="O27" s="6">
        <v>1</v>
      </c>
    </row>
    <row r="28" spans="1:15" ht="30" customHeight="1" x14ac:dyDescent="0.2">
      <c r="A28" s="6">
        <v>27</v>
      </c>
      <c r="B28" s="6" t="s">
        <v>518</v>
      </c>
      <c r="C28" s="6" t="s">
        <v>523</v>
      </c>
      <c r="D28" s="6" t="s">
        <v>1667</v>
      </c>
      <c r="E28" s="8">
        <v>10000</v>
      </c>
      <c r="F28" s="6"/>
      <c r="G28" s="9">
        <v>21.603326797485352</v>
      </c>
      <c r="H28" s="9">
        <v>27.584524238036646</v>
      </c>
      <c r="I28" s="6" t="s">
        <v>1665</v>
      </c>
      <c r="J28" s="6" t="s">
        <v>1666</v>
      </c>
      <c r="K28" s="6" t="s">
        <v>56</v>
      </c>
      <c r="L28" s="6" t="s">
        <v>1620</v>
      </c>
      <c r="M28" s="10">
        <v>0</v>
      </c>
      <c r="N28" s="6" t="s">
        <v>1621</v>
      </c>
      <c r="O28" s="6">
        <v>1</v>
      </c>
    </row>
    <row r="29" spans="1:15" ht="30" customHeight="1" x14ac:dyDescent="0.2">
      <c r="A29" s="6">
        <v>28</v>
      </c>
      <c r="B29" s="6" t="s">
        <v>518</v>
      </c>
      <c r="C29" s="6" t="s">
        <v>523</v>
      </c>
      <c r="D29" s="6" t="s">
        <v>1668</v>
      </c>
      <c r="E29" s="8">
        <v>20000</v>
      </c>
      <c r="F29" s="6"/>
      <c r="G29" s="9">
        <v>23.975687026977539</v>
      </c>
      <c r="H29" s="9">
        <v>32.044896322563055</v>
      </c>
      <c r="I29" s="6" t="s">
        <v>1665</v>
      </c>
      <c r="J29" s="6" t="s">
        <v>1666</v>
      </c>
      <c r="K29" s="6" t="s">
        <v>56</v>
      </c>
      <c r="L29" s="6" t="s">
        <v>1620</v>
      </c>
      <c r="M29" s="10">
        <v>0</v>
      </c>
      <c r="N29" s="6" t="s">
        <v>1621</v>
      </c>
      <c r="O29" s="6">
        <v>1</v>
      </c>
    </row>
    <row r="30" spans="1:15" ht="30" customHeight="1" x14ac:dyDescent="0.2">
      <c r="A30" s="6">
        <v>29</v>
      </c>
      <c r="B30" s="6" t="s">
        <v>518</v>
      </c>
      <c r="C30" s="6" t="s">
        <v>523</v>
      </c>
      <c r="D30" s="6" t="s">
        <v>1669</v>
      </c>
      <c r="E30" s="8">
        <v>120000</v>
      </c>
      <c r="F30" s="6"/>
      <c r="G30" s="9">
        <v>12.696676254272461</v>
      </c>
      <c r="H30" s="9">
        <v>32.786192169343067</v>
      </c>
      <c r="I30" s="6" t="s">
        <v>1665</v>
      </c>
      <c r="J30" s="6" t="s">
        <v>1666</v>
      </c>
      <c r="K30" s="6" t="s">
        <v>56</v>
      </c>
      <c r="L30" s="6" t="s">
        <v>1620</v>
      </c>
      <c r="M30" s="10">
        <v>0</v>
      </c>
      <c r="N30" s="6" t="s">
        <v>1621</v>
      </c>
      <c r="O30" s="6">
        <v>1</v>
      </c>
    </row>
    <row r="31" spans="1:15" ht="30" customHeight="1" x14ac:dyDescent="0.2">
      <c r="A31" s="6">
        <v>30</v>
      </c>
      <c r="B31" s="6" t="s">
        <v>232</v>
      </c>
      <c r="C31" s="6" t="s">
        <v>238</v>
      </c>
      <c r="D31" s="6" t="s">
        <v>1670</v>
      </c>
      <c r="E31" s="8">
        <v>104900</v>
      </c>
      <c r="F31" s="6"/>
      <c r="G31" s="9">
        <v>-7.4251270294189453</v>
      </c>
      <c r="H31" s="9">
        <v>33.682282446659841</v>
      </c>
      <c r="I31" s="6"/>
      <c r="J31" s="6"/>
      <c r="K31" s="6" t="s">
        <v>56</v>
      </c>
      <c r="L31" s="6" t="s">
        <v>1620</v>
      </c>
      <c r="M31" s="10">
        <v>0</v>
      </c>
      <c r="N31" s="6" t="s">
        <v>1621</v>
      </c>
      <c r="O31" s="6">
        <v>1</v>
      </c>
    </row>
    <row r="32" spans="1:15" ht="30" customHeight="1" x14ac:dyDescent="0.2">
      <c r="A32" s="6">
        <v>31</v>
      </c>
      <c r="B32" s="6" t="s">
        <v>232</v>
      </c>
      <c r="C32" s="6" t="s">
        <v>238</v>
      </c>
      <c r="D32" s="6" t="s">
        <v>1671</v>
      </c>
      <c r="E32" s="8">
        <v>50000</v>
      </c>
      <c r="F32" s="6"/>
      <c r="G32" s="9">
        <v>-5.7276535034179688</v>
      </c>
      <c r="H32" s="9">
        <v>34.227770909406246</v>
      </c>
      <c r="I32" s="6"/>
      <c r="J32" s="6"/>
      <c r="K32" s="6" t="s">
        <v>56</v>
      </c>
      <c r="L32" s="6" t="s">
        <v>1620</v>
      </c>
      <c r="M32" s="10">
        <v>0</v>
      </c>
      <c r="N32" s="6" t="s">
        <v>1621</v>
      </c>
      <c r="O32" s="6">
        <v>1</v>
      </c>
    </row>
    <row r="33" spans="1:15" ht="30" customHeight="1" x14ac:dyDescent="0.2">
      <c r="A33" s="6">
        <v>32</v>
      </c>
      <c r="B33" s="6" t="s">
        <v>603</v>
      </c>
      <c r="C33" s="6" t="s">
        <v>609</v>
      </c>
      <c r="D33" s="6" t="s">
        <v>1672</v>
      </c>
      <c r="E33" s="8">
        <v>50000</v>
      </c>
      <c r="F33" s="6"/>
      <c r="G33" s="9">
        <v>32.29680061340332</v>
      </c>
      <c r="H33" s="9">
        <v>16.980867974349032</v>
      </c>
      <c r="I33" s="6" t="s">
        <v>1673</v>
      </c>
      <c r="J33" s="6" t="s">
        <v>1674</v>
      </c>
      <c r="K33" s="6" t="s">
        <v>56</v>
      </c>
      <c r="L33" s="6" t="s">
        <v>1620</v>
      </c>
      <c r="M33" s="10">
        <v>0</v>
      </c>
      <c r="N33" s="6" t="s">
        <v>1621</v>
      </c>
      <c r="O33" s="6">
        <v>1</v>
      </c>
    </row>
    <row r="34" spans="1:15" ht="30" customHeight="1" x14ac:dyDescent="0.2">
      <c r="A34" s="6">
        <v>33</v>
      </c>
      <c r="B34" s="6" t="s">
        <v>603</v>
      </c>
      <c r="C34" s="6" t="s">
        <v>609</v>
      </c>
      <c r="D34" s="6" t="s">
        <v>1675</v>
      </c>
      <c r="E34" s="8">
        <v>70000</v>
      </c>
      <c r="F34" s="6"/>
      <c r="G34" s="9">
        <v>32.48408317565918</v>
      </c>
      <c r="H34" s="9">
        <v>15.531181450246212</v>
      </c>
      <c r="I34" s="6"/>
      <c r="J34" s="6" t="s">
        <v>1676</v>
      </c>
      <c r="K34" s="6" t="s">
        <v>56</v>
      </c>
      <c r="L34" s="6" t="s">
        <v>1620</v>
      </c>
      <c r="M34" s="10">
        <v>0</v>
      </c>
      <c r="N34" s="6" t="s">
        <v>1621</v>
      </c>
      <c r="O34" s="6">
        <v>1</v>
      </c>
    </row>
    <row r="35" spans="1:15" ht="30" customHeight="1" x14ac:dyDescent="0.2">
      <c r="A35" s="6">
        <v>34</v>
      </c>
      <c r="B35" s="6" t="s">
        <v>603</v>
      </c>
      <c r="C35" s="6" t="s">
        <v>609</v>
      </c>
      <c r="D35" s="6" t="s">
        <v>1677</v>
      </c>
      <c r="E35" s="8">
        <v>21700</v>
      </c>
      <c r="F35" s="6"/>
      <c r="G35" s="9">
        <v>37.234125137329102</v>
      </c>
      <c r="H35" s="9">
        <v>19.5559079637273</v>
      </c>
      <c r="I35" s="6" t="s">
        <v>1678</v>
      </c>
      <c r="J35" s="6" t="s">
        <v>1679</v>
      </c>
      <c r="K35" s="6" t="s">
        <v>56</v>
      </c>
      <c r="L35" s="6" t="s">
        <v>1620</v>
      </c>
      <c r="M35" s="10">
        <v>0</v>
      </c>
      <c r="N35" s="6" t="s">
        <v>1621</v>
      </c>
      <c r="O35" s="6">
        <v>1</v>
      </c>
    </row>
    <row r="36" spans="1:15" ht="30" customHeight="1" x14ac:dyDescent="0.2">
      <c r="A36" s="6">
        <v>35</v>
      </c>
      <c r="B36" s="6" t="s">
        <v>524</v>
      </c>
      <c r="C36" s="6" t="s">
        <v>529</v>
      </c>
      <c r="D36" s="6" t="s">
        <v>1680</v>
      </c>
      <c r="E36" s="8">
        <v>34000</v>
      </c>
      <c r="F36" s="6"/>
      <c r="G36" s="9">
        <v>9.8895835876464844</v>
      </c>
      <c r="H36" s="9">
        <v>37.256224508112417</v>
      </c>
      <c r="I36" s="6"/>
      <c r="J36" s="6" t="s">
        <v>1681</v>
      </c>
      <c r="K36" s="6" t="s">
        <v>56</v>
      </c>
      <c r="L36" s="6" t="s">
        <v>1620</v>
      </c>
      <c r="M36" s="10">
        <v>0</v>
      </c>
      <c r="N36" s="6" t="s">
        <v>1621</v>
      </c>
      <c r="O36" s="6">
        <v>1</v>
      </c>
    </row>
    <row r="37" spans="1:15" ht="30" customHeight="1" x14ac:dyDescent="0.2">
      <c r="A37" s="6">
        <v>36</v>
      </c>
      <c r="B37" s="6" t="s">
        <v>961</v>
      </c>
      <c r="C37" s="6" t="s">
        <v>966</v>
      </c>
      <c r="D37" s="6" t="s">
        <v>1682</v>
      </c>
      <c r="E37" s="8">
        <v>42000</v>
      </c>
      <c r="F37" s="6"/>
      <c r="G37" s="9">
        <v>9.1273212432861328</v>
      </c>
      <c r="H37" s="9">
        <v>4.0135040855276234</v>
      </c>
      <c r="I37" s="6"/>
      <c r="J37" s="6" t="s">
        <v>1683</v>
      </c>
      <c r="K37" s="6" t="s">
        <v>56</v>
      </c>
      <c r="L37" s="6" t="s">
        <v>1629</v>
      </c>
      <c r="M37" s="10">
        <v>0.41299999999999998</v>
      </c>
      <c r="N37" s="6" t="s">
        <v>1621</v>
      </c>
      <c r="O37" s="6">
        <v>1</v>
      </c>
    </row>
    <row r="38" spans="1:15" ht="30" customHeight="1" x14ac:dyDescent="0.2">
      <c r="A38" s="6">
        <v>37</v>
      </c>
      <c r="B38" s="6" t="s">
        <v>992</v>
      </c>
      <c r="C38" s="6" t="s">
        <v>997</v>
      </c>
      <c r="D38" s="6" t="s">
        <v>1684</v>
      </c>
      <c r="E38" s="8">
        <v>45000</v>
      </c>
      <c r="F38" s="6"/>
      <c r="G38" s="9">
        <v>5.321502685546875E-3</v>
      </c>
      <c r="H38" s="9">
        <v>5.6681743081094629</v>
      </c>
      <c r="I38" s="6" t="s">
        <v>1639</v>
      </c>
      <c r="J38" s="6" t="s">
        <v>1685</v>
      </c>
      <c r="K38" s="6" t="s">
        <v>56</v>
      </c>
      <c r="L38" s="6" t="s">
        <v>1620</v>
      </c>
      <c r="M38" s="10">
        <v>0</v>
      </c>
      <c r="N38" s="6" t="s">
        <v>1621</v>
      </c>
      <c r="O38" s="6">
        <v>1</v>
      </c>
    </row>
    <row r="39" spans="1:15" ht="30" customHeight="1" x14ac:dyDescent="0.2">
      <c r="A39" s="6">
        <v>38</v>
      </c>
      <c r="B39" s="6" t="s">
        <v>666</v>
      </c>
      <c r="C39" s="6" t="s">
        <v>671</v>
      </c>
      <c r="D39" s="6" t="s">
        <v>1686</v>
      </c>
      <c r="E39" s="8">
        <v>70000</v>
      </c>
      <c r="F39" s="6"/>
      <c r="G39" s="9">
        <v>-3.9924144744873047</v>
      </c>
      <c r="H39" s="9">
        <v>5.2597686564856945</v>
      </c>
      <c r="I39" s="6" t="s">
        <v>1639</v>
      </c>
      <c r="J39" s="6" t="s">
        <v>1687</v>
      </c>
      <c r="K39" s="6" t="s">
        <v>56</v>
      </c>
      <c r="L39" s="6" t="s">
        <v>1620</v>
      </c>
      <c r="M39" s="10">
        <v>0</v>
      </c>
      <c r="N39" s="6" t="s">
        <v>1621</v>
      </c>
      <c r="O39" s="6">
        <v>1</v>
      </c>
    </row>
    <row r="40" spans="1:15" ht="30" customHeight="1" x14ac:dyDescent="0.2">
      <c r="A40" s="6">
        <v>39</v>
      </c>
      <c r="B40" s="6" t="s">
        <v>591</v>
      </c>
      <c r="C40" s="6" t="s">
        <v>596</v>
      </c>
      <c r="D40" s="6" t="s">
        <v>1688</v>
      </c>
      <c r="E40" s="8">
        <v>15000</v>
      </c>
      <c r="F40" s="6"/>
      <c r="G40" s="9">
        <v>-10.72789192199707</v>
      </c>
      <c r="H40" s="9">
        <v>6.3327014519431017</v>
      </c>
      <c r="I40" s="6" t="s">
        <v>1639</v>
      </c>
      <c r="J40" s="6" t="s">
        <v>1689</v>
      </c>
      <c r="K40" s="6" t="s">
        <v>56</v>
      </c>
      <c r="L40" s="6" t="s">
        <v>1620</v>
      </c>
      <c r="M40" s="10">
        <v>0</v>
      </c>
      <c r="N40" s="6" t="s">
        <v>1621</v>
      </c>
      <c r="O40" s="6">
        <v>1</v>
      </c>
    </row>
    <row r="41" spans="1:15" ht="30" customHeight="1" x14ac:dyDescent="0.2">
      <c r="A41" s="6">
        <v>40</v>
      </c>
      <c r="B41" s="6" t="s">
        <v>690</v>
      </c>
      <c r="C41" s="6" t="s">
        <v>695</v>
      </c>
      <c r="D41" s="6" t="s">
        <v>1690</v>
      </c>
      <c r="E41" s="8">
        <v>150000</v>
      </c>
      <c r="F41" s="6"/>
      <c r="G41" s="9">
        <v>7.1054935455322266</v>
      </c>
      <c r="H41" s="9">
        <v>4.7600064892481262</v>
      </c>
      <c r="I41" s="6" t="s">
        <v>1639</v>
      </c>
      <c r="J41" s="6" t="s">
        <v>1691</v>
      </c>
      <c r="K41" s="6" t="s">
        <v>56</v>
      </c>
      <c r="L41" s="6" t="s">
        <v>1620</v>
      </c>
      <c r="M41" s="10">
        <v>0</v>
      </c>
      <c r="N41" s="6" t="s">
        <v>1621</v>
      </c>
      <c r="O41" s="6">
        <v>1</v>
      </c>
    </row>
    <row r="42" spans="1:15" ht="30" customHeight="1" x14ac:dyDescent="0.2">
      <c r="A42" s="6">
        <v>41</v>
      </c>
      <c r="B42" s="6" t="s">
        <v>690</v>
      </c>
      <c r="C42" s="6" t="s">
        <v>695</v>
      </c>
      <c r="D42" s="6" t="s">
        <v>1692</v>
      </c>
      <c r="E42" s="8">
        <v>110000</v>
      </c>
      <c r="F42" s="6"/>
      <c r="G42" s="9">
        <v>7.4906158447265625</v>
      </c>
      <c r="H42" s="9">
        <v>10.411592236867618</v>
      </c>
      <c r="I42" s="6" t="s">
        <v>1639</v>
      </c>
      <c r="J42" s="6" t="s">
        <v>1691</v>
      </c>
      <c r="K42" s="6" t="s">
        <v>56</v>
      </c>
      <c r="L42" s="6" t="s">
        <v>1620</v>
      </c>
      <c r="M42" s="10">
        <v>0</v>
      </c>
      <c r="N42" s="6" t="s">
        <v>1621</v>
      </c>
      <c r="O42" s="6">
        <v>1</v>
      </c>
    </row>
    <row r="43" spans="1:15" ht="30" customHeight="1" x14ac:dyDescent="0.2">
      <c r="A43" s="6">
        <v>42</v>
      </c>
      <c r="B43" s="6" t="s">
        <v>690</v>
      </c>
      <c r="C43" s="6" t="s">
        <v>695</v>
      </c>
      <c r="D43" s="6" t="s">
        <v>1693</v>
      </c>
      <c r="E43" s="8">
        <v>60000</v>
      </c>
      <c r="F43" s="6"/>
      <c r="G43" s="9">
        <v>7.09991455078125</v>
      </c>
      <c r="H43" s="9">
        <v>4.8346741751761044</v>
      </c>
      <c r="I43" s="6" t="s">
        <v>1639</v>
      </c>
      <c r="J43" s="6" t="s">
        <v>1691</v>
      </c>
      <c r="K43" s="6" t="s">
        <v>56</v>
      </c>
      <c r="L43" s="6" t="s">
        <v>1620</v>
      </c>
      <c r="M43" s="10">
        <v>0</v>
      </c>
      <c r="N43" s="6" t="s">
        <v>1621</v>
      </c>
      <c r="O43" s="6">
        <v>1</v>
      </c>
    </row>
    <row r="44" spans="1:15" ht="30" customHeight="1" x14ac:dyDescent="0.2">
      <c r="A44" s="6">
        <v>43</v>
      </c>
      <c r="B44" s="6" t="s">
        <v>690</v>
      </c>
      <c r="C44" s="6" t="s">
        <v>695</v>
      </c>
      <c r="D44" s="6" t="s">
        <v>1694</v>
      </c>
      <c r="E44" s="8">
        <v>125000</v>
      </c>
      <c r="F44" s="6"/>
      <c r="G44" s="9">
        <v>5.7168388366699219</v>
      </c>
      <c r="H44" s="9">
        <v>5.5678931048841855</v>
      </c>
      <c r="I44" s="6" t="s">
        <v>1639</v>
      </c>
      <c r="J44" s="6" t="s">
        <v>1691</v>
      </c>
      <c r="K44" s="6" t="s">
        <v>56</v>
      </c>
      <c r="L44" s="6" t="s">
        <v>1620</v>
      </c>
      <c r="M44" s="10">
        <v>0</v>
      </c>
      <c r="N44" s="6" t="s">
        <v>1621</v>
      </c>
      <c r="O44" s="6">
        <v>1</v>
      </c>
    </row>
    <row r="45" spans="1:15" ht="30" customHeight="1" x14ac:dyDescent="0.2">
      <c r="A45" s="6">
        <v>44</v>
      </c>
      <c r="B45" s="6" t="s">
        <v>684</v>
      </c>
      <c r="C45" s="6" t="s">
        <v>689</v>
      </c>
      <c r="D45" s="6" t="s">
        <v>1695</v>
      </c>
      <c r="E45" s="8">
        <v>27000</v>
      </c>
      <c r="F45" s="6"/>
      <c r="G45" s="9">
        <v>-17.348098754882813</v>
      </c>
      <c r="H45" s="9">
        <v>14.740686816554593</v>
      </c>
      <c r="I45" s="6"/>
      <c r="J45" s="6"/>
      <c r="K45" s="6" t="s">
        <v>56</v>
      </c>
      <c r="L45" s="6" t="s">
        <v>1620</v>
      </c>
      <c r="M45" s="10">
        <v>0</v>
      </c>
      <c r="N45" s="6" t="s">
        <v>1621</v>
      </c>
      <c r="O45" s="6">
        <v>1</v>
      </c>
    </row>
    <row r="46" spans="1:15" ht="30" customHeight="1" x14ac:dyDescent="0.2">
      <c r="A46" s="6">
        <v>45</v>
      </c>
      <c r="B46" s="6" t="s">
        <v>579</v>
      </c>
      <c r="C46" s="6" t="s">
        <v>584</v>
      </c>
      <c r="D46" s="6" t="s">
        <v>1696</v>
      </c>
      <c r="E46" s="8">
        <v>10000</v>
      </c>
      <c r="F46" s="6"/>
      <c r="G46" s="9">
        <v>-13.190975189208984</v>
      </c>
      <c r="H46" s="9">
        <v>8.4778903546192872</v>
      </c>
      <c r="I46" s="6" t="s">
        <v>1639</v>
      </c>
      <c r="J46" s="6" t="s">
        <v>1697</v>
      </c>
      <c r="K46" s="6" t="s">
        <v>56</v>
      </c>
      <c r="L46" s="6" t="s">
        <v>1620</v>
      </c>
      <c r="M46" s="10">
        <v>0</v>
      </c>
      <c r="N46" s="6" t="s">
        <v>1621</v>
      </c>
      <c r="O46" s="6">
        <v>1</v>
      </c>
    </row>
    <row r="47" spans="1:15" ht="30" customHeight="1" x14ac:dyDescent="0.2">
      <c r="A47" s="6">
        <v>46</v>
      </c>
      <c r="B47" s="6" t="s">
        <v>702</v>
      </c>
      <c r="C47" s="6" t="s">
        <v>707</v>
      </c>
      <c r="D47" s="6" t="s">
        <v>1698</v>
      </c>
      <c r="E47" s="8">
        <v>39000</v>
      </c>
      <c r="F47" s="6"/>
      <c r="G47" s="9">
        <v>13.462972640991211</v>
      </c>
      <c r="H47" s="9">
        <v>-8.8360535684917192</v>
      </c>
      <c r="I47" s="6" t="s">
        <v>1699</v>
      </c>
      <c r="J47" s="6" t="s">
        <v>1700</v>
      </c>
      <c r="K47" s="6" t="s">
        <v>56</v>
      </c>
      <c r="L47" s="6" t="s">
        <v>1620</v>
      </c>
      <c r="M47" s="10">
        <v>0</v>
      </c>
      <c r="N47" s="6" t="s">
        <v>1621</v>
      </c>
      <c r="O47" s="6">
        <v>1</v>
      </c>
    </row>
    <row r="48" spans="1:15" ht="30" customHeight="1" x14ac:dyDescent="0.2">
      <c r="A48" s="6">
        <v>47</v>
      </c>
      <c r="B48" s="6" t="s">
        <v>258</v>
      </c>
      <c r="C48" s="6" t="s">
        <v>263</v>
      </c>
      <c r="D48" s="6" t="s">
        <v>1701</v>
      </c>
      <c r="E48" s="8">
        <v>21000</v>
      </c>
      <c r="F48" s="6"/>
      <c r="G48" s="9">
        <v>11.834335327148438</v>
      </c>
      <c r="H48" s="9">
        <v>-4.7891731890630727</v>
      </c>
      <c r="I48" s="6" t="s">
        <v>1639</v>
      </c>
      <c r="J48" s="6" t="s">
        <v>1702</v>
      </c>
      <c r="K48" s="6" t="s">
        <v>56</v>
      </c>
      <c r="L48" s="6" t="s">
        <v>1620</v>
      </c>
      <c r="M48" s="10">
        <v>0</v>
      </c>
      <c r="N48" s="6" t="s">
        <v>1621</v>
      </c>
      <c r="O48" s="6">
        <v>1</v>
      </c>
    </row>
    <row r="49" spans="1:15" ht="30" customHeight="1" x14ac:dyDescent="0.2">
      <c r="A49" s="6">
        <v>48</v>
      </c>
      <c r="B49" s="6" t="s">
        <v>967</v>
      </c>
      <c r="C49" s="6" t="s">
        <v>973</v>
      </c>
      <c r="D49" s="6" t="s">
        <v>1703</v>
      </c>
      <c r="E49" s="8">
        <v>21000</v>
      </c>
      <c r="F49" s="6"/>
      <c r="G49" s="9">
        <v>8.7676048278808594</v>
      </c>
      <c r="H49" s="9">
        <v>-0.6888605093453225</v>
      </c>
      <c r="I49" s="6" t="s">
        <v>1704</v>
      </c>
      <c r="J49" s="6" t="s">
        <v>1705</v>
      </c>
      <c r="K49" s="6" t="s">
        <v>56</v>
      </c>
      <c r="L49" s="6" t="s">
        <v>1620</v>
      </c>
      <c r="M49" s="10">
        <v>0</v>
      </c>
      <c r="N49" s="6" t="s">
        <v>1621</v>
      </c>
      <c r="O49" s="6">
        <v>1</v>
      </c>
    </row>
    <row r="50" spans="1:15" ht="30" customHeight="1" x14ac:dyDescent="0.2">
      <c r="A50" s="6">
        <v>49</v>
      </c>
      <c r="B50" s="6" t="s">
        <v>169</v>
      </c>
      <c r="C50" s="6" t="s">
        <v>175</v>
      </c>
      <c r="D50" s="6" t="s">
        <v>1706</v>
      </c>
      <c r="E50" s="8">
        <v>90000</v>
      </c>
      <c r="F50" s="6"/>
      <c r="G50" s="9">
        <v>39.651975631713867</v>
      </c>
      <c r="H50" s="9">
        <v>-4.0575116759469401</v>
      </c>
      <c r="I50" s="6" t="s">
        <v>1639</v>
      </c>
      <c r="J50" s="6" t="s">
        <v>1707</v>
      </c>
      <c r="K50" s="6" t="s">
        <v>56</v>
      </c>
      <c r="L50" s="6" t="s">
        <v>1629</v>
      </c>
      <c r="M50" s="10">
        <v>1.3480000000000001</v>
      </c>
      <c r="N50" s="6" t="s">
        <v>1621</v>
      </c>
      <c r="O50" s="6">
        <v>1</v>
      </c>
    </row>
    <row r="51" spans="1:15" ht="30" customHeight="1" x14ac:dyDescent="0.2">
      <c r="A51" s="6">
        <v>50</v>
      </c>
      <c r="B51" s="6" t="s">
        <v>299</v>
      </c>
      <c r="C51" s="6" t="s">
        <v>305</v>
      </c>
      <c r="D51" s="6" t="s">
        <v>1708</v>
      </c>
      <c r="E51" s="8">
        <v>112000</v>
      </c>
      <c r="F51" s="6"/>
      <c r="G51" s="9">
        <v>18.530158996582031</v>
      </c>
      <c r="H51" s="9">
        <v>-33.841049225265877</v>
      </c>
      <c r="I51" s="6" t="s">
        <v>1627</v>
      </c>
      <c r="J51" s="6" t="s">
        <v>1709</v>
      </c>
      <c r="K51" s="6" t="s">
        <v>56</v>
      </c>
      <c r="L51" s="6" t="s">
        <v>1620</v>
      </c>
      <c r="M51" s="10">
        <v>0</v>
      </c>
      <c r="N51" s="6" t="s">
        <v>1621</v>
      </c>
      <c r="O51" s="6">
        <v>1</v>
      </c>
    </row>
    <row r="52" spans="1:15" ht="30" customHeight="1" x14ac:dyDescent="0.2">
      <c r="A52" s="6">
        <v>51</v>
      </c>
      <c r="B52" s="6" t="s">
        <v>299</v>
      </c>
      <c r="C52" s="6" t="s">
        <v>305</v>
      </c>
      <c r="D52" s="6" t="s">
        <v>1710</v>
      </c>
      <c r="E52" s="8">
        <v>125000</v>
      </c>
      <c r="F52" s="6"/>
      <c r="G52" s="9">
        <v>31.022129058837891</v>
      </c>
      <c r="H52" s="9">
        <v>-29.893489853668736</v>
      </c>
      <c r="I52" s="6"/>
      <c r="J52" s="6" t="s">
        <v>1711</v>
      </c>
      <c r="K52" s="6" t="s">
        <v>56</v>
      </c>
      <c r="L52" s="6" t="s">
        <v>1629</v>
      </c>
      <c r="M52" s="10">
        <v>2E-3</v>
      </c>
      <c r="N52" s="6" t="s">
        <v>1621</v>
      </c>
      <c r="O52" s="6">
        <v>1</v>
      </c>
    </row>
    <row r="53" spans="1:15" ht="30" customHeight="1" x14ac:dyDescent="0.2">
      <c r="A53" s="6">
        <v>52</v>
      </c>
      <c r="B53" s="6" t="s">
        <v>299</v>
      </c>
      <c r="C53" s="6" t="s">
        <v>305</v>
      </c>
      <c r="D53" s="6" t="s">
        <v>1712</v>
      </c>
      <c r="E53" s="8">
        <v>87500</v>
      </c>
      <c r="F53" s="6"/>
      <c r="G53" s="9">
        <v>27.855920791625977</v>
      </c>
      <c r="H53" s="9">
        <v>-26.806299349453557</v>
      </c>
      <c r="I53" s="6"/>
      <c r="J53" s="6" t="s">
        <v>1713</v>
      </c>
      <c r="K53" s="6" t="s">
        <v>56</v>
      </c>
      <c r="L53" s="6" t="s">
        <v>1620</v>
      </c>
      <c r="M53" s="10">
        <v>0</v>
      </c>
      <c r="N53" s="6" t="s">
        <v>1621</v>
      </c>
      <c r="O53" s="6">
        <v>1</v>
      </c>
    </row>
    <row r="54" spans="1:15" ht="30" customHeight="1" x14ac:dyDescent="0.2">
      <c r="A54" s="6">
        <v>53</v>
      </c>
      <c r="B54" s="6" t="s">
        <v>299</v>
      </c>
      <c r="C54" s="6" t="s">
        <v>305</v>
      </c>
      <c r="D54" s="6" t="s">
        <v>1714</v>
      </c>
      <c r="E54" s="8">
        <v>172000</v>
      </c>
      <c r="F54" s="6"/>
      <c r="G54" s="9">
        <v>31.034660339355469</v>
      </c>
      <c r="H54" s="9">
        <v>-29.889397153326495</v>
      </c>
      <c r="I54" s="6" t="s">
        <v>1715</v>
      </c>
      <c r="J54" s="6" t="s">
        <v>1716</v>
      </c>
      <c r="K54" s="6" t="s">
        <v>56</v>
      </c>
      <c r="L54" s="6" t="s">
        <v>1629</v>
      </c>
      <c r="M54" s="10">
        <v>4.4999999999999998E-2</v>
      </c>
      <c r="N54" s="6" t="s">
        <v>1621</v>
      </c>
      <c r="O54" s="6">
        <v>1</v>
      </c>
    </row>
    <row r="55" spans="1:15" ht="30" customHeight="1" x14ac:dyDescent="0.2">
      <c r="A55" s="6">
        <v>54</v>
      </c>
      <c r="B55" s="6" t="s">
        <v>183</v>
      </c>
      <c r="C55" s="6" t="s">
        <v>189</v>
      </c>
      <c r="D55" s="6" t="s">
        <v>1717</v>
      </c>
      <c r="E55" s="8">
        <v>14900</v>
      </c>
      <c r="F55" s="6"/>
      <c r="G55" s="9">
        <v>39.309253692626953</v>
      </c>
      <c r="H55" s="9">
        <v>-6.8442827957118517</v>
      </c>
      <c r="I55" s="6"/>
      <c r="J55" s="6" t="s">
        <v>1718</v>
      </c>
      <c r="K55" s="6" t="s">
        <v>56</v>
      </c>
      <c r="L55" s="6" t="s">
        <v>1620</v>
      </c>
      <c r="M55" s="10">
        <v>0</v>
      </c>
      <c r="N55" s="6" t="s">
        <v>1621</v>
      </c>
      <c r="O55" s="6">
        <v>1</v>
      </c>
    </row>
    <row r="56" spans="1:15" ht="30" customHeight="1" x14ac:dyDescent="0.2">
      <c r="A56" s="6">
        <v>55</v>
      </c>
      <c r="B56" s="6" t="s">
        <v>573</v>
      </c>
      <c r="C56" s="6" t="s">
        <v>578</v>
      </c>
      <c r="D56" s="6" t="s">
        <v>1719</v>
      </c>
      <c r="E56" s="8">
        <v>23750</v>
      </c>
      <c r="F56" s="6"/>
      <c r="G56" s="9">
        <v>28.6798095703125</v>
      </c>
      <c r="H56" s="9">
        <v>-13.039177864782015</v>
      </c>
      <c r="I56" s="6" t="s">
        <v>1639</v>
      </c>
      <c r="J56" s="6" t="s">
        <v>1720</v>
      </c>
      <c r="K56" s="6" t="s">
        <v>56</v>
      </c>
      <c r="L56" s="6" t="s">
        <v>1620</v>
      </c>
      <c r="M56" s="10">
        <v>0</v>
      </c>
      <c r="N56" s="6" t="s">
        <v>1621</v>
      </c>
      <c r="O56" s="6">
        <v>1</v>
      </c>
    </row>
    <row r="57" spans="1:15" ht="30" customHeight="1" x14ac:dyDescent="0.2">
      <c r="A57" s="6">
        <v>56</v>
      </c>
      <c r="B57" s="6" t="s">
        <v>855</v>
      </c>
      <c r="C57" s="6" t="s">
        <v>860</v>
      </c>
      <c r="D57" s="6" t="s">
        <v>1721</v>
      </c>
      <c r="E57" s="8">
        <v>33000</v>
      </c>
      <c r="F57" s="6"/>
      <c r="G57" s="9">
        <v>91.804676055908203</v>
      </c>
      <c r="H57" s="9">
        <v>22.266778296709635</v>
      </c>
      <c r="I57" s="6"/>
      <c r="J57" s="6" t="s">
        <v>1722</v>
      </c>
      <c r="K57" s="6" t="s">
        <v>56</v>
      </c>
      <c r="L57" s="6" t="s">
        <v>1620</v>
      </c>
      <c r="M57" s="10">
        <v>0</v>
      </c>
      <c r="N57" s="6" t="s">
        <v>1621</v>
      </c>
      <c r="O57" s="6">
        <v>1</v>
      </c>
    </row>
    <row r="58" spans="1:15" ht="30" customHeight="1" x14ac:dyDescent="0.2">
      <c r="A58" s="6">
        <v>57</v>
      </c>
      <c r="B58" s="6" t="s">
        <v>808</v>
      </c>
      <c r="C58" s="6" t="s">
        <v>812</v>
      </c>
      <c r="D58" s="6" t="s">
        <v>1723</v>
      </c>
      <c r="E58" s="8">
        <v>8600</v>
      </c>
      <c r="F58" s="6"/>
      <c r="G58" s="9">
        <v>114.34329986572266</v>
      </c>
      <c r="H58" s="9">
        <v>4.6196299342536848</v>
      </c>
      <c r="I58" s="6"/>
      <c r="J58" s="6" t="s">
        <v>1724</v>
      </c>
      <c r="K58" s="6" t="s">
        <v>56</v>
      </c>
      <c r="L58" s="6" t="s">
        <v>1629</v>
      </c>
      <c r="M58" s="10">
        <v>0.32900000000000001</v>
      </c>
      <c r="N58" s="6" t="s">
        <v>1621</v>
      </c>
      <c r="O58" s="6">
        <v>1</v>
      </c>
    </row>
    <row r="59" spans="1:15" ht="30" customHeight="1" x14ac:dyDescent="0.2">
      <c r="A59" s="6">
        <v>58</v>
      </c>
      <c r="B59" s="6" t="s">
        <v>122</v>
      </c>
      <c r="C59" s="6" t="s">
        <v>128</v>
      </c>
      <c r="D59" s="6" t="s">
        <v>1725</v>
      </c>
      <c r="E59" s="8">
        <v>186000</v>
      </c>
      <c r="F59" s="6"/>
      <c r="G59" s="9">
        <v>124.03890609741211</v>
      </c>
      <c r="H59" s="9">
        <v>41.83471754414515</v>
      </c>
      <c r="I59" s="6"/>
      <c r="J59" s="6" t="s">
        <v>1726</v>
      </c>
      <c r="K59" s="6" t="s">
        <v>56</v>
      </c>
      <c r="L59" s="6" t="s">
        <v>1620</v>
      </c>
      <c r="M59" s="10">
        <v>0</v>
      </c>
      <c r="N59" s="6" t="s">
        <v>1621</v>
      </c>
      <c r="O59" s="6">
        <v>1</v>
      </c>
    </row>
    <row r="60" spans="1:15" ht="30" customHeight="1" x14ac:dyDescent="0.2">
      <c r="A60" s="6">
        <v>59</v>
      </c>
      <c r="B60" s="6" t="s">
        <v>122</v>
      </c>
      <c r="C60" s="6" t="s">
        <v>128</v>
      </c>
      <c r="D60" s="6" t="s">
        <v>1727</v>
      </c>
      <c r="E60" s="8">
        <v>100000</v>
      </c>
      <c r="F60" s="6"/>
      <c r="G60" s="9">
        <v>126.73785209655762</v>
      </c>
      <c r="H60" s="9">
        <v>45.755966270459105</v>
      </c>
      <c r="I60" s="6"/>
      <c r="J60" s="6" t="s">
        <v>1726</v>
      </c>
      <c r="K60" s="6" t="s">
        <v>56</v>
      </c>
      <c r="L60" s="6" t="s">
        <v>1620</v>
      </c>
      <c r="M60" s="10">
        <v>0</v>
      </c>
      <c r="N60" s="6" t="s">
        <v>1621</v>
      </c>
      <c r="O60" s="6">
        <v>1</v>
      </c>
    </row>
    <row r="61" spans="1:15" ht="30" customHeight="1" x14ac:dyDescent="0.2">
      <c r="A61" s="6">
        <v>60</v>
      </c>
      <c r="B61" s="6" t="s">
        <v>122</v>
      </c>
      <c r="C61" s="6" t="s">
        <v>128</v>
      </c>
      <c r="D61" s="6" t="s">
        <v>1728</v>
      </c>
      <c r="E61" s="8">
        <v>160000</v>
      </c>
      <c r="F61" s="6"/>
      <c r="G61" s="9">
        <v>124.82125282287598</v>
      </c>
      <c r="H61" s="9">
        <v>46.571665688301145</v>
      </c>
      <c r="I61" s="6"/>
      <c r="J61" s="6" t="s">
        <v>1726</v>
      </c>
      <c r="K61" s="6" t="s">
        <v>56</v>
      </c>
      <c r="L61" s="6" t="s">
        <v>1620</v>
      </c>
      <c r="M61" s="10">
        <v>0</v>
      </c>
      <c r="N61" s="6" t="s">
        <v>1621</v>
      </c>
      <c r="O61" s="6">
        <v>1</v>
      </c>
    </row>
    <row r="62" spans="1:15" ht="30" customHeight="1" x14ac:dyDescent="0.2">
      <c r="A62" s="6">
        <v>61</v>
      </c>
      <c r="B62" s="6" t="s">
        <v>122</v>
      </c>
      <c r="C62" s="6" t="s">
        <v>128</v>
      </c>
      <c r="D62" s="6" t="s">
        <v>1729</v>
      </c>
      <c r="E62" s="8">
        <v>122000</v>
      </c>
      <c r="F62" s="6"/>
      <c r="G62" s="9">
        <v>124.82717514038086</v>
      </c>
      <c r="H62" s="9">
        <v>46.561575061201729</v>
      </c>
      <c r="I62" s="6"/>
      <c r="J62" s="6" t="s">
        <v>1726</v>
      </c>
      <c r="K62" s="6" t="s">
        <v>56</v>
      </c>
      <c r="L62" s="6" t="s">
        <v>1620</v>
      </c>
      <c r="M62" s="10">
        <v>0</v>
      </c>
      <c r="N62" s="6" t="s">
        <v>1621</v>
      </c>
      <c r="O62" s="6">
        <v>1</v>
      </c>
    </row>
    <row r="63" spans="1:15" ht="30" customHeight="1" x14ac:dyDescent="0.2">
      <c r="A63" s="6">
        <v>62</v>
      </c>
      <c r="B63" s="6" t="s">
        <v>122</v>
      </c>
      <c r="C63" s="6" t="s">
        <v>128</v>
      </c>
      <c r="D63" s="6" t="s">
        <v>1730</v>
      </c>
      <c r="E63" s="8">
        <v>115000</v>
      </c>
      <c r="F63" s="6"/>
      <c r="G63" s="9">
        <v>126.48190498352051</v>
      </c>
      <c r="H63" s="9">
        <v>43.97298979118731</v>
      </c>
      <c r="I63" s="6"/>
      <c r="J63" s="6" t="s">
        <v>1726</v>
      </c>
      <c r="K63" s="6" t="s">
        <v>56</v>
      </c>
      <c r="L63" s="6" t="s">
        <v>1620</v>
      </c>
      <c r="M63" s="10">
        <v>0</v>
      </c>
      <c r="N63" s="6" t="s">
        <v>1621</v>
      </c>
      <c r="O63" s="6">
        <v>1</v>
      </c>
    </row>
    <row r="64" spans="1:15" ht="30" customHeight="1" x14ac:dyDescent="0.2">
      <c r="A64" s="6">
        <v>63</v>
      </c>
      <c r="B64" s="6" t="s">
        <v>122</v>
      </c>
      <c r="C64" s="6" t="s">
        <v>128</v>
      </c>
      <c r="D64" s="6" t="s">
        <v>1731</v>
      </c>
      <c r="E64" s="8">
        <v>26000</v>
      </c>
      <c r="F64" s="6"/>
      <c r="G64" s="9">
        <v>126.5983772277832</v>
      </c>
      <c r="H64" s="9">
        <v>43.91155913922745</v>
      </c>
      <c r="I64" s="6"/>
      <c r="J64" s="6" t="s">
        <v>1726</v>
      </c>
      <c r="K64" s="6" t="s">
        <v>56</v>
      </c>
      <c r="L64" s="6" t="s">
        <v>1620</v>
      </c>
      <c r="M64" s="10">
        <v>0</v>
      </c>
      <c r="N64" s="6" t="s">
        <v>1621</v>
      </c>
      <c r="O64" s="6">
        <v>1</v>
      </c>
    </row>
    <row r="65" spans="1:15" ht="30" customHeight="1" x14ac:dyDescent="0.2">
      <c r="A65" s="6">
        <v>64</v>
      </c>
      <c r="B65" s="6" t="s">
        <v>122</v>
      </c>
      <c r="C65" s="6" t="s">
        <v>128</v>
      </c>
      <c r="D65" s="6" t="s">
        <v>1732</v>
      </c>
      <c r="E65" s="8">
        <v>112000</v>
      </c>
      <c r="F65" s="6"/>
      <c r="G65" s="9">
        <v>121.04504585266113</v>
      </c>
      <c r="H65" s="9">
        <v>40.834008679700474</v>
      </c>
      <c r="I65" s="6"/>
      <c r="J65" s="6" t="s">
        <v>1726</v>
      </c>
      <c r="K65" s="6" t="s">
        <v>56</v>
      </c>
      <c r="L65" s="6" t="s">
        <v>1620</v>
      </c>
      <c r="M65" s="10">
        <v>0</v>
      </c>
      <c r="N65" s="6" t="s">
        <v>1621</v>
      </c>
      <c r="O65" s="6">
        <v>1</v>
      </c>
    </row>
    <row r="66" spans="1:15" ht="30" customHeight="1" x14ac:dyDescent="0.2">
      <c r="A66" s="6">
        <v>65</v>
      </c>
      <c r="B66" s="6" t="s">
        <v>122</v>
      </c>
      <c r="C66" s="6" t="s">
        <v>128</v>
      </c>
      <c r="D66" s="6" t="s">
        <v>1733</v>
      </c>
      <c r="E66" s="8">
        <v>112000</v>
      </c>
      <c r="F66" s="6"/>
      <c r="G66" s="9">
        <v>120.98247528076172</v>
      </c>
      <c r="H66" s="9">
        <v>41.051654061078736</v>
      </c>
      <c r="I66" s="6"/>
      <c r="J66" s="6" t="s">
        <v>1726</v>
      </c>
      <c r="K66" s="6" t="s">
        <v>56</v>
      </c>
      <c r="L66" s="6" t="s">
        <v>1620</v>
      </c>
      <c r="M66" s="10">
        <v>0</v>
      </c>
      <c r="N66" s="6" t="s">
        <v>1621</v>
      </c>
      <c r="O66" s="6">
        <v>1</v>
      </c>
    </row>
    <row r="67" spans="1:15" ht="30" customHeight="1" x14ac:dyDescent="0.2">
      <c r="A67" s="6">
        <v>66</v>
      </c>
      <c r="B67" s="6" t="s">
        <v>122</v>
      </c>
      <c r="C67" s="6" t="s">
        <v>128</v>
      </c>
      <c r="D67" s="6" t="s">
        <v>1734</v>
      </c>
      <c r="E67" s="8">
        <v>50000</v>
      </c>
      <c r="F67" s="6"/>
      <c r="G67" s="9">
        <v>123.21939468383789</v>
      </c>
      <c r="H67" s="9">
        <v>41.199323141276068</v>
      </c>
      <c r="I67" s="6"/>
      <c r="J67" s="6" t="s">
        <v>1726</v>
      </c>
      <c r="K67" s="6" t="s">
        <v>56</v>
      </c>
      <c r="L67" s="6" t="s">
        <v>1620</v>
      </c>
      <c r="M67" s="10">
        <v>0</v>
      </c>
      <c r="N67" s="6" t="s">
        <v>1621</v>
      </c>
      <c r="O67" s="6">
        <v>1</v>
      </c>
    </row>
    <row r="68" spans="1:15" ht="30" customHeight="1" x14ac:dyDescent="0.2">
      <c r="A68" s="6">
        <v>67</v>
      </c>
      <c r="B68" s="6" t="s">
        <v>122</v>
      </c>
      <c r="C68" s="6" t="s">
        <v>128</v>
      </c>
      <c r="D68" s="6" t="s">
        <v>1735</v>
      </c>
      <c r="E68" s="8">
        <v>150000</v>
      </c>
      <c r="F68" s="6"/>
      <c r="G68" s="9">
        <v>123.21510314941406</v>
      </c>
      <c r="H68" s="9">
        <v>41.213529409790354</v>
      </c>
      <c r="I68" s="6"/>
      <c r="J68" s="6" t="s">
        <v>1726</v>
      </c>
      <c r="K68" s="6" t="s">
        <v>56</v>
      </c>
      <c r="L68" s="6" t="s">
        <v>1620</v>
      </c>
      <c r="M68" s="10">
        <v>0</v>
      </c>
      <c r="N68" s="6" t="s">
        <v>1621</v>
      </c>
      <c r="O68" s="6">
        <v>1</v>
      </c>
    </row>
    <row r="69" spans="1:15" ht="30" customHeight="1" x14ac:dyDescent="0.2">
      <c r="A69" s="6">
        <v>68</v>
      </c>
      <c r="B69" s="6" t="s">
        <v>122</v>
      </c>
      <c r="C69" s="6" t="s">
        <v>128</v>
      </c>
      <c r="D69" s="6" t="s">
        <v>1736</v>
      </c>
      <c r="E69" s="8">
        <v>90000</v>
      </c>
      <c r="F69" s="6"/>
      <c r="G69" s="9">
        <v>121.99098587036133</v>
      </c>
      <c r="H69" s="9">
        <v>41.1953835843102</v>
      </c>
      <c r="I69" s="6"/>
      <c r="J69" s="6" t="s">
        <v>1726</v>
      </c>
      <c r="K69" s="6" t="s">
        <v>56</v>
      </c>
      <c r="L69" s="6" t="s">
        <v>1620</v>
      </c>
      <c r="M69" s="10">
        <v>0</v>
      </c>
      <c r="N69" s="6" t="s">
        <v>1621</v>
      </c>
      <c r="O69" s="6">
        <v>1</v>
      </c>
    </row>
    <row r="70" spans="1:15" ht="30" customHeight="1" x14ac:dyDescent="0.2">
      <c r="A70" s="6">
        <v>69</v>
      </c>
      <c r="B70" s="6" t="s">
        <v>122</v>
      </c>
      <c r="C70" s="6" t="s">
        <v>128</v>
      </c>
      <c r="D70" s="6" t="s">
        <v>1737</v>
      </c>
      <c r="E70" s="8">
        <v>112000</v>
      </c>
      <c r="F70" s="6"/>
      <c r="G70" s="9">
        <v>103.60819816589355</v>
      </c>
      <c r="H70" s="9">
        <v>36.125951308687583</v>
      </c>
      <c r="I70" s="6"/>
      <c r="J70" s="6" t="s">
        <v>1726</v>
      </c>
      <c r="K70" s="6" t="s">
        <v>56</v>
      </c>
      <c r="L70" s="6" t="s">
        <v>1620</v>
      </c>
      <c r="M70" s="10">
        <v>0</v>
      </c>
      <c r="N70" s="6" t="s">
        <v>1621</v>
      </c>
      <c r="O70" s="6">
        <v>1</v>
      </c>
    </row>
    <row r="71" spans="1:15" ht="30" customHeight="1" x14ac:dyDescent="0.2">
      <c r="A71" s="6">
        <v>70</v>
      </c>
      <c r="B71" s="6" t="s">
        <v>122</v>
      </c>
      <c r="C71" s="6" t="s">
        <v>128</v>
      </c>
      <c r="D71" s="6" t="s">
        <v>1738</v>
      </c>
      <c r="E71" s="8">
        <v>20000</v>
      </c>
      <c r="F71" s="6"/>
      <c r="G71" s="9">
        <v>101.78738594055176</v>
      </c>
      <c r="H71" s="9">
        <v>36.618627731767624</v>
      </c>
      <c r="I71" s="6"/>
      <c r="J71" s="6" t="s">
        <v>1726</v>
      </c>
      <c r="K71" s="6" t="s">
        <v>56</v>
      </c>
      <c r="L71" s="6" t="s">
        <v>1620</v>
      </c>
      <c r="M71" s="10">
        <v>0</v>
      </c>
      <c r="N71" s="6" t="s">
        <v>1621</v>
      </c>
      <c r="O71" s="6">
        <v>1</v>
      </c>
    </row>
    <row r="72" spans="1:15" ht="30" customHeight="1" x14ac:dyDescent="0.2">
      <c r="A72" s="6">
        <v>71</v>
      </c>
      <c r="B72" s="6" t="s">
        <v>122</v>
      </c>
      <c r="C72" s="6" t="s">
        <v>128</v>
      </c>
      <c r="D72" s="6" t="s">
        <v>1739</v>
      </c>
      <c r="E72" s="8">
        <v>100000</v>
      </c>
      <c r="F72" s="6"/>
      <c r="G72" s="9">
        <v>87.362422943115234</v>
      </c>
      <c r="H72" s="9">
        <v>43.863433320014458</v>
      </c>
      <c r="I72" s="6"/>
      <c r="J72" s="6" t="s">
        <v>1726</v>
      </c>
      <c r="K72" s="6" t="s">
        <v>56</v>
      </c>
      <c r="L72" s="6" t="s">
        <v>1620</v>
      </c>
      <c r="M72" s="10">
        <v>0</v>
      </c>
      <c r="N72" s="6" t="s">
        <v>1621</v>
      </c>
      <c r="O72" s="6">
        <v>1</v>
      </c>
    </row>
    <row r="73" spans="1:15" ht="30" customHeight="1" x14ac:dyDescent="0.2">
      <c r="A73" s="6">
        <v>72</v>
      </c>
      <c r="B73" s="6" t="s">
        <v>122</v>
      </c>
      <c r="C73" s="6" t="s">
        <v>128</v>
      </c>
      <c r="D73" s="6" t="s">
        <v>1740</v>
      </c>
      <c r="E73" s="8">
        <v>120000</v>
      </c>
      <c r="F73" s="6"/>
      <c r="G73" s="9">
        <v>108.75872611999512</v>
      </c>
      <c r="H73" s="9">
        <v>34.361080318074855</v>
      </c>
      <c r="I73" s="6"/>
      <c r="J73" s="6" t="s">
        <v>1726</v>
      </c>
      <c r="K73" s="6" t="s">
        <v>56</v>
      </c>
      <c r="L73" s="6" t="s">
        <v>1620</v>
      </c>
      <c r="M73" s="10">
        <v>0</v>
      </c>
      <c r="N73" s="6" t="s">
        <v>1621</v>
      </c>
      <c r="O73" s="6">
        <v>1</v>
      </c>
    </row>
    <row r="74" spans="1:15" ht="30" customHeight="1" x14ac:dyDescent="0.2">
      <c r="A74" s="6">
        <v>73</v>
      </c>
      <c r="B74" s="6" t="s">
        <v>122</v>
      </c>
      <c r="C74" s="6" t="s">
        <v>128</v>
      </c>
      <c r="D74" s="6" t="s">
        <v>1741</v>
      </c>
      <c r="E74" s="8">
        <v>60000</v>
      </c>
      <c r="F74" s="6"/>
      <c r="G74" s="9">
        <v>108.76396179199219</v>
      </c>
      <c r="H74" s="9">
        <v>34.360371785255232</v>
      </c>
      <c r="I74" s="6"/>
      <c r="J74" s="6" t="s">
        <v>1726</v>
      </c>
      <c r="K74" s="6" t="s">
        <v>56</v>
      </c>
      <c r="L74" s="6" t="s">
        <v>1620</v>
      </c>
      <c r="M74" s="10">
        <v>0</v>
      </c>
      <c r="N74" s="6" t="s">
        <v>1621</v>
      </c>
      <c r="O74" s="6">
        <v>1</v>
      </c>
    </row>
    <row r="75" spans="1:15" ht="30" customHeight="1" x14ac:dyDescent="0.2">
      <c r="A75" s="6">
        <v>74</v>
      </c>
      <c r="B75" s="6" t="s">
        <v>122</v>
      </c>
      <c r="C75" s="6" t="s">
        <v>128</v>
      </c>
      <c r="D75" s="6" t="s">
        <v>1742</v>
      </c>
      <c r="E75" s="8">
        <v>70000</v>
      </c>
      <c r="F75" s="6"/>
      <c r="G75" s="9">
        <v>87.374696731567383</v>
      </c>
      <c r="H75" s="9">
        <v>43.862938251010803</v>
      </c>
      <c r="I75" s="6"/>
      <c r="J75" s="6" t="s">
        <v>1726</v>
      </c>
      <c r="K75" s="6" t="s">
        <v>56</v>
      </c>
      <c r="L75" s="6" t="s">
        <v>1620</v>
      </c>
      <c r="M75" s="10">
        <v>0</v>
      </c>
      <c r="N75" s="6" t="s">
        <v>1621</v>
      </c>
      <c r="O75" s="6">
        <v>1</v>
      </c>
    </row>
    <row r="76" spans="1:15" ht="30" customHeight="1" x14ac:dyDescent="0.2">
      <c r="A76" s="6">
        <v>75</v>
      </c>
      <c r="B76" s="6" t="s">
        <v>122</v>
      </c>
      <c r="C76" s="6" t="s">
        <v>128</v>
      </c>
      <c r="D76" s="6" t="s">
        <v>1743</v>
      </c>
      <c r="E76" s="8">
        <v>50000</v>
      </c>
      <c r="F76" s="6"/>
      <c r="G76" s="9">
        <v>87.376670837402344</v>
      </c>
      <c r="H76" s="9">
        <v>43.870240101910248</v>
      </c>
      <c r="I76" s="6"/>
      <c r="J76" s="6" t="s">
        <v>1726</v>
      </c>
      <c r="K76" s="6" t="s">
        <v>56</v>
      </c>
      <c r="L76" s="6" t="s">
        <v>1620</v>
      </c>
      <c r="M76" s="10">
        <v>0</v>
      </c>
      <c r="N76" s="6" t="s">
        <v>1621</v>
      </c>
      <c r="O76" s="6">
        <v>1</v>
      </c>
    </row>
    <row r="77" spans="1:15" ht="30" customHeight="1" x14ac:dyDescent="0.2">
      <c r="A77" s="6">
        <v>76</v>
      </c>
      <c r="B77" s="6" t="s">
        <v>122</v>
      </c>
      <c r="C77" s="6" t="s">
        <v>128</v>
      </c>
      <c r="D77" s="6" t="s">
        <v>1744</v>
      </c>
      <c r="E77" s="8">
        <v>45000</v>
      </c>
      <c r="F77" s="6"/>
      <c r="G77" s="9">
        <v>106.06123924255371</v>
      </c>
      <c r="H77" s="9">
        <v>38.479461864253068</v>
      </c>
      <c r="I77" s="6"/>
      <c r="J77" s="6" t="s">
        <v>1726</v>
      </c>
      <c r="K77" s="6" t="s">
        <v>56</v>
      </c>
      <c r="L77" s="6" t="s">
        <v>1620</v>
      </c>
      <c r="M77" s="10">
        <v>0</v>
      </c>
      <c r="N77" s="6" t="s">
        <v>1621</v>
      </c>
      <c r="O77" s="6">
        <v>1</v>
      </c>
    </row>
    <row r="78" spans="1:15" ht="30" customHeight="1" x14ac:dyDescent="0.2">
      <c r="A78" s="6">
        <v>77</v>
      </c>
      <c r="B78" s="6" t="s">
        <v>122</v>
      </c>
      <c r="C78" s="6" t="s">
        <v>128</v>
      </c>
      <c r="D78" s="6" t="s">
        <v>1745</v>
      </c>
      <c r="E78" s="8">
        <v>50000</v>
      </c>
      <c r="F78" s="6"/>
      <c r="G78" s="9">
        <v>97.55859375</v>
      </c>
      <c r="H78" s="9">
        <v>39.824753920976597</v>
      </c>
      <c r="I78" s="6"/>
      <c r="J78" s="6" t="s">
        <v>1726</v>
      </c>
      <c r="K78" s="6" t="s">
        <v>56</v>
      </c>
      <c r="L78" s="6" t="s">
        <v>1620</v>
      </c>
      <c r="M78" s="10">
        <v>0</v>
      </c>
      <c r="N78" s="6" t="s">
        <v>1621</v>
      </c>
      <c r="O78" s="6">
        <v>1</v>
      </c>
    </row>
    <row r="79" spans="1:15" ht="30" customHeight="1" x14ac:dyDescent="0.2">
      <c r="A79" s="6">
        <v>78</v>
      </c>
      <c r="B79" s="6" t="s">
        <v>122</v>
      </c>
      <c r="C79" s="6" t="s">
        <v>128</v>
      </c>
      <c r="D79" s="6" t="s">
        <v>1746</v>
      </c>
      <c r="E79" s="8">
        <v>100000</v>
      </c>
      <c r="F79" s="6"/>
      <c r="G79" s="9">
        <v>112.51956939697266</v>
      </c>
      <c r="H79" s="9">
        <v>34.700554027503763</v>
      </c>
      <c r="I79" s="6" t="s">
        <v>1747</v>
      </c>
      <c r="J79" s="6" t="s">
        <v>1748</v>
      </c>
      <c r="K79" s="6" t="s">
        <v>56</v>
      </c>
      <c r="L79" s="6" t="s">
        <v>1620</v>
      </c>
      <c r="M79" s="10">
        <v>0</v>
      </c>
      <c r="N79" s="6" t="s">
        <v>1621</v>
      </c>
      <c r="O79" s="6">
        <v>1</v>
      </c>
    </row>
    <row r="80" spans="1:15" ht="30" customHeight="1" x14ac:dyDescent="0.2">
      <c r="A80" s="6">
        <v>79</v>
      </c>
      <c r="B80" s="6" t="s">
        <v>122</v>
      </c>
      <c r="C80" s="6" t="s">
        <v>128</v>
      </c>
      <c r="D80" s="6" t="s">
        <v>1749</v>
      </c>
      <c r="E80" s="8">
        <v>50000</v>
      </c>
      <c r="F80" s="6"/>
      <c r="G80" s="9">
        <v>108.88575553894043</v>
      </c>
      <c r="H80" s="9">
        <v>34.249625447830383</v>
      </c>
      <c r="I80" s="6" t="s">
        <v>1747</v>
      </c>
      <c r="J80" s="6" t="s">
        <v>1748</v>
      </c>
      <c r="K80" s="6" t="s">
        <v>56</v>
      </c>
      <c r="L80" s="6" t="s">
        <v>1620</v>
      </c>
      <c r="M80" s="10">
        <v>0</v>
      </c>
      <c r="N80" s="6" t="s">
        <v>1621</v>
      </c>
      <c r="O80" s="6">
        <v>1</v>
      </c>
    </row>
    <row r="81" spans="1:15" ht="30" customHeight="1" x14ac:dyDescent="0.2">
      <c r="A81" s="6">
        <v>80</v>
      </c>
      <c r="B81" s="6" t="s">
        <v>122</v>
      </c>
      <c r="C81" s="6" t="s">
        <v>128</v>
      </c>
      <c r="D81" s="6" t="s">
        <v>1750</v>
      </c>
      <c r="E81" s="8">
        <v>100000</v>
      </c>
      <c r="F81" s="6"/>
      <c r="G81" s="9">
        <v>84.863805770874023</v>
      </c>
      <c r="H81" s="9">
        <v>44.363992179849596</v>
      </c>
      <c r="I81" s="6" t="s">
        <v>1747</v>
      </c>
      <c r="J81" s="6" t="s">
        <v>1748</v>
      </c>
      <c r="K81" s="6" t="s">
        <v>56</v>
      </c>
      <c r="L81" s="6" t="s">
        <v>1620</v>
      </c>
      <c r="M81" s="10">
        <v>0</v>
      </c>
      <c r="N81" s="6" t="s">
        <v>1621</v>
      </c>
      <c r="O81" s="6">
        <v>1</v>
      </c>
    </row>
    <row r="82" spans="1:15" ht="30" customHeight="1" x14ac:dyDescent="0.2">
      <c r="A82" s="6">
        <v>81</v>
      </c>
      <c r="B82" s="6" t="s">
        <v>122</v>
      </c>
      <c r="C82" s="6" t="s">
        <v>128</v>
      </c>
      <c r="D82" s="6" t="s">
        <v>1751</v>
      </c>
      <c r="E82" s="8">
        <v>144000</v>
      </c>
      <c r="F82" s="6"/>
      <c r="G82" s="9">
        <v>121.84447288513184</v>
      </c>
      <c r="H82" s="9">
        <v>38.984832635433648</v>
      </c>
      <c r="I82" s="6"/>
      <c r="J82" s="6" t="s">
        <v>1726</v>
      </c>
      <c r="K82" s="6" t="s">
        <v>56</v>
      </c>
      <c r="L82" s="6" t="s">
        <v>1620</v>
      </c>
      <c r="M82" s="10">
        <v>0</v>
      </c>
      <c r="N82" s="6" t="s">
        <v>1621</v>
      </c>
      <c r="O82" s="6">
        <v>1</v>
      </c>
    </row>
    <row r="83" spans="1:15" ht="30" customHeight="1" x14ac:dyDescent="0.2">
      <c r="A83" s="6">
        <v>82</v>
      </c>
      <c r="B83" s="6" t="s">
        <v>122</v>
      </c>
      <c r="C83" s="6" t="s">
        <v>128</v>
      </c>
      <c r="D83" s="6" t="s">
        <v>1752</v>
      </c>
      <c r="E83" s="8">
        <v>60000</v>
      </c>
      <c r="F83" s="6"/>
      <c r="G83" s="9">
        <v>116.13012313842773</v>
      </c>
      <c r="H83" s="9">
        <v>38.734669720547984</v>
      </c>
      <c r="I83" s="6"/>
      <c r="J83" s="6" t="s">
        <v>1726</v>
      </c>
      <c r="K83" s="6" t="s">
        <v>56</v>
      </c>
      <c r="L83" s="6" t="s">
        <v>1620</v>
      </c>
      <c r="M83" s="10">
        <v>0</v>
      </c>
      <c r="N83" s="6" t="s">
        <v>1621</v>
      </c>
      <c r="O83" s="6">
        <v>1</v>
      </c>
    </row>
    <row r="84" spans="1:15" ht="30" customHeight="1" x14ac:dyDescent="0.2">
      <c r="A84" s="6">
        <v>83</v>
      </c>
      <c r="B84" s="6" t="s">
        <v>122</v>
      </c>
      <c r="C84" s="6" t="s">
        <v>128</v>
      </c>
      <c r="D84" s="6" t="s">
        <v>1753</v>
      </c>
      <c r="E84" s="8">
        <v>100000</v>
      </c>
      <c r="F84" s="6"/>
      <c r="G84" s="9">
        <v>117.00216293334961</v>
      </c>
      <c r="H84" s="9">
        <v>39.074777007900096</v>
      </c>
      <c r="I84" s="6"/>
      <c r="J84" s="6" t="s">
        <v>1726</v>
      </c>
      <c r="K84" s="6" t="s">
        <v>56</v>
      </c>
      <c r="L84" s="6" t="s">
        <v>1620</v>
      </c>
      <c r="M84" s="10">
        <v>0</v>
      </c>
      <c r="N84" s="6" t="s">
        <v>1621</v>
      </c>
      <c r="O84" s="6">
        <v>1</v>
      </c>
    </row>
    <row r="85" spans="1:15" ht="30" customHeight="1" x14ac:dyDescent="0.2">
      <c r="A85" s="6">
        <v>84</v>
      </c>
      <c r="B85" s="6" t="s">
        <v>122</v>
      </c>
      <c r="C85" s="6" t="s">
        <v>128</v>
      </c>
      <c r="D85" s="6" t="s">
        <v>1754</v>
      </c>
      <c r="E85" s="8">
        <v>165000</v>
      </c>
      <c r="F85" s="6"/>
      <c r="G85" s="9">
        <v>116.18634223937988</v>
      </c>
      <c r="H85" s="9">
        <v>39.9111846322687</v>
      </c>
      <c r="I85" s="6" t="s">
        <v>1747</v>
      </c>
      <c r="J85" s="6" t="s">
        <v>1748</v>
      </c>
      <c r="K85" s="6" t="s">
        <v>56</v>
      </c>
      <c r="L85" s="6" t="s">
        <v>1620</v>
      </c>
      <c r="M85" s="10">
        <v>0</v>
      </c>
      <c r="N85" s="6" t="s">
        <v>1621</v>
      </c>
      <c r="O85" s="6">
        <v>1</v>
      </c>
    </row>
    <row r="86" spans="1:15" ht="30" customHeight="1" x14ac:dyDescent="0.2">
      <c r="A86" s="6">
        <v>85</v>
      </c>
      <c r="B86" s="6" t="s">
        <v>122</v>
      </c>
      <c r="C86" s="6" t="s">
        <v>128</v>
      </c>
      <c r="D86" s="6" t="s">
        <v>1755</v>
      </c>
      <c r="E86" s="8">
        <v>70000</v>
      </c>
      <c r="F86" s="6"/>
      <c r="G86" s="9">
        <v>116.87436103820801</v>
      </c>
      <c r="H86" s="9">
        <v>38.33889605289832</v>
      </c>
      <c r="I86" s="6" t="s">
        <v>1747</v>
      </c>
      <c r="J86" s="6" t="s">
        <v>1748</v>
      </c>
      <c r="K86" s="6" t="s">
        <v>56</v>
      </c>
      <c r="L86" s="6" t="s">
        <v>1620</v>
      </c>
      <c r="M86" s="10">
        <v>0</v>
      </c>
      <c r="N86" s="6" t="s">
        <v>1621</v>
      </c>
      <c r="O86" s="6">
        <v>1</v>
      </c>
    </row>
    <row r="87" spans="1:15" ht="30" customHeight="1" x14ac:dyDescent="0.2">
      <c r="A87" s="6">
        <v>86</v>
      </c>
      <c r="B87" s="6" t="s">
        <v>122</v>
      </c>
      <c r="C87" s="6" t="s">
        <v>128</v>
      </c>
      <c r="D87" s="6" t="s">
        <v>1756</v>
      </c>
      <c r="E87" s="8">
        <v>21000</v>
      </c>
      <c r="F87" s="6"/>
      <c r="G87" s="9">
        <v>117.1772575378418</v>
      </c>
      <c r="H87" s="9">
        <v>36.737646036099697</v>
      </c>
      <c r="I87" s="6" t="s">
        <v>1747</v>
      </c>
      <c r="J87" s="6" t="s">
        <v>1748</v>
      </c>
      <c r="K87" s="6" t="s">
        <v>56</v>
      </c>
      <c r="L87" s="6" t="s">
        <v>1620</v>
      </c>
      <c r="M87" s="10">
        <v>0</v>
      </c>
      <c r="N87" s="6" t="s">
        <v>1621</v>
      </c>
      <c r="O87" s="6">
        <v>1</v>
      </c>
    </row>
    <row r="88" spans="1:15" ht="30" customHeight="1" x14ac:dyDescent="0.2">
      <c r="A88" s="6">
        <v>87</v>
      </c>
      <c r="B88" s="6" t="s">
        <v>122</v>
      </c>
      <c r="C88" s="6" t="s">
        <v>128</v>
      </c>
      <c r="D88" s="6" t="s">
        <v>1757</v>
      </c>
      <c r="E88" s="8">
        <v>50000</v>
      </c>
      <c r="F88" s="6"/>
      <c r="G88" s="9">
        <v>120.36234855651855</v>
      </c>
      <c r="H88" s="9">
        <v>36.213878482648092</v>
      </c>
      <c r="I88" s="6" t="s">
        <v>1747</v>
      </c>
      <c r="J88" s="6" t="s">
        <v>1748</v>
      </c>
      <c r="K88" s="6" t="s">
        <v>56</v>
      </c>
      <c r="L88" s="6" t="s">
        <v>1620</v>
      </c>
      <c r="M88" s="10">
        <v>0</v>
      </c>
      <c r="N88" s="6" t="s">
        <v>1621</v>
      </c>
      <c r="O88" s="6">
        <v>1</v>
      </c>
    </row>
    <row r="89" spans="1:15" ht="30" customHeight="1" x14ac:dyDescent="0.2">
      <c r="A89" s="6">
        <v>88</v>
      </c>
      <c r="B89" s="6" t="s">
        <v>122</v>
      </c>
      <c r="C89" s="6" t="s">
        <v>128</v>
      </c>
      <c r="D89" s="6" t="s">
        <v>1758</v>
      </c>
      <c r="E89" s="8">
        <v>195000</v>
      </c>
      <c r="F89" s="6"/>
      <c r="G89" s="9">
        <v>118.05710792541504</v>
      </c>
      <c r="H89" s="9">
        <v>36.765498192211851</v>
      </c>
      <c r="I89" s="6" t="s">
        <v>1747</v>
      </c>
      <c r="J89" s="6" t="s">
        <v>1748</v>
      </c>
      <c r="K89" s="6" t="s">
        <v>56</v>
      </c>
      <c r="L89" s="6" t="s">
        <v>1620</v>
      </c>
      <c r="M89" s="10">
        <v>0</v>
      </c>
      <c r="N89" s="6" t="s">
        <v>1621</v>
      </c>
      <c r="O89" s="6">
        <v>1</v>
      </c>
    </row>
    <row r="90" spans="1:15" ht="30" customHeight="1" x14ac:dyDescent="0.2">
      <c r="A90" s="6">
        <v>89</v>
      </c>
      <c r="B90" s="6" t="s">
        <v>122</v>
      </c>
      <c r="C90" s="6" t="s">
        <v>128</v>
      </c>
      <c r="D90" s="6" t="s">
        <v>1759</v>
      </c>
      <c r="E90" s="8">
        <v>100000</v>
      </c>
      <c r="F90" s="6"/>
      <c r="G90" s="9">
        <v>114.49530601501465</v>
      </c>
      <c r="H90" s="9">
        <v>38.042345596114274</v>
      </c>
      <c r="I90" s="6" t="s">
        <v>1747</v>
      </c>
      <c r="J90" s="6" t="s">
        <v>1748</v>
      </c>
      <c r="K90" s="6" t="s">
        <v>56</v>
      </c>
      <c r="L90" s="6" t="s">
        <v>1620</v>
      </c>
      <c r="M90" s="10">
        <v>0</v>
      </c>
      <c r="N90" s="6" t="s">
        <v>1621</v>
      </c>
      <c r="O90" s="6">
        <v>1</v>
      </c>
    </row>
    <row r="91" spans="1:15" ht="30" customHeight="1" x14ac:dyDescent="0.2">
      <c r="A91" s="6">
        <v>90</v>
      </c>
      <c r="B91" s="6" t="s">
        <v>122</v>
      </c>
      <c r="C91" s="6" t="s">
        <v>128</v>
      </c>
      <c r="D91" s="6" t="s">
        <v>1760</v>
      </c>
      <c r="E91" s="8">
        <v>100000</v>
      </c>
      <c r="F91" s="6"/>
      <c r="G91" s="9">
        <v>117.73335456848145</v>
      </c>
      <c r="H91" s="9">
        <v>38.975691779467354</v>
      </c>
      <c r="I91" s="6" t="s">
        <v>1747</v>
      </c>
      <c r="J91" s="6" t="s">
        <v>1748</v>
      </c>
      <c r="K91" s="6" t="s">
        <v>56</v>
      </c>
      <c r="L91" s="6" t="s">
        <v>1629</v>
      </c>
      <c r="M91" s="10">
        <v>0.88100000000000001</v>
      </c>
      <c r="N91" s="6" t="s">
        <v>1621</v>
      </c>
      <c r="O91" s="6">
        <v>1</v>
      </c>
    </row>
    <row r="92" spans="1:15" ht="30" customHeight="1" x14ac:dyDescent="0.2">
      <c r="A92" s="6">
        <v>91</v>
      </c>
      <c r="B92" s="6" t="s">
        <v>122</v>
      </c>
      <c r="C92" s="6" t="s">
        <v>128</v>
      </c>
      <c r="D92" s="6" t="s">
        <v>1761</v>
      </c>
      <c r="E92" s="8">
        <v>210000</v>
      </c>
      <c r="F92" s="6"/>
      <c r="G92" s="9">
        <v>118.17521095275879</v>
      </c>
      <c r="H92" s="9">
        <v>36.778354911230963</v>
      </c>
      <c r="I92" s="6" t="s">
        <v>1747</v>
      </c>
      <c r="J92" s="6" t="s">
        <v>1748</v>
      </c>
      <c r="K92" s="6" t="s">
        <v>56</v>
      </c>
      <c r="L92" s="6" t="s">
        <v>1620</v>
      </c>
      <c r="M92" s="10">
        <v>0</v>
      </c>
      <c r="N92" s="6" t="s">
        <v>1621</v>
      </c>
      <c r="O92" s="6">
        <v>1</v>
      </c>
    </row>
    <row r="93" spans="1:15" ht="30" customHeight="1" x14ac:dyDescent="0.2">
      <c r="A93" s="6">
        <v>92</v>
      </c>
      <c r="B93" s="6" t="s">
        <v>122</v>
      </c>
      <c r="C93" s="6" t="s">
        <v>128</v>
      </c>
      <c r="D93" s="6" t="s">
        <v>1762</v>
      </c>
      <c r="E93" s="8">
        <v>160000</v>
      </c>
      <c r="F93" s="6"/>
      <c r="G93" s="9">
        <v>121.88721656799316</v>
      </c>
      <c r="H93" s="9">
        <v>38.982097174538616</v>
      </c>
      <c r="I93" s="6"/>
      <c r="J93" s="6" t="s">
        <v>1763</v>
      </c>
      <c r="K93" s="6" t="s">
        <v>56</v>
      </c>
      <c r="L93" s="6" t="s">
        <v>1620</v>
      </c>
      <c r="M93" s="10">
        <v>0</v>
      </c>
      <c r="N93" s="6" t="s">
        <v>1621</v>
      </c>
      <c r="O93" s="6">
        <v>1</v>
      </c>
    </row>
    <row r="94" spans="1:15" ht="30" customHeight="1" x14ac:dyDescent="0.2">
      <c r="A94" s="6">
        <v>93</v>
      </c>
      <c r="B94" s="6" t="s">
        <v>122</v>
      </c>
      <c r="C94" s="6" t="s">
        <v>128</v>
      </c>
      <c r="D94" s="6" t="s">
        <v>1764</v>
      </c>
      <c r="E94" s="8">
        <v>24000</v>
      </c>
      <c r="F94" s="6"/>
      <c r="G94" s="9">
        <v>116.61661148071289</v>
      </c>
      <c r="H94" s="9">
        <v>31.770280602220971</v>
      </c>
      <c r="I94" s="6"/>
      <c r="J94" s="6" t="s">
        <v>1726</v>
      </c>
      <c r="K94" s="6" t="s">
        <v>56</v>
      </c>
      <c r="L94" s="6" t="s">
        <v>1620</v>
      </c>
      <c r="M94" s="10">
        <v>0</v>
      </c>
      <c r="N94" s="6" t="s">
        <v>1621</v>
      </c>
      <c r="O94" s="6">
        <v>1</v>
      </c>
    </row>
    <row r="95" spans="1:15" ht="30" customHeight="1" x14ac:dyDescent="0.2">
      <c r="A95" s="6">
        <v>94</v>
      </c>
      <c r="B95" s="6" t="s">
        <v>122</v>
      </c>
      <c r="C95" s="6" t="s">
        <v>128</v>
      </c>
      <c r="D95" s="6" t="s">
        <v>1765</v>
      </c>
      <c r="E95" s="8">
        <v>110000</v>
      </c>
      <c r="F95" s="6"/>
      <c r="G95" s="9">
        <v>117.01958656311035</v>
      </c>
      <c r="H95" s="9">
        <v>30.528627510914827</v>
      </c>
      <c r="I95" s="6" t="s">
        <v>1747</v>
      </c>
      <c r="J95" s="6" t="s">
        <v>1748</v>
      </c>
      <c r="K95" s="6" t="s">
        <v>56</v>
      </c>
      <c r="L95" s="6" t="s">
        <v>1620</v>
      </c>
      <c r="M95" s="10">
        <v>0</v>
      </c>
      <c r="N95" s="6" t="s">
        <v>1621</v>
      </c>
      <c r="O95" s="6">
        <v>1</v>
      </c>
    </row>
    <row r="96" spans="1:15" ht="30" customHeight="1" x14ac:dyDescent="0.2">
      <c r="A96" s="6">
        <v>95</v>
      </c>
      <c r="B96" s="6" t="s">
        <v>122</v>
      </c>
      <c r="C96" s="6" t="s">
        <v>128</v>
      </c>
      <c r="D96" s="6" t="s">
        <v>1766</v>
      </c>
      <c r="E96" s="8">
        <v>50000</v>
      </c>
      <c r="F96" s="6"/>
      <c r="G96" s="9">
        <v>118.9954948425293</v>
      </c>
      <c r="H96" s="9">
        <v>33.572007829517482</v>
      </c>
      <c r="I96" s="6" t="s">
        <v>1747</v>
      </c>
      <c r="J96" s="6" t="s">
        <v>1748</v>
      </c>
      <c r="K96" s="6" t="s">
        <v>56</v>
      </c>
      <c r="L96" s="6" t="s">
        <v>1620</v>
      </c>
      <c r="M96" s="10">
        <v>0</v>
      </c>
      <c r="N96" s="6" t="s">
        <v>1621</v>
      </c>
      <c r="O96" s="6">
        <v>1</v>
      </c>
    </row>
    <row r="97" spans="1:15" ht="30" customHeight="1" x14ac:dyDescent="0.2">
      <c r="A97" s="6">
        <v>96</v>
      </c>
      <c r="B97" s="6" t="s">
        <v>122</v>
      </c>
      <c r="C97" s="6" t="s">
        <v>128</v>
      </c>
      <c r="D97" s="6" t="s">
        <v>1767</v>
      </c>
      <c r="E97" s="8">
        <v>100000</v>
      </c>
      <c r="F97" s="6"/>
      <c r="G97" s="9">
        <v>112.18568801879883</v>
      </c>
      <c r="H97" s="9">
        <v>30.978050623504089</v>
      </c>
      <c r="I97" s="6" t="s">
        <v>1747</v>
      </c>
      <c r="J97" s="6" t="s">
        <v>1748</v>
      </c>
      <c r="K97" s="6" t="s">
        <v>56</v>
      </c>
      <c r="L97" s="6" t="s">
        <v>1620</v>
      </c>
      <c r="M97" s="10">
        <v>0</v>
      </c>
      <c r="N97" s="6" t="s">
        <v>1621</v>
      </c>
      <c r="O97" s="6">
        <v>1</v>
      </c>
    </row>
    <row r="98" spans="1:15" ht="30" customHeight="1" x14ac:dyDescent="0.2">
      <c r="A98" s="6">
        <v>97</v>
      </c>
      <c r="B98" s="6" t="s">
        <v>122</v>
      </c>
      <c r="C98" s="6" t="s">
        <v>128</v>
      </c>
      <c r="D98" s="6" t="s">
        <v>1768</v>
      </c>
      <c r="E98" s="8">
        <v>98000</v>
      </c>
      <c r="F98" s="6"/>
      <c r="G98" s="9">
        <v>116.0661792755127</v>
      </c>
      <c r="H98" s="9">
        <v>29.738967126626303</v>
      </c>
      <c r="I98" s="6" t="s">
        <v>1747</v>
      </c>
      <c r="J98" s="6" t="s">
        <v>1748</v>
      </c>
      <c r="K98" s="6" t="s">
        <v>56</v>
      </c>
      <c r="L98" s="6" t="s">
        <v>1620</v>
      </c>
      <c r="M98" s="10">
        <v>0</v>
      </c>
      <c r="N98" s="6" t="s">
        <v>1621</v>
      </c>
      <c r="O98" s="6">
        <v>1</v>
      </c>
    </row>
    <row r="99" spans="1:15" ht="30" customHeight="1" x14ac:dyDescent="0.2">
      <c r="A99" s="6">
        <v>98</v>
      </c>
      <c r="B99" s="6" t="s">
        <v>122</v>
      </c>
      <c r="C99" s="6" t="s">
        <v>128</v>
      </c>
      <c r="D99" s="6" t="s">
        <v>1769</v>
      </c>
      <c r="E99" s="8">
        <v>265000</v>
      </c>
      <c r="F99" s="6"/>
      <c r="G99" s="9">
        <v>118.78812789916992</v>
      </c>
      <c r="H99" s="9">
        <v>32.261950920502798</v>
      </c>
      <c r="I99" s="6" t="s">
        <v>1747</v>
      </c>
      <c r="J99" s="6" t="s">
        <v>1748</v>
      </c>
      <c r="K99" s="6" t="s">
        <v>56</v>
      </c>
      <c r="L99" s="6" t="s">
        <v>1620</v>
      </c>
      <c r="M99" s="10">
        <v>0</v>
      </c>
      <c r="N99" s="6" t="s">
        <v>1621</v>
      </c>
      <c r="O99" s="6">
        <v>1</v>
      </c>
    </row>
    <row r="100" spans="1:15" ht="30" customHeight="1" x14ac:dyDescent="0.2">
      <c r="A100" s="6">
        <v>99</v>
      </c>
      <c r="B100" s="6" t="s">
        <v>122</v>
      </c>
      <c r="C100" s="6" t="s">
        <v>128</v>
      </c>
      <c r="D100" s="6" t="s">
        <v>1770</v>
      </c>
      <c r="E100" s="8">
        <v>160000</v>
      </c>
      <c r="F100" s="6"/>
      <c r="G100" s="9">
        <v>118.80237579345703</v>
      </c>
      <c r="H100" s="9">
        <v>32.24438489838662</v>
      </c>
      <c r="I100" s="6" t="s">
        <v>1747</v>
      </c>
      <c r="J100" s="6" t="s">
        <v>1748</v>
      </c>
      <c r="K100" s="6" t="s">
        <v>56</v>
      </c>
      <c r="L100" s="6" t="s">
        <v>1620</v>
      </c>
      <c r="M100" s="10">
        <v>0</v>
      </c>
      <c r="N100" s="6" t="s">
        <v>1621</v>
      </c>
      <c r="O100" s="6">
        <v>1</v>
      </c>
    </row>
    <row r="101" spans="1:15" ht="30" customHeight="1" x14ac:dyDescent="0.2">
      <c r="A101" s="6">
        <v>100</v>
      </c>
      <c r="B101" s="6" t="s">
        <v>122</v>
      </c>
      <c r="C101" s="6" t="s">
        <v>128</v>
      </c>
      <c r="D101" s="6" t="s">
        <v>1771</v>
      </c>
      <c r="E101" s="8">
        <v>320000</v>
      </c>
      <c r="F101" s="6"/>
      <c r="G101" s="9">
        <v>121.53419494628906</v>
      </c>
      <c r="H101" s="9">
        <v>29.871015136473225</v>
      </c>
      <c r="I101" s="6" t="s">
        <v>1747</v>
      </c>
      <c r="J101" s="6" t="s">
        <v>1748</v>
      </c>
      <c r="K101" s="6" t="s">
        <v>56</v>
      </c>
      <c r="L101" s="6" t="s">
        <v>1620</v>
      </c>
      <c r="M101" s="10">
        <v>0</v>
      </c>
      <c r="N101" s="6" t="s">
        <v>1621</v>
      </c>
      <c r="O101" s="6">
        <v>1</v>
      </c>
    </row>
    <row r="102" spans="1:15" ht="30" customHeight="1" x14ac:dyDescent="0.2">
      <c r="A102" s="6">
        <v>101</v>
      </c>
      <c r="B102" s="6" t="s">
        <v>122</v>
      </c>
      <c r="C102" s="6" t="s">
        <v>128</v>
      </c>
      <c r="D102" s="6" t="s">
        <v>1772</v>
      </c>
      <c r="E102" s="8">
        <v>176000</v>
      </c>
      <c r="F102" s="6"/>
      <c r="G102" s="9">
        <v>121.42991065979004</v>
      </c>
      <c r="H102" s="9">
        <v>31.437890710712196</v>
      </c>
      <c r="I102" s="6" t="s">
        <v>1747</v>
      </c>
      <c r="J102" s="6" t="s">
        <v>1748</v>
      </c>
      <c r="K102" s="6" t="s">
        <v>56</v>
      </c>
      <c r="L102" s="6" t="s">
        <v>1620</v>
      </c>
      <c r="M102" s="10">
        <v>0</v>
      </c>
      <c r="N102" s="6" t="s">
        <v>1621</v>
      </c>
      <c r="O102" s="6">
        <v>1</v>
      </c>
    </row>
    <row r="103" spans="1:15" ht="30" customHeight="1" x14ac:dyDescent="0.2">
      <c r="A103" s="6">
        <v>102</v>
      </c>
      <c r="B103" s="6" t="s">
        <v>122</v>
      </c>
      <c r="C103" s="6" t="s">
        <v>128</v>
      </c>
      <c r="D103" s="6" t="s">
        <v>1773</v>
      </c>
      <c r="E103" s="8">
        <v>220000</v>
      </c>
      <c r="F103" s="6"/>
      <c r="G103" s="9">
        <v>121.40321731567383</v>
      </c>
      <c r="H103" s="9">
        <v>31.463518147749877</v>
      </c>
      <c r="I103" s="6" t="s">
        <v>1747</v>
      </c>
      <c r="J103" s="6" t="s">
        <v>1748</v>
      </c>
      <c r="K103" s="6" t="s">
        <v>56</v>
      </c>
      <c r="L103" s="6" t="s">
        <v>1629</v>
      </c>
      <c r="M103" s="10">
        <v>0.439</v>
      </c>
      <c r="N103" s="6" t="s">
        <v>1621</v>
      </c>
      <c r="O103" s="6">
        <v>1</v>
      </c>
    </row>
    <row r="104" spans="1:15" ht="30" customHeight="1" x14ac:dyDescent="0.2">
      <c r="A104" s="6">
        <v>103</v>
      </c>
      <c r="B104" s="6" t="s">
        <v>122</v>
      </c>
      <c r="C104" s="6" t="s">
        <v>128</v>
      </c>
      <c r="D104" s="6" t="s">
        <v>1774</v>
      </c>
      <c r="E104" s="8">
        <v>80000</v>
      </c>
      <c r="F104" s="6"/>
      <c r="G104" s="9">
        <v>114.42904472351074</v>
      </c>
      <c r="H104" s="9">
        <v>30.652311541491947</v>
      </c>
      <c r="I104" s="6" t="s">
        <v>1747</v>
      </c>
      <c r="J104" s="6" t="s">
        <v>1748</v>
      </c>
      <c r="K104" s="6" t="s">
        <v>56</v>
      </c>
      <c r="L104" s="6" t="s">
        <v>1620</v>
      </c>
      <c r="M104" s="10">
        <v>0</v>
      </c>
      <c r="N104" s="6" t="s">
        <v>1621</v>
      </c>
      <c r="O104" s="6">
        <v>1</v>
      </c>
    </row>
    <row r="105" spans="1:15" ht="30" customHeight="1" x14ac:dyDescent="0.2">
      <c r="A105" s="6">
        <v>104</v>
      </c>
      <c r="B105" s="6" t="s">
        <v>122</v>
      </c>
      <c r="C105" s="6" t="s">
        <v>128</v>
      </c>
      <c r="D105" s="6" t="s">
        <v>1775</v>
      </c>
      <c r="E105" s="8">
        <v>100000</v>
      </c>
      <c r="F105" s="6"/>
      <c r="G105" s="9">
        <v>113.16295623779297</v>
      </c>
      <c r="H105" s="9">
        <v>29.372601506681409</v>
      </c>
      <c r="I105" s="6" t="s">
        <v>1747</v>
      </c>
      <c r="J105" s="6" t="s">
        <v>1748</v>
      </c>
      <c r="K105" s="6" t="s">
        <v>56</v>
      </c>
      <c r="L105" s="6" t="s">
        <v>1620</v>
      </c>
      <c r="M105" s="10">
        <v>0</v>
      </c>
      <c r="N105" s="6" t="s">
        <v>1621</v>
      </c>
      <c r="O105" s="6">
        <v>1</v>
      </c>
    </row>
    <row r="106" spans="1:15" ht="30" customHeight="1" x14ac:dyDescent="0.2">
      <c r="A106" s="6">
        <v>105</v>
      </c>
      <c r="B106" s="6" t="s">
        <v>122</v>
      </c>
      <c r="C106" s="6" t="s">
        <v>128</v>
      </c>
      <c r="D106" s="6" t="s">
        <v>1776</v>
      </c>
      <c r="E106" s="8">
        <v>345000</v>
      </c>
      <c r="F106" s="6"/>
      <c r="G106" s="9">
        <v>121.66680335998535</v>
      </c>
      <c r="H106" s="9">
        <v>29.980958992949507</v>
      </c>
      <c r="I106" s="6" t="s">
        <v>1747</v>
      </c>
      <c r="J106" s="6" t="s">
        <v>1748</v>
      </c>
      <c r="K106" s="6" t="s">
        <v>56</v>
      </c>
      <c r="L106" s="6" t="s">
        <v>1620</v>
      </c>
      <c r="M106" s="10">
        <v>0</v>
      </c>
      <c r="N106" s="6" t="s">
        <v>1621</v>
      </c>
      <c r="O106" s="6">
        <v>1</v>
      </c>
    </row>
    <row r="107" spans="1:15" ht="30" customHeight="1" x14ac:dyDescent="0.2">
      <c r="A107" s="6">
        <v>106</v>
      </c>
      <c r="B107" s="6" t="s">
        <v>122</v>
      </c>
      <c r="C107" s="6" t="s">
        <v>128</v>
      </c>
      <c r="D107" s="6" t="s">
        <v>1777</v>
      </c>
      <c r="E107" s="8">
        <v>12000</v>
      </c>
      <c r="F107" s="6"/>
      <c r="G107" s="9">
        <v>109.06445503234863</v>
      </c>
      <c r="H107" s="9">
        <v>21.470482331087915</v>
      </c>
      <c r="I107" s="6" t="s">
        <v>1747</v>
      </c>
      <c r="J107" s="6" t="s">
        <v>1748</v>
      </c>
      <c r="K107" s="6" t="s">
        <v>56</v>
      </c>
      <c r="L107" s="6" t="s">
        <v>1620</v>
      </c>
      <c r="M107" s="10">
        <v>0</v>
      </c>
      <c r="N107" s="6" t="s">
        <v>1621</v>
      </c>
      <c r="O107" s="6">
        <v>1</v>
      </c>
    </row>
    <row r="108" spans="1:15" ht="30" customHeight="1" x14ac:dyDescent="0.2">
      <c r="A108" s="6">
        <v>107</v>
      </c>
      <c r="B108" s="6" t="s">
        <v>122</v>
      </c>
      <c r="C108" s="6" t="s">
        <v>128</v>
      </c>
      <c r="D108" s="6" t="s">
        <v>1778</v>
      </c>
      <c r="E108" s="8">
        <v>265000</v>
      </c>
      <c r="F108" s="6"/>
      <c r="G108" s="9">
        <v>110.84484100341797</v>
      </c>
      <c r="H108" s="9">
        <v>21.824134098107059</v>
      </c>
      <c r="I108" s="6" t="s">
        <v>1747</v>
      </c>
      <c r="J108" s="6" t="s">
        <v>1748</v>
      </c>
      <c r="K108" s="6" t="s">
        <v>56</v>
      </c>
      <c r="L108" s="6" t="s">
        <v>1620</v>
      </c>
      <c r="M108" s="10">
        <v>0</v>
      </c>
      <c r="N108" s="6" t="s">
        <v>1621</v>
      </c>
      <c r="O108" s="6">
        <v>1</v>
      </c>
    </row>
    <row r="109" spans="1:15" ht="30" customHeight="1" x14ac:dyDescent="0.2">
      <c r="A109" s="6">
        <v>108</v>
      </c>
      <c r="B109" s="6" t="s">
        <v>122</v>
      </c>
      <c r="C109" s="6" t="s">
        <v>128</v>
      </c>
      <c r="D109" s="6" t="s">
        <v>1779</v>
      </c>
      <c r="E109" s="8">
        <v>150000</v>
      </c>
      <c r="F109" s="6"/>
      <c r="G109" s="9">
        <v>113.67682456970215</v>
      </c>
      <c r="H109" s="9">
        <v>22.748638713720727</v>
      </c>
      <c r="I109" s="6" t="s">
        <v>1747</v>
      </c>
      <c r="J109" s="6" t="s">
        <v>1748</v>
      </c>
      <c r="K109" s="6" t="s">
        <v>56</v>
      </c>
      <c r="L109" s="6" t="s">
        <v>1620</v>
      </c>
      <c r="M109" s="10">
        <v>0</v>
      </c>
      <c r="N109" s="6" t="s">
        <v>1621</v>
      </c>
      <c r="O109" s="6">
        <v>1</v>
      </c>
    </row>
    <row r="110" spans="1:15" ht="30" customHeight="1" x14ac:dyDescent="0.2">
      <c r="A110" s="6">
        <v>109</v>
      </c>
      <c r="B110" s="6" t="s">
        <v>114</v>
      </c>
      <c r="C110" s="6" t="s">
        <v>120</v>
      </c>
      <c r="D110" s="6" t="s">
        <v>1780</v>
      </c>
      <c r="E110" s="8">
        <v>116000</v>
      </c>
      <c r="F110" s="6"/>
      <c r="G110" s="9">
        <v>85.968875885009766</v>
      </c>
      <c r="H110" s="9">
        <v>25.457224895210636</v>
      </c>
      <c r="I110" s="6"/>
      <c r="J110" s="6" t="s">
        <v>1781</v>
      </c>
      <c r="K110" s="6" t="s">
        <v>56</v>
      </c>
      <c r="L110" s="6" t="s">
        <v>1620</v>
      </c>
      <c r="M110" s="10">
        <v>0</v>
      </c>
      <c r="N110" s="6" t="s">
        <v>1621</v>
      </c>
      <c r="O110" s="6">
        <v>1</v>
      </c>
    </row>
    <row r="111" spans="1:15" ht="30" customHeight="1" x14ac:dyDescent="0.2">
      <c r="A111" s="6">
        <v>110</v>
      </c>
      <c r="B111" s="6" t="s">
        <v>114</v>
      </c>
      <c r="C111" s="6" t="s">
        <v>120</v>
      </c>
      <c r="D111" s="6" t="s">
        <v>1782</v>
      </c>
      <c r="E111" s="8">
        <v>156000</v>
      </c>
      <c r="F111" s="6"/>
      <c r="G111" s="9">
        <v>77.686643600463867</v>
      </c>
      <c r="H111" s="9">
        <v>27.378474568116815</v>
      </c>
      <c r="I111" s="6"/>
      <c r="J111" s="6" t="s">
        <v>1783</v>
      </c>
      <c r="K111" s="6" t="s">
        <v>56</v>
      </c>
      <c r="L111" s="6" t="s">
        <v>1620</v>
      </c>
      <c r="M111" s="10">
        <v>0</v>
      </c>
      <c r="N111" s="6" t="s">
        <v>1621</v>
      </c>
      <c r="O111" s="6">
        <v>1</v>
      </c>
    </row>
    <row r="112" spans="1:15" ht="30" customHeight="1" x14ac:dyDescent="0.2">
      <c r="A112" s="6">
        <v>111</v>
      </c>
      <c r="B112" s="6" t="s">
        <v>114</v>
      </c>
      <c r="C112" s="6" t="s">
        <v>120</v>
      </c>
      <c r="D112" s="6" t="s">
        <v>1784</v>
      </c>
      <c r="E112" s="8">
        <v>117000</v>
      </c>
      <c r="F112" s="6"/>
      <c r="G112" s="9">
        <v>76.878290176391602</v>
      </c>
      <c r="H112" s="9">
        <v>29.473079031558154</v>
      </c>
      <c r="I112" s="6"/>
      <c r="J112" s="6" t="s">
        <v>1785</v>
      </c>
      <c r="K112" s="6" t="s">
        <v>56</v>
      </c>
      <c r="L112" s="6" t="s">
        <v>1620</v>
      </c>
      <c r="M112" s="10">
        <v>0</v>
      </c>
      <c r="N112" s="6" t="s">
        <v>1621</v>
      </c>
      <c r="O112" s="6">
        <v>1</v>
      </c>
    </row>
    <row r="113" spans="1:15" ht="30" customHeight="1" x14ac:dyDescent="0.2">
      <c r="A113" s="6">
        <v>112</v>
      </c>
      <c r="B113" s="6" t="s">
        <v>114</v>
      </c>
      <c r="C113" s="6" t="s">
        <v>120</v>
      </c>
      <c r="D113" s="6" t="s">
        <v>1786</v>
      </c>
      <c r="E113" s="8">
        <v>135000</v>
      </c>
      <c r="F113" s="6"/>
      <c r="G113" s="9">
        <v>72.894115447998047</v>
      </c>
      <c r="H113" s="9">
        <v>19.016844423462278</v>
      </c>
      <c r="I113" s="6"/>
      <c r="J113" s="6" t="s">
        <v>1787</v>
      </c>
      <c r="K113" s="6" t="s">
        <v>56</v>
      </c>
      <c r="L113" s="6" t="s">
        <v>1620</v>
      </c>
      <c r="M113" s="10">
        <v>0</v>
      </c>
      <c r="N113" s="6" t="s">
        <v>1621</v>
      </c>
      <c r="O113" s="6">
        <v>1</v>
      </c>
    </row>
    <row r="114" spans="1:15" ht="30" customHeight="1" x14ac:dyDescent="0.2">
      <c r="A114" s="6">
        <v>113</v>
      </c>
      <c r="B114" s="6" t="s">
        <v>114</v>
      </c>
      <c r="C114" s="6" t="s">
        <v>120</v>
      </c>
      <c r="D114" s="6" t="s">
        <v>1788</v>
      </c>
      <c r="E114" s="8">
        <v>107000</v>
      </c>
      <c r="F114" s="6"/>
      <c r="G114" s="9">
        <v>72.903213500976563</v>
      </c>
      <c r="H114" s="9">
        <v>19.017980467662952</v>
      </c>
      <c r="I114" s="6" t="s">
        <v>1789</v>
      </c>
      <c r="J114" s="6" t="s">
        <v>1790</v>
      </c>
      <c r="K114" s="6" t="s">
        <v>56</v>
      </c>
      <c r="L114" s="6" t="s">
        <v>1620</v>
      </c>
      <c r="M114" s="10">
        <v>0</v>
      </c>
      <c r="N114" s="6" t="s">
        <v>1621</v>
      </c>
      <c r="O114" s="6">
        <v>1</v>
      </c>
    </row>
    <row r="115" spans="1:15" ht="30" customHeight="1" x14ac:dyDescent="0.2">
      <c r="A115" s="6">
        <v>114</v>
      </c>
      <c r="B115" s="6" t="s">
        <v>114</v>
      </c>
      <c r="C115" s="6" t="s">
        <v>120</v>
      </c>
      <c r="D115" s="6" t="s">
        <v>1791</v>
      </c>
      <c r="E115" s="8">
        <v>268000</v>
      </c>
      <c r="F115" s="6"/>
      <c r="G115" s="9">
        <v>73.1195068359375</v>
      </c>
      <c r="H115" s="9">
        <v>22.374285484248887</v>
      </c>
      <c r="I115" s="6"/>
      <c r="J115" s="6" t="s">
        <v>1792</v>
      </c>
      <c r="K115" s="6" t="s">
        <v>56</v>
      </c>
      <c r="L115" s="6" t="s">
        <v>1620</v>
      </c>
      <c r="M115" s="10">
        <v>0</v>
      </c>
      <c r="N115" s="6" t="s">
        <v>1621</v>
      </c>
      <c r="O115" s="6">
        <v>1</v>
      </c>
    </row>
    <row r="116" spans="1:15" ht="30" customHeight="1" x14ac:dyDescent="0.2">
      <c r="A116" s="6">
        <v>115</v>
      </c>
      <c r="B116" s="6" t="s">
        <v>114</v>
      </c>
      <c r="C116" s="6" t="s">
        <v>120</v>
      </c>
      <c r="D116" s="6" t="s">
        <v>1793</v>
      </c>
      <c r="E116" s="8">
        <v>540000</v>
      </c>
      <c r="F116" s="6"/>
      <c r="G116" s="9">
        <v>69.855537414550781</v>
      </c>
      <c r="H116" s="9">
        <v>22.336818232702651</v>
      </c>
      <c r="I116" s="6" t="s">
        <v>1794</v>
      </c>
      <c r="J116" s="6" t="s">
        <v>1795</v>
      </c>
      <c r="K116" s="6" t="s">
        <v>56</v>
      </c>
      <c r="L116" s="6" t="s">
        <v>1620</v>
      </c>
      <c r="M116" s="10">
        <v>0</v>
      </c>
      <c r="N116" s="6" t="s">
        <v>1621</v>
      </c>
      <c r="O116" s="6">
        <v>1</v>
      </c>
    </row>
    <row r="117" spans="1:15" ht="30" customHeight="1" x14ac:dyDescent="0.2">
      <c r="A117" s="6">
        <v>116</v>
      </c>
      <c r="B117" s="6" t="s">
        <v>114</v>
      </c>
      <c r="C117" s="6" t="s">
        <v>120</v>
      </c>
      <c r="D117" s="6" t="s">
        <v>1796</v>
      </c>
      <c r="E117" s="8">
        <v>48000</v>
      </c>
      <c r="F117" s="6"/>
      <c r="G117" s="9">
        <v>90.54682731628418</v>
      </c>
      <c r="H117" s="9">
        <v>26.485631205196185</v>
      </c>
      <c r="I117" s="6" t="s">
        <v>1797</v>
      </c>
      <c r="J117" s="6" t="s">
        <v>1798</v>
      </c>
      <c r="K117" s="6" t="s">
        <v>56</v>
      </c>
      <c r="L117" s="6" t="s">
        <v>1620</v>
      </c>
      <c r="M117" s="10">
        <v>0</v>
      </c>
      <c r="N117" s="6" t="s">
        <v>1621</v>
      </c>
      <c r="O117" s="6">
        <v>1</v>
      </c>
    </row>
    <row r="118" spans="1:15" ht="30" customHeight="1" x14ac:dyDescent="0.2">
      <c r="A118" s="6">
        <v>117</v>
      </c>
      <c r="B118" s="6" t="s">
        <v>114</v>
      </c>
      <c r="C118" s="6" t="s">
        <v>120</v>
      </c>
      <c r="D118" s="6" t="s">
        <v>1799</v>
      </c>
      <c r="E118" s="8">
        <v>13000</v>
      </c>
      <c r="F118" s="6"/>
      <c r="G118" s="9">
        <v>95.619850158691406</v>
      </c>
      <c r="H118" s="9">
        <v>27.385029004968278</v>
      </c>
      <c r="I118" s="6" t="s">
        <v>1800</v>
      </c>
      <c r="J118" s="6" t="s">
        <v>1801</v>
      </c>
      <c r="K118" s="6" t="s">
        <v>56</v>
      </c>
      <c r="L118" s="6" t="s">
        <v>1620</v>
      </c>
      <c r="M118" s="10">
        <v>0</v>
      </c>
      <c r="N118" s="6" t="s">
        <v>1621</v>
      </c>
      <c r="O118" s="6">
        <v>1</v>
      </c>
    </row>
    <row r="119" spans="1:15" ht="30" customHeight="1" x14ac:dyDescent="0.2">
      <c r="A119" s="6">
        <v>118</v>
      </c>
      <c r="B119" s="6" t="s">
        <v>114</v>
      </c>
      <c r="C119" s="6" t="s">
        <v>120</v>
      </c>
      <c r="D119" s="6" t="s">
        <v>1802</v>
      </c>
      <c r="E119" s="8">
        <v>20000</v>
      </c>
      <c r="F119" s="6"/>
      <c r="G119" s="9">
        <v>91.687860488891602</v>
      </c>
      <c r="H119" s="9">
        <v>26.186481662872989</v>
      </c>
      <c r="I119" s="6"/>
      <c r="J119" s="6" t="s">
        <v>1803</v>
      </c>
      <c r="K119" s="6" t="s">
        <v>56</v>
      </c>
      <c r="L119" s="6" t="s">
        <v>1620</v>
      </c>
      <c r="M119" s="10">
        <v>0</v>
      </c>
      <c r="N119" s="6" t="s">
        <v>1621</v>
      </c>
      <c r="O119" s="6">
        <v>1</v>
      </c>
    </row>
    <row r="120" spans="1:15" ht="30" customHeight="1" x14ac:dyDescent="0.2">
      <c r="A120" s="6">
        <v>119</v>
      </c>
      <c r="B120" s="6" t="s">
        <v>114</v>
      </c>
      <c r="C120" s="6" t="s">
        <v>120</v>
      </c>
      <c r="D120" s="6" t="s">
        <v>1804</v>
      </c>
      <c r="E120" s="8">
        <v>116000</v>
      </c>
      <c r="F120" s="6"/>
      <c r="G120" s="9">
        <v>88.104343414306641</v>
      </c>
      <c r="H120" s="9">
        <v>22.045788409140343</v>
      </c>
      <c r="I120" s="6" t="s">
        <v>1800</v>
      </c>
      <c r="J120" s="6" t="s">
        <v>1805</v>
      </c>
      <c r="K120" s="6" t="s">
        <v>56</v>
      </c>
      <c r="L120" s="6" t="s">
        <v>1620</v>
      </c>
      <c r="M120" s="10">
        <v>0</v>
      </c>
      <c r="N120" s="6" t="s">
        <v>1621</v>
      </c>
      <c r="O120" s="6">
        <v>1</v>
      </c>
    </row>
    <row r="121" spans="1:15" ht="30" customHeight="1" x14ac:dyDescent="0.2">
      <c r="A121" s="6">
        <v>120</v>
      </c>
      <c r="B121" s="6" t="s">
        <v>114</v>
      </c>
      <c r="C121" s="6" t="s">
        <v>120</v>
      </c>
      <c r="D121" s="6" t="s">
        <v>1806</v>
      </c>
      <c r="E121" s="8">
        <v>58000</v>
      </c>
      <c r="F121" s="6"/>
      <c r="G121" s="9">
        <v>93.789081573486328</v>
      </c>
      <c r="H121" s="9">
        <v>26.580698015715093</v>
      </c>
      <c r="I121" s="6"/>
      <c r="J121" s="6" t="s">
        <v>1807</v>
      </c>
      <c r="K121" s="6" t="s">
        <v>56</v>
      </c>
      <c r="L121" s="6" t="s">
        <v>1620</v>
      </c>
      <c r="M121" s="10">
        <v>0</v>
      </c>
      <c r="N121" s="6" t="s">
        <v>1621</v>
      </c>
      <c r="O121" s="6">
        <v>1</v>
      </c>
    </row>
    <row r="122" spans="1:15" ht="30" customHeight="1" x14ac:dyDescent="0.2">
      <c r="A122" s="6">
        <v>121</v>
      </c>
      <c r="B122" s="6" t="s">
        <v>114</v>
      </c>
      <c r="C122" s="6" t="s">
        <v>120</v>
      </c>
      <c r="D122" s="6" t="s">
        <v>1808</v>
      </c>
      <c r="E122" s="8">
        <v>20000</v>
      </c>
      <c r="F122" s="6"/>
      <c r="G122" s="9">
        <v>79.810953140258789</v>
      </c>
      <c r="H122" s="9">
        <v>10.827573458891667</v>
      </c>
      <c r="I122" s="6"/>
      <c r="J122" s="6" t="s">
        <v>1809</v>
      </c>
      <c r="K122" s="6" t="s">
        <v>56</v>
      </c>
      <c r="L122" s="6" t="s">
        <v>1620</v>
      </c>
      <c r="M122" s="10">
        <v>0</v>
      </c>
      <c r="N122" s="6" t="s">
        <v>1621</v>
      </c>
      <c r="O122" s="6">
        <v>1</v>
      </c>
    </row>
    <row r="123" spans="1:15" ht="30" customHeight="1" x14ac:dyDescent="0.2">
      <c r="A123" s="6">
        <v>122</v>
      </c>
      <c r="B123" s="6" t="s">
        <v>114</v>
      </c>
      <c r="C123" s="6" t="s">
        <v>120</v>
      </c>
      <c r="D123" s="6" t="s">
        <v>1810</v>
      </c>
      <c r="E123" s="8">
        <v>150000</v>
      </c>
      <c r="F123" s="6"/>
      <c r="G123" s="9">
        <v>83.244695663452148</v>
      </c>
      <c r="H123" s="9">
        <v>17.704784000368928</v>
      </c>
      <c r="I123" s="6" t="s">
        <v>1789</v>
      </c>
      <c r="J123" s="6" t="s">
        <v>1790</v>
      </c>
      <c r="K123" s="6" t="s">
        <v>56</v>
      </c>
      <c r="L123" s="6" t="s">
        <v>1629</v>
      </c>
      <c r="M123" s="10">
        <v>0.13800000000000001</v>
      </c>
      <c r="N123" s="6" t="s">
        <v>1621</v>
      </c>
      <c r="O123" s="6">
        <v>1</v>
      </c>
    </row>
    <row r="124" spans="1:15" ht="30" customHeight="1" x14ac:dyDescent="0.2">
      <c r="A124" s="6">
        <v>123</v>
      </c>
      <c r="B124" s="6" t="s">
        <v>114</v>
      </c>
      <c r="C124" s="6" t="s">
        <v>120</v>
      </c>
      <c r="D124" s="6" t="s">
        <v>1811</v>
      </c>
      <c r="E124" s="8">
        <v>185000</v>
      </c>
      <c r="F124" s="6"/>
      <c r="G124" s="9">
        <v>80.277614593505859</v>
      </c>
      <c r="H124" s="9">
        <v>13.159975752825421</v>
      </c>
      <c r="I124" s="6"/>
      <c r="J124" s="6" t="s">
        <v>1809</v>
      </c>
      <c r="K124" s="6" t="s">
        <v>56</v>
      </c>
      <c r="L124" s="6" t="s">
        <v>1620</v>
      </c>
      <c r="M124" s="10">
        <v>0</v>
      </c>
      <c r="N124" s="6" t="s">
        <v>1621</v>
      </c>
      <c r="O124" s="6">
        <v>1</v>
      </c>
    </row>
    <row r="125" spans="1:15" ht="30" customHeight="1" x14ac:dyDescent="0.2">
      <c r="A125" s="6">
        <v>124</v>
      </c>
      <c r="B125" s="6" t="s">
        <v>114</v>
      </c>
      <c r="C125" s="6" t="s">
        <v>120</v>
      </c>
      <c r="D125" s="6" t="s">
        <v>1812</v>
      </c>
      <c r="E125" s="8">
        <v>146000</v>
      </c>
      <c r="F125" s="6"/>
      <c r="G125" s="9">
        <v>76.273097991943359</v>
      </c>
      <c r="H125" s="9">
        <v>9.9869405573001906</v>
      </c>
      <c r="I125" s="6"/>
      <c r="J125" s="6" t="s">
        <v>1807</v>
      </c>
      <c r="K125" s="6" t="s">
        <v>56</v>
      </c>
      <c r="L125" s="6" t="s">
        <v>1629</v>
      </c>
      <c r="M125" s="10">
        <v>0.31900000000000001</v>
      </c>
      <c r="N125" s="6" t="s">
        <v>1621</v>
      </c>
      <c r="O125" s="6">
        <v>1</v>
      </c>
    </row>
    <row r="126" spans="1:15" ht="30" customHeight="1" x14ac:dyDescent="0.2">
      <c r="A126" s="6">
        <v>125</v>
      </c>
      <c r="B126" s="6" t="s">
        <v>114</v>
      </c>
      <c r="C126" s="6" t="s">
        <v>120</v>
      </c>
      <c r="D126" s="6" t="s">
        <v>1813</v>
      </c>
      <c r="E126" s="8">
        <v>190000</v>
      </c>
      <c r="F126" s="6"/>
      <c r="G126" s="9">
        <v>74.84736442565918</v>
      </c>
      <c r="H126" s="9">
        <v>12.986911332090287</v>
      </c>
      <c r="I126" s="6" t="s">
        <v>1814</v>
      </c>
      <c r="J126" s="6" t="s">
        <v>1815</v>
      </c>
      <c r="K126" s="6" t="s">
        <v>56</v>
      </c>
      <c r="L126" s="6" t="s">
        <v>1620</v>
      </c>
      <c r="M126" s="10">
        <v>0</v>
      </c>
      <c r="N126" s="6" t="s">
        <v>1621</v>
      </c>
      <c r="O126" s="6">
        <v>1</v>
      </c>
    </row>
    <row r="127" spans="1:15" ht="30" customHeight="1" x14ac:dyDescent="0.2">
      <c r="A127" s="6">
        <v>126</v>
      </c>
      <c r="B127" s="6" t="s">
        <v>44</v>
      </c>
      <c r="C127" s="6" t="s">
        <v>55</v>
      </c>
      <c r="D127" s="6" t="s">
        <v>1816</v>
      </c>
      <c r="E127" s="8">
        <v>260000</v>
      </c>
      <c r="F127" s="6"/>
      <c r="G127" s="9">
        <v>116.8161678314209</v>
      </c>
      <c r="H127" s="9">
        <v>-1.2627246886427093</v>
      </c>
      <c r="I127" s="6" t="s">
        <v>1817</v>
      </c>
      <c r="J127" s="6" t="s">
        <v>1818</v>
      </c>
      <c r="K127" s="6" t="s">
        <v>56</v>
      </c>
      <c r="L127" s="6" t="s">
        <v>1629</v>
      </c>
      <c r="M127" s="10">
        <v>0.433</v>
      </c>
      <c r="N127" s="6" t="s">
        <v>1621</v>
      </c>
      <c r="O127" s="6">
        <v>1</v>
      </c>
    </row>
    <row r="128" spans="1:15" ht="30" customHeight="1" x14ac:dyDescent="0.2">
      <c r="A128" s="6">
        <v>127</v>
      </c>
      <c r="B128" s="6" t="s">
        <v>44</v>
      </c>
      <c r="C128" s="6" t="s">
        <v>55</v>
      </c>
      <c r="D128" s="6" t="s">
        <v>1819</v>
      </c>
      <c r="E128" s="8">
        <v>125000</v>
      </c>
      <c r="F128" s="6"/>
      <c r="G128" s="9">
        <v>108.38810920715332</v>
      </c>
      <c r="H128" s="9">
        <v>-6.3716852594022013</v>
      </c>
      <c r="I128" s="6" t="s">
        <v>1817</v>
      </c>
      <c r="J128" s="6" t="s">
        <v>1818</v>
      </c>
      <c r="K128" s="6" t="s">
        <v>56</v>
      </c>
      <c r="L128" s="6" t="s">
        <v>1620</v>
      </c>
      <c r="M128" s="10">
        <v>0</v>
      </c>
      <c r="N128" s="6" t="s">
        <v>1621</v>
      </c>
      <c r="O128" s="6">
        <v>1</v>
      </c>
    </row>
    <row r="129" spans="1:15" ht="30" customHeight="1" x14ac:dyDescent="0.2">
      <c r="A129" s="6">
        <v>128</v>
      </c>
      <c r="B129" s="6" t="s">
        <v>44</v>
      </c>
      <c r="C129" s="6" t="s">
        <v>55</v>
      </c>
      <c r="D129" s="6" t="s">
        <v>1820</v>
      </c>
      <c r="E129" s="8">
        <v>3420</v>
      </c>
      <c r="F129" s="6"/>
      <c r="G129" s="9">
        <v>111.5811824798584</v>
      </c>
      <c r="H129" s="9">
        <v>-7.1685145417319864</v>
      </c>
      <c r="I129" s="6" t="s">
        <v>1817</v>
      </c>
      <c r="J129" s="6" t="s">
        <v>1818</v>
      </c>
      <c r="K129" s="6" t="s">
        <v>56</v>
      </c>
      <c r="L129" s="6" t="s">
        <v>1620</v>
      </c>
      <c r="M129" s="10">
        <v>0</v>
      </c>
      <c r="N129" s="6" t="s">
        <v>1621</v>
      </c>
      <c r="O129" s="6">
        <v>1</v>
      </c>
    </row>
    <row r="130" spans="1:15" ht="30" customHeight="1" x14ac:dyDescent="0.2">
      <c r="A130" s="6">
        <v>129</v>
      </c>
      <c r="B130" s="6" t="s">
        <v>44</v>
      </c>
      <c r="C130" s="6" t="s">
        <v>55</v>
      </c>
      <c r="D130" s="6" t="s">
        <v>1821</v>
      </c>
      <c r="E130" s="8">
        <v>348000</v>
      </c>
      <c r="F130" s="6"/>
      <c r="G130" s="9">
        <v>109.00016784667969</v>
      </c>
      <c r="H130" s="9">
        <v>-7.701890719412769</v>
      </c>
      <c r="I130" s="6" t="s">
        <v>1817</v>
      </c>
      <c r="J130" s="6" t="s">
        <v>1818</v>
      </c>
      <c r="K130" s="6" t="s">
        <v>56</v>
      </c>
      <c r="L130" s="6" t="s">
        <v>1620</v>
      </c>
      <c r="M130" s="10">
        <v>0</v>
      </c>
      <c r="N130" s="6" t="s">
        <v>1621</v>
      </c>
      <c r="O130" s="6">
        <v>1</v>
      </c>
    </row>
    <row r="131" spans="1:15" ht="30" customHeight="1" x14ac:dyDescent="0.2">
      <c r="A131" s="6">
        <v>130</v>
      </c>
      <c r="B131" s="6" t="s">
        <v>44</v>
      </c>
      <c r="C131" s="6" t="s">
        <v>55</v>
      </c>
      <c r="D131" s="6" t="s">
        <v>1822</v>
      </c>
      <c r="E131" s="8">
        <v>120000</v>
      </c>
      <c r="F131" s="6"/>
      <c r="G131" s="9">
        <v>101.47247314453125</v>
      </c>
      <c r="H131" s="9">
        <v>1.6784364945806545</v>
      </c>
      <c r="I131" s="6" t="s">
        <v>1817</v>
      </c>
      <c r="J131" s="6" t="s">
        <v>1818</v>
      </c>
      <c r="K131" s="6" t="s">
        <v>56</v>
      </c>
      <c r="L131" s="6" t="s">
        <v>1620</v>
      </c>
      <c r="M131" s="10">
        <v>0</v>
      </c>
      <c r="N131" s="6" t="s">
        <v>1621</v>
      </c>
      <c r="O131" s="6">
        <v>1</v>
      </c>
    </row>
    <row r="132" spans="1:15" ht="30" customHeight="1" x14ac:dyDescent="0.2">
      <c r="A132" s="6">
        <v>131</v>
      </c>
      <c r="B132" s="6" t="s">
        <v>44</v>
      </c>
      <c r="C132" s="6" t="s">
        <v>55</v>
      </c>
      <c r="D132" s="6" t="s">
        <v>1823</v>
      </c>
      <c r="E132" s="8">
        <v>135200</v>
      </c>
      <c r="F132" s="6"/>
      <c r="G132" s="9">
        <v>104.83334541320801</v>
      </c>
      <c r="H132" s="9">
        <v>-2.9985844466896237</v>
      </c>
      <c r="I132" s="6"/>
      <c r="J132" s="6"/>
      <c r="K132" s="6" t="s">
        <v>56</v>
      </c>
      <c r="L132" s="6" t="s">
        <v>1620</v>
      </c>
      <c r="M132" s="10">
        <v>0</v>
      </c>
      <c r="N132" s="6" t="s">
        <v>1621</v>
      </c>
      <c r="O132" s="6">
        <v>1</v>
      </c>
    </row>
    <row r="133" spans="1:15" ht="30" customHeight="1" x14ac:dyDescent="0.2">
      <c r="A133" s="6">
        <v>132</v>
      </c>
      <c r="B133" s="6" t="s">
        <v>44</v>
      </c>
      <c r="C133" s="6" t="s">
        <v>55</v>
      </c>
      <c r="D133" s="6" t="s">
        <v>1824</v>
      </c>
      <c r="E133" s="8">
        <v>4750</v>
      </c>
      <c r="F133" s="6"/>
      <c r="G133" s="9">
        <v>97.082576751708984</v>
      </c>
      <c r="H133" s="9">
        <v>5.2236141024030163</v>
      </c>
      <c r="I133" s="6" t="s">
        <v>1817</v>
      </c>
      <c r="J133" s="6" t="s">
        <v>1818</v>
      </c>
      <c r="K133" s="6" t="s">
        <v>56</v>
      </c>
      <c r="L133" s="6" t="s">
        <v>1620</v>
      </c>
      <c r="M133" s="10">
        <v>0</v>
      </c>
      <c r="N133" s="6" t="s">
        <v>1621</v>
      </c>
      <c r="O133" s="6">
        <v>1</v>
      </c>
    </row>
    <row r="134" spans="1:15" ht="30" customHeight="1" x14ac:dyDescent="0.2">
      <c r="A134" s="6">
        <v>133</v>
      </c>
      <c r="B134" s="6" t="s">
        <v>44</v>
      </c>
      <c r="C134" s="6" t="s">
        <v>55</v>
      </c>
      <c r="D134" s="6" t="s">
        <v>1825</v>
      </c>
      <c r="E134" s="8">
        <v>50000</v>
      </c>
      <c r="F134" s="6"/>
      <c r="G134" s="9">
        <v>101.47221565246582</v>
      </c>
      <c r="H134" s="9">
        <v>-1.6784364945806545</v>
      </c>
      <c r="I134" s="6" t="s">
        <v>1817</v>
      </c>
      <c r="J134" s="6" t="s">
        <v>1818</v>
      </c>
      <c r="K134" s="6" t="s">
        <v>56</v>
      </c>
      <c r="L134" s="6" t="s">
        <v>1620</v>
      </c>
      <c r="M134" s="10">
        <v>0</v>
      </c>
      <c r="N134" s="6" t="s">
        <v>1621</v>
      </c>
      <c r="O134" s="6">
        <v>1</v>
      </c>
    </row>
    <row r="135" spans="1:15" ht="30" customHeight="1" x14ac:dyDescent="0.2">
      <c r="A135" s="6">
        <v>134</v>
      </c>
      <c r="B135" s="6" t="s">
        <v>1184</v>
      </c>
      <c r="C135" s="6" t="s">
        <v>1190</v>
      </c>
      <c r="D135" s="6" t="s">
        <v>1826</v>
      </c>
      <c r="E135" s="8">
        <v>140000</v>
      </c>
      <c r="F135" s="6"/>
      <c r="G135" s="9">
        <v>141.65273666381836</v>
      </c>
      <c r="H135" s="9">
        <v>42.636358196874106</v>
      </c>
      <c r="I135" s="6" t="s">
        <v>1827</v>
      </c>
      <c r="J135" s="6" t="s">
        <v>1828</v>
      </c>
      <c r="K135" s="6" t="s">
        <v>56</v>
      </c>
      <c r="L135" s="6" t="s">
        <v>1620</v>
      </c>
      <c r="M135" s="10">
        <v>0</v>
      </c>
      <c r="N135" s="6" t="s">
        <v>1621</v>
      </c>
      <c r="O135" s="6">
        <v>1</v>
      </c>
    </row>
    <row r="136" spans="1:15" ht="30" customHeight="1" x14ac:dyDescent="0.2">
      <c r="A136" s="6">
        <v>135</v>
      </c>
      <c r="B136" s="6" t="s">
        <v>1184</v>
      </c>
      <c r="C136" s="6" t="s">
        <v>1190</v>
      </c>
      <c r="D136" s="6" t="s">
        <v>1829</v>
      </c>
      <c r="E136" s="8">
        <v>210000</v>
      </c>
      <c r="F136" s="6"/>
      <c r="G136" s="9">
        <v>140.68774223327637</v>
      </c>
      <c r="H136" s="9">
        <v>35.911646069992585</v>
      </c>
      <c r="I136" s="6" t="s">
        <v>1639</v>
      </c>
      <c r="J136" s="6" t="s">
        <v>1830</v>
      </c>
      <c r="K136" s="6" t="s">
        <v>56</v>
      </c>
      <c r="L136" s="6" t="s">
        <v>1620</v>
      </c>
      <c r="M136" s="10">
        <v>0</v>
      </c>
      <c r="N136" s="6" t="s">
        <v>1621</v>
      </c>
      <c r="O136" s="6">
        <v>1</v>
      </c>
    </row>
    <row r="137" spans="1:15" ht="30" customHeight="1" x14ac:dyDescent="0.2">
      <c r="A137" s="6">
        <v>136</v>
      </c>
      <c r="B137" s="6" t="s">
        <v>1184</v>
      </c>
      <c r="C137" s="6" t="s">
        <v>1190</v>
      </c>
      <c r="D137" s="6" t="s">
        <v>1831</v>
      </c>
      <c r="E137" s="8">
        <v>60000</v>
      </c>
      <c r="F137" s="6"/>
      <c r="G137" s="9">
        <v>137.20670700073242</v>
      </c>
      <c r="H137" s="9">
        <v>36.75580266293673</v>
      </c>
      <c r="I137" s="6" t="s">
        <v>1639</v>
      </c>
      <c r="J137" s="6" t="s">
        <v>1832</v>
      </c>
      <c r="K137" s="6" t="s">
        <v>56</v>
      </c>
      <c r="L137" s="6" t="s">
        <v>1620</v>
      </c>
      <c r="M137" s="10">
        <v>0</v>
      </c>
      <c r="N137" s="6" t="s">
        <v>1621</v>
      </c>
      <c r="O137" s="6">
        <v>1</v>
      </c>
    </row>
    <row r="138" spans="1:15" ht="30" customHeight="1" x14ac:dyDescent="0.2">
      <c r="A138" s="6">
        <v>137</v>
      </c>
      <c r="B138" s="6" t="s">
        <v>1184</v>
      </c>
      <c r="C138" s="6" t="s">
        <v>1190</v>
      </c>
      <c r="D138" s="6" t="s">
        <v>1833</v>
      </c>
      <c r="E138" s="8">
        <v>180000</v>
      </c>
      <c r="F138" s="6"/>
      <c r="G138" s="9">
        <v>140.94669342041016</v>
      </c>
      <c r="H138" s="9">
        <v>42.365203083505733</v>
      </c>
      <c r="I138" s="6"/>
      <c r="J138" s="6" t="s">
        <v>1834</v>
      </c>
      <c r="K138" s="6" t="s">
        <v>56</v>
      </c>
      <c r="L138" s="6" t="s">
        <v>1620</v>
      </c>
      <c r="M138" s="10">
        <v>0</v>
      </c>
      <c r="N138" s="6" t="s">
        <v>1621</v>
      </c>
      <c r="O138" s="6">
        <v>1</v>
      </c>
    </row>
    <row r="139" spans="1:15" ht="30" customHeight="1" x14ac:dyDescent="0.2">
      <c r="A139" s="6">
        <v>138</v>
      </c>
      <c r="B139" s="6" t="s">
        <v>1184</v>
      </c>
      <c r="C139" s="6" t="s">
        <v>1190</v>
      </c>
      <c r="D139" s="6" t="s">
        <v>1835</v>
      </c>
      <c r="E139" s="8">
        <v>145000</v>
      </c>
      <c r="F139" s="6"/>
      <c r="G139" s="9">
        <v>141.03724479675293</v>
      </c>
      <c r="H139" s="9">
        <v>38.279224416670367</v>
      </c>
      <c r="I139" s="6"/>
      <c r="J139" s="6" t="s">
        <v>1836</v>
      </c>
      <c r="K139" s="6" t="s">
        <v>56</v>
      </c>
      <c r="L139" s="6" t="s">
        <v>1620</v>
      </c>
      <c r="M139" s="10">
        <v>0</v>
      </c>
      <c r="N139" s="6" t="s">
        <v>1621</v>
      </c>
      <c r="O139" s="6">
        <v>1</v>
      </c>
    </row>
    <row r="140" spans="1:15" ht="30" customHeight="1" x14ac:dyDescent="0.2">
      <c r="A140" s="6">
        <v>139</v>
      </c>
      <c r="B140" s="6" t="s">
        <v>1184</v>
      </c>
      <c r="C140" s="6" t="s">
        <v>1190</v>
      </c>
      <c r="D140" s="6" t="s">
        <v>1837</v>
      </c>
      <c r="E140" s="8">
        <v>240000</v>
      </c>
      <c r="F140" s="6"/>
      <c r="G140" s="9">
        <v>140.06117820739746</v>
      </c>
      <c r="H140" s="9">
        <v>35.536137623180323</v>
      </c>
      <c r="I140" s="6" t="s">
        <v>1838</v>
      </c>
      <c r="J140" s="6" t="s">
        <v>1839</v>
      </c>
      <c r="K140" s="6" t="s">
        <v>56</v>
      </c>
      <c r="L140" s="6" t="s">
        <v>1629</v>
      </c>
      <c r="M140" s="10">
        <v>0.253</v>
      </c>
      <c r="N140" s="6" t="s">
        <v>1621</v>
      </c>
      <c r="O140" s="6">
        <v>1</v>
      </c>
    </row>
    <row r="141" spans="1:15" ht="30" customHeight="1" x14ac:dyDescent="0.2">
      <c r="A141" s="6">
        <v>140</v>
      </c>
      <c r="B141" s="6" t="s">
        <v>1184</v>
      </c>
      <c r="C141" s="6" t="s">
        <v>1190</v>
      </c>
      <c r="D141" s="6" t="s">
        <v>1840</v>
      </c>
      <c r="E141" s="8">
        <v>80000</v>
      </c>
      <c r="F141" s="6"/>
      <c r="G141" s="9">
        <v>135.42966842651367</v>
      </c>
      <c r="H141" s="9">
        <v>34.57068381267721</v>
      </c>
      <c r="I141" s="6" t="s">
        <v>1838</v>
      </c>
      <c r="J141" s="6" t="s">
        <v>1839</v>
      </c>
      <c r="K141" s="6" t="s">
        <v>56</v>
      </c>
      <c r="L141" s="6" t="s">
        <v>1620</v>
      </c>
      <c r="M141" s="10">
        <v>0</v>
      </c>
      <c r="N141" s="6" t="s">
        <v>1621</v>
      </c>
      <c r="O141" s="6">
        <v>1</v>
      </c>
    </row>
    <row r="142" spans="1:15" ht="30" customHeight="1" x14ac:dyDescent="0.2">
      <c r="A142" s="6">
        <v>141</v>
      </c>
      <c r="B142" s="6" t="s">
        <v>1184</v>
      </c>
      <c r="C142" s="6" t="s">
        <v>1190</v>
      </c>
      <c r="D142" s="6" t="s">
        <v>1841</v>
      </c>
      <c r="E142" s="8">
        <v>175000</v>
      </c>
      <c r="F142" s="6"/>
      <c r="G142" s="9">
        <v>136.64176940917969</v>
      </c>
      <c r="H142" s="9">
        <v>34.967491262319605</v>
      </c>
      <c r="I142" s="6" t="s">
        <v>1838</v>
      </c>
      <c r="J142" s="6" t="s">
        <v>1839</v>
      </c>
      <c r="K142" s="6" t="s">
        <v>56</v>
      </c>
      <c r="L142" s="6" t="s">
        <v>1620</v>
      </c>
      <c r="M142" s="10">
        <v>0</v>
      </c>
      <c r="N142" s="6" t="s">
        <v>1621</v>
      </c>
      <c r="O142" s="6">
        <v>1</v>
      </c>
    </row>
    <row r="143" spans="1:15" ht="30" customHeight="1" x14ac:dyDescent="0.2">
      <c r="A143" s="6">
        <v>142</v>
      </c>
      <c r="B143" s="6" t="s">
        <v>1184</v>
      </c>
      <c r="C143" s="6" t="s">
        <v>1190</v>
      </c>
      <c r="D143" s="6" t="s">
        <v>1842</v>
      </c>
      <c r="E143" s="8">
        <v>192000</v>
      </c>
      <c r="F143" s="6"/>
      <c r="G143" s="9">
        <v>140.00410079956055</v>
      </c>
      <c r="H143" s="9">
        <v>35.464305204563217</v>
      </c>
      <c r="I143" s="6" t="s">
        <v>1639</v>
      </c>
      <c r="J143" s="6" t="s">
        <v>1843</v>
      </c>
      <c r="K143" s="6" t="s">
        <v>56</v>
      </c>
      <c r="L143" s="6" t="s">
        <v>1620</v>
      </c>
      <c r="M143" s="10">
        <v>0</v>
      </c>
      <c r="N143" s="6" t="s">
        <v>1621</v>
      </c>
      <c r="O143" s="6">
        <v>1</v>
      </c>
    </row>
    <row r="144" spans="1:15" ht="30" customHeight="1" x14ac:dyDescent="0.2">
      <c r="A144" s="6">
        <v>143</v>
      </c>
      <c r="B144" s="6" t="s">
        <v>1184</v>
      </c>
      <c r="C144" s="6" t="s">
        <v>1190</v>
      </c>
      <c r="D144" s="6" t="s">
        <v>1844</v>
      </c>
      <c r="E144" s="8">
        <v>160000</v>
      </c>
      <c r="F144" s="6"/>
      <c r="G144" s="9">
        <v>136.83591842651367</v>
      </c>
      <c r="H144" s="9">
        <v>34.976493814682733</v>
      </c>
      <c r="I144" s="6" t="s">
        <v>1827</v>
      </c>
      <c r="J144" s="6" t="s">
        <v>1828</v>
      </c>
      <c r="K144" s="6" t="s">
        <v>56</v>
      </c>
      <c r="L144" s="6" t="s">
        <v>1629</v>
      </c>
      <c r="M144" s="10">
        <v>3.0000000000000001E-3</v>
      </c>
      <c r="N144" s="6" t="s">
        <v>1621</v>
      </c>
      <c r="O144" s="6">
        <v>1</v>
      </c>
    </row>
    <row r="145" spans="1:15" ht="30" customHeight="1" x14ac:dyDescent="0.2">
      <c r="A145" s="6">
        <v>144</v>
      </c>
      <c r="B145" s="6" t="s">
        <v>1184</v>
      </c>
      <c r="C145" s="6" t="s">
        <v>1190</v>
      </c>
      <c r="D145" s="6" t="s">
        <v>1845</v>
      </c>
      <c r="E145" s="8">
        <v>220000</v>
      </c>
      <c r="F145" s="6"/>
      <c r="G145" s="9">
        <v>140.03499984741211</v>
      </c>
      <c r="H145" s="9">
        <v>35.487650797648328</v>
      </c>
      <c r="I145" s="6" t="s">
        <v>1827</v>
      </c>
      <c r="J145" s="6" t="s">
        <v>1828</v>
      </c>
      <c r="K145" s="6" t="s">
        <v>56</v>
      </c>
      <c r="L145" s="6" t="s">
        <v>1620</v>
      </c>
      <c r="M145" s="10">
        <v>0</v>
      </c>
      <c r="N145" s="6" t="s">
        <v>1621</v>
      </c>
      <c r="O145" s="6">
        <v>1</v>
      </c>
    </row>
    <row r="146" spans="1:15" ht="30" customHeight="1" x14ac:dyDescent="0.2">
      <c r="A146" s="6">
        <v>145</v>
      </c>
      <c r="B146" s="6" t="s">
        <v>1184</v>
      </c>
      <c r="C146" s="6" t="s">
        <v>1190</v>
      </c>
      <c r="D146" s="6" t="s">
        <v>1846</v>
      </c>
      <c r="E146" s="8">
        <v>175000</v>
      </c>
      <c r="F146" s="6"/>
      <c r="G146" s="9">
        <v>140.04761695861816</v>
      </c>
      <c r="H146" s="9">
        <v>35.516648600543057</v>
      </c>
      <c r="I146" s="6" t="s">
        <v>1639</v>
      </c>
      <c r="J146" s="6" t="s">
        <v>1847</v>
      </c>
      <c r="K146" s="6" t="s">
        <v>56</v>
      </c>
      <c r="L146" s="6" t="s">
        <v>1620</v>
      </c>
      <c r="M146" s="10">
        <v>0</v>
      </c>
      <c r="N146" s="6" t="s">
        <v>1621</v>
      </c>
      <c r="O146" s="6">
        <v>1</v>
      </c>
    </row>
    <row r="147" spans="1:15" ht="30" customHeight="1" x14ac:dyDescent="0.2">
      <c r="A147" s="6">
        <v>146</v>
      </c>
      <c r="B147" s="6" t="s">
        <v>1184</v>
      </c>
      <c r="C147" s="6" t="s">
        <v>1190</v>
      </c>
      <c r="D147" s="6" t="s">
        <v>1848</v>
      </c>
      <c r="E147" s="8">
        <v>340000</v>
      </c>
      <c r="F147" s="6"/>
      <c r="G147" s="9">
        <v>139.6417236328125</v>
      </c>
      <c r="H147" s="9">
        <v>35.412907053155287</v>
      </c>
      <c r="I147" s="6"/>
      <c r="J147" s="6" t="s">
        <v>1834</v>
      </c>
      <c r="K147" s="6" t="s">
        <v>56</v>
      </c>
      <c r="L147" s="6" t="s">
        <v>1620</v>
      </c>
      <c r="M147" s="10">
        <v>0</v>
      </c>
      <c r="N147" s="6" t="s">
        <v>1621</v>
      </c>
      <c r="O147" s="6">
        <v>1</v>
      </c>
    </row>
    <row r="148" spans="1:15" ht="30" customHeight="1" x14ac:dyDescent="0.2">
      <c r="A148" s="6">
        <v>147</v>
      </c>
      <c r="B148" s="6" t="s">
        <v>1184</v>
      </c>
      <c r="C148" s="6" t="s">
        <v>1190</v>
      </c>
      <c r="D148" s="6" t="s">
        <v>1849</v>
      </c>
      <c r="E148" s="8">
        <v>115000</v>
      </c>
      <c r="F148" s="6"/>
      <c r="G148" s="9">
        <v>135.41241645812988</v>
      </c>
      <c r="H148" s="9">
        <v>34.533712421395641</v>
      </c>
      <c r="I148" s="6"/>
      <c r="J148" s="6" t="s">
        <v>1834</v>
      </c>
      <c r="K148" s="6" t="s">
        <v>56</v>
      </c>
      <c r="L148" s="6" t="s">
        <v>1620</v>
      </c>
      <c r="M148" s="10">
        <v>0</v>
      </c>
      <c r="N148" s="6" t="s">
        <v>1621</v>
      </c>
      <c r="O148" s="6">
        <v>1</v>
      </c>
    </row>
    <row r="149" spans="1:15" ht="30" customHeight="1" x14ac:dyDescent="0.2">
      <c r="A149" s="6">
        <v>148</v>
      </c>
      <c r="B149" s="6" t="s">
        <v>1184</v>
      </c>
      <c r="C149" s="6" t="s">
        <v>1190</v>
      </c>
      <c r="D149" s="6" t="s">
        <v>1850</v>
      </c>
      <c r="E149" s="8">
        <v>210000</v>
      </c>
      <c r="F149" s="6"/>
      <c r="G149" s="9">
        <v>136.63104057312012</v>
      </c>
      <c r="H149" s="9">
        <v>34.932526661754665</v>
      </c>
      <c r="I149" s="6"/>
      <c r="J149" s="6" t="s">
        <v>1851</v>
      </c>
      <c r="K149" s="6" t="s">
        <v>56</v>
      </c>
      <c r="L149" s="6" t="s">
        <v>1620</v>
      </c>
      <c r="M149" s="10">
        <v>0</v>
      </c>
      <c r="N149" s="6" t="s">
        <v>1621</v>
      </c>
      <c r="O149" s="6">
        <v>1</v>
      </c>
    </row>
    <row r="150" spans="1:15" ht="30" customHeight="1" x14ac:dyDescent="0.2">
      <c r="A150" s="6">
        <v>149</v>
      </c>
      <c r="B150" s="6" t="s">
        <v>1184</v>
      </c>
      <c r="C150" s="6" t="s">
        <v>1190</v>
      </c>
      <c r="D150" s="6" t="s">
        <v>1852</v>
      </c>
      <c r="E150" s="8">
        <v>65000</v>
      </c>
      <c r="F150" s="6"/>
      <c r="G150" s="9">
        <v>139.66137886047363</v>
      </c>
      <c r="H150" s="9">
        <v>35.48618316068054</v>
      </c>
      <c r="I150" s="6"/>
      <c r="J150" s="6" t="s">
        <v>1851</v>
      </c>
      <c r="K150" s="6" t="s">
        <v>56</v>
      </c>
      <c r="L150" s="6" t="s">
        <v>1620</v>
      </c>
      <c r="M150" s="10">
        <v>0</v>
      </c>
      <c r="N150" s="6" t="s">
        <v>1621</v>
      </c>
      <c r="O150" s="6">
        <v>1</v>
      </c>
    </row>
    <row r="151" spans="1:15" ht="30" customHeight="1" x14ac:dyDescent="0.2">
      <c r="A151" s="6">
        <v>150</v>
      </c>
      <c r="B151" s="6" t="s">
        <v>1184</v>
      </c>
      <c r="C151" s="6" t="s">
        <v>1190</v>
      </c>
      <c r="D151" s="6" t="s">
        <v>1853</v>
      </c>
      <c r="E151" s="8">
        <v>120000</v>
      </c>
      <c r="F151" s="6"/>
      <c r="G151" s="9">
        <v>139.72867012023926</v>
      </c>
      <c r="H151" s="9">
        <v>35.503094304222813</v>
      </c>
      <c r="I151" s="6"/>
      <c r="J151" s="6" t="s">
        <v>1851</v>
      </c>
      <c r="K151" s="6" t="s">
        <v>56</v>
      </c>
      <c r="L151" s="6" t="s">
        <v>1620</v>
      </c>
      <c r="M151" s="10">
        <v>0</v>
      </c>
      <c r="N151" s="6" t="s">
        <v>1621</v>
      </c>
      <c r="O151" s="6">
        <v>1</v>
      </c>
    </row>
    <row r="152" spans="1:15" ht="30" customHeight="1" x14ac:dyDescent="0.2">
      <c r="A152" s="6">
        <v>151</v>
      </c>
      <c r="B152" s="6" t="s">
        <v>1184</v>
      </c>
      <c r="C152" s="6" t="s">
        <v>1190</v>
      </c>
      <c r="D152" s="6" t="s">
        <v>1854</v>
      </c>
      <c r="E152" s="8">
        <v>335000</v>
      </c>
      <c r="F152" s="6"/>
      <c r="G152" s="9">
        <v>139.77845191955566</v>
      </c>
      <c r="H152" s="9">
        <v>35.52125933436384</v>
      </c>
      <c r="I152" s="6"/>
      <c r="J152" s="6" t="s">
        <v>1855</v>
      </c>
      <c r="K152" s="6" t="s">
        <v>56</v>
      </c>
      <c r="L152" s="6" t="s">
        <v>1620</v>
      </c>
      <c r="M152" s="10">
        <v>0</v>
      </c>
      <c r="N152" s="6" t="s">
        <v>1621</v>
      </c>
      <c r="O152" s="6">
        <v>1</v>
      </c>
    </row>
    <row r="153" spans="1:15" ht="30" customHeight="1" x14ac:dyDescent="0.2">
      <c r="A153" s="6">
        <v>152</v>
      </c>
      <c r="B153" s="6" t="s">
        <v>1184</v>
      </c>
      <c r="C153" s="6" t="s">
        <v>1190</v>
      </c>
      <c r="D153" s="6" t="s">
        <v>1856</v>
      </c>
      <c r="E153" s="8">
        <v>156000</v>
      </c>
      <c r="F153" s="6"/>
      <c r="G153" s="9">
        <v>135.43490409851074</v>
      </c>
      <c r="H153" s="9">
        <v>34.548842280435338</v>
      </c>
      <c r="I153" s="6"/>
      <c r="J153" s="6" t="s">
        <v>1857</v>
      </c>
      <c r="K153" s="6" t="s">
        <v>56</v>
      </c>
      <c r="L153" s="6" t="s">
        <v>1620</v>
      </c>
      <c r="M153" s="10">
        <v>0</v>
      </c>
      <c r="N153" s="6" t="s">
        <v>1621</v>
      </c>
      <c r="O153" s="6">
        <v>1</v>
      </c>
    </row>
    <row r="154" spans="1:15" ht="30" customHeight="1" x14ac:dyDescent="0.2">
      <c r="A154" s="6">
        <v>153</v>
      </c>
      <c r="B154" s="6" t="s">
        <v>1184</v>
      </c>
      <c r="C154" s="6" t="s">
        <v>1190</v>
      </c>
      <c r="D154" s="6" t="s">
        <v>1858</v>
      </c>
      <c r="E154" s="8">
        <v>140000</v>
      </c>
      <c r="F154" s="6"/>
      <c r="G154" s="9">
        <v>133.83338928222656</v>
      </c>
      <c r="H154" s="9">
        <v>34.352931828981554</v>
      </c>
      <c r="I154" s="6" t="s">
        <v>1838</v>
      </c>
      <c r="J154" s="6" t="s">
        <v>1839</v>
      </c>
      <c r="K154" s="6" t="s">
        <v>56</v>
      </c>
      <c r="L154" s="6" t="s">
        <v>1629</v>
      </c>
      <c r="M154" s="10">
        <v>4.32</v>
      </c>
      <c r="N154" s="6" t="s">
        <v>1621</v>
      </c>
      <c r="O154" s="6">
        <v>1</v>
      </c>
    </row>
    <row r="155" spans="1:15" ht="30" customHeight="1" x14ac:dyDescent="0.2">
      <c r="A155" s="6">
        <v>154</v>
      </c>
      <c r="B155" s="6" t="s">
        <v>1184</v>
      </c>
      <c r="C155" s="6" t="s">
        <v>1190</v>
      </c>
      <c r="D155" s="6" t="s">
        <v>1859</v>
      </c>
      <c r="E155" s="8">
        <v>120000</v>
      </c>
      <c r="F155" s="6"/>
      <c r="G155" s="9">
        <v>131.81645393371582</v>
      </c>
      <c r="H155" s="9">
        <v>34.039218051302385</v>
      </c>
      <c r="I155" s="6" t="s">
        <v>1827</v>
      </c>
      <c r="J155" s="6" t="s">
        <v>1828</v>
      </c>
      <c r="K155" s="6" t="s">
        <v>56</v>
      </c>
      <c r="L155" s="6" t="s">
        <v>1620</v>
      </c>
      <c r="M155" s="10">
        <v>0</v>
      </c>
      <c r="N155" s="6" t="s">
        <v>1621</v>
      </c>
      <c r="O155" s="6">
        <v>1</v>
      </c>
    </row>
    <row r="156" spans="1:15" ht="30" customHeight="1" x14ac:dyDescent="0.2">
      <c r="A156" s="6">
        <v>155</v>
      </c>
      <c r="B156" s="6" t="s">
        <v>1184</v>
      </c>
      <c r="C156" s="6" t="s">
        <v>1190</v>
      </c>
      <c r="D156" s="6" t="s">
        <v>1860</v>
      </c>
      <c r="E156" s="8"/>
      <c r="F156" s="6"/>
      <c r="G156" s="9">
        <v>133.75391006469727</v>
      </c>
      <c r="H156" s="9">
        <v>34.497856407816471</v>
      </c>
      <c r="I156" s="6"/>
      <c r="J156" s="6" t="s">
        <v>1861</v>
      </c>
      <c r="K156" s="6" t="s">
        <v>56</v>
      </c>
      <c r="L156" s="6" t="s">
        <v>1629</v>
      </c>
      <c r="M156" s="10">
        <v>6.9000000000000006E-2</v>
      </c>
      <c r="N156" s="6" t="s">
        <v>1621</v>
      </c>
      <c r="O156" s="6">
        <v>0</v>
      </c>
    </row>
    <row r="157" spans="1:15" ht="30" customHeight="1" x14ac:dyDescent="0.2">
      <c r="A157" s="6">
        <v>156</v>
      </c>
      <c r="B157" s="6" t="s">
        <v>1184</v>
      </c>
      <c r="C157" s="6" t="s">
        <v>1190</v>
      </c>
      <c r="D157" s="6" t="s">
        <v>1862</v>
      </c>
      <c r="E157" s="8">
        <v>160000</v>
      </c>
      <c r="F157" s="6"/>
      <c r="G157" s="9">
        <v>131.68693542480469</v>
      </c>
      <c r="H157" s="9">
        <v>33.274359034578751</v>
      </c>
      <c r="I157" s="6" t="s">
        <v>1639</v>
      </c>
      <c r="J157" s="6" t="s">
        <v>1863</v>
      </c>
      <c r="K157" s="6" t="s">
        <v>56</v>
      </c>
      <c r="L157" s="6" t="s">
        <v>1629</v>
      </c>
      <c r="M157" s="10">
        <v>1.5369999999999999</v>
      </c>
      <c r="N157" s="6" t="s">
        <v>1621</v>
      </c>
      <c r="O157" s="6">
        <v>1</v>
      </c>
    </row>
    <row r="158" spans="1:15" ht="30" customHeight="1" x14ac:dyDescent="0.2">
      <c r="A158" s="6">
        <v>157</v>
      </c>
      <c r="B158" s="6" t="s">
        <v>1184</v>
      </c>
      <c r="C158" s="6" t="s">
        <v>1190</v>
      </c>
      <c r="D158" s="6" t="s">
        <v>1864</v>
      </c>
      <c r="E158" s="8">
        <v>100000</v>
      </c>
      <c r="F158" s="6"/>
      <c r="G158" s="9">
        <v>127.7849006652832</v>
      </c>
      <c r="H158" s="9">
        <v>26.228142701045321</v>
      </c>
      <c r="I158" s="6"/>
      <c r="J158" s="6" t="s">
        <v>1865</v>
      </c>
      <c r="K158" s="6" t="s">
        <v>56</v>
      </c>
      <c r="L158" s="6" t="s">
        <v>1629</v>
      </c>
      <c r="M158" s="10">
        <v>0.88500000000000001</v>
      </c>
      <c r="N158" s="6" t="s">
        <v>1621</v>
      </c>
      <c r="O158" s="6">
        <v>1</v>
      </c>
    </row>
    <row r="159" spans="1:15" ht="30" customHeight="1" x14ac:dyDescent="0.2">
      <c r="A159" s="6">
        <v>158</v>
      </c>
      <c r="B159" s="6" t="s">
        <v>1184</v>
      </c>
      <c r="C159" s="6" t="s">
        <v>1190</v>
      </c>
      <c r="D159" s="6" t="s">
        <v>1866</v>
      </c>
      <c r="E159" s="8">
        <v>250000</v>
      </c>
      <c r="F159" s="6"/>
      <c r="G159" s="9">
        <v>133.72927665710449</v>
      </c>
      <c r="H159" s="9">
        <v>34.509385763804218</v>
      </c>
      <c r="I159" s="6"/>
      <c r="J159" s="6" t="s">
        <v>1834</v>
      </c>
      <c r="K159" s="6" t="s">
        <v>56</v>
      </c>
      <c r="L159" s="6" t="s">
        <v>1629</v>
      </c>
      <c r="M159" s="10">
        <v>0</v>
      </c>
      <c r="N159" s="6" t="s">
        <v>1621</v>
      </c>
      <c r="O159" s="6">
        <v>1</v>
      </c>
    </row>
    <row r="160" spans="1:15" ht="30" customHeight="1" x14ac:dyDescent="0.2">
      <c r="A160" s="6">
        <v>159</v>
      </c>
      <c r="B160" s="6" t="s">
        <v>1184</v>
      </c>
      <c r="C160" s="6" t="s">
        <v>1190</v>
      </c>
      <c r="D160" s="6" t="s">
        <v>1867</v>
      </c>
      <c r="E160" s="8">
        <v>127000</v>
      </c>
      <c r="F160" s="6"/>
      <c r="G160" s="9">
        <v>132.24114418029785</v>
      </c>
      <c r="H160" s="9">
        <v>34.203497210665667</v>
      </c>
      <c r="I160" s="6"/>
      <c r="J160" s="6" t="s">
        <v>1834</v>
      </c>
      <c r="K160" s="6" t="s">
        <v>56</v>
      </c>
      <c r="L160" s="6" t="s">
        <v>1629</v>
      </c>
      <c r="M160" s="10">
        <v>0.25</v>
      </c>
      <c r="N160" s="6" t="s">
        <v>1621</v>
      </c>
      <c r="O160" s="6">
        <v>1</v>
      </c>
    </row>
    <row r="161" spans="1:15" ht="30" customHeight="1" x14ac:dyDescent="0.2">
      <c r="A161" s="6">
        <v>160</v>
      </c>
      <c r="B161" s="6" t="s">
        <v>1184</v>
      </c>
      <c r="C161" s="6" t="s">
        <v>1190</v>
      </c>
      <c r="D161" s="6" t="s">
        <v>1868</v>
      </c>
      <c r="E161" s="8"/>
      <c r="F161" s="6"/>
      <c r="G161" s="9">
        <v>127.96282768249512</v>
      </c>
      <c r="H161" s="9">
        <v>26.351113448796884</v>
      </c>
      <c r="I161" s="6"/>
      <c r="J161" s="6" t="s">
        <v>1869</v>
      </c>
      <c r="K161" s="6" t="s">
        <v>56</v>
      </c>
      <c r="L161" s="6" t="s">
        <v>1629</v>
      </c>
      <c r="M161" s="10">
        <v>6.0990000000000002</v>
      </c>
      <c r="N161" s="6" t="s">
        <v>1621</v>
      </c>
      <c r="O161" s="6">
        <v>0</v>
      </c>
    </row>
    <row r="162" spans="1:15" ht="30" customHeight="1" x14ac:dyDescent="0.2">
      <c r="A162" s="6">
        <v>161</v>
      </c>
      <c r="B162" s="6" t="s">
        <v>1184</v>
      </c>
      <c r="C162" s="6" t="s">
        <v>1190</v>
      </c>
      <c r="D162" s="6" t="s">
        <v>1870</v>
      </c>
      <c r="E162" s="8">
        <v>120000</v>
      </c>
      <c r="F162" s="6"/>
      <c r="G162" s="9">
        <v>131.1837100982666</v>
      </c>
      <c r="H162" s="9">
        <v>33.941722232443702</v>
      </c>
      <c r="I162" s="6" t="s">
        <v>1639</v>
      </c>
      <c r="J162" s="6" t="s">
        <v>1871</v>
      </c>
      <c r="K162" s="6" t="s">
        <v>56</v>
      </c>
      <c r="L162" s="6" t="s">
        <v>1620</v>
      </c>
      <c r="M162" s="10">
        <v>0</v>
      </c>
      <c r="N162" s="6" t="s">
        <v>1621</v>
      </c>
      <c r="O162" s="6">
        <v>1</v>
      </c>
    </row>
    <row r="163" spans="1:15" ht="30" customHeight="1" x14ac:dyDescent="0.2">
      <c r="A163" s="6">
        <v>162</v>
      </c>
      <c r="B163" s="6" t="s">
        <v>1184</v>
      </c>
      <c r="C163" s="6" t="s">
        <v>1190</v>
      </c>
      <c r="D163" s="6" t="s">
        <v>1872</v>
      </c>
      <c r="E163" s="8">
        <v>120000</v>
      </c>
      <c r="F163" s="6"/>
      <c r="G163" s="9">
        <v>132.86298751831055</v>
      </c>
      <c r="H163" s="9">
        <v>34.054294998238163</v>
      </c>
      <c r="I163" s="6" t="s">
        <v>1639</v>
      </c>
      <c r="J163" s="6" t="s">
        <v>1873</v>
      </c>
      <c r="K163" s="6" t="s">
        <v>56</v>
      </c>
      <c r="L163" s="6" t="s">
        <v>1620</v>
      </c>
      <c r="M163" s="10">
        <v>0</v>
      </c>
      <c r="N163" s="6" t="s">
        <v>1621</v>
      </c>
      <c r="O163" s="6">
        <v>1</v>
      </c>
    </row>
    <row r="164" spans="1:15" ht="30" customHeight="1" x14ac:dyDescent="0.2">
      <c r="A164" s="6">
        <v>163</v>
      </c>
      <c r="B164" s="6" t="s">
        <v>1184</v>
      </c>
      <c r="C164" s="6" t="s">
        <v>1190</v>
      </c>
      <c r="D164" s="6" t="s">
        <v>1874</v>
      </c>
      <c r="E164" s="8">
        <v>170000</v>
      </c>
      <c r="F164" s="6"/>
      <c r="G164" s="9">
        <v>135.11690139770508</v>
      </c>
      <c r="H164" s="9">
        <v>34.107967062583789</v>
      </c>
      <c r="I164" s="6"/>
      <c r="J164" s="6" t="s">
        <v>1875</v>
      </c>
      <c r="K164" s="6" t="s">
        <v>56</v>
      </c>
      <c r="L164" s="6" t="s">
        <v>1629</v>
      </c>
      <c r="M164" s="10">
        <v>0.48499999999999999</v>
      </c>
      <c r="N164" s="6" t="s">
        <v>1621</v>
      </c>
      <c r="O164" s="6">
        <v>1</v>
      </c>
    </row>
    <row r="165" spans="1:15" ht="30" customHeight="1" x14ac:dyDescent="0.2">
      <c r="A165" s="6">
        <v>164</v>
      </c>
      <c r="B165" s="6" t="s">
        <v>1184</v>
      </c>
      <c r="C165" s="6" t="s">
        <v>1190</v>
      </c>
      <c r="D165" s="6" t="s">
        <v>1876</v>
      </c>
      <c r="E165" s="8"/>
      <c r="F165" s="6"/>
      <c r="G165" s="9">
        <v>135.20273208618164</v>
      </c>
      <c r="H165" s="9">
        <v>34.146831394291091</v>
      </c>
      <c r="I165" s="6"/>
      <c r="J165" s="6" t="s">
        <v>1877</v>
      </c>
      <c r="K165" s="6" t="s">
        <v>56</v>
      </c>
      <c r="L165" s="6" t="s">
        <v>1620</v>
      </c>
      <c r="M165" s="10">
        <v>0</v>
      </c>
      <c r="N165" s="6" t="s">
        <v>1621</v>
      </c>
      <c r="O165" s="6">
        <v>0</v>
      </c>
    </row>
    <row r="166" spans="1:15" ht="30" customHeight="1" x14ac:dyDescent="0.2">
      <c r="A166" s="6">
        <v>165</v>
      </c>
      <c r="B166" s="6" t="s">
        <v>59</v>
      </c>
      <c r="C166" s="6" t="s">
        <v>66</v>
      </c>
      <c r="D166" s="6" t="s">
        <v>1878</v>
      </c>
      <c r="E166" s="8">
        <v>86000</v>
      </c>
      <c r="F166" s="6"/>
      <c r="G166" s="9">
        <v>101.82394981384277</v>
      </c>
      <c r="H166" s="9">
        <v>2.5311815791648633</v>
      </c>
      <c r="I166" s="6"/>
      <c r="J166" s="6" t="s">
        <v>1633</v>
      </c>
      <c r="K166" s="6" t="s">
        <v>56</v>
      </c>
      <c r="L166" s="6" t="s">
        <v>1620</v>
      </c>
      <c r="M166" s="10">
        <v>0</v>
      </c>
      <c r="N166" s="6" t="s">
        <v>1621</v>
      </c>
      <c r="O166" s="6">
        <v>1</v>
      </c>
    </row>
    <row r="167" spans="1:15" ht="30" customHeight="1" x14ac:dyDescent="0.2">
      <c r="A167" s="6">
        <v>166</v>
      </c>
      <c r="B167" s="6" t="s">
        <v>59</v>
      </c>
      <c r="C167" s="6" t="s">
        <v>66</v>
      </c>
      <c r="D167" s="6" t="s">
        <v>1879</v>
      </c>
      <c r="E167" s="8">
        <v>93000</v>
      </c>
      <c r="F167" s="6"/>
      <c r="G167" s="9">
        <v>102.13345527648926</v>
      </c>
      <c r="H167" s="9">
        <v>2.2691133331231739</v>
      </c>
      <c r="I167" s="6"/>
      <c r="J167" s="6" t="s">
        <v>1880</v>
      </c>
      <c r="K167" s="6" t="s">
        <v>56</v>
      </c>
      <c r="L167" s="6" t="s">
        <v>1620</v>
      </c>
      <c r="M167" s="10">
        <v>0</v>
      </c>
      <c r="N167" s="6" t="s">
        <v>1621</v>
      </c>
      <c r="O167" s="6">
        <v>1</v>
      </c>
    </row>
    <row r="168" spans="1:15" ht="30" customHeight="1" x14ac:dyDescent="0.2">
      <c r="A168" s="6">
        <v>167</v>
      </c>
      <c r="B168" s="6" t="s">
        <v>59</v>
      </c>
      <c r="C168" s="6" t="s">
        <v>66</v>
      </c>
      <c r="D168" s="6" t="s">
        <v>1881</v>
      </c>
      <c r="E168" s="8">
        <v>40000</v>
      </c>
      <c r="F168" s="6"/>
      <c r="G168" s="9">
        <v>103.45370292663574</v>
      </c>
      <c r="H168" s="9">
        <v>4.5673558319383956</v>
      </c>
      <c r="I168" s="6"/>
      <c r="J168" s="6" t="s">
        <v>1880</v>
      </c>
      <c r="K168" s="6" t="s">
        <v>56</v>
      </c>
      <c r="L168" s="6" t="s">
        <v>1620</v>
      </c>
      <c r="M168" s="10">
        <v>0</v>
      </c>
      <c r="N168" s="6" t="s">
        <v>1621</v>
      </c>
      <c r="O168" s="6">
        <v>1</v>
      </c>
    </row>
    <row r="169" spans="1:15" ht="30" customHeight="1" x14ac:dyDescent="0.2">
      <c r="A169" s="6">
        <v>168</v>
      </c>
      <c r="B169" s="6" t="s">
        <v>59</v>
      </c>
      <c r="C169" s="6" t="s">
        <v>66</v>
      </c>
      <c r="D169" s="6" t="s">
        <v>1882</v>
      </c>
      <c r="E169" s="8">
        <v>126000</v>
      </c>
      <c r="F169" s="6"/>
      <c r="G169" s="9">
        <v>102.13783264160156</v>
      </c>
      <c r="H169" s="9">
        <v>2.258650162080396</v>
      </c>
      <c r="I169" s="6"/>
      <c r="J169" s="6" t="s">
        <v>1880</v>
      </c>
      <c r="K169" s="6" t="s">
        <v>56</v>
      </c>
      <c r="L169" s="6" t="s">
        <v>1620</v>
      </c>
      <c r="M169" s="10">
        <v>0</v>
      </c>
      <c r="N169" s="6" t="s">
        <v>1621</v>
      </c>
      <c r="O169" s="6">
        <v>1</v>
      </c>
    </row>
    <row r="170" spans="1:15" ht="30" customHeight="1" x14ac:dyDescent="0.2">
      <c r="A170" s="6">
        <v>169</v>
      </c>
      <c r="B170" s="6" t="s">
        <v>59</v>
      </c>
      <c r="C170" s="6" t="s">
        <v>66</v>
      </c>
      <c r="D170" s="6" t="s">
        <v>1883</v>
      </c>
      <c r="E170" s="8">
        <v>45000</v>
      </c>
      <c r="F170" s="6"/>
      <c r="G170" s="9">
        <v>114.00298118591309</v>
      </c>
      <c r="H170" s="9">
        <v>4.4766585228272522</v>
      </c>
      <c r="I170" s="6"/>
      <c r="J170" s="6" t="s">
        <v>1884</v>
      </c>
      <c r="K170" s="6" t="s">
        <v>56</v>
      </c>
      <c r="L170" s="6" t="s">
        <v>1620</v>
      </c>
      <c r="M170" s="10">
        <v>0</v>
      </c>
      <c r="N170" s="6" t="s">
        <v>1621</v>
      </c>
      <c r="O170" s="6">
        <v>1</v>
      </c>
    </row>
    <row r="171" spans="1:15" ht="30" customHeight="1" x14ac:dyDescent="0.2">
      <c r="A171" s="6">
        <v>170</v>
      </c>
      <c r="B171" s="6" t="s">
        <v>59</v>
      </c>
      <c r="C171" s="6" t="s">
        <v>66</v>
      </c>
      <c r="D171" s="6" t="s">
        <v>1885</v>
      </c>
      <c r="E171" s="8">
        <v>155000</v>
      </c>
      <c r="F171" s="6"/>
      <c r="G171" s="9">
        <v>101.81244850158691</v>
      </c>
      <c r="H171" s="9">
        <v>2.533153757433086</v>
      </c>
      <c r="I171" s="6"/>
      <c r="J171" s="6" t="s">
        <v>1884</v>
      </c>
      <c r="K171" s="6" t="s">
        <v>56</v>
      </c>
      <c r="L171" s="6" t="s">
        <v>1620</v>
      </c>
      <c r="M171" s="10">
        <v>0</v>
      </c>
      <c r="N171" s="6" t="s">
        <v>1621</v>
      </c>
      <c r="O171" s="6">
        <v>1</v>
      </c>
    </row>
    <row r="172" spans="1:15" ht="30" customHeight="1" x14ac:dyDescent="0.2">
      <c r="A172" s="6">
        <v>171</v>
      </c>
      <c r="B172" s="6" t="s">
        <v>849</v>
      </c>
      <c r="C172" s="6" t="s">
        <v>854</v>
      </c>
      <c r="D172" s="6" t="s">
        <v>1886</v>
      </c>
      <c r="E172" s="8">
        <v>6000</v>
      </c>
      <c r="F172" s="6"/>
      <c r="G172" s="9">
        <v>94.824972152709961</v>
      </c>
      <c r="H172" s="9">
        <v>20.905564266284028</v>
      </c>
      <c r="I172" s="6" t="s">
        <v>1639</v>
      </c>
      <c r="J172" s="6" t="s">
        <v>1887</v>
      </c>
      <c r="K172" s="6" t="s">
        <v>56</v>
      </c>
      <c r="L172" s="6" t="s">
        <v>1620</v>
      </c>
      <c r="M172" s="10">
        <v>0</v>
      </c>
      <c r="N172" s="6" t="s">
        <v>1621</v>
      </c>
      <c r="O172" s="6">
        <v>1</v>
      </c>
    </row>
    <row r="173" spans="1:15" ht="30" customHeight="1" x14ac:dyDescent="0.2">
      <c r="A173" s="6">
        <v>172</v>
      </c>
      <c r="B173" s="6" t="s">
        <v>849</v>
      </c>
      <c r="C173" s="6" t="s">
        <v>854</v>
      </c>
      <c r="D173" s="6" t="s">
        <v>1888</v>
      </c>
      <c r="E173" s="8">
        <v>26000</v>
      </c>
      <c r="F173" s="6"/>
      <c r="G173" s="9">
        <v>96.221351623535156</v>
      </c>
      <c r="H173" s="9">
        <v>16.605267905776891</v>
      </c>
      <c r="I173" s="6" t="s">
        <v>1639</v>
      </c>
      <c r="J173" s="6" t="s">
        <v>1887</v>
      </c>
      <c r="K173" s="6" t="s">
        <v>56</v>
      </c>
      <c r="L173" s="6" t="s">
        <v>1620</v>
      </c>
      <c r="M173" s="10">
        <v>0</v>
      </c>
      <c r="N173" s="6" t="s">
        <v>1621</v>
      </c>
      <c r="O173" s="6">
        <v>1</v>
      </c>
    </row>
    <row r="174" spans="1:15" ht="30" customHeight="1" x14ac:dyDescent="0.2">
      <c r="A174" s="6">
        <v>173</v>
      </c>
      <c r="B174" s="6" t="s">
        <v>849</v>
      </c>
      <c r="C174" s="6" t="s">
        <v>854</v>
      </c>
      <c r="D174" s="6" t="s">
        <v>1889</v>
      </c>
      <c r="E174" s="8">
        <v>25000</v>
      </c>
      <c r="F174" s="6"/>
      <c r="G174" s="9">
        <v>97.352514266967773</v>
      </c>
      <c r="H174" s="9">
        <v>16.638083342629866</v>
      </c>
      <c r="I174" s="6" t="s">
        <v>1639</v>
      </c>
      <c r="J174" s="6" t="s">
        <v>1887</v>
      </c>
      <c r="K174" s="6" t="s">
        <v>56</v>
      </c>
      <c r="L174" s="6" t="s">
        <v>1620</v>
      </c>
      <c r="M174" s="10">
        <v>0</v>
      </c>
      <c r="N174" s="6" t="s">
        <v>1621</v>
      </c>
      <c r="O174" s="6">
        <v>1</v>
      </c>
    </row>
    <row r="175" spans="1:15" ht="30" customHeight="1" x14ac:dyDescent="0.2">
      <c r="A175" s="6">
        <v>174</v>
      </c>
      <c r="B175" s="6" t="s">
        <v>1141</v>
      </c>
      <c r="C175" s="6" t="s">
        <v>1147</v>
      </c>
      <c r="D175" s="6" t="s">
        <v>1890</v>
      </c>
      <c r="E175" s="8">
        <v>180000</v>
      </c>
      <c r="F175" s="6"/>
      <c r="G175" s="9">
        <v>120.5994987487793</v>
      </c>
      <c r="H175" s="9">
        <v>14.531162994971679</v>
      </c>
      <c r="I175" s="6" t="s">
        <v>1891</v>
      </c>
      <c r="J175" s="6" t="s">
        <v>1892</v>
      </c>
      <c r="K175" s="6" t="s">
        <v>56</v>
      </c>
      <c r="L175" s="6" t="s">
        <v>1629</v>
      </c>
      <c r="M175" s="10">
        <v>0.41299999999999998</v>
      </c>
      <c r="N175" s="6" t="s">
        <v>1621</v>
      </c>
      <c r="O175" s="6">
        <v>1</v>
      </c>
    </row>
    <row r="176" spans="1:15" ht="30" customHeight="1" x14ac:dyDescent="0.2">
      <c r="A176" s="6">
        <v>175</v>
      </c>
      <c r="B176" s="6" t="s">
        <v>1141</v>
      </c>
      <c r="C176" s="6" t="s">
        <v>1147</v>
      </c>
      <c r="D176" s="6" t="s">
        <v>1893</v>
      </c>
      <c r="E176" s="8"/>
      <c r="F176" s="6"/>
      <c r="G176" s="9">
        <v>121.02504730224609</v>
      </c>
      <c r="H176" s="9">
        <v>13.776984073217619</v>
      </c>
      <c r="I176" s="6" t="s">
        <v>1639</v>
      </c>
      <c r="J176" s="6" t="s">
        <v>1894</v>
      </c>
      <c r="K176" s="6" t="s">
        <v>56</v>
      </c>
      <c r="L176" s="6" t="s">
        <v>1620</v>
      </c>
      <c r="M176" s="10">
        <v>0</v>
      </c>
      <c r="N176" s="6" t="s">
        <v>1621</v>
      </c>
      <c r="O176" s="6">
        <v>0</v>
      </c>
    </row>
    <row r="177" spans="1:15" ht="30" customHeight="1" x14ac:dyDescent="0.2">
      <c r="A177" s="6">
        <v>176</v>
      </c>
      <c r="B177" s="6" t="s">
        <v>1141</v>
      </c>
      <c r="C177" s="6" t="s">
        <v>1147</v>
      </c>
      <c r="D177" s="6" t="s">
        <v>1895</v>
      </c>
      <c r="E177" s="8">
        <v>120000</v>
      </c>
      <c r="F177" s="6"/>
      <c r="G177" s="9">
        <v>121.06890678405762</v>
      </c>
      <c r="H177" s="9">
        <v>13.720875164107353</v>
      </c>
      <c r="I177" s="6"/>
      <c r="J177" s="6" t="s">
        <v>1896</v>
      </c>
      <c r="K177" s="6" t="s">
        <v>56</v>
      </c>
      <c r="L177" s="6" t="s">
        <v>1620</v>
      </c>
      <c r="M177" s="10">
        <v>0</v>
      </c>
      <c r="N177" s="6" t="s">
        <v>1621</v>
      </c>
      <c r="O177" s="6">
        <v>1</v>
      </c>
    </row>
    <row r="178" spans="1:15" ht="30" customHeight="1" x14ac:dyDescent="0.2">
      <c r="A178" s="6">
        <v>177</v>
      </c>
      <c r="B178" s="6" t="s">
        <v>1386</v>
      </c>
      <c r="C178" s="6" t="s">
        <v>1391</v>
      </c>
      <c r="D178" s="6" t="s">
        <v>1897</v>
      </c>
      <c r="E178" s="8">
        <v>605000</v>
      </c>
      <c r="F178" s="6"/>
      <c r="G178" s="9">
        <v>103.69677543640137</v>
      </c>
      <c r="H178" s="9">
        <v>1.2701043248294315</v>
      </c>
      <c r="I178" s="6"/>
      <c r="J178" s="6" t="s">
        <v>1898</v>
      </c>
      <c r="K178" s="6" t="s">
        <v>56</v>
      </c>
      <c r="L178" s="6" t="s">
        <v>1629</v>
      </c>
      <c r="M178" s="10">
        <v>3.871</v>
      </c>
      <c r="N178" s="6" t="s">
        <v>1621</v>
      </c>
      <c r="O178" s="6">
        <v>1</v>
      </c>
    </row>
    <row r="179" spans="1:15" ht="30" customHeight="1" x14ac:dyDescent="0.2">
      <c r="A179" s="6">
        <v>178</v>
      </c>
      <c r="B179" s="6" t="s">
        <v>1386</v>
      </c>
      <c r="C179" s="6" t="s">
        <v>1391</v>
      </c>
      <c r="D179" s="6" t="s">
        <v>1899</v>
      </c>
      <c r="E179" s="8">
        <v>458000</v>
      </c>
      <c r="F179" s="6"/>
      <c r="G179" s="9">
        <v>103.76578330993652</v>
      </c>
      <c r="H179" s="9">
        <v>1.2338924219867038</v>
      </c>
      <c r="I179" s="6"/>
      <c r="J179" s="6" t="s">
        <v>1900</v>
      </c>
      <c r="K179" s="6" t="s">
        <v>56</v>
      </c>
      <c r="L179" s="6" t="s">
        <v>1629</v>
      </c>
      <c r="M179" s="10">
        <v>4.6130000000000004</v>
      </c>
      <c r="N179" s="6" t="s">
        <v>1621</v>
      </c>
      <c r="O179" s="6">
        <v>1</v>
      </c>
    </row>
    <row r="180" spans="1:15" ht="30" customHeight="1" x14ac:dyDescent="0.2">
      <c r="A180" s="6">
        <v>179</v>
      </c>
      <c r="B180" s="6" t="s">
        <v>1386</v>
      </c>
      <c r="C180" s="6" t="s">
        <v>1391</v>
      </c>
      <c r="D180" s="6" t="s">
        <v>1901</v>
      </c>
      <c r="E180" s="8">
        <v>285000</v>
      </c>
      <c r="F180" s="6"/>
      <c r="G180" s="9">
        <v>103.72973442077637</v>
      </c>
      <c r="H180" s="9">
        <v>1.2732792781077689</v>
      </c>
      <c r="I180" s="6" t="s">
        <v>1902</v>
      </c>
      <c r="J180" s="6" t="s">
        <v>1903</v>
      </c>
      <c r="K180" s="6" t="s">
        <v>56</v>
      </c>
      <c r="L180" s="6" t="s">
        <v>1629</v>
      </c>
      <c r="M180" s="10">
        <v>3.2210000000000001</v>
      </c>
      <c r="N180" s="6" t="s">
        <v>1621</v>
      </c>
      <c r="O180" s="6">
        <v>1</v>
      </c>
    </row>
    <row r="181" spans="1:15" ht="30" customHeight="1" x14ac:dyDescent="0.2">
      <c r="A181" s="6">
        <v>180</v>
      </c>
      <c r="B181" s="6" t="s">
        <v>227</v>
      </c>
      <c r="C181" s="6" t="s">
        <v>231</v>
      </c>
      <c r="D181" s="6" t="s">
        <v>1904</v>
      </c>
      <c r="E181" s="8">
        <v>45000</v>
      </c>
      <c r="F181" s="6"/>
      <c r="G181" s="9">
        <v>130.34969329833984</v>
      </c>
      <c r="H181" s="9">
        <v>42.311719581364741</v>
      </c>
      <c r="I181" s="6"/>
      <c r="J181" s="6" t="s">
        <v>1905</v>
      </c>
      <c r="K181" s="6" t="s">
        <v>56</v>
      </c>
      <c r="L181" s="6" t="s">
        <v>1620</v>
      </c>
      <c r="M181" s="10">
        <v>0</v>
      </c>
      <c r="N181" s="6" t="s">
        <v>1621</v>
      </c>
      <c r="O181" s="6">
        <v>1</v>
      </c>
    </row>
    <row r="182" spans="1:15" ht="30" customHeight="1" x14ac:dyDescent="0.2">
      <c r="A182" s="6">
        <v>181</v>
      </c>
      <c r="B182" s="6" t="s">
        <v>227</v>
      </c>
      <c r="C182" s="6" t="s">
        <v>231</v>
      </c>
      <c r="D182" s="6" t="s">
        <v>1906</v>
      </c>
      <c r="E182" s="8"/>
      <c r="F182" s="6"/>
      <c r="G182" s="9">
        <v>124.38351631164551</v>
      </c>
      <c r="H182" s="9">
        <v>40.083062535767546</v>
      </c>
      <c r="I182" s="6"/>
      <c r="J182" s="6" t="s">
        <v>1905</v>
      </c>
      <c r="K182" s="6" t="s">
        <v>56</v>
      </c>
      <c r="L182" s="6" t="s">
        <v>1620</v>
      </c>
      <c r="M182" s="10">
        <v>0</v>
      </c>
      <c r="N182" s="6" t="s">
        <v>1621</v>
      </c>
      <c r="O182" s="6">
        <v>0</v>
      </c>
    </row>
    <row r="183" spans="1:15" ht="30" customHeight="1" x14ac:dyDescent="0.2">
      <c r="A183" s="6">
        <v>182</v>
      </c>
      <c r="B183" s="6" t="s">
        <v>220</v>
      </c>
      <c r="C183" s="6" t="s">
        <v>226</v>
      </c>
      <c r="D183" s="6" t="s">
        <v>1907</v>
      </c>
      <c r="E183" s="8">
        <v>9500</v>
      </c>
      <c r="F183" s="6"/>
      <c r="G183" s="9">
        <v>129.05648231506348</v>
      </c>
      <c r="H183" s="9">
        <v>35.145810170494244</v>
      </c>
      <c r="I183" s="6" t="s">
        <v>1908</v>
      </c>
      <c r="J183" s="6" t="s">
        <v>1909</v>
      </c>
      <c r="K183" s="6" t="s">
        <v>56</v>
      </c>
      <c r="L183" s="6" t="s">
        <v>1620</v>
      </c>
      <c r="M183" s="10">
        <v>0</v>
      </c>
      <c r="N183" s="6" t="s">
        <v>1621</v>
      </c>
      <c r="O183" s="6">
        <v>1</v>
      </c>
    </row>
    <row r="184" spans="1:15" ht="30" customHeight="1" x14ac:dyDescent="0.2">
      <c r="A184" s="6">
        <v>183</v>
      </c>
      <c r="B184" s="6" t="s">
        <v>220</v>
      </c>
      <c r="C184" s="6" t="s">
        <v>226</v>
      </c>
      <c r="D184" s="6" t="s">
        <v>1910</v>
      </c>
      <c r="E184" s="8">
        <v>275000</v>
      </c>
      <c r="F184" s="6"/>
      <c r="G184" s="9">
        <v>126.3493824005127</v>
      </c>
      <c r="H184" s="9">
        <v>36.994601020807231</v>
      </c>
      <c r="I184" s="6" t="s">
        <v>1908</v>
      </c>
      <c r="J184" s="6" t="s">
        <v>1909</v>
      </c>
      <c r="K184" s="6" t="s">
        <v>56</v>
      </c>
      <c r="L184" s="6" t="s">
        <v>1620</v>
      </c>
      <c r="M184" s="10">
        <v>0</v>
      </c>
      <c r="N184" s="6" t="s">
        <v>1621</v>
      </c>
      <c r="O184" s="6">
        <v>1</v>
      </c>
    </row>
    <row r="185" spans="1:15" ht="30" customHeight="1" x14ac:dyDescent="0.2">
      <c r="A185" s="6">
        <v>184</v>
      </c>
      <c r="B185" s="6" t="s">
        <v>220</v>
      </c>
      <c r="C185" s="6" t="s">
        <v>226</v>
      </c>
      <c r="D185" s="6" t="s">
        <v>1911</v>
      </c>
      <c r="E185" s="8">
        <v>340000</v>
      </c>
      <c r="F185" s="6"/>
      <c r="G185" s="9">
        <v>126.37701988220215</v>
      </c>
      <c r="H185" s="9">
        <v>37.00220994571567</v>
      </c>
      <c r="I185" s="6" t="s">
        <v>1908</v>
      </c>
      <c r="J185" s="6" t="s">
        <v>1909</v>
      </c>
      <c r="K185" s="6" t="s">
        <v>56</v>
      </c>
      <c r="L185" s="6" t="s">
        <v>1629</v>
      </c>
      <c r="M185" s="10">
        <v>0.65500000000000003</v>
      </c>
      <c r="N185" s="6" t="s">
        <v>1621</v>
      </c>
      <c r="O185" s="6">
        <v>1</v>
      </c>
    </row>
    <row r="186" spans="1:15" ht="30" customHeight="1" x14ac:dyDescent="0.2">
      <c r="A186" s="6">
        <v>185</v>
      </c>
      <c r="B186" s="6" t="s">
        <v>220</v>
      </c>
      <c r="C186" s="6" t="s">
        <v>226</v>
      </c>
      <c r="D186" s="6" t="s">
        <v>1912</v>
      </c>
      <c r="E186" s="8">
        <v>650000</v>
      </c>
      <c r="F186" s="6"/>
      <c r="G186" s="9">
        <v>127.75219917297363</v>
      </c>
      <c r="H186" s="9">
        <v>34.720027597020866</v>
      </c>
      <c r="I186" s="6" t="s">
        <v>1627</v>
      </c>
      <c r="J186" s="6" t="s">
        <v>1913</v>
      </c>
      <c r="K186" s="6" t="s">
        <v>56</v>
      </c>
      <c r="L186" s="6" t="s">
        <v>1629</v>
      </c>
      <c r="M186" s="10">
        <v>1.1519999999999999</v>
      </c>
      <c r="N186" s="6" t="s">
        <v>1621</v>
      </c>
      <c r="O186" s="6">
        <v>1</v>
      </c>
    </row>
    <row r="187" spans="1:15" ht="30" customHeight="1" x14ac:dyDescent="0.2">
      <c r="A187" s="6">
        <v>186</v>
      </c>
      <c r="B187" s="6" t="s">
        <v>220</v>
      </c>
      <c r="C187" s="6" t="s">
        <v>226</v>
      </c>
      <c r="D187" s="6" t="s">
        <v>1914</v>
      </c>
      <c r="E187" s="8">
        <v>500000</v>
      </c>
      <c r="F187" s="6"/>
      <c r="G187" s="9">
        <v>129.36161041259766</v>
      </c>
      <c r="H187" s="9">
        <v>35.477935940262562</v>
      </c>
      <c r="I187" s="6" t="s">
        <v>1915</v>
      </c>
      <c r="J187" s="6" t="s">
        <v>1916</v>
      </c>
      <c r="K187" s="6" t="s">
        <v>56</v>
      </c>
      <c r="L187" s="6" t="s">
        <v>1620</v>
      </c>
      <c r="M187" s="10">
        <v>0</v>
      </c>
      <c r="N187" s="6" t="s">
        <v>1621</v>
      </c>
      <c r="O187" s="6">
        <v>1</v>
      </c>
    </row>
    <row r="188" spans="1:15" ht="30" customHeight="1" x14ac:dyDescent="0.2">
      <c r="A188" s="6">
        <v>187</v>
      </c>
      <c r="B188" s="6" t="s">
        <v>220</v>
      </c>
      <c r="C188" s="6" t="s">
        <v>226</v>
      </c>
      <c r="D188" s="6" t="s">
        <v>1917</v>
      </c>
      <c r="E188" s="8">
        <v>880000</v>
      </c>
      <c r="F188" s="6"/>
      <c r="G188" s="9">
        <v>129.34289932250977</v>
      </c>
      <c r="H188" s="9">
        <v>35.433190515106809</v>
      </c>
      <c r="I188" s="6" t="s">
        <v>1918</v>
      </c>
      <c r="J188" s="6" t="s">
        <v>1919</v>
      </c>
      <c r="K188" s="6" t="s">
        <v>56</v>
      </c>
      <c r="L188" s="6" t="s">
        <v>1620</v>
      </c>
      <c r="M188" s="10">
        <v>0</v>
      </c>
      <c r="N188" s="6" t="s">
        <v>1621</v>
      </c>
      <c r="O188" s="6">
        <v>1</v>
      </c>
    </row>
    <row r="189" spans="1:15" ht="30" customHeight="1" x14ac:dyDescent="0.2">
      <c r="A189" s="6">
        <v>188</v>
      </c>
      <c r="B189" s="6" t="s">
        <v>1148</v>
      </c>
      <c r="C189" s="6" t="s">
        <v>1154</v>
      </c>
      <c r="D189" s="6" t="s">
        <v>1920</v>
      </c>
      <c r="E189" s="8">
        <v>50000</v>
      </c>
      <c r="F189" s="6"/>
      <c r="G189" s="9">
        <v>79.879789352416992</v>
      </c>
      <c r="H189" s="9">
        <v>7.0155420690760009</v>
      </c>
      <c r="I189" s="6" t="s">
        <v>1639</v>
      </c>
      <c r="J189" s="6" t="s">
        <v>1921</v>
      </c>
      <c r="K189" s="6" t="s">
        <v>56</v>
      </c>
      <c r="L189" s="6" t="s">
        <v>1620</v>
      </c>
      <c r="M189" s="10">
        <v>0</v>
      </c>
      <c r="N189" s="6" t="s">
        <v>1621</v>
      </c>
      <c r="O189" s="6">
        <v>1</v>
      </c>
    </row>
    <row r="190" spans="1:15" ht="30" customHeight="1" x14ac:dyDescent="0.2">
      <c r="A190" s="6">
        <v>189</v>
      </c>
      <c r="B190" s="6" t="s">
        <v>1178</v>
      </c>
      <c r="C190" s="6" t="s">
        <v>1183</v>
      </c>
      <c r="D190" s="6" t="s">
        <v>1922</v>
      </c>
      <c r="E190" s="8">
        <v>270000</v>
      </c>
      <c r="F190" s="6"/>
      <c r="G190" s="9">
        <v>120.31994819641113</v>
      </c>
      <c r="H190" s="9">
        <v>22.71174800462229</v>
      </c>
      <c r="I190" s="6" t="s">
        <v>1923</v>
      </c>
      <c r="J190" s="6" t="s">
        <v>1924</v>
      </c>
      <c r="K190" s="6" t="s">
        <v>56</v>
      </c>
      <c r="L190" s="6" t="s">
        <v>1620</v>
      </c>
      <c r="M190" s="10">
        <v>0</v>
      </c>
      <c r="N190" s="6" t="s">
        <v>1621</v>
      </c>
      <c r="O190" s="6">
        <v>1</v>
      </c>
    </row>
    <row r="191" spans="1:15" ht="30" customHeight="1" x14ac:dyDescent="0.2">
      <c r="A191" s="6">
        <v>190</v>
      </c>
      <c r="B191" s="6" t="s">
        <v>1178</v>
      </c>
      <c r="C191" s="6" t="s">
        <v>1183</v>
      </c>
      <c r="D191" s="6" t="s">
        <v>1925</v>
      </c>
      <c r="E191" s="8">
        <v>300000</v>
      </c>
      <c r="F191" s="6"/>
      <c r="G191" s="9">
        <v>120.18330574035645</v>
      </c>
      <c r="H191" s="9">
        <v>23.769007360831061</v>
      </c>
      <c r="I191" s="6" t="s">
        <v>1923</v>
      </c>
      <c r="J191" s="6" t="s">
        <v>1924</v>
      </c>
      <c r="K191" s="6" t="s">
        <v>56</v>
      </c>
      <c r="L191" s="6" t="s">
        <v>1629</v>
      </c>
      <c r="M191" s="10">
        <v>0.30399999999999999</v>
      </c>
      <c r="N191" s="6" t="s">
        <v>1621</v>
      </c>
      <c r="O191" s="6">
        <v>1</v>
      </c>
    </row>
    <row r="192" spans="1:15" ht="30" customHeight="1" x14ac:dyDescent="0.2">
      <c r="A192" s="6">
        <v>191</v>
      </c>
      <c r="B192" s="6" t="s">
        <v>1178</v>
      </c>
      <c r="C192" s="6" t="s">
        <v>1183</v>
      </c>
      <c r="D192" s="6" t="s">
        <v>1926</v>
      </c>
      <c r="E192" s="8">
        <v>200000</v>
      </c>
      <c r="F192" s="6"/>
      <c r="G192" s="9">
        <v>121.30949020385742</v>
      </c>
      <c r="H192" s="9">
        <v>25.034827589349003</v>
      </c>
      <c r="I192" s="6" t="s">
        <v>1923</v>
      </c>
      <c r="J192" s="6" t="s">
        <v>1924</v>
      </c>
      <c r="K192" s="6" t="s">
        <v>56</v>
      </c>
      <c r="L192" s="6" t="s">
        <v>1620</v>
      </c>
      <c r="M192" s="10">
        <v>0</v>
      </c>
      <c r="N192" s="6" t="s">
        <v>1621</v>
      </c>
      <c r="O192" s="6">
        <v>1</v>
      </c>
    </row>
    <row r="193" spans="1:15" ht="30" customHeight="1" x14ac:dyDescent="0.2">
      <c r="A193" s="6">
        <v>192</v>
      </c>
      <c r="B193" s="6" t="s">
        <v>1178</v>
      </c>
      <c r="C193" s="6" t="s">
        <v>1183</v>
      </c>
      <c r="D193" s="6" t="s">
        <v>1927</v>
      </c>
      <c r="E193" s="8"/>
      <c r="F193" s="6"/>
      <c r="G193" s="9">
        <v>120.20845413208008</v>
      </c>
      <c r="H193" s="9">
        <v>23.805920781400651</v>
      </c>
      <c r="I193" s="6"/>
      <c r="J193" s="6"/>
      <c r="K193" s="6" t="s">
        <v>56</v>
      </c>
      <c r="L193" s="6" t="s">
        <v>1629</v>
      </c>
      <c r="M193" s="10">
        <v>0.50800000000000001</v>
      </c>
      <c r="N193" s="6" t="s">
        <v>1621</v>
      </c>
      <c r="O193" s="6">
        <v>0</v>
      </c>
    </row>
    <row r="194" spans="1:15" ht="30" customHeight="1" x14ac:dyDescent="0.2">
      <c r="A194" s="6">
        <v>193</v>
      </c>
      <c r="B194" s="6" t="s">
        <v>756</v>
      </c>
      <c r="C194" s="6" t="s">
        <v>761</v>
      </c>
      <c r="D194" s="6" t="s">
        <v>1928</v>
      </c>
      <c r="E194" s="8">
        <v>150000</v>
      </c>
      <c r="F194" s="6"/>
      <c r="G194" s="9">
        <v>101.14803314208984</v>
      </c>
      <c r="H194" s="9">
        <v>12.696947298759291</v>
      </c>
      <c r="I194" s="6" t="s">
        <v>1929</v>
      </c>
      <c r="J194" s="6" t="s">
        <v>1930</v>
      </c>
      <c r="K194" s="6" t="s">
        <v>56</v>
      </c>
      <c r="L194" s="6" t="s">
        <v>1620</v>
      </c>
      <c r="M194" s="10">
        <v>0</v>
      </c>
      <c r="N194" s="6" t="s">
        <v>1621</v>
      </c>
      <c r="O194" s="6">
        <v>1</v>
      </c>
    </row>
    <row r="195" spans="1:15" ht="30" customHeight="1" x14ac:dyDescent="0.2">
      <c r="A195" s="6">
        <v>194</v>
      </c>
      <c r="B195" s="6" t="s">
        <v>756</v>
      </c>
      <c r="C195" s="6" t="s">
        <v>761</v>
      </c>
      <c r="D195" s="6" t="s">
        <v>1931</v>
      </c>
      <c r="E195" s="8">
        <v>173500</v>
      </c>
      <c r="F195" s="6"/>
      <c r="G195" s="9">
        <v>100.90307235717773</v>
      </c>
      <c r="H195" s="9">
        <v>13.112332454950076</v>
      </c>
      <c r="I195" s="6"/>
      <c r="J195" s="6" t="s">
        <v>1932</v>
      </c>
      <c r="K195" s="6" t="s">
        <v>56</v>
      </c>
      <c r="L195" s="6" t="s">
        <v>1620</v>
      </c>
      <c r="M195" s="10">
        <v>0</v>
      </c>
      <c r="N195" s="6" t="s">
        <v>1621</v>
      </c>
      <c r="O195" s="6">
        <v>1</v>
      </c>
    </row>
    <row r="196" spans="1:15" ht="30" customHeight="1" x14ac:dyDescent="0.2">
      <c r="A196" s="6">
        <v>195</v>
      </c>
      <c r="B196" s="6" t="s">
        <v>756</v>
      </c>
      <c r="C196" s="6" t="s">
        <v>761</v>
      </c>
      <c r="D196" s="6" t="s">
        <v>1933</v>
      </c>
      <c r="E196" s="8">
        <v>275000</v>
      </c>
      <c r="F196" s="6"/>
      <c r="G196" s="9">
        <v>100.59588432312012</v>
      </c>
      <c r="H196" s="9">
        <v>13.685852399480819</v>
      </c>
      <c r="I196" s="6"/>
      <c r="J196" s="6" t="s">
        <v>1934</v>
      </c>
      <c r="K196" s="6" t="s">
        <v>56</v>
      </c>
      <c r="L196" s="6" t="s">
        <v>1620</v>
      </c>
      <c r="M196" s="10">
        <v>0</v>
      </c>
      <c r="N196" s="6" t="s">
        <v>1621</v>
      </c>
      <c r="O196" s="6">
        <v>1</v>
      </c>
    </row>
    <row r="197" spans="1:15" ht="30" customHeight="1" x14ac:dyDescent="0.2">
      <c r="A197" s="6">
        <v>196</v>
      </c>
      <c r="B197" s="6" t="s">
        <v>756</v>
      </c>
      <c r="C197" s="6" t="s">
        <v>761</v>
      </c>
      <c r="D197" s="6" t="s">
        <v>1935</v>
      </c>
      <c r="E197" s="8">
        <v>193000</v>
      </c>
      <c r="F197" s="6"/>
      <c r="G197" s="9">
        <v>100.88899612426758</v>
      </c>
      <c r="H197" s="9">
        <v>13.102802686786223</v>
      </c>
      <c r="I197" s="6"/>
      <c r="J197" s="6" t="s">
        <v>1936</v>
      </c>
      <c r="K197" s="6" t="s">
        <v>56</v>
      </c>
      <c r="L197" s="6" t="s">
        <v>1620</v>
      </c>
      <c r="M197" s="10">
        <v>0</v>
      </c>
      <c r="N197" s="6" t="s">
        <v>1621</v>
      </c>
      <c r="O197" s="6">
        <v>1</v>
      </c>
    </row>
    <row r="198" spans="1:15" ht="30" customHeight="1" x14ac:dyDescent="0.2">
      <c r="A198" s="6">
        <v>197</v>
      </c>
      <c r="B198" s="6" t="s">
        <v>471</v>
      </c>
      <c r="C198" s="6" t="s">
        <v>477</v>
      </c>
      <c r="D198" s="6" t="s">
        <v>1937</v>
      </c>
      <c r="E198" s="8">
        <v>200000</v>
      </c>
      <c r="F198" s="6"/>
      <c r="G198" s="9">
        <v>49.912261962890625</v>
      </c>
      <c r="H198" s="9">
        <v>40.405392130522465</v>
      </c>
      <c r="I198" s="6" t="s">
        <v>1938</v>
      </c>
      <c r="J198" s="6" t="s">
        <v>1939</v>
      </c>
      <c r="K198" s="6" t="s">
        <v>56</v>
      </c>
      <c r="L198" s="6" t="s">
        <v>1620</v>
      </c>
      <c r="M198" s="10">
        <v>0</v>
      </c>
      <c r="N198" s="6" t="s">
        <v>1621</v>
      </c>
      <c r="O198" s="6">
        <v>1</v>
      </c>
    </row>
    <row r="199" spans="1:15" ht="30" customHeight="1" x14ac:dyDescent="0.2">
      <c r="A199" s="6">
        <v>198</v>
      </c>
      <c r="B199" s="6" t="s">
        <v>471</v>
      </c>
      <c r="C199" s="6" t="s">
        <v>477</v>
      </c>
      <c r="D199" s="6" t="s">
        <v>1940</v>
      </c>
      <c r="E199" s="8">
        <v>239000</v>
      </c>
      <c r="F199" s="6"/>
      <c r="G199" s="9">
        <v>49.911918640136719</v>
      </c>
      <c r="H199" s="9">
        <v>40.372312796990251</v>
      </c>
      <c r="I199" s="6" t="s">
        <v>1938</v>
      </c>
      <c r="J199" s="6" t="s">
        <v>1939</v>
      </c>
      <c r="K199" s="6" t="s">
        <v>56</v>
      </c>
      <c r="L199" s="6" t="s">
        <v>1620</v>
      </c>
      <c r="M199" s="10">
        <v>0</v>
      </c>
      <c r="N199" s="6" t="s">
        <v>1621</v>
      </c>
      <c r="O199" s="6">
        <v>1</v>
      </c>
    </row>
    <row r="200" spans="1:15" ht="30" customHeight="1" x14ac:dyDescent="0.2">
      <c r="A200" s="6">
        <v>199</v>
      </c>
      <c r="B200" s="6" t="s">
        <v>329</v>
      </c>
      <c r="C200" s="6" t="s">
        <v>335</v>
      </c>
      <c r="D200" s="6" t="s">
        <v>1941</v>
      </c>
      <c r="E200" s="8">
        <v>104400</v>
      </c>
      <c r="F200" s="6"/>
      <c r="G200" s="9">
        <v>51.924219131469727</v>
      </c>
      <c r="H200" s="9">
        <v>47.073161632198214</v>
      </c>
      <c r="I200" s="6" t="s">
        <v>1942</v>
      </c>
      <c r="J200" s="6" t="s">
        <v>1943</v>
      </c>
      <c r="K200" s="6" t="s">
        <v>56</v>
      </c>
      <c r="L200" s="6" t="s">
        <v>1620</v>
      </c>
      <c r="M200" s="10">
        <v>0</v>
      </c>
      <c r="N200" s="6" t="s">
        <v>1621</v>
      </c>
      <c r="O200" s="6">
        <v>1</v>
      </c>
    </row>
    <row r="201" spans="1:15" ht="30" customHeight="1" x14ac:dyDescent="0.2">
      <c r="A201" s="6">
        <v>200</v>
      </c>
      <c r="B201" s="6" t="s">
        <v>329</v>
      </c>
      <c r="C201" s="6" t="s">
        <v>335</v>
      </c>
      <c r="D201" s="6" t="s">
        <v>1944</v>
      </c>
      <c r="E201" s="8">
        <v>162666</v>
      </c>
      <c r="F201" s="6"/>
      <c r="G201" s="9">
        <v>76.912622451782227</v>
      </c>
      <c r="H201" s="9">
        <v>52.370830688921529</v>
      </c>
      <c r="I201" s="6" t="s">
        <v>1942</v>
      </c>
      <c r="J201" s="6" t="s">
        <v>1943</v>
      </c>
      <c r="K201" s="6" t="s">
        <v>56</v>
      </c>
      <c r="L201" s="6" t="s">
        <v>1620</v>
      </c>
      <c r="M201" s="10">
        <v>0</v>
      </c>
      <c r="N201" s="6" t="s">
        <v>1621</v>
      </c>
      <c r="O201" s="6">
        <v>1</v>
      </c>
    </row>
    <row r="202" spans="1:15" ht="30" customHeight="1" x14ac:dyDescent="0.2">
      <c r="A202" s="6">
        <v>201</v>
      </c>
      <c r="B202" s="6" t="s">
        <v>329</v>
      </c>
      <c r="C202" s="6" t="s">
        <v>335</v>
      </c>
      <c r="D202" s="6" t="s">
        <v>1945</v>
      </c>
      <c r="E202" s="8">
        <v>160000</v>
      </c>
      <c r="F202" s="6"/>
      <c r="G202" s="9">
        <v>69.652633666992188</v>
      </c>
      <c r="H202" s="9">
        <v>42.261239728729883</v>
      </c>
      <c r="I202" s="6" t="s">
        <v>1946</v>
      </c>
      <c r="J202" s="6" t="s">
        <v>1947</v>
      </c>
      <c r="K202" s="6" t="s">
        <v>56</v>
      </c>
      <c r="L202" s="6" t="s">
        <v>1620</v>
      </c>
      <c r="M202" s="10">
        <v>0</v>
      </c>
      <c r="N202" s="6" t="s">
        <v>1621</v>
      </c>
      <c r="O202" s="6">
        <v>1</v>
      </c>
    </row>
    <row r="203" spans="1:15" ht="30" customHeight="1" x14ac:dyDescent="0.2">
      <c r="A203" s="6">
        <v>202</v>
      </c>
      <c r="B203" s="6" t="s">
        <v>500</v>
      </c>
      <c r="C203" s="6" t="s">
        <v>505</v>
      </c>
      <c r="D203" s="6" t="s">
        <v>1948</v>
      </c>
      <c r="E203" s="8"/>
      <c r="F203" s="6"/>
      <c r="G203" s="9">
        <v>72.981662750244141</v>
      </c>
      <c r="H203" s="9">
        <v>40.966354107416393</v>
      </c>
      <c r="I203" s="6" t="s">
        <v>1639</v>
      </c>
      <c r="J203" s="6" t="s">
        <v>1949</v>
      </c>
      <c r="K203" s="6" t="s">
        <v>56</v>
      </c>
      <c r="L203" s="6" t="s">
        <v>1620</v>
      </c>
      <c r="M203" s="10">
        <v>0</v>
      </c>
      <c r="N203" s="6" t="s">
        <v>1621</v>
      </c>
      <c r="O203" s="6">
        <v>0</v>
      </c>
    </row>
    <row r="204" spans="1:15" ht="30" customHeight="1" x14ac:dyDescent="0.2">
      <c r="A204" s="6">
        <v>203</v>
      </c>
      <c r="B204" s="6" t="s">
        <v>744</v>
      </c>
      <c r="C204" s="6" t="s">
        <v>749</v>
      </c>
      <c r="D204" s="6" t="s">
        <v>1950</v>
      </c>
      <c r="E204" s="8">
        <v>40000</v>
      </c>
      <c r="F204" s="6"/>
      <c r="G204" s="9">
        <v>73.073244094848633</v>
      </c>
      <c r="H204" s="9">
        <v>33.5532692855382</v>
      </c>
      <c r="I204" s="6" t="s">
        <v>1951</v>
      </c>
      <c r="J204" s="6" t="s">
        <v>1952</v>
      </c>
      <c r="K204" s="6" t="s">
        <v>56</v>
      </c>
      <c r="L204" s="6" t="s">
        <v>1620</v>
      </c>
      <c r="M204" s="10">
        <v>0</v>
      </c>
      <c r="N204" s="6" t="s">
        <v>1621</v>
      </c>
      <c r="O204" s="6">
        <v>1</v>
      </c>
    </row>
    <row r="205" spans="1:15" ht="30" customHeight="1" x14ac:dyDescent="0.2">
      <c r="A205" s="6">
        <v>204</v>
      </c>
      <c r="B205" s="6" t="s">
        <v>744</v>
      </c>
      <c r="C205" s="6" t="s">
        <v>749</v>
      </c>
      <c r="D205" s="6" t="s">
        <v>1953</v>
      </c>
      <c r="E205" s="8">
        <v>30000</v>
      </c>
      <c r="F205" s="6"/>
      <c r="G205" s="9">
        <v>66.982870101928711</v>
      </c>
      <c r="H205" s="9">
        <v>24.816731461143856</v>
      </c>
      <c r="I205" s="6" t="s">
        <v>1639</v>
      </c>
      <c r="J205" s="6" t="s">
        <v>1954</v>
      </c>
      <c r="K205" s="6" t="s">
        <v>56</v>
      </c>
      <c r="L205" s="6" t="s">
        <v>1629</v>
      </c>
      <c r="M205" s="10">
        <v>0.75700000000000001</v>
      </c>
      <c r="N205" s="6" t="s">
        <v>1621</v>
      </c>
      <c r="O205" s="6">
        <v>1</v>
      </c>
    </row>
    <row r="206" spans="1:15" ht="30" customHeight="1" x14ac:dyDescent="0.2">
      <c r="A206" s="6">
        <v>205</v>
      </c>
      <c r="B206" s="6" t="s">
        <v>744</v>
      </c>
      <c r="C206" s="6" t="s">
        <v>749</v>
      </c>
      <c r="D206" s="6" t="s">
        <v>1955</v>
      </c>
      <c r="E206" s="8">
        <v>58000</v>
      </c>
      <c r="F206" s="6"/>
      <c r="G206" s="9">
        <v>67.117366790771484</v>
      </c>
      <c r="H206" s="9">
        <v>24.802552003817883</v>
      </c>
      <c r="I206" s="6" t="s">
        <v>1951</v>
      </c>
      <c r="J206" s="6" t="s">
        <v>1956</v>
      </c>
      <c r="K206" s="6" t="s">
        <v>56</v>
      </c>
      <c r="L206" s="6" t="s">
        <v>1620</v>
      </c>
      <c r="M206" s="10">
        <v>0</v>
      </c>
      <c r="N206" s="6" t="s">
        <v>1621</v>
      </c>
      <c r="O206" s="6">
        <v>1</v>
      </c>
    </row>
    <row r="207" spans="1:15" ht="30" customHeight="1" x14ac:dyDescent="0.2">
      <c r="A207" s="6">
        <v>206</v>
      </c>
      <c r="B207" s="6" t="s">
        <v>744</v>
      </c>
      <c r="C207" s="6" t="s">
        <v>749</v>
      </c>
      <c r="D207" s="6" t="s">
        <v>1957</v>
      </c>
      <c r="E207" s="8">
        <v>100000</v>
      </c>
      <c r="F207" s="6"/>
      <c r="G207" s="9">
        <v>70.934600830078125</v>
      </c>
      <c r="H207" s="9">
        <v>30.169098175149053</v>
      </c>
      <c r="I207" s="6" t="s">
        <v>1639</v>
      </c>
      <c r="J207" s="6" t="s">
        <v>1958</v>
      </c>
      <c r="K207" s="6" t="s">
        <v>56</v>
      </c>
      <c r="L207" s="6" t="s">
        <v>1620</v>
      </c>
      <c r="M207" s="10">
        <v>0</v>
      </c>
      <c r="N207" s="6" t="s">
        <v>1621</v>
      </c>
      <c r="O207" s="6">
        <v>1</v>
      </c>
    </row>
    <row r="208" spans="1:15" ht="30" customHeight="1" x14ac:dyDescent="0.2">
      <c r="A208" s="6">
        <v>207</v>
      </c>
      <c r="B208" s="6" t="s">
        <v>744</v>
      </c>
      <c r="C208" s="6" t="s">
        <v>749</v>
      </c>
      <c r="D208" s="6" t="s">
        <v>1959</v>
      </c>
      <c r="E208" s="8">
        <v>40000</v>
      </c>
      <c r="F208" s="6"/>
      <c r="G208" s="9">
        <v>67.12620735168457</v>
      </c>
      <c r="H208" s="9">
        <v>24.846409576359981</v>
      </c>
      <c r="I208" s="6" t="s">
        <v>1639</v>
      </c>
      <c r="J208" s="6" t="s">
        <v>1960</v>
      </c>
      <c r="K208" s="6" t="s">
        <v>56</v>
      </c>
      <c r="L208" s="6" t="s">
        <v>1620</v>
      </c>
      <c r="M208" s="10">
        <v>0</v>
      </c>
      <c r="N208" s="6" t="s">
        <v>1621</v>
      </c>
      <c r="O208" s="6">
        <v>1</v>
      </c>
    </row>
    <row r="209" spans="1:15" ht="30" customHeight="1" x14ac:dyDescent="0.2">
      <c r="A209" s="6">
        <v>208</v>
      </c>
      <c r="B209" s="6" t="s">
        <v>937</v>
      </c>
      <c r="C209" s="6" t="s">
        <v>942</v>
      </c>
      <c r="D209" s="6" t="s">
        <v>1961</v>
      </c>
      <c r="E209" s="8">
        <v>116000</v>
      </c>
      <c r="F209" s="6"/>
      <c r="G209" s="9">
        <v>52.957448959350586</v>
      </c>
      <c r="H209" s="9">
        <v>40.027220095202871</v>
      </c>
      <c r="I209" s="6"/>
      <c r="J209" s="6" t="s">
        <v>1962</v>
      </c>
      <c r="K209" s="6" t="s">
        <v>56</v>
      </c>
      <c r="L209" s="6" t="s">
        <v>1620</v>
      </c>
      <c r="M209" s="10">
        <v>0</v>
      </c>
      <c r="N209" s="6" t="s">
        <v>1621</v>
      </c>
      <c r="O209" s="6">
        <v>1</v>
      </c>
    </row>
    <row r="210" spans="1:15" ht="30" customHeight="1" x14ac:dyDescent="0.2">
      <c r="A210" s="6">
        <v>209</v>
      </c>
      <c r="B210" s="6" t="s">
        <v>937</v>
      </c>
      <c r="C210" s="6" t="s">
        <v>942</v>
      </c>
      <c r="D210" s="6" t="s">
        <v>1963</v>
      </c>
      <c r="E210" s="8">
        <v>120000</v>
      </c>
      <c r="F210" s="6"/>
      <c r="G210" s="9">
        <v>63.57264518737793</v>
      </c>
      <c r="H210" s="9">
        <v>39.08850195155842</v>
      </c>
      <c r="I210" s="6"/>
      <c r="J210" s="6" t="s">
        <v>1962</v>
      </c>
      <c r="K210" s="6" t="s">
        <v>56</v>
      </c>
      <c r="L210" s="6" t="s">
        <v>1620</v>
      </c>
      <c r="M210" s="10">
        <v>0</v>
      </c>
      <c r="N210" s="6" t="s">
        <v>1621</v>
      </c>
      <c r="O210" s="6">
        <v>1</v>
      </c>
    </row>
    <row r="211" spans="1:15" ht="30" customHeight="1" x14ac:dyDescent="0.2">
      <c r="A211" s="6">
        <v>210</v>
      </c>
      <c r="B211" s="6" t="s">
        <v>322</v>
      </c>
      <c r="C211" s="6" t="s">
        <v>328</v>
      </c>
      <c r="D211" s="6" t="s">
        <v>1964</v>
      </c>
      <c r="E211" s="8">
        <v>66000</v>
      </c>
      <c r="F211" s="6"/>
      <c r="G211" s="9">
        <v>71.51275634765625</v>
      </c>
      <c r="H211" s="9">
        <v>40.428655600133553</v>
      </c>
      <c r="I211" s="6"/>
      <c r="J211" s="6" t="s">
        <v>1965</v>
      </c>
      <c r="K211" s="6" t="s">
        <v>56</v>
      </c>
      <c r="L211" s="6" t="s">
        <v>1620</v>
      </c>
      <c r="M211" s="10">
        <v>0</v>
      </c>
      <c r="N211" s="6" t="s">
        <v>1621</v>
      </c>
      <c r="O211" s="6">
        <v>1</v>
      </c>
    </row>
    <row r="212" spans="1:15" ht="30" customHeight="1" x14ac:dyDescent="0.2">
      <c r="A212" s="6">
        <v>211</v>
      </c>
      <c r="B212" s="6" t="s">
        <v>322</v>
      </c>
      <c r="C212" s="6" t="s">
        <v>328</v>
      </c>
      <c r="D212" s="6" t="s">
        <v>1966</v>
      </c>
      <c r="E212" s="8"/>
      <c r="F212" s="6"/>
      <c r="G212" s="9">
        <v>64.490776062011719</v>
      </c>
      <c r="H212" s="9">
        <v>39.735442228890683</v>
      </c>
      <c r="I212" s="6"/>
      <c r="J212" s="6" t="s">
        <v>1967</v>
      </c>
      <c r="K212" s="6" t="s">
        <v>56</v>
      </c>
      <c r="L212" s="6" t="s">
        <v>1620</v>
      </c>
      <c r="M212" s="10">
        <v>0</v>
      </c>
      <c r="N212" s="6" t="s">
        <v>1621</v>
      </c>
      <c r="O212" s="6">
        <v>0</v>
      </c>
    </row>
    <row r="213" spans="1:15" ht="30" customHeight="1" x14ac:dyDescent="0.2">
      <c r="A213" s="6">
        <v>212</v>
      </c>
      <c r="B213" s="6" t="s">
        <v>322</v>
      </c>
      <c r="C213" s="6" t="s">
        <v>328</v>
      </c>
      <c r="D213" s="6" t="s">
        <v>1968</v>
      </c>
      <c r="E213" s="8"/>
      <c r="F213" s="6"/>
      <c r="G213" s="9">
        <v>71.825952529907227</v>
      </c>
      <c r="H213" s="9">
        <v>40.442048049496236</v>
      </c>
      <c r="I213" s="6"/>
      <c r="J213" s="6" t="s">
        <v>1969</v>
      </c>
      <c r="K213" s="6" t="s">
        <v>56</v>
      </c>
      <c r="L213" s="6" t="s">
        <v>1620</v>
      </c>
      <c r="M213" s="10">
        <v>0</v>
      </c>
      <c r="N213" s="6" t="s">
        <v>1621</v>
      </c>
      <c r="O213" s="6">
        <v>0</v>
      </c>
    </row>
    <row r="214" spans="1:15" ht="30" customHeight="1" x14ac:dyDescent="0.2">
      <c r="A214" s="6">
        <v>213</v>
      </c>
      <c r="B214" s="6" t="s">
        <v>1475</v>
      </c>
      <c r="C214" s="6" t="s">
        <v>1480</v>
      </c>
      <c r="D214" s="6" t="s">
        <v>1970</v>
      </c>
      <c r="E214" s="8">
        <v>250000</v>
      </c>
      <c r="F214" s="6"/>
      <c r="G214" s="9">
        <v>50.606803894042969</v>
      </c>
      <c r="H214" s="9">
        <v>26.114290421727606</v>
      </c>
      <c r="I214" s="6" t="s">
        <v>1971</v>
      </c>
      <c r="J214" s="6" t="s">
        <v>1972</v>
      </c>
      <c r="K214" s="6" t="s">
        <v>56</v>
      </c>
      <c r="L214" s="6" t="s">
        <v>1620</v>
      </c>
      <c r="M214" s="10">
        <v>0</v>
      </c>
      <c r="N214" s="6" t="s">
        <v>1621</v>
      </c>
      <c r="O214" s="6">
        <v>1</v>
      </c>
    </row>
    <row r="215" spans="1:15" ht="30" customHeight="1" x14ac:dyDescent="0.2">
      <c r="A215" s="6">
        <v>214</v>
      </c>
      <c r="B215" s="6" t="s">
        <v>626</v>
      </c>
      <c r="C215" s="6" t="s">
        <v>633</v>
      </c>
      <c r="D215" s="6" t="s">
        <v>1973</v>
      </c>
      <c r="E215" s="8">
        <v>200000</v>
      </c>
      <c r="F215" s="6"/>
      <c r="G215" s="9">
        <v>43.487491607666016</v>
      </c>
      <c r="H215" s="9">
        <v>34.998152151043271</v>
      </c>
      <c r="I215" s="6" t="s">
        <v>1974</v>
      </c>
      <c r="J215" s="6" t="s">
        <v>1975</v>
      </c>
      <c r="K215" s="6" t="s">
        <v>56</v>
      </c>
      <c r="L215" s="6" t="s">
        <v>1620</v>
      </c>
      <c r="M215" s="10">
        <v>0</v>
      </c>
      <c r="N215" s="6" t="s">
        <v>1621</v>
      </c>
      <c r="O215" s="6">
        <v>1</v>
      </c>
    </row>
    <row r="216" spans="1:15" ht="30" customHeight="1" x14ac:dyDescent="0.2">
      <c r="A216" s="6">
        <v>215</v>
      </c>
      <c r="B216" s="6" t="s">
        <v>626</v>
      </c>
      <c r="C216" s="6" t="s">
        <v>633</v>
      </c>
      <c r="D216" s="6" t="s">
        <v>1976</v>
      </c>
      <c r="E216" s="8">
        <v>126000</v>
      </c>
      <c r="F216" s="6"/>
      <c r="G216" s="9">
        <v>47.822198867797852</v>
      </c>
      <c r="H216" s="9">
        <v>30.538312178990665</v>
      </c>
      <c r="I216" s="6" t="s">
        <v>1974</v>
      </c>
      <c r="J216" s="6" t="s">
        <v>1975</v>
      </c>
      <c r="K216" s="6" t="s">
        <v>56</v>
      </c>
      <c r="L216" s="6" t="s">
        <v>1620</v>
      </c>
      <c r="M216" s="10">
        <v>0</v>
      </c>
      <c r="N216" s="6" t="s">
        <v>1621</v>
      </c>
      <c r="O216" s="6">
        <v>1</v>
      </c>
    </row>
    <row r="217" spans="1:15" ht="30" customHeight="1" x14ac:dyDescent="0.2">
      <c r="A217" s="6">
        <v>216</v>
      </c>
      <c r="B217" s="6" t="s">
        <v>626</v>
      </c>
      <c r="C217" s="6" t="s">
        <v>633</v>
      </c>
      <c r="D217" s="6" t="s">
        <v>1977</v>
      </c>
      <c r="E217" s="8">
        <v>100000</v>
      </c>
      <c r="F217" s="6"/>
      <c r="G217" s="9">
        <v>44.432401657104492</v>
      </c>
      <c r="H217" s="9">
        <v>33.274933104711685</v>
      </c>
      <c r="I217" s="6" t="s">
        <v>1974</v>
      </c>
      <c r="J217" s="6" t="s">
        <v>1975</v>
      </c>
      <c r="K217" s="6" t="s">
        <v>56</v>
      </c>
      <c r="L217" s="6" t="s">
        <v>1620</v>
      </c>
      <c r="M217" s="10">
        <v>0</v>
      </c>
      <c r="N217" s="6" t="s">
        <v>1621</v>
      </c>
      <c r="O217" s="6">
        <v>1</v>
      </c>
    </row>
    <row r="218" spans="1:15" ht="30" customHeight="1" x14ac:dyDescent="0.2">
      <c r="A218" s="6">
        <v>217</v>
      </c>
      <c r="B218" s="6" t="s">
        <v>626</v>
      </c>
      <c r="C218" s="6" t="s">
        <v>633</v>
      </c>
      <c r="D218" s="6" t="s">
        <v>1978</v>
      </c>
      <c r="E218" s="8">
        <v>14000</v>
      </c>
      <c r="F218" s="6"/>
      <c r="G218" s="9">
        <v>42.36079216003418</v>
      </c>
      <c r="H218" s="9">
        <v>34.070080248197769</v>
      </c>
      <c r="I218" s="6" t="s">
        <v>1974</v>
      </c>
      <c r="J218" s="6" t="s">
        <v>1975</v>
      </c>
      <c r="K218" s="6" t="s">
        <v>56</v>
      </c>
      <c r="L218" s="6" t="s">
        <v>1620</v>
      </c>
      <c r="M218" s="10">
        <v>0</v>
      </c>
      <c r="N218" s="6" t="s">
        <v>1621</v>
      </c>
      <c r="O218" s="6">
        <v>1</v>
      </c>
    </row>
    <row r="219" spans="1:15" ht="30" customHeight="1" x14ac:dyDescent="0.2">
      <c r="A219" s="6">
        <v>218</v>
      </c>
      <c r="B219" s="6" t="s">
        <v>626</v>
      </c>
      <c r="C219" s="6" t="s">
        <v>633</v>
      </c>
      <c r="D219" s="6" t="s">
        <v>1979</v>
      </c>
      <c r="E219" s="8">
        <v>10000</v>
      </c>
      <c r="F219" s="6"/>
      <c r="G219" s="9">
        <v>45.399627685546875</v>
      </c>
      <c r="H219" s="9">
        <v>34.317565296936145</v>
      </c>
      <c r="I219" s="6" t="s">
        <v>1974</v>
      </c>
      <c r="J219" s="6" t="s">
        <v>1975</v>
      </c>
      <c r="K219" s="6" t="s">
        <v>56</v>
      </c>
      <c r="L219" s="6" t="s">
        <v>1620</v>
      </c>
      <c r="M219" s="10">
        <v>0</v>
      </c>
      <c r="N219" s="6" t="s">
        <v>1621</v>
      </c>
      <c r="O219" s="6">
        <v>1</v>
      </c>
    </row>
    <row r="220" spans="1:15" ht="30" customHeight="1" x14ac:dyDescent="0.2">
      <c r="A220" s="6">
        <v>219</v>
      </c>
      <c r="B220" s="6" t="s">
        <v>626</v>
      </c>
      <c r="C220" s="6" t="s">
        <v>633</v>
      </c>
      <c r="D220" s="6" t="s">
        <v>1980</v>
      </c>
      <c r="E220" s="8">
        <v>27000</v>
      </c>
      <c r="F220" s="6"/>
      <c r="G220" s="9">
        <v>44.334726333618164</v>
      </c>
      <c r="H220" s="9">
        <v>35.528384492953563</v>
      </c>
      <c r="I220" s="6" t="s">
        <v>1974</v>
      </c>
      <c r="J220" s="6" t="s">
        <v>1975</v>
      </c>
      <c r="K220" s="6" t="s">
        <v>56</v>
      </c>
      <c r="L220" s="6" t="s">
        <v>1620</v>
      </c>
      <c r="M220" s="10">
        <v>0</v>
      </c>
      <c r="N220" s="6" t="s">
        <v>1621</v>
      </c>
      <c r="O220" s="6">
        <v>1</v>
      </c>
    </row>
    <row r="221" spans="1:15" ht="30" customHeight="1" x14ac:dyDescent="0.2">
      <c r="A221" s="6">
        <v>220</v>
      </c>
      <c r="B221" s="6" t="s">
        <v>626</v>
      </c>
      <c r="C221" s="6" t="s">
        <v>633</v>
      </c>
      <c r="D221" s="6" t="s">
        <v>1981</v>
      </c>
      <c r="E221" s="8">
        <v>4500</v>
      </c>
      <c r="F221" s="6"/>
      <c r="G221" s="9">
        <v>44.117832183837891</v>
      </c>
      <c r="H221" s="9">
        <v>33.653423150135232</v>
      </c>
      <c r="I221" s="6" t="s">
        <v>1974</v>
      </c>
      <c r="J221" s="6" t="s">
        <v>1975</v>
      </c>
      <c r="K221" s="6" t="s">
        <v>56</v>
      </c>
      <c r="L221" s="6" t="s">
        <v>1620</v>
      </c>
      <c r="M221" s="10">
        <v>0</v>
      </c>
      <c r="N221" s="6" t="s">
        <v>1621</v>
      </c>
      <c r="O221" s="6">
        <v>1</v>
      </c>
    </row>
    <row r="222" spans="1:15" ht="30" customHeight="1" x14ac:dyDescent="0.2">
      <c r="A222" s="6">
        <v>221</v>
      </c>
      <c r="B222" s="6" t="s">
        <v>626</v>
      </c>
      <c r="C222" s="6" t="s">
        <v>633</v>
      </c>
      <c r="D222" s="6" t="s">
        <v>1982</v>
      </c>
      <c r="E222" s="8">
        <v>4000</v>
      </c>
      <c r="F222" s="6"/>
      <c r="G222" s="9">
        <v>43.282699584960938</v>
      </c>
      <c r="H222" s="9">
        <v>35.789620741239084</v>
      </c>
      <c r="I222" s="6" t="s">
        <v>1974</v>
      </c>
      <c r="J222" s="6" t="s">
        <v>1975</v>
      </c>
      <c r="K222" s="6" t="s">
        <v>56</v>
      </c>
      <c r="L222" s="6" t="s">
        <v>1620</v>
      </c>
      <c r="M222" s="10">
        <v>0</v>
      </c>
      <c r="N222" s="6" t="s">
        <v>1621</v>
      </c>
      <c r="O222" s="6">
        <v>1</v>
      </c>
    </row>
    <row r="223" spans="1:15" ht="30" customHeight="1" x14ac:dyDescent="0.2">
      <c r="A223" s="6">
        <v>222</v>
      </c>
      <c r="B223" s="6" t="s">
        <v>647</v>
      </c>
      <c r="C223" s="6" t="s">
        <v>652</v>
      </c>
      <c r="D223" s="6" t="s">
        <v>1983</v>
      </c>
      <c r="E223" s="8">
        <v>435000</v>
      </c>
      <c r="F223" s="6"/>
      <c r="G223" s="9">
        <v>48.277959823608398</v>
      </c>
      <c r="H223" s="9">
        <v>30.34984270964036</v>
      </c>
      <c r="I223" s="6" t="s">
        <v>1984</v>
      </c>
      <c r="J223" s="6" t="s">
        <v>1985</v>
      </c>
      <c r="K223" s="6" t="s">
        <v>56</v>
      </c>
      <c r="L223" s="6" t="s">
        <v>1620</v>
      </c>
      <c r="M223" s="10">
        <v>0</v>
      </c>
      <c r="N223" s="6" t="s">
        <v>1621</v>
      </c>
      <c r="O223" s="6">
        <v>1</v>
      </c>
    </row>
    <row r="224" spans="1:15" ht="30" customHeight="1" x14ac:dyDescent="0.2">
      <c r="A224" s="6">
        <v>223</v>
      </c>
      <c r="B224" s="6" t="s">
        <v>647</v>
      </c>
      <c r="C224" s="6" t="s">
        <v>652</v>
      </c>
      <c r="D224" s="6" t="s">
        <v>1986</v>
      </c>
      <c r="E224" s="8">
        <v>150000</v>
      </c>
      <c r="F224" s="6"/>
      <c r="G224" s="9">
        <v>49.476757049560547</v>
      </c>
      <c r="H224" s="9">
        <v>34.008060020867148</v>
      </c>
      <c r="I224" s="6" t="s">
        <v>1984</v>
      </c>
      <c r="J224" s="6" t="s">
        <v>1985</v>
      </c>
      <c r="K224" s="6" t="s">
        <v>56</v>
      </c>
      <c r="L224" s="6" t="s">
        <v>1620</v>
      </c>
      <c r="M224" s="10">
        <v>0</v>
      </c>
      <c r="N224" s="6" t="s">
        <v>1621</v>
      </c>
      <c r="O224" s="6">
        <v>1</v>
      </c>
    </row>
    <row r="225" spans="1:15" ht="30" customHeight="1" x14ac:dyDescent="0.2">
      <c r="A225" s="6">
        <v>224</v>
      </c>
      <c r="B225" s="6" t="s">
        <v>647</v>
      </c>
      <c r="C225" s="6" t="s">
        <v>652</v>
      </c>
      <c r="D225" s="6" t="s">
        <v>1987</v>
      </c>
      <c r="E225" s="8">
        <v>264000</v>
      </c>
      <c r="F225" s="6"/>
      <c r="G225" s="9">
        <v>56.078081130981445</v>
      </c>
      <c r="H225" s="9">
        <v>27.1715059253596</v>
      </c>
      <c r="I225" s="6" t="s">
        <v>1984</v>
      </c>
      <c r="J225" s="6" t="s">
        <v>1985</v>
      </c>
      <c r="K225" s="6" t="s">
        <v>56</v>
      </c>
      <c r="L225" s="6" t="s">
        <v>1620</v>
      </c>
      <c r="M225" s="10">
        <v>0</v>
      </c>
      <c r="N225" s="6" t="s">
        <v>1621</v>
      </c>
      <c r="O225" s="6">
        <v>1</v>
      </c>
    </row>
    <row r="226" spans="1:15" ht="30" customHeight="1" x14ac:dyDescent="0.2">
      <c r="A226" s="6">
        <v>225</v>
      </c>
      <c r="B226" s="6" t="s">
        <v>647</v>
      </c>
      <c r="C226" s="6" t="s">
        <v>652</v>
      </c>
      <c r="D226" s="6" t="s">
        <v>1988</v>
      </c>
      <c r="E226" s="8">
        <v>300000</v>
      </c>
      <c r="F226" s="6"/>
      <c r="G226" s="9">
        <v>51.506309509277344</v>
      </c>
      <c r="H226" s="9">
        <v>32.781357477885621</v>
      </c>
      <c r="I226" s="6" t="s">
        <v>1984</v>
      </c>
      <c r="J226" s="6" t="s">
        <v>1985</v>
      </c>
      <c r="K226" s="6" t="s">
        <v>56</v>
      </c>
      <c r="L226" s="6" t="s">
        <v>1620</v>
      </c>
      <c r="M226" s="10">
        <v>0</v>
      </c>
      <c r="N226" s="6" t="s">
        <v>1621</v>
      </c>
      <c r="O226" s="6">
        <v>1</v>
      </c>
    </row>
    <row r="227" spans="1:15" ht="30" customHeight="1" x14ac:dyDescent="0.2">
      <c r="A227" s="6">
        <v>226</v>
      </c>
      <c r="B227" s="6" t="s">
        <v>647</v>
      </c>
      <c r="C227" s="6" t="s">
        <v>652</v>
      </c>
      <c r="D227" s="6" t="s">
        <v>1989</v>
      </c>
      <c r="E227" s="8">
        <v>250000</v>
      </c>
      <c r="F227" s="6"/>
      <c r="G227" s="9">
        <v>51.427946090698242</v>
      </c>
      <c r="H227" s="9">
        <v>35.538861518090513</v>
      </c>
      <c r="I227" s="6" t="s">
        <v>1984</v>
      </c>
      <c r="J227" s="6" t="s">
        <v>1985</v>
      </c>
      <c r="K227" s="6" t="s">
        <v>56</v>
      </c>
      <c r="L227" s="6" t="s">
        <v>1620</v>
      </c>
      <c r="M227" s="10">
        <v>0</v>
      </c>
      <c r="N227" s="6" t="s">
        <v>1621</v>
      </c>
      <c r="O227" s="6">
        <v>1</v>
      </c>
    </row>
    <row r="228" spans="1:15" ht="30" customHeight="1" x14ac:dyDescent="0.2">
      <c r="A228" s="6">
        <v>227</v>
      </c>
      <c r="B228" s="6" t="s">
        <v>647</v>
      </c>
      <c r="C228" s="6" t="s">
        <v>652</v>
      </c>
      <c r="D228" s="6" t="s">
        <v>1990</v>
      </c>
      <c r="E228" s="8">
        <v>25000</v>
      </c>
      <c r="F228" s="6"/>
      <c r="G228" s="9">
        <v>47.10413932800293</v>
      </c>
      <c r="H228" s="9">
        <v>34.35257752887663</v>
      </c>
      <c r="I228" s="6" t="s">
        <v>1984</v>
      </c>
      <c r="J228" s="6" t="s">
        <v>1985</v>
      </c>
      <c r="K228" s="6" t="s">
        <v>56</v>
      </c>
      <c r="L228" s="6" t="s">
        <v>1620</v>
      </c>
      <c r="M228" s="10">
        <v>0</v>
      </c>
      <c r="N228" s="6" t="s">
        <v>1621</v>
      </c>
      <c r="O228" s="6">
        <v>1</v>
      </c>
    </row>
    <row r="229" spans="1:15" ht="30" customHeight="1" x14ac:dyDescent="0.2">
      <c r="A229" s="6">
        <v>228</v>
      </c>
      <c r="B229" s="6" t="s">
        <v>647</v>
      </c>
      <c r="C229" s="6" t="s">
        <v>652</v>
      </c>
      <c r="D229" s="6" t="s">
        <v>1991</v>
      </c>
      <c r="E229" s="8">
        <v>29000</v>
      </c>
      <c r="F229" s="6"/>
      <c r="G229" s="9">
        <v>53.349952697753906</v>
      </c>
      <c r="H229" s="9">
        <v>26.799557733065342</v>
      </c>
      <c r="I229" s="6" t="s">
        <v>1984</v>
      </c>
      <c r="J229" s="6" t="s">
        <v>1985</v>
      </c>
      <c r="K229" s="6" t="s">
        <v>56</v>
      </c>
      <c r="L229" s="6" t="s">
        <v>1629</v>
      </c>
      <c r="M229" s="10">
        <v>0.156</v>
      </c>
      <c r="N229" s="6" t="s">
        <v>1621</v>
      </c>
      <c r="O229" s="6">
        <v>1</v>
      </c>
    </row>
    <row r="230" spans="1:15" ht="30" customHeight="1" x14ac:dyDescent="0.2">
      <c r="A230" s="6">
        <v>229</v>
      </c>
      <c r="B230" s="6" t="s">
        <v>647</v>
      </c>
      <c r="C230" s="6" t="s">
        <v>652</v>
      </c>
      <c r="D230" s="6" t="s">
        <v>1992</v>
      </c>
      <c r="E230" s="8">
        <v>58000</v>
      </c>
      <c r="F230" s="6"/>
      <c r="G230" s="9">
        <v>52.654638290405273</v>
      </c>
      <c r="H230" s="9">
        <v>29.735017154849114</v>
      </c>
      <c r="I230" s="6" t="s">
        <v>1984</v>
      </c>
      <c r="J230" s="6" t="s">
        <v>1985</v>
      </c>
      <c r="K230" s="6" t="s">
        <v>56</v>
      </c>
      <c r="L230" s="6" t="s">
        <v>1620</v>
      </c>
      <c r="M230" s="10">
        <v>0</v>
      </c>
      <c r="N230" s="6" t="s">
        <v>1621</v>
      </c>
      <c r="O230" s="6">
        <v>1</v>
      </c>
    </row>
    <row r="231" spans="1:15" ht="30" customHeight="1" x14ac:dyDescent="0.2">
      <c r="A231" s="6">
        <v>230</v>
      </c>
      <c r="B231" s="6" t="s">
        <v>647</v>
      </c>
      <c r="C231" s="6" t="s">
        <v>652</v>
      </c>
      <c r="D231" s="6" t="s">
        <v>1993</v>
      </c>
      <c r="E231" s="8">
        <v>115000</v>
      </c>
      <c r="F231" s="6"/>
      <c r="G231" s="9">
        <v>46.161203384399414</v>
      </c>
      <c r="H231" s="9">
        <v>38.059242754122145</v>
      </c>
      <c r="I231" s="6" t="s">
        <v>1984</v>
      </c>
      <c r="J231" s="6" t="s">
        <v>1985</v>
      </c>
      <c r="K231" s="6" t="s">
        <v>56</v>
      </c>
      <c r="L231" s="6" t="s">
        <v>1620</v>
      </c>
      <c r="M231" s="10">
        <v>0</v>
      </c>
      <c r="N231" s="6" t="s">
        <v>1621</v>
      </c>
      <c r="O231" s="6">
        <v>1</v>
      </c>
    </row>
    <row r="232" spans="1:15" ht="30" customHeight="1" x14ac:dyDescent="0.2">
      <c r="A232" s="6">
        <v>231</v>
      </c>
      <c r="B232" s="6" t="s">
        <v>129</v>
      </c>
      <c r="C232" s="6" t="s">
        <v>136</v>
      </c>
      <c r="D232" s="6" t="s">
        <v>1994</v>
      </c>
      <c r="E232" s="8">
        <v>125000</v>
      </c>
      <c r="F232" s="6"/>
      <c r="G232" s="9">
        <v>34.522218704223633</v>
      </c>
      <c r="H232" s="9">
        <v>31.629998499002557</v>
      </c>
      <c r="I232" s="6" t="s">
        <v>1995</v>
      </c>
      <c r="J232" s="6" t="s">
        <v>1996</v>
      </c>
      <c r="K232" s="6" t="s">
        <v>56</v>
      </c>
      <c r="L232" s="6" t="s">
        <v>1620</v>
      </c>
      <c r="M232" s="10">
        <v>0</v>
      </c>
      <c r="N232" s="6" t="s">
        <v>1621</v>
      </c>
      <c r="O232" s="6">
        <v>1</v>
      </c>
    </row>
    <row r="233" spans="1:15" ht="30" customHeight="1" x14ac:dyDescent="0.2">
      <c r="A233" s="6">
        <v>232</v>
      </c>
      <c r="B233" s="6" t="s">
        <v>129</v>
      </c>
      <c r="C233" s="6" t="s">
        <v>136</v>
      </c>
      <c r="D233" s="6" t="s">
        <v>1997</v>
      </c>
      <c r="E233" s="8">
        <v>115000</v>
      </c>
      <c r="F233" s="6"/>
      <c r="G233" s="9">
        <v>34.682807922363281</v>
      </c>
      <c r="H233" s="9">
        <v>31.84453455836713</v>
      </c>
      <c r="I233" s="6" t="s">
        <v>1995</v>
      </c>
      <c r="J233" s="6" t="s">
        <v>1996</v>
      </c>
      <c r="K233" s="6" t="s">
        <v>56</v>
      </c>
      <c r="L233" s="6" t="s">
        <v>1620</v>
      </c>
      <c r="M233" s="10">
        <v>0</v>
      </c>
      <c r="N233" s="6" t="s">
        <v>1621</v>
      </c>
      <c r="O233" s="6">
        <v>1</v>
      </c>
    </row>
    <row r="234" spans="1:15" ht="30" customHeight="1" x14ac:dyDescent="0.2">
      <c r="A234" s="6">
        <v>233</v>
      </c>
      <c r="B234" s="6" t="s">
        <v>943</v>
      </c>
      <c r="C234" s="6" t="s">
        <v>948</v>
      </c>
      <c r="D234" s="6" t="s">
        <v>1998</v>
      </c>
      <c r="E234" s="8">
        <v>90400</v>
      </c>
      <c r="F234" s="6"/>
      <c r="G234" s="9">
        <v>36.111631393432617</v>
      </c>
      <c r="H234" s="9">
        <v>32.122926869765273</v>
      </c>
      <c r="I234" s="6" t="s">
        <v>1639</v>
      </c>
      <c r="J234" s="6" t="s">
        <v>1999</v>
      </c>
      <c r="K234" s="6" t="s">
        <v>56</v>
      </c>
      <c r="L234" s="6" t="s">
        <v>1620</v>
      </c>
      <c r="M234" s="10">
        <v>0</v>
      </c>
      <c r="N234" s="6" t="s">
        <v>1621</v>
      </c>
      <c r="O234" s="6">
        <v>1</v>
      </c>
    </row>
    <row r="235" spans="1:15" ht="30" customHeight="1" x14ac:dyDescent="0.2">
      <c r="A235" s="6">
        <v>234</v>
      </c>
      <c r="B235" s="6" t="s">
        <v>726</v>
      </c>
      <c r="C235" s="6" t="s">
        <v>731</v>
      </c>
      <c r="D235" s="6" t="s">
        <v>2000</v>
      </c>
      <c r="E235" s="8">
        <v>400000</v>
      </c>
      <c r="F235" s="6"/>
      <c r="G235" s="9">
        <v>38.315334320068359</v>
      </c>
      <c r="H235" s="9">
        <v>23.943821146646002</v>
      </c>
      <c r="I235" s="6" t="s">
        <v>2001</v>
      </c>
      <c r="J235" s="6" t="s">
        <v>2002</v>
      </c>
      <c r="K235" s="6" t="s">
        <v>56</v>
      </c>
      <c r="L235" s="6" t="s">
        <v>1620</v>
      </c>
      <c r="M235" s="10">
        <v>0</v>
      </c>
      <c r="N235" s="6" t="s">
        <v>1621</v>
      </c>
      <c r="O235" s="6">
        <v>1</v>
      </c>
    </row>
    <row r="236" spans="1:15" ht="30" customHeight="1" x14ac:dyDescent="0.2">
      <c r="A236" s="6">
        <v>235</v>
      </c>
      <c r="B236" s="6" t="s">
        <v>726</v>
      </c>
      <c r="C236" s="6" t="s">
        <v>731</v>
      </c>
      <c r="D236" s="6" t="s">
        <v>2003</v>
      </c>
      <c r="E236" s="8">
        <v>100000</v>
      </c>
      <c r="F236" s="6"/>
      <c r="G236" s="9">
        <v>39.186687469482422</v>
      </c>
      <c r="H236" s="9">
        <v>21.447796185825961</v>
      </c>
      <c r="I236" s="6" t="s">
        <v>2001</v>
      </c>
      <c r="J236" s="6" t="s">
        <v>2004</v>
      </c>
      <c r="K236" s="6" t="s">
        <v>56</v>
      </c>
      <c r="L236" s="6" t="s">
        <v>1620</v>
      </c>
      <c r="M236" s="10">
        <v>0</v>
      </c>
      <c r="N236" s="6" t="s">
        <v>1621</v>
      </c>
      <c r="O236" s="6">
        <v>1</v>
      </c>
    </row>
    <row r="237" spans="1:15" ht="30" customHeight="1" x14ac:dyDescent="0.2">
      <c r="A237" s="6">
        <v>236</v>
      </c>
      <c r="B237" s="6" t="s">
        <v>726</v>
      </c>
      <c r="C237" s="6" t="s">
        <v>731</v>
      </c>
      <c r="D237" s="6" t="s">
        <v>2005</v>
      </c>
      <c r="E237" s="8">
        <v>305000</v>
      </c>
      <c r="F237" s="6"/>
      <c r="G237" s="9">
        <v>49.568252563476563</v>
      </c>
      <c r="H237" s="9">
        <v>27.037951166238155</v>
      </c>
      <c r="I237" s="6" t="s">
        <v>2001</v>
      </c>
      <c r="J237" s="6" t="s">
        <v>2006</v>
      </c>
      <c r="K237" s="6" t="s">
        <v>56</v>
      </c>
      <c r="L237" s="6" t="s">
        <v>1620</v>
      </c>
      <c r="M237" s="10">
        <v>0</v>
      </c>
      <c r="N237" s="6" t="s">
        <v>1621</v>
      </c>
      <c r="O237" s="6">
        <v>1</v>
      </c>
    </row>
    <row r="238" spans="1:15" ht="30" customHeight="1" x14ac:dyDescent="0.2">
      <c r="A238" s="6">
        <v>237</v>
      </c>
      <c r="B238" s="6" t="s">
        <v>726</v>
      </c>
      <c r="C238" s="6" t="s">
        <v>731</v>
      </c>
      <c r="D238" s="6" t="s">
        <v>2007</v>
      </c>
      <c r="E238" s="8">
        <v>400000</v>
      </c>
      <c r="F238" s="6"/>
      <c r="G238" s="9">
        <v>39.015712738037109</v>
      </c>
      <c r="H238" s="9">
        <v>22.718319395629262</v>
      </c>
      <c r="I238" s="6" t="s">
        <v>2001</v>
      </c>
      <c r="J238" s="6" t="s">
        <v>2004</v>
      </c>
      <c r="K238" s="6" t="s">
        <v>56</v>
      </c>
      <c r="L238" s="6" t="s">
        <v>1620</v>
      </c>
      <c r="M238" s="10">
        <v>0</v>
      </c>
      <c r="N238" s="6" t="s">
        <v>1621</v>
      </c>
      <c r="O238" s="6">
        <v>1</v>
      </c>
    </row>
    <row r="239" spans="1:15" ht="30" customHeight="1" x14ac:dyDescent="0.2">
      <c r="A239" s="6">
        <v>238</v>
      </c>
      <c r="B239" s="6" t="s">
        <v>726</v>
      </c>
      <c r="C239" s="6" t="s">
        <v>731</v>
      </c>
      <c r="D239" s="6" t="s">
        <v>2008</v>
      </c>
      <c r="E239" s="8">
        <v>550000</v>
      </c>
      <c r="F239" s="6"/>
      <c r="G239" s="9">
        <v>50.092077255249023</v>
      </c>
      <c r="H239" s="9">
        <v>26.702449396099421</v>
      </c>
      <c r="I239" s="6" t="s">
        <v>2001</v>
      </c>
      <c r="J239" s="6" t="s">
        <v>2004</v>
      </c>
      <c r="K239" s="6" t="s">
        <v>56</v>
      </c>
      <c r="L239" s="6" t="s">
        <v>1620</v>
      </c>
      <c r="M239" s="10">
        <v>0</v>
      </c>
      <c r="N239" s="6" t="s">
        <v>1621</v>
      </c>
      <c r="O239" s="6">
        <v>1</v>
      </c>
    </row>
    <row r="240" spans="1:15" ht="30" customHeight="1" x14ac:dyDescent="0.2">
      <c r="A240" s="6">
        <v>239</v>
      </c>
      <c r="B240" s="6" t="s">
        <v>726</v>
      </c>
      <c r="C240" s="6" t="s">
        <v>731</v>
      </c>
      <c r="D240" s="6" t="s">
        <v>2009</v>
      </c>
      <c r="E240" s="8">
        <v>120000</v>
      </c>
      <c r="F240" s="6"/>
      <c r="G240" s="9">
        <v>46.868019104003906</v>
      </c>
      <c r="H240" s="9">
        <v>24.518545097787239</v>
      </c>
      <c r="I240" s="6" t="s">
        <v>2001</v>
      </c>
      <c r="J240" s="6" t="s">
        <v>2004</v>
      </c>
      <c r="K240" s="6" t="s">
        <v>56</v>
      </c>
      <c r="L240" s="6" t="s">
        <v>1620</v>
      </c>
      <c r="M240" s="10">
        <v>0</v>
      </c>
      <c r="N240" s="6" t="s">
        <v>1621</v>
      </c>
      <c r="O240" s="6">
        <v>1</v>
      </c>
    </row>
    <row r="241" spans="1:15" ht="30" customHeight="1" x14ac:dyDescent="0.2">
      <c r="A241" s="6">
        <v>240</v>
      </c>
      <c r="B241" s="6" t="s">
        <v>726</v>
      </c>
      <c r="C241" s="6" t="s">
        <v>731</v>
      </c>
      <c r="D241" s="6" t="s">
        <v>2010</v>
      </c>
      <c r="E241" s="8">
        <v>225000</v>
      </c>
      <c r="F241" s="6"/>
      <c r="G241" s="9">
        <v>38.239631652832031</v>
      </c>
      <c r="H241" s="9">
        <v>23.977234143981455</v>
      </c>
      <c r="I241" s="6" t="s">
        <v>2001</v>
      </c>
      <c r="J241" s="6" t="s">
        <v>2004</v>
      </c>
      <c r="K241" s="6" t="s">
        <v>56</v>
      </c>
      <c r="L241" s="6" t="s">
        <v>1620</v>
      </c>
      <c r="M241" s="10">
        <v>0</v>
      </c>
      <c r="N241" s="6" t="s">
        <v>1621</v>
      </c>
      <c r="O241" s="6">
        <v>1</v>
      </c>
    </row>
    <row r="242" spans="1:15" ht="30" customHeight="1" x14ac:dyDescent="0.2">
      <c r="A242" s="6">
        <v>241</v>
      </c>
      <c r="B242" s="6" t="s">
        <v>190</v>
      </c>
      <c r="C242" s="6" t="s">
        <v>195</v>
      </c>
      <c r="D242" s="6" t="s">
        <v>2011</v>
      </c>
      <c r="E242" s="8">
        <v>132725</v>
      </c>
      <c r="F242" s="6"/>
      <c r="G242" s="9">
        <v>35.965633392333984</v>
      </c>
      <c r="H242" s="9">
        <v>35.215401791303591</v>
      </c>
      <c r="I242" s="6"/>
      <c r="J242" s="6" t="s">
        <v>2012</v>
      </c>
      <c r="K242" s="6" t="s">
        <v>56</v>
      </c>
      <c r="L242" s="6" t="s">
        <v>1620</v>
      </c>
      <c r="M242" s="10">
        <v>0</v>
      </c>
      <c r="N242" s="6" t="s">
        <v>1621</v>
      </c>
      <c r="O242" s="6">
        <v>1</v>
      </c>
    </row>
    <row r="243" spans="1:15" ht="30" customHeight="1" x14ac:dyDescent="0.2">
      <c r="A243" s="6">
        <v>242</v>
      </c>
      <c r="B243" s="6" t="s">
        <v>190</v>
      </c>
      <c r="C243" s="6" t="s">
        <v>195</v>
      </c>
      <c r="D243" s="6" t="s">
        <v>2013</v>
      </c>
      <c r="E243" s="8">
        <v>107140</v>
      </c>
      <c r="F243" s="6"/>
      <c r="G243" s="9">
        <v>36.63966178894043</v>
      </c>
      <c r="H243" s="9">
        <v>34.716852871337743</v>
      </c>
      <c r="I243" s="6" t="s">
        <v>1639</v>
      </c>
      <c r="J243" s="6" t="s">
        <v>2014</v>
      </c>
      <c r="K243" s="6" t="s">
        <v>56</v>
      </c>
      <c r="L243" s="6" t="s">
        <v>1620</v>
      </c>
      <c r="M243" s="10">
        <v>0</v>
      </c>
      <c r="N243" s="6" t="s">
        <v>1621</v>
      </c>
      <c r="O243" s="6">
        <v>1</v>
      </c>
    </row>
    <row r="244" spans="1:15" ht="30" customHeight="1" x14ac:dyDescent="0.2">
      <c r="A244" s="6">
        <v>243</v>
      </c>
      <c r="B244" s="6" t="s">
        <v>439</v>
      </c>
      <c r="C244" s="6" t="s">
        <v>444</v>
      </c>
      <c r="D244" s="6" t="s">
        <v>2015</v>
      </c>
      <c r="E244" s="8">
        <v>90000</v>
      </c>
      <c r="F244" s="6"/>
      <c r="G244" s="9">
        <v>54.492616653442383</v>
      </c>
      <c r="H244" s="9">
        <v>24.436991578317752</v>
      </c>
      <c r="I244" s="6"/>
      <c r="J244" s="6" t="s">
        <v>2016</v>
      </c>
      <c r="K244" s="6" t="s">
        <v>56</v>
      </c>
      <c r="L244" s="6" t="s">
        <v>1620</v>
      </c>
      <c r="M244" s="10">
        <v>0</v>
      </c>
      <c r="N244" s="6" t="s">
        <v>1621</v>
      </c>
      <c r="O244" s="6">
        <v>1</v>
      </c>
    </row>
    <row r="245" spans="1:15" ht="30" customHeight="1" x14ac:dyDescent="0.2">
      <c r="A245" s="6">
        <v>244</v>
      </c>
      <c r="B245" s="6" t="s">
        <v>439</v>
      </c>
      <c r="C245" s="6" t="s">
        <v>444</v>
      </c>
      <c r="D245" s="6" t="s">
        <v>2017</v>
      </c>
      <c r="E245" s="8">
        <v>280000</v>
      </c>
      <c r="F245" s="6"/>
      <c r="G245" s="9">
        <v>52.719869613647461</v>
      </c>
      <c r="H245" s="9">
        <v>24.124586954409207</v>
      </c>
      <c r="I245" s="6"/>
      <c r="J245" s="6" t="s">
        <v>2018</v>
      </c>
      <c r="K245" s="6" t="s">
        <v>56</v>
      </c>
      <c r="L245" s="6" t="s">
        <v>1620</v>
      </c>
      <c r="M245" s="10">
        <v>0</v>
      </c>
      <c r="N245" s="6" t="s">
        <v>1621</v>
      </c>
      <c r="O245" s="6">
        <v>1</v>
      </c>
    </row>
    <row r="246" spans="1:15" ht="30" customHeight="1" x14ac:dyDescent="0.2">
      <c r="A246" s="6">
        <v>245</v>
      </c>
      <c r="B246" s="6" t="s">
        <v>439</v>
      </c>
      <c r="C246" s="6" t="s">
        <v>444</v>
      </c>
      <c r="D246" s="6" t="s">
        <v>2019</v>
      </c>
      <c r="E246" s="8">
        <v>120000</v>
      </c>
      <c r="F246" s="6"/>
      <c r="G246" s="9">
        <v>55.059270858764648</v>
      </c>
      <c r="H246" s="9">
        <v>25.007606135410782</v>
      </c>
      <c r="I246" s="6" t="s">
        <v>2020</v>
      </c>
      <c r="J246" s="6" t="s">
        <v>2021</v>
      </c>
      <c r="K246" s="6" t="s">
        <v>56</v>
      </c>
      <c r="L246" s="6" t="s">
        <v>1620</v>
      </c>
      <c r="M246" s="10">
        <v>0</v>
      </c>
      <c r="N246" s="6" t="s">
        <v>1621</v>
      </c>
      <c r="O246" s="6">
        <v>1</v>
      </c>
    </row>
    <row r="247" spans="1:15" ht="30" customHeight="1" x14ac:dyDescent="0.2">
      <c r="A247" s="6">
        <v>246</v>
      </c>
      <c r="B247" s="6" t="s">
        <v>439</v>
      </c>
      <c r="C247" s="6" t="s">
        <v>444</v>
      </c>
      <c r="D247" s="6" t="s">
        <v>2022</v>
      </c>
      <c r="E247" s="8">
        <v>70000</v>
      </c>
      <c r="F247" s="6"/>
      <c r="G247" s="9">
        <v>56.354885101318359</v>
      </c>
      <c r="H247" s="9">
        <v>25.194301436244608</v>
      </c>
      <c r="I247" s="6"/>
      <c r="J247" s="6" t="s">
        <v>2023</v>
      </c>
      <c r="K247" s="6" t="s">
        <v>56</v>
      </c>
      <c r="L247" s="6" t="s">
        <v>1620</v>
      </c>
      <c r="M247" s="10">
        <v>0</v>
      </c>
      <c r="N247" s="6" t="s">
        <v>1621</v>
      </c>
      <c r="O247" s="6">
        <v>1</v>
      </c>
    </row>
    <row r="248" spans="1:15" ht="30" customHeight="1" x14ac:dyDescent="0.2">
      <c r="A248" s="6">
        <v>247</v>
      </c>
      <c r="B248" s="6" t="s">
        <v>439</v>
      </c>
      <c r="C248" s="6" t="s">
        <v>444</v>
      </c>
      <c r="D248" s="6" t="s">
        <v>2024</v>
      </c>
      <c r="E248" s="8">
        <v>71300</v>
      </c>
      <c r="F248" s="6"/>
      <c r="G248" s="9">
        <v>55.490140914916992</v>
      </c>
      <c r="H248" s="9">
        <v>25.462649568630642</v>
      </c>
      <c r="I248" s="6" t="s">
        <v>1639</v>
      </c>
      <c r="J248" s="6" t="s">
        <v>2025</v>
      </c>
      <c r="K248" s="6" t="s">
        <v>56</v>
      </c>
      <c r="L248" s="6" t="s">
        <v>1629</v>
      </c>
      <c r="M248" s="10">
        <v>0.30399999999999999</v>
      </c>
      <c r="N248" s="6" t="s">
        <v>1621</v>
      </c>
      <c r="O248" s="6">
        <v>1</v>
      </c>
    </row>
    <row r="249" spans="1:15" ht="30" customHeight="1" x14ac:dyDescent="0.2">
      <c r="A249" s="6">
        <v>248</v>
      </c>
      <c r="B249" s="6" t="s">
        <v>1055</v>
      </c>
      <c r="C249" s="6" t="s">
        <v>1059</v>
      </c>
      <c r="D249" s="6" t="s">
        <v>2026</v>
      </c>
      <c r="E249" s="8">
        <v>130000</v>
      </c>
      <c r="F249" s="6"/>
      <c r="G249" s="9">
        <v>44.882240295410156</v>
      </c>
      <c r="H249" s="9">
        <v>12.750781143740175</v>
      </c>
      <c r="I249" s="6" t="s">
        <v>2027</v>
      </c>
      <c r="J249" s="6" t="s">
        <v>2028</v>
      </c>
      <c r="K249" s="6" t="s">
        <v>56</v>
      </c>
      <c r="L249" s="6" t="s">
        <v>1620</v>
      </c>
      <c r="M249" s="10">
        <v>0</v>
      </c>
      <c r="N249" s="6" t="s">
        <v>1621</v>
      </c>
      <c r="O249" s="6">
        <v>1</v>
      </c>
    </row>
    <row r="250" spans="1:15" ht="30" customHeight="1" x14ac:dyDescent="0.2">
      <c r="A250" s="6">
        <v>249</v>
      </c>
      <c r="B250" s="6" t="s">
        <v>1055</v>
      </c>
      <c r="C250" s="6" t="s">
        <v>1059</v>
      </c>
      <c r="D250" s="6" t="s">
        <v>2029</v>
      </c>
      <c r="E250" s="8">
        <v>10000</v>
      </c>
      <c r="F250" s="6"/>
      <c r="G250" s="9">
        <v>45.338687896728516</v>
      </c>
      <c r="H250" s="9">
        <v>15.420421070106428</v>
      </c>
      <c r="I250" s="6" t="s">
        <v>2030</v>
      </c>
      <c r="J250" s="6" t="s">
        <v>2031</v>
      </c>
      <c r="K250" s="6" t="s">
        <v>56</v>
      </c>
      <c r="L250" s="6" t="s">
        <v>1620</v>
      </c>
      <c r="M250" s="10">
        <v>0</v>
      </c>
      <c r="N250" s="6" t="s">
        <v>1621</v>
      </c>
      <c r="O250" s="6">
        <v>1</v>
      </c>
    </row>
    <row r="251" spans="1:15" ht="30" customHeight="1" x14ac:dyDescent="0.2">
      <c r="A251" s="6">
        <v>250</v>
      </c>
      <c r="B251" s="6" t="s">
        <v>785</v>
      </c>
      <c r="C251" s="6" t="s">
        <v>790</v>
      </c>
      <c r="D251" s="6" t="s">
        <v>2032</v>
      </c>
      <c r="E251" s="8">
        <v>412000</v>
      </c>
      <c r="F251" s="6"/>
      <c r="G251" s="9">
        <v>48.129730224609375</v>
      </c>
      <c r="H251" s="9">
        <v>29.0611964818026</v>
      </c>
      <c r="I251" s="6"/>
      <c r="J251" s="6" t="s">
        <v>2033</v>
      </c>
      <c r="K251" s="6" t="s">
        <v>56</v>
      </c>
      <c r="L251" s="6" t="s">
        <v>1620</v>
      </c>
      <c r="M251" s="10">
        <v>0</v>
      </c>
      <c r="N251" s="6" t="s">
        <v>1621</v>
      </c>
      <c r="O251" s="6">
        <v>1</v>
      </c>
    </row>
    <row r="252" spans="1:15" ht="30" customHeight="1" x14ac:dyDescent="0.2">
      <c r="A252" s="6">
        <v>251</v>
      </c>
      <c r="B252" s="6" t="s">
        <v>785</v>
      </c>
      <c r="C252" s="6" t="s">
        <v>790</v>
      </c>
      <c r="D252" s="6" t="s">
        <v>2034</v>
      </c>
      <c r="E252" s="8">
        <v>240000</v>
      </c>
      <c r="F252" s="6"/>
      <c r="G252" s="9">
        <v>48.153419494628906</v>
      </c>
      <c r="H252" s="9">
        <v>29.003936732742961</v>
      </c>
      <c r="I252" s="6"/>
      <c r="J252" s="6" t="s">
        <v>2035</v>
      </c>
      <c r="K252" s="6" t="s">
        <v>56</v>
      </c>
      <c r="L252" s="6" t="s">
        <v>1620</v>
      </c>
      <c r="M252" s="10">
        <v>0</v>
      </c>
      <c r="N252" s="6" t="s">
        <v>1621</v>
      </c>
      <c r="O252" s="6">
        <v>1</v>
      </c>
    </row>
    <row r="253" spans="1:15" ht="30" customHeight="1" x14ac:dyDescent="0.2">
      <c r="A253" s="6">
        <v>252</v>
      </c>
      <c r="B253" s="6" t="s">
        <v>785</v>
      </c>
      <c r="C253" s="6" t="s">
        <v>790</v>
      </c>
      <c r="D253" s="6" t="s">
        <v>2036</v>
      </c>
      <c r="E253" s="8">
        <v>179000</v>
      </c>
      <c r="F253" s="6"/>
      <c r="G253" s="9">
        <v>48.146553039550781</v>
      </c>
      <c r="H253" s="9">
        <v>29.031257272155838</v>
      </c>
      <c r="I253" s="6"/>
      <c r="J253" s="6" t="s">
        <v>2037</v>
      </c>
      <c r="K253" s="6" t="s">
        <v>56</v>
      </c>
      <c r="L253" s="6" t="s">
        <v>1620</v>
      </c>
      <c r="M253" s="10">
        <v>0</v>
      </c>
      <c r="N253" s="6" t="s">
        <v>1621</v>
      </c>
      <c r="O253" s="6">
        <v>1</v>
      </c>
    </row>
    <row r="254" spans="1:15" ht="30" customHeight="1" x14ac:dyDescent="0.2">
      <c r="A254" s="6">
        <v>253</v>
      </c>
      <c r="B254" s="6" t="s">
        <v>315</v>
      </c>
      <c r="C254" s="6" t="s">
        <v>321</v>
      </c>
      <c r="D254" s="6" t="s">
        <v>2038</v>
      </c>
      <c r="E254" s="8">
        <v>106000</v>
      </c>
      <c r="F254" s="6"/>
      <c r="G254" s="9">
        <v>58.513269424438477</v>
      </c>
      <c r="H254" s="9">
        <v>23.625338215197019</v>
      </c>
      <c r="I254" s="6" t="s">
        <v>2039</v>
      </c>
      <c r="J254" s="6" t="s">
        <v>2040</v>
      </c>
      <c r="K254" s="6" t="s">
        <v>56</v>
      </c>
      <c r="L254" s="6" t="s">
        <v>1620</v>
      </c>
      <c r="M254" s="10">
        <v>0</v>
      </c>
      <c r="N254" s="6" t="s">
        <v>1621</v>
      </c>
      <c r="O254" s="6">
        <v>1</v>
      </c>
    </row>
    <row r="255" spans="1:15" ht="30" customHeight="1" x14ac:dyDescent="0.2">
      <c r="A255" s="6">
        <v>254</v>
      </c>
      <c r="B255" s="6" t="s">
        <v>720</v>
      </c>
      <c r="C255" s="6" t="s">
        <v>725</v>
      </c>
      <c r="D255" s="6" t="s">
        <v>2041</v>
      </c>
      <c r="E255" s="8">
        <v>200000</v>
      </c>
      <c r="F255" s="6"/>
      <c r="G255" s="9">
        <v>51.544761657714844</v>
      </c>
      <c r="H255" s="9">
        <v>24.965595485598122</v>
      </c>
      <c r="I255" s="6" t="s">
        <v>2042</v>
      </c>
      <c r="J255" s="6" t="s">
        <v>2043</v>
      </c>
      <c r="K255" s="6" t="s">
        <v>56</v>
      </c>
      <c r="L255" s="6" t="s">
        <v>1620</v>
      </c>
      <c r="M255" s="10">
        <v>0</v>
      </c>
      <c r="N255" s="6" t="s">
        <v>1621</v>
      </c>
      <c r="O255" s="6">
        <v>1</v>
      </c>
    </row>
    <row r="256" spans="1:15" ht="30" customHeight="1" x14ac:dyDescent="0.2">
      <c r="A256" s="6">
        <v>255</v>
      </c>
      <c r="B256" s="6" t="s">
        <v>445</v>
      </c>
      <c r="C256" s="6" t="s">
        <v>450</v>
      </c>
      <c r="D256" s="6" t="s">
        <v>2044</v>
      </c>
      <c r="E256" s="8">
        <v>265000</v>
      </c>
      <c r="F256" s="6"/>
      <c r="G256" s="9">
        <v>4.3238925933837891</v>
      </c>
      <c r="H256" s="9">
        <v>51.267876223340778</v>
      </c>
      <c r="I256" s="6"/>
      <c r="J256" s="6" t="s">
        <v>2045</v>
      </c>
      <c r="K256" s="6" t="s">
        <v>56</v>
      </c>
      <c r="L256" s="6" t="s">
        <v>1620</v>
      </c>
      <c r="M256" s="10">
        <v>0</v>
      </c>
      <c r="N256" s="6" t="s">
        <v>1621</v>
      </c>
      <c r="O256" s="6">
        <v>1</v>
      </c>
    </row>
    <row r="257" spans="1:15" ht="30" customHeight="1" x14ac:dyDescent="0.2">
      <c r="A257" s="6">
        <v>256</v>
      </c>
      <c r="B257" s="6" t="s">
        <v>445</v>
      </c>
      <c r="C257" s="6" t="s">
        <v>450</v>
      </c>
      <c r="D257" s="6" t="s">
        <v>2046</v>
      </c>
      <c r="E257" s="8">
        <v>35000</v>
      </c>
      <c r="F257" s="6"/>
      <c r="G257" s="9">
        <v>4.3698978424072266</v>
      </c>
      <c r="H257" s="9">
        <v>51.25009723956957</v>
      </c>
      <c r="I257" s="6" t="s">
        <v>2047</v>
      </c>
      <c r="J257" s="6" t="s">
        <v>2048</v>
      </c>
      <c r="K257" s="6" t="s">
        <v>56</v>
      </c>
      <c r="L257" s="6" t="s">
        <v>1620</v>
      </c>
      <c r="M257" s="10">
        <v>0</v>
      </c>
      <c r="N257" s="6" t="s">
        <v>1621</v>
      </c>
      <c r="O257" s="6">
        <v>1</v>
      </c>
    </row>
    <row r="258" spans="1:15" ht="30" customHeight="1" x14ac:dyDescent="0.2">
      <c r="A258" s="6">
        <v>257</v>
      </c>
      <c r="B258" s="6" t="s">
        <v>445</v>
      </c>
      <c r="C258" s="6" t="s">
        <v>450</v>
      </c>
      <c r="D258" s="6" t="s">
        <v>2049</v>
      </c>
      <c r="E258" s="8">
        <v>115000</v>
      </c>
      <c r="F258" s="6"/>
      <c r="G258" s="9">
        <v>4.2951393127441406</v>
      </c>
      <c r="H258" s="9">
        <v>51.314412755245051</v>
      </c>
      <c r="I258" s="6"/>
      <c r="J258" s="6"/>
      <c r="K258" s="6" t="s">
        <v>56</v>
      </c>
      <c r="L258" s="6" t="s">
        <v>1620</v>
      </c>
      <c r="M258" s="10">
        <v>0</v>
      </c>
      <c r="N258" s="6" t="s">
        <v>1621</v>
      </c>
      <c r="O258" s="6">
        <v>1</v>
      </c>
    </row>
    <row r="259" spans="1:15" ht="30" customHeight="1" x14ac:dyDescent="0.2">
      <c r="A259" s="6">
        <v>258</v>
      </c>
      <c r="B259" s="6" t="s">
        <v>445</v>
      </c>
      <c r="C259" s="6" t="s">
        <v>450</v>
      </c>
      <c r="D259" s="6" t="s">
        <v>2050</v>
      </c>
      <c r="E259" s="8">
        <v>352000</v>
      </c>
      <c r="F259" s="6"/>
      <c r="G259" s="9">
        <v>4.3360805511474609</v>
      </c>
      <c r="H259" s="9">
        <v>51.255146955200871</v>
      </c>
      <c r="I259" s="6"/>
      <c r="J259" s="6" t="s">
        <v>2051</v>
      </c>
      <c r="K259" s="6" t="s">
        <v>56</v>
      </c>
      <c r="L259" s="6" t="s">
        <v>1620</v>
      </c>
      <c r="M259" s="10">
        <v>0</v>
      </c>
      <c r="N259" s="6" t="s">
        <v>1621</v>
      </c>
      <c r="O259" s="6">
        <v>1</v>
      </c>
    </row>
    <row r="260" spans="1:15" ht="30" customHeight="1" x14ac:dyDescent="0.2">
      <c r="A260" s="6">
        <v>259</v>
      </c>
      <c r="B260" s="6" t="s">
        <v>199</v>
      </c>
      <c r="C260" s="6" t="s">
        <v>205</v>
      </c>
      <c r="D260" s="6" t="s">
        <v>2052</v>
      </c>
      <c r="E260" s="8">
        <v>77000</v>
      </c>
      <c r="F260" s="6"/>
      <c r="G260" s="9">
        <v>7.7668190002441406</v>
      </c>
      <c r="H260" s="9">
        <v>48.661035778466022</v>
      </c>
      <c r="I260" s="6" t="s">
        <v>1639</v>
      </c>
      <c r="J260" s="6" t="s">
        <v>2053</v>
      </c>
      <c r="K260" s="6" t="s">
        <v>56</v>
      </c>
      <c r="L260" s="6" t="s">
        <v>1620</v>
      </c>
      <c r="M260" s="10">
        <v>0</v>
      </c>
      <c r="N260" s="6" t="s">
        <v>1621</v>
      </c>
      <c r="O260" s="6">
        <v>1</v>
      </c>
    </row>
    <row r="261" spans="1:15" ht="30" customHeight="1" x14ac:dyDescent="0.2">
      <c r="A261" s="6">
        <v>260</v>
      </c>
      <c r="B261" s="6" t="s">
        <v>199</v>
      </c>
      <c r="C261" s="6" t="s">
        <v>205</v>
      </c>
      <c r="D261" s="6" t="s">
        <v>2054</v>
      </c>
      <c r="E261" s="8"/>
      <c r="F261" s="6"/>
      <c r="G261" s="9">
        <v>2.3331356048583984</v>
      </c>
      <c r="H261" s="9">
        <v>51.04473971878631</v>
      </c>
      <c r="I261" s="6"/>
      <c r="J261" s="6" t="s">
        <v>1633</v>
      </c>
      <c r="K261" s="6" t="s">
        <v>56</v>
      </c>
      <c r="L261" s="6" t="s">
        <v>1620</v>
      </c>
      <c r="M261" s="10">
        <v>0</v>
      </c>
      <c r="N261" s="6" t="s">
        <v>1621</v>
      </c>
      <c r="O261" s="6">
        <v>0</v>
      </c>
    </row>
    <row r="262" spans="1:15" ht="30" customHeight="1" x14ac:dyDescent="0.2">
      <c r="A262" s="6">
        <v>261</v>
      </c>
      <c r="B262" s="6" t="s">
        <v>199</v>
      </c>
      <c r="C262" s="6" t="s">
        <v>205</v>
      </c>
      <c r="D262" s="6" t="s">
        <v>2055</v>
      </c>
      <c r="E262" s="8">
        <v>270000</v>
      </c>
      <c r="F262" s="6"/>
      <c r="G262" s="9">
        <v>0.55077552795410156</v>
      </c>
      <c r="H262" s="9">
        <v>49.474984388515175</v>
      </c>
      <c r="I262" s="6"/>
      <c r="J262" s="6" t="s">
        <v>1633</v>
      </c>
      <c r="K262" s="6" t="s">
        <v>56</v>
      </c>
      <c r="L262" s="6" t="s">
        <v>1620</v>
      </c>
      <c r="M262" s="10">
        <v>0</v>
      </c>
      <c r="N262" s="6" t="s">
        <v>1621</v>
      </c>
      <c r="O262" s="6">
        <v>1</v>
      </c>
    </row>
    <row r="263" spans="1:15" ht="30" customHeight="1" x14ac:dyDescent="0.2">
      <c r="A263" s="6">
        <v>262</v>
      </c>
      <c r="B263" s="6" t="s">
        <v>199</v>
      </c>
      <c r="C263" s="6" t="s">
        <v>205</v>
      </c>
      <c r="D263" s="6" t="s">
        <v>2056</v>
      </c>
      <c r="E263" s="8">
        <v>164000</v>
      </c>
      <c r="F263" s="6"/>
      <c r="G263" s="9">
        <v>1.0198402404785156</v>
      </c>
      <c r="H263" s="9">
        <v>49.376617176049983</v>
      </c>
      <c r="I263" s="6" t="s">
        <v>1715</v>
      </c>
      <c r="J263" s="6" t="s">
        <v>2053</v>
      </c>
      <c r="K263" s="6" t="s">
        <v>56</v>
      </c>
      <c r="L263" s="6" t="s">
        <v>1620</v>
      </c>
      <c r="M263" s="10">
        <v>0</v>
      </c>
      <c r="N263" s="6" t="s">
        <v>1621</v>
      </c>
      <c r="O263" s="6">
        <v>1</v>
      </c>
    </row>
    <row r="264" spans="1:15" ht="30" customHeight="1" x14ac:dyDescent="0.2">
      <c r="A264" s="6">
        <v>263</v>
      </c>
      <c r="B264" s="6" t="s">
        <v>199</v>
      </c>
      <c r="C264" s="6" t="s">
        <v>205</v>
      </c>
      <c r="D264" s="6" t="s">
        <v>2057</v>
      </c>
      <c r="E264" s="8">
        <v>231000</v>
      </c>
      <c r="F264" s="6"/>
      <c r="G264" s="9">
        <v>-2.0721244812011719</v>
      </c>
      <c r="H264" s="9">
        <v>47.314271715043041</v>
      </c>
      <c r="I264" s="6"/>
      <c r="J264" s="6" t="s">
        <v>2058</v>
      </c>
      <c r="K264" s="6" t="s">
        <v>56</v>
      </c>
      <c r="L264" s="6" t="s">
        <v>1629</v>
      </c>
      <c r="M264" s="10">
        <v>0.28100000000000003</v>
      </c>
      <c r="N264" s="6" t="s">
        <v>1621</v>
      </c>
      <c r="O264" s="6">
        <v>1</v>
      </c>
    </row>
    <row r="265" spans="1:15" ht="30" customHeight="1" x14ac:dyDescent="0.2">
      <c r="A265" s="6">
        <v>264</v>
      </c>
      <c r="B265" s="6" t="s">
        <v>199</v>
      </c>
      <c r="C265" s="6" t="s">
        <v>205</v>
      </c>
      <c r="D265" s="6" t="s">
        <v>2059</v>
      </c>
      <c r="E265" s="8">
        <v>160000</v>
      </c>
      <c r="F265" s="6"/>
      <c r="G265" s="9">
        <v>2.2582054138183594</v>
      </c>
      <c r="H265" s="9">
        <v>51.021583849449968</v>
      </c>
      <c r="I265" s="6"/>
      <c r="J265" s="6" t="s">
        <v>2058</v>
      </c>
      <c r="K265" s="6" t="s">
        <v>56</v>
      </c>
      <c r="L265" s="6" t="s">
        <v>1620</v>
      </c>
      <c r="M265" s="10">
        <v>0</v>
      </c>
      <c r="N265" s="6" t="s">
        <v>1621</v>
      </c>
      <c r="O265" s="6">
        <v>1</v>
      </c>
    </row>
    <row r="266" spans="1:15" ht="30" customHeight="1" x14ac:dyDescent="0.2">
      <c r="A266" s="6">
        <v>265</v>
      </c>
      <c r="B266" s="6" t="s">
        <v>199</v>
      </c>
      <c r="C266" s="6" t="s">
        <v>205</v>
      </c>
      <c r="D266" s="6" t="s">
        <v>2060</v>
      </c>
      <c r="E266" s="8">
        <v>343000</v>
      </c>
      <c r="F266" s="6"/>
      <c r="G266" s="9">
        <v>0.24084091186523438</v>
      </c>
      <c r="H266" s="9">
        <v>49.486806426872015</v>
      </c>
      <c r="I266" s="6"/>
      <c r="J266" s="6"/>
      <c r="K266" s="6" t="s">
        <v>56</v>
      </c>
      <c r="L266" s="6" t="s">
        <v>1620</v>
      </c>
      <c r="M266" s="10">
        <v>0</v>
      </c>
      <c r="N266" s="6" t="s">
        <v>1621</v>
      </c>
      <c r="O266" s="6">
        <v>1</v>
      </c>
    </row>
    <row r="267" spans="1:15" ht="30" customHeight="1" x14ac:dyDescent="0.2">
      <c r="A267" s="6">
        <v>266</v>
      </c>
      <c r="B267" s="6" t="s">
        <v>199</v>
      </c>
      <c r="C267" s="6" t="s">
        <v>205</v>
      </c>
      <c r="D267" s="6" t="s">
        <v>2061</v>
      </c>
      <c r="E267" s="8">
        <v>99000</v>
      </c>
      <c r="F267" s="6"/>
      <c r="G267" s="9">
        <v>2.9451084136962891</v>
      </c>
      <c r="H267" s="9">
        <v>48.59057483684861</v>
      </c>
      <c r="I267" s="6"/>
      <c r="J267" s="6" t="s">
        <v>2058</v>
      </c>
      <c r="K267" s="6" t="s">
        <v>56</v>
      </c>
      <c r="L267" s="6" t="s">
        <v>1620</v>
      </c>
      <c r="M267" s="10">
        <v>0</v>
      </c>
      <c r="N267" s="6" t="s">
        <v>1621</v>
      </c>
      <c r="O267" s="6">
        <v>1</v>
      </c>
    </row>
    <row r="268" spans="1:15" ht="30" customHeight="1" x14ac:dyDescent="0.2">
      <c r="A268" s="6">
        <v>267</v>
      </c>
      <c r="B268" s="6" t="s">
        <v>199</v>
      </c>
      <c r="C268" s="6" t="s">
        <v>205</v>
      </c>
      <c r="D268" s="6" t="s">
        <v>2062</v>
      </c>
      <c r="E268" s="8">
        <v>220000</v>
      </c>
      <c r="F268" s="6"/>
      <c r="G268" s="9">
        <v>5.0039291381835938</v>
      </c>
      <c r="H268" s="9">
        <v>43.390766004023241</v>
      </c>
      <c r="I268" s="6" t="s">
        <v>2063</v>
      </c>
      <c r="J268" s="6" t="s">
        <v>2064</v>
      </c>
      <c r="K268" s="6" t="s">
        <v>56</v>
      </c>
      <c r="L268" s="6" t="s">
        <v>1629</v>
      </c>
      <c r="M268" s="10">
        <v>0.59899999999999998</v>
      </c>
      <c r="N268" s="6" t="s">
        <v>1621</v>
      </c>
      <c r="O268" s="6">
        <v>1</v>
      </c>
    </row>
    <row r="269" spans="1:15" ht="30" customHeight="1" x14ac:dyDescent="0.2">
      <c r="A269" s="6">
        <v>268</v>
      </c>
      <c r="B269" s="6" t="s">
        <v>199</v>
      </c>
      <c r="C269" s="6" t="s">
        <v>205</v>
      </c>
      <c r="D269" s="6" t="s">
        <v>2065</v>
      </c>
      <c r="E269" s="8">
        <v>140000</v>
      </c>
      <c r="F269" s="6"/>
      <c r="G269" s="9">
        <v>4.9242782592773438</v>
      </c>
      <c r="H269" s="9">
        <v>43.450301904736932</v>
      </c>
      <c r="I269" s="6"/>
      <c r="J269" s="6" t="s">
        <v>1633</v>
      </c>
      <c r="K269" s="6" t="s">
        <v>56</v>
      </c>
      <c r="L269" s="6" t="s">
        <v>1620</v>
      </c>
      <c r="M269" s="10">
        <v>0</v>
      </c>
      <c r="N269" s="6" t="s">
        <v>1621</v>
      </c>
      <c r="O269" s="6">
        <v>1</v>
      </c>
    </row>
    <row r="270" spans="1:15" ht="30" customHeight="1" x14ac:dyDescent="0.2">
      <c r="A270" s="6">
        <v>269</v>
      </c>
      <c r="B270" s="6" t="s">
        <v>199</v>
      </c>
      <c r="C270" s="6" t="s">
        <v>205</v>
      </c>
      <c r="D270" s="6" t="s">
        <v>2066</v>
      </c>
      <c r="E270" s="8">
        <v>80000</v>
      </c>
      <c r="F270" s="6"/>
      <c r="G270" s="9">
        <v>5.1875209808349609</v>
      </c>
      <c r="H270" s="9">
        <v>43.502993703896188</v>
      </c>
      <c r="I270" s="6"/>
      <c r="J270" s="6"/>
      <c r="K270" s="6" t="s">
        <v>56</v>
      </c>
      <c r="L270" s="6" t="s">
        <v>1620</v>
      </c>
      <c r="M270" s="10">
        <v>0</v>
      </c>
      <c r="N270" s="6" t="s">
        <v>1621</v>
      </c>
      <c r="O270" s="6">
        <v>1</v>
      </c>
    </row>
    <row r="271" spans="1:15" ht="30" customHeight="1" x14ac:dyDescent="0.2">
      <c r="A271" s="6">
        <v>270</v>
      </c>
      <c r="B271" s="6" t="s">
        <v>199</v>
      </c>
      <c r="C271" s="6" t="s">
        <v>205</v>
      </c>
      <c r="D271" s="6" t="s">
        <v>2067</v>
      </c>
      <c r="E271" s="8">
        <v>119000</v>
      </c>
      <c r="F271" s="6"/>
      <c r="G271" s="9">
        <v>4.8418807983398438</v>
      </c>
      <c r="H271" s="9">
        <v>45.670084458211512</v>
      </c>
      <c r="I271" s="6"/>
      <c r="J271" s="6" t="s">
        <v>2058</v>
      </c>
      <c r="K271" s="6" t="s">
        <v>56</v>
      </c>
      <c r="L271" s="6" t="s">
        <v>1620</v>
      </c>
      <c r="M271" s="10">
        <v>0</v>
      </c>
      <c r="N271" s="6" t="s">
        <v>1621</v>
      </c>
      <c r="O271" s="6">
        <v>1</v>
      </c>
    </row>
    <row r="272" spans="1:15" ht="30" customHeight="1" x14ac:dyDescent="0.2">
      <c r="A272" s="6">
        <v>271</v>
      </c>
      <c r="B272" s="6" t="s">
        <v>199</v>
      </c>
      <c r="C272" s="6" t="s">
        <v>205</v>
      </c>
      <c r="D272" s="6" t="s">
        <v>2068</v>
      </c>
      <c r="E272" s="8">
        <v>155000</v>
      </c>
      <c r="F272" s="6"/>
      <c r="G272" s="9">
        <v>5.1031494140625</v>
      </c>
      <c r="H272" s="9">
        <v>43.395880284662454</v>
      </c>
      <c r="I272" s="6"/>
      <c r="J272" s="6" t="s">
        <v>2058</v>
      </c>
      <c r="K272" s="6" t="s">
        <v>56</v>
      </c>
      <c r="L272" s="6" t="s">
        <v>1620</v>
      </c>
      <c r="M272" s="10">
        <v>0</v>
      </c>
      <c r="N272" s="6" t="s">
        <v>1621</v>
      </c>
      <c r="O272" s="6">
        <v>1</v>
      </c>
    </row>
    <row r="273" spans="1:15" ht="30" customHeight="1" x14ac:dyDescent="0.2">
      <c r="A273" s="6">
        <v>272</v>
      </c>
      <c r="B273" s="6" t="s">
        <v>381</v>
      </c>
      <c r="C273" s="6" t="s">
        <v>387</v>
      </c>
      <c r="D273" s="6" t="s">
        <v>2069</v>
      </c>
      <c r="E273" s="8">
        <v>95000</v>
      </c>
      <c r="F273" s="6"/>
      <c r="G273" s="9">
        <v>9.9509525299072266</v>
      </c>
      <c r="H273" s="9">
        <v>53.478647901514591</v>
      </c>
      <c r="I273" s="6"/>
      <c r="J273" s="6" t="s">
        <v>2070</v>
      </c>
      <c r="K273" s="6" t="s">
        <v>56</v>
      </c>
      <c r="L273" s="6" t="s">
        <v>1620</v>
      </c>
      <c r="M273" s="10">
        <v>0</v>
      </c>
      <c r="N273" s="6" t="s">
        <v>1621</v>
      </c>
      <c r="O273" s="6">
        <v>1</v>
      </c>
    </row>
    <row r="274" spans="1:15" ht="30" customHeight="1" x14ac:dyDescent="0.2">
      <c r="A274" s="6">
        <v>273</v>
      </c>
      <c r="B274" s="6" t="s">
        <v>381</v>
      </c>
      <c r="C274" s="6" t="s">
        <v>387</v>
      </c>
      <c r="D274" s="6" t="s">
        <v>2071</v>
      </c>
      <c r="E274" s="8"/>
      <c r="F274" s="6"/>
      <c r="G274" s="9">
        <v>9.9555873870849609</v>
      </c>
      <c r="H274" s="9">
        <v>53.513163769142245</v>
      </c>
      <c r="I274" s="6" t="s">
        <v>1639</v>
      </c>
      <c r="J274" s="6" t="s">
        <v>2072</v>
      </c>
      <c r="K274" s="6" t="s">
        <v>56</v>
      </c>
      <c r="L274" s="6" t="s">
        <v>1620</v>
      </c>
      <c r="M274" s="10">
        <v>0</v>
      </c>
      <c r="N274" s="6" t="s">
        <v>1621</v>
      </c>
      <c r="O274" s="6">
        <v>0</v>
      </c>
    </row>
    <row r="275" spans="1:15" ht="30" customHeight="1" x14ac:dyDescent="0.2">
      <c r="A275" s="6">
        <v>274</v>
      </c>
      <c r="B275" s="6" t="s">
        <v>381</v>
      </c>
      <c r="C275" s="6" t="s">
        <v>387</v>
      </c>
      <c r="D275" s="6" t="s">
        <v>2073</v>
      </c>
      <c r="E275" s="8">
        <v>105000</v>
      </c>
      <c r="F275" s="6"/>
      <c r="G275" s="9">
        <v>9.9706935882568359</v>
      </c>
      <c r="H275" s="9">
        <v>53.484317375826755</v>
      </c>
      <c r="I275" s="6"/>
      <c r="J275" s="6" t="s">
        <v>2074</v>
      </c>
      <c r="K275" s="6" t="s">
        <v>56</v>
      </c>
      <c r="L275" s="6" t="s">
        <v>1620</v>
      </c>
      <c r="M275" s="10">
        <v>0</v>
      </c>
      <c r="N275" s="6" t="s">
        <v>1621</v>
      </c>
      <c r="O275" s="6">
        <v>1</v>
      </c>
    </row>
    <row r="276" spans="1:15" ht="30" customHeight="1" x14ac:dyDescent="0.2">
      <c r="A276" s="6">
        <v>275</v>
      </c>
      <c r="B276" s="6" t="s">
        <v>381</v>
      </c>
      <c r="C276" s="6" t="s">
        <v>387</v>
      </c>
      <c r="D276" s="6" t="s">
        <v>2075</v>
      </c>
      <c r="E276" s="8">
        <v>84000</v>
      </c>
      <c r="F276" s="6"/>
      <c r="G276" s="9">
        <v>9.0735912322998047</v>
      </c>
      <c r="H276" s="9">
        <v>54.157006293352033</v>
      </c>
      <c r="I276" s="6"/>
      <c r="J276" s="6" t="s">
        <v>2076</v>
      </c>
      <c r="K276" s="6" t="s">
        <v>56</v>
      </c>
      <c r="L276" s="6" t="s">
        <v>1620</v>
      </c>
      <c r="M276" s="10">
        <v>0</v>
      </c>
      <c r="N276" s="6" t="s">
        <v>1621</v>
      </c>
      <c r="O276" s="6">
        <v>1</v>
      </c>
    </row>
    <row r="277" spans="1:15" ht="30" customHeight="1" x14ac:dyDescent="0.2">
      <c r="A277" s="6">
        <v>276</v>
      </c>
      <c r="B277" s="6" t="s">
        <v>381</v>
      </c>
      <c r="C277" s="6" t="s">
        <v>387</v>
      </c>
      <c r="D277" s="6" t="s">
        <v>2077</v>
      </c>
      <c r="E277" s="8"/>
      <c r="F277" s="6"/>
      <c r="G277" s="9">
        <v>12.35687255859375</v>
      </c>
      <c r="H277" s="9">
        <v>51.191824269588352</v>
      </c>
      <c r="I277" s="6" t="s">
        <v>1639</v>
      </c>
      <c r="J277" s="6" t="s">
        <v>2072</v>
      </c>
      <c r="K277" s="6" t="s">
        <v>56</v>
      </c>
      <c r="L277" s="6" t="s">
        <v>1620</v>
      </c>
      <c r="M277" s="10">
        <v>0</v>
      </c>
      <c r="N277" s="6" t="s">
        <v>1621</v>
      </c>
      <c r="O277" s="6">
        <v>0</v>
      </c>
    </row>
    <row r="278" spans="1:15" ht="30" customHeight="1" x14ac:dyDescent="0.2">
      <c r="A278" s="6">
        <v>277</v>
      </c>
      <c r="B278" s="6" t="s">
        <v>381</v>
      </c>
      <c r="C278" s="6" t="s">
        <v>387</v>
      </c>
      <c r="D278" s="6" t="s">
        <v>2078</v>
      </c>
      <c r="E278" s="8">
        <v>210000</v>
      </c>
      <c r="F278" s="6"/>
      <c r="G278" s="9">
        <v>14.23527717590332</v>
      </c>
      <c r="H278" s="9">
        <v>53.094591009367129</v>
      </c>
      <c r="I278" s="6" t="s">
        <v>2079</v>
      </c>
      <c r="J278" s="6" t="s">
        <v>2080</v>
      </c>
      <c r="K278" s="6" t="s">
        <v>56</v>
      </c>
      <c r="L278" s="6" t="s">
        <v>1620</v>
      </c>
      <c r="M278" s="10">
        <v>0</v>
      </c>
      <c r="N278" s="6" t="s">
        <v>1621</v>
      </c>
      <c r="O278" s="6">
        <v>1</v>
      </c>
    </row>
    <row r="279" spans="1:15" ht="30" customHeight="1" x14ac:dyDescent="0.2">
      <c r="A279" s="6">
        <v>278</v>
      </c>
      <c r="B279" s="6" t="s">
        <v>381</v>
      </c>
      <c r="C279" s="6" t="s">
        <v>387</v>
      </c>
      <c r="D279" s="6" t="s">
        <v>2081</v>
      </c>
      <c r="E279" s="8">
        <v>227000</v>
      </c>
      <c r="F279" s="6"/>
      <c r="G279" s="9">
        <v>11.994152069091797</v>
      </c>
      <c r="H279" s="9">
        <v>51.289459580077782</v>
      </c>
      <c r="I279" s="6"/>
      <c r="J279" s="6" t="s">
        <v>2058</v>
      </c>
      <c r="K279" s="6" t="s">
        <v>56</v>
      </c>
      <c r="L279" s="6" t="s">
        <v>1620</v>
      </c>
      <c r="M279" s="10">
        <v>0</v>
      </c>
      <c r="N279" s="6" t="s">
        <v>1621</v>
      </c>
      <c r="O279" s="6">
        <v>1</v>
      </c>
    </row>
    <row r="280" spans="1:15" ht="30" customHeight="1" x14ac:dyDescent="0.2">
      <c r="A280" s="6">
        <v>279</v>
      </c>
      <c r="B280" s="6" t="s">
        <v>381</v>
      </c>
      <c r="C280" s="6" t="s">
        <v>387</v>
      </c>
      <c r="D280" s="6" t="s">
        <v>2082</v>
      </c>
      <c r="E280" s="8">
        <v>220000</v>
      </c>
      <c r="F280" s="6"/>
      <c r="G280" s="9">
        <v>8.1528854370117188</v>
      </c>
      <c r="H280" s="9">
        <v>53.55575923674543</v>
      </c>
      <c r="I280" s="6"/>
      <c r="J280" s="6" t="s">
        <v>2083</v>
      </c>
      <c r="K280" s="6" t="s">
        <v>56</v>
      </c>
      <c r="L280" s="6" t="s">
        <v>1620</v>
      </c>
      <c r="M280" s="10">
        <v>0</v>
      </c>
      <c r="N280" s="6" t="s">
        <v>1621</v>
      </c>
      <c r="O280" s="6">
        <v>1</v>
      </c>
    </row>
    <row r="281" spans="1:15" ht="30" customHeight="1" x14ac:dyDescent="0.2">
      <c r="A281" s="6">
        <v>280</v>
      </c>
      <c r="B281" s="6" t="s">
        <v>381</v>
      </c>
      <c r="C281" s="6" t="s">
        <v>387</v>
      </c>
      <c r="D281" s="6" t="s">
        <v>2084</v>
      </c>
      <c r="E281" s="8">
        <v>80000</v>
      </c>
      <c r="F281" s="6"/>
      <c r="G281" s="9">
        <v>7.3078823089599609</v>
      </c>
      <c r="H281" s="9">
        <v>52.56122103622527</v>
      </c>
      <c r="I281" s="6" t="s">
        <v>1623</v>
      </c>
      <c r="J281" s="6" t="s">
        <v>2085</v>
      </c>
      <c r="K281" s="6" t="s">
        <v>56</v>
      </c>
      <c r="L281" s="6" t="s">
        <v>1620</v>
      </c>
      <c r="M281" s="10">
        <v>0</v>
      </c>
      <c r="N281" s="6" t="s">
        <v>1621</v>
      </c>
      <c r="O281" s="6">
        <v>1</v>
      </c>
    </row>
    <row r="282" spans="1:15" ht="30" customHeight="1" x14ac:dyDescent="0.2">
      <c r="A282" s="6">
        <v>281</v>
      </c>
      <c r="B282" s="6" t="s">
        <v>381</v>
      </c>
      <c r="C282" s="6" t="s">
        <v>387</v>
      </c>
      <c r="D282" s="6" t="s">
        <v>2086</v>
      </c>
      <c r="E282" s="8">
        <v>246000</v>
      </c>
      <c r="F282" s="6"/>
      <c r="G282" s="9">
        <v>7.0473861694335938</v>
      </c>
      <c r="H282" s="9">
        <v>51.537687229913182</v>
      </c>
      <c r="I282" s="6" t="s">
        <v>1623</v>
      </c>
      <c r="J282" s="6" t="s">
        <v>2087</v>
      </c>
      <c r="K282" s="6" t="s">
        <v>56</v>
      </c>
      <c r="L282" s="6" t="s">
        <v>1620</v>
      </c>
      <c r="M282" s="10">
        <v>0</v>
      </c>
      <c r="N282" s="6" t="s">
        <v>1621</v>
      </c>
      <c r="O282" s="6">
        <v>1</v>
      </c>
    </row>
    <row r="283" spans="1:15" ht="30" customHeight="1" x14ac:dyDescent="0.2">
      <c r="A283" s="6">
        <v>282</v>
      </c>
      <c r="B283" s="6" t="s">
        <v>381</v>
      </c>
      <c r="C283" s="6" t="s">
        <v>387</v>
      </c>
      <c r="D283" s="6" t="s">
        <v>2088</v>
      </c>
      <c r="E283" s="8">
        <v>345861</v>
      </c>
      <c r="F283" s="6"/>
      <c r="G283" s="9">
        <v>7.0090198516845703</v>
      </c>
      <c r="H283" s="9">
        <v>50.816239308005045</v>
      </c>
      <c r="I283" s="6"/>
      <c r="J283" s="6"/>
      <c r="K283" s="6" t="s">
        <v>56</v>
      </c>
      <c r="L283" s="6" t="s">
        <v>1620</v>
      </c>
      <c r="M283" s="10">
        <v>0</v>
      </c>
      <c r="N283" s="6" t="s">
        <v>1621</v>
      </c>
      <c r="O283" s="6">
        <v>1</v>
      </c>
    </row>
    <row r="284" spans="1:15" ht="30" customHeight="1" x14ac:dyDescent="0.2">
      <c r="A284" s="6">
        <v>283</v>
      </c>
      <c r="B284" s="6" t="s">
        <v>381</v>
      </c>
      <c r="C284" s="6" t="s">
        <v>387</v>
      </c>
      <c r="D284" s="6" t="s">
        <v>2089</v>
      </c>
      <c r="E284" s="8">
        <v>262000</v>
      </c>
      <c r="F284" s="6"/>
      <c r="G284" s="9">
        <v>11.482257843017578</v>
      </c>
      <c r="H284" s="9">
        <v>48.751039251647889</v>
      </c>
      <c r="I284" s="6" t="s">
        <v>2090</v>
      </c>
      <c r="J284" s="6" t="s">
        <v>2091</v>
      </c>
      <c r="K284" s="6" t="s">
        <v>56</v>
      </c>
      <c r="L284" s="6" t="s">
        <v>1620</v>
      </c>
      <c r="M284" s="10">
        <v>0</v>
      </c>
      <c r="N284" s="6" t="s">
        <v>1621</v>
      </c>
      <c r="O284" s="6">
        <v>1</v>
      </c>
    </row>
    <row r="285" spans="1:15" ht="30" customHeight="1" x14ac:dyDescent="0.2">
      <c r="A285" s="6">
        <v>284</v>
      </c>
      <c r="B285" s="6" t="s">
        <v>381</v>
      </c>
      <c r="C285" s="6" t="s">
        <v>387</v>
      </c>
      <c r="D285" s="6" t="s">
        <v>2092</v>
      </c>
      <c r="E285" s="8">
        <v>106000</v>
      </c>
      <c r="F285" s="6"/>
      <c r="G285" s="9">
        <v>11.472558975219727</v>
      </c>
      <c r="H285" s="9">
        <v>48.789449804279947</v>
      </c>
      <c r="I285" s="6" t="s">
        <v>2047</v>
      </c>
      <c r="J285" s="6" t="s">
        <v>2093</v>
      </c>
      <c r="K285" s="6" t="s">
        <v>56</v>
      </c>
      <c r="L285" s="6" t="s">
        <v>1620</v>
      </c>
      <c r="M285" s="10">
        <v>0</v>
      </c>
      <c r="N285" s="6" t="s">
        <v>1621</v>
      </c>
      <c r="O285" s="6">
        <v>1</v>
      </c>
    </row>
    <row r="286" spans="1:15" ht="30" customHeight="1" x14ac:dyDescent="0.2">
      <c r="A286" s="6">
        <v>285</v>
      </c>
      <c r="B286" s="6" t="s">
        <v>381</v>
      </c>
      <c r="C286" s="6" t="s">
        <v>387</v>
      </c>
      <c r="D286" s="6" t="s">
        <v>2094</v>
      </c>
      <c r="E286" s="8">
        <v>285000</v>
      </c>
      <c r="F286" s="6"/>
      <c r="G286" s="9">
        <v>8.3272075653076172</v>
      </c>
      <c r="H286" s="9">
        <v>49.056095168652973</v>
      </c>
      <c r="I286" s="6" t="s">
        <v>1639</v>
      </c>
      <c r="J286" s="6" t="s">
        <v>2095</v>
      </c>
      <c r="K286" s="6" t="s">
        <v>56</v>
      </c>
      <c r="L286" s="6" t="s">
        <v>1620</v>
      </c>
      <c r="M286" s="10">
        <v>0</v>
      </c>
      <c r="N286" s="6" t="s">
        <v>1621</v>
      </c>
      <c r="O286" s="6">
        <v>1</v>
      </c>
    </row>
    <row r="287" spans="1:15" ht="30" customHeight="1" x14ac:dyDescent="0.2">
      <c r="A287" s="6">
        <v>286</v>
      </c>
      <c r="B287" s="6" t="s">
        <v>381</v>
      </c>
      <c r="C287" s="6" t="s">
        <v>387</v>
      </c>
      <c r="D287" s="6" t="s">
        <v>2096</v>
      </c>
      <c r="E287" s="8">
        <v>70000</v>
      </c>
      <c r="F287" s="6"/>
      <c r="G287" s="9">
        <v>12.836151123046875</v>
      </c>
      <c r="H287" s="9">
        <v>48.193327659631628</v>
      </c>
      <c r="I287" s="6"/>
      <c r="J287" s="6" t="s">
        <v>2097</v>
      </c>
      <c r="K287" s="6" t="s">
        <v>56</v>
      </c>
      <c r="L287" s="6" t="s">
        <v>1620</v>
      </c>
      <c r="M287" s="10">
        <v>0</v>
      </c>
      <c r="N287" s="6" t="s">
        <v>1621</v>
      </c>
      <c r="O287" s="6">
        <v>1</v>
      </c>
    </row>
    <row r="288" spans="1:15" ht="30" customHeight="1" x14ac:dyDescent="0.2">
      <c r="A288" s="6">
        <v>287</v>
      </c>
      <c r="B288" s="6" t="s">
        <v>653</v>
      </c>
      <c r="C288" s="6" t="s">
        <v>659</v>
      </c>
      <c r="D288" s="6" t="s">
        <v>2098</v>
      </c>
      <c r="E288" s="8">
        <v>190000</v>
      </c>
      <c r="F288" s="6"/>
      <c r="G288" s="9">
        <v>4.2998600006103516</v>
      </c>
      <c r="H288" s="9">
        <v>51.877868645910439</v>
      </c>
      <c r="I288" s="6"/>
      <c r="J288" s="6" t="s">
        <v>2099</v>
      </c>
      <c r="K288" s="6" t="s">
        <v>56</v>
      </c>
      <c r="L288" s="6" t="s">
        <v>1620</v>
      </c>
      <c r="M288" s="10">
        <v>0</v>
      </c>
      <c r="N288" s="6" t="s">
        <v>1621</v>
      </c>
      <c r="O288" s="6">
        <v>1</v>
      </c>
    </row>
    <row r="289" spans="1:15" ht="30" customHeight="1" x14ac:dyDescent="0.2">
      <c r="A289" s="6">
        <v>288</v>
      </c>
      <c r="B289" s="6" t="s">
        <v>653</v>
      </c>
      <c r="C289" s="6" t="s">
        <v>659</v>
      </c>
      <c r="D289" s="6" t="s">
        <v>2100</v>
      </c>
      <c r="E289" s="8">
        <v>90000</v>
      </c>
      <c r="F289" s="6"/>
      <c r="G289" s="9">
        <v>4.1862201690673828</v>
      </c>
      <c r="H289" s="9">
        <v>51.927701487453184</v>
      </c>
      <c r="I289" s="6" t="s">
        <v>1639</v>
      </c>
      <c r="J289" s="6" t="s">
        <v>2101</v>
      </c>
      <c r="K289" s="6" t="s">
        <v>56</v>
      </c>
      <c r="L289" s="6" t="s">
        <v>1620</v>
      </c>
      <c r="M289" s="10">
        <v>0</v>
      </c>
      <c r="N289" s="6" t="s">
        <v>1621</v>
      </c>
      <c r="O289" s="6">
        <v>1</v>
      </c>
    </row>
    <row r="290" spans="1:15" ht="30" customHeight="1" x14ac:dyDescent="0.2">
      <c r="A290" s="6">
        <v>289</v>
      </c>
      <c r="B290" s="6" t="s">
        <v>653</v>
      </c>
      <c r="C290" s="6" t="s">
        <v>659</v>
      </c>
      <c r="D290" s="6" t="s">
        <v>2102</v>
      </c>
      <c r="E290" s="8">
        <v>400000</v>
      </c>
      <c r="F290" s="6"/>
      <c r="G290" s="9">
        <v>4.1693115234375</v>
      </c>
      <c r="H290" s="9">
        <v>51.934740353008671</v>
      </c>
      <c r="I290" s="6" t="s">
        <v>1623</v>
      </c>
      <c r="J290" s="6" t="s">
        <v>1624</v>
      </c>
      <c r="K290" s="6" t="s">
        <v>56</v>
      </c>
      <c r="L290" s="6" t="s">
        <v>1620</v>
      </c>
      <c r="M290" s="10">
        <v>0</v>
      </c>
      <c r="N290" s="6" t="s">
        <v>1621</v>
      </c>
      <c r="O290" s="6">
        <v>1</v>
      </c>
    </row>
    <row r="291" spans="1:15" ht="30" customHeight="1" x14ac:dyDescent="0.2">
      <c r="A291" s="6">
        <v>290</v>
      </c>
      <c r="B291" s="6" t="s">
        <v>653</v>
      </c>
      <c r="C291" s="6" t="s">
        <v>659</v>
      </c>
      <c r="D291" s="6" t="s">
        <v>2103</v>
      </c>
      <c r="E291" s="8">
        <v>400000</v>
      </c>
      <c r="F291" s="6"/>
      <c r="G291" s="9">
        <v>4.3665504455566406</v>
      </c>
      <c r="H291" s="9">
        <v>51.883167003651778</v>
      </c>
      <c r="I291" s="6"/>
      <c r="J291" s="6" t="s">
        <v>2104</v>
      </c>
      <c r="K291" s="6" t="s">
        <v>56</v>
      </c>
      <c r="L291" s="6" t="s">
        <v>1620</v>
      </c>
      <c r="M291" s="10">
        <v>0</v>
      </c>
      <c r="N291" s="6" t="s">
        <v>1621</v>
      </c>
      <c r="O291" s="6">
        <v>1</v>
      </c>
    </row>
    <row r="292" spans="1:15" ht="30" customHeight="1" x14ac:dyDescent="0.2">
      <c r="A292" s="6">
        <v>291</v>
      </c>
      <c r="B292" s="6" t="s">
        <v>653</v>
      </c>
      <c r="C292" s="6" t="s">
        <v>659</v>
      </c>
      <c r="D292" s="6" t="s">
        <v>2105</v>
      </c>
      <c r="E292" s="8">
        <v>10000</v>
      </c>
      <c r="F292" s="6"/>
      <c r="G292" s="9">
        <v>4.8282337188720703</v>
      </c>
      <c r="H292" s="9">
        <v>52.404042199673377</v>
      </c>
      <c r="I292" s="6"/>
      <c r="J292" s="6" t="s">
        <v>2106</v>
      </c>
      <c r="K292" s="6" t="s">
        <v>56</v>
      </c>
      <c r="L292" s="6" t="s">
        <v>1620</v>
      </c>
      <c r="M292" s="10">
        <v>0</v>
      </c>
      <c r="N292" s="6" t="s">
        <v>1621</v>
      </c>
      <c r="O292" s="6">
        <v>1</v>
      </c>
    </row>
    <row r="293" spans="1:15" ht="30" customHeight="1" x14ac:dyDescent="0.2">
      <c r="A293" s="6">
        <v>292</v>
      </c>
      <c r="B293" s="6" t="s">
        <v>653</v>
      </c>
      <c r="C293" s="6" t="s">
        <v>659</v>
      </c>
      <c r="D293" s="6" t="s">
        <v>2107</v>
      </c>
      <c r="E293" s="8">
        <v>160000</v>
      </c>
      <c r="F293" s="6"/>
      <c r="G293" s="9">
        <v>3.7295150756835938</v>
      </c>
      <c r="H293" s="9">
        <v>51.444218149037113</v>
      </c>
      <c r="I293" s="6"/>
      <c r="J293" s="6" t="s">
        <v>2108</v>
      </c>
      <c r="K293" s="6" t="s">
        <v>56</v>
      </c>
      <c r="L293" s="6" t="s">
        <v>1620</v>
      </c>
      <c r="M293" s="10">
        <v>0</v>
      </c>
      <c r="N293" s="6" t="s">
        <v>1621</v>
      </c>
      <c r="O293" s="6">
        <v>1</v>
      </c>
    </row>
    <row r="294" spans="1:15" ht="30" customHeight="1" x14ac:dyDescent="0.2">
      <c r="A294" s="6">
        <v>293</v>
      </c>
      <c r="B294" s="6" t="s">
        <v>925</v>
      </c>
      <c r="C294" s="6" t="s">
        <v>930</v>
      </c>
      <c r="D294" s="6" t="s">
        <v>2109</v>
      </c>
      <c r="E294" s="8">
        <v>100000</v>
      </c>
      <c r="F294" s="6"/>
      <c r="G294" s="9">
        <v>-8.7041759490966797</v>
      </c>
      <c r="H294" s="9">
        <v>41.209138710675553</v>
      </c>
      <c r="I294" s="6"/>
      <c r="J294" s="6" t="s">
        <v>2110</v>
      </c>
      <c r="K294" s="6" t="s">
        <v>56</v>
      </c>
      <c r="L294" s="6" t="s">
        <v>1620</v>
      </c>
      <c r="M294" s="10">
        <v>0</v>
      </c>
      <c r="N294" s="6" t="s">
        <v>1621</v>
      </c>
      <c r="O294" s="6">
        <v>1</v>
      </c>
    </row>
    <row r="295" spans="1:15" ht="30" customHeight="1" x14ac:dyDescent="0.2">
      <c r="A295" s="6">
        <v>294</v>
      </c>
      <c r="B295" s="6" t="s">
        <v>925</v>
      </c>
      <c r="C295" s="6" t="s">
        <v>930</v>
      </c>
      <c r="D295" s="6" t="s">
        <v>2111</v>
      </c>
      <c r="E295" s="8">
        <v>200000</v>
      </c>
      <c r="F295" s="6"/>
      <c r="G295" s="9">
        <v>-8.8113784790039063</v>
      </c>
      <c r="H295" s="9">
        <v>37.961320300756135</v>
      </c>
      <c r="I295" s="6"/>
      <c r="J295" s="6" t="s">
        <v>2112</v>
      </c>
      <c r="K295" s="6" t="s">
        <v>56</v>
      </c>
      <c r="L295" s="6" t="s">
        <v>1620</v>
      </c>
      <c r="M295" s="10">
        <v>0</v>
      </c>
      <c r="N295" s="6" t="s">
        <v>1621</v>
      </c>
      <c r="O295" s="6">
        <v>1</v>
      </c>
    </row>
    <row r="296" spans="1:15" ht="30" customHeight="1" x14ac:dyDescent="0.2">
      <c r="A296" s="6">
        <v>295</v>
      </c>
      <c r="B296" s="6" t="s">
        <v>488</v>
      </c>
      <c r="C296" s="6" t="s">
        <v>493</v>
      </c>
      <c r="D296" s="6" t="s">
        <v>2113</v>
      </c>
      <c r="E296" s="8">
        <v>100000</v>
      </c>
      <c r="F296" s="6"/>
      <c r="G296" s="9">
        <v>-3.0040740966796875E-3</v>
      </c>
      <c r="H296" s="9">
        <v>39.951398349898206</v>
      </c>
      <c r="I296" s="6" t="s">
        <v>1623</v>
      </c>
      <c r="J296" s="6" t="s">
        <v>1624</v>
      </c>
      <c r="K296" s="6" t="s">
        <v>56</v>
      </c>
      <c r="L296" s="6" t="s">
        <v>1620</v>
      </c>
      <c r="M296" s="10">
        <v>0</v>
      </c>
      <c r="N296" s="6" t="s">
        <v>1621</v>
      </c>
      <c r="O296" s="6">
        <v>1</v>
      </c>
    </row>
    <row r="297" spans="1:15" ht="30" customHeight="1" x14ac:dyDescent="0.2">
      <c r="A297" s="6">
        <v>296</v>
      </c>
      <c r="B297" s="6" t="s">
        <v>488</v>
      </c>
      <c r="C297" s="6" t="s">
        <v>493</v>
      </c>
      <c r="D297" s="6" t="s">
        <v>2114</v>
      </c>
      <c r="E297" s="8">
        <v>240000</v>
      </c>
      <c r="F297" s="6"/>
      <c r="G297" s="9">
        <v>-5.3972053527832031</v>
      </c>
      <c r="H297" s="9">
        <v>36.185688787946312</v>
      </c>
      <c r="I297" s="6" t="s">
        <v>2115</v>
      </c>
      <c r="J297" s="6" t="s">
        <v>2116</v>
      </c>
      <c r="K297" s="6" t="s">
        <v>56</v>
      </c>
      <c r="L297" s="6" t="s">
        <v>1620</v>
      </c>
      <c r="M297" s="10">
        <v>0</v>
      </c>
      <c r="N297" s="6" t="s">
        <v>1621</v>
      </c>
      <c r="O297" s="6">
        <v>1</v>
      </c>
    </row>
    <row r="298" spans="1:15" ht="30" customHeight="1" x14ac:dyDescent="0.2">
      <c r="A298" s="6">
        <v>297</v>
      </c>
      <c r="B298" s="6" t="s">
        <v>488</v>
      </c>
      <c r="C298" s="6" t="s">
        <v>493</v>
      </c>
      <c r="D298" s="6" t="s">
        <v>2117</v>
      </c>
      <c r="E298" s="8">
        <v>100000</v>
      </c>
      <c r="F298" s="6"/>
      <c r="G298" s="9">
        <v>-6.9039630889892578</v>
      </c>
      <c r="H298" s="9">
        <v>37.184048534856736</v>
      </c>
      <c r="I298" s="6" t="s">
        <v>2115</v>
      </c>
      <c r="J298" s="6" t="s">
        <v>2118</v>
      </c>
      <c r="K298" s="6" t="s">
        <v>56</v>
      </c>
      <c r="L298" s="6" t="s">
        <v>1620</v>
      </c>
      <c r="M298" s="10">
        <v>0</v>
      </c>
      <c r="N298" s="6" t="s">
        <v>1621</v>
      </c>
      <c r="O298" s="6">
        <v>1</v>
      </c>
    </row>
    <row r="299" spans="1:15" ht="30" customHeight="1" x14ac:dyDescent="0.2">
      <c r="A299" s="6">
        <v>298</v>
      </c>
      <c r="B299" s="6" t="s">
        <v>488</v>
      </c>
      <c r="C299" s="6" t="s">
        <v>493</v>
      </c>
      <c r="D299" s="6" t="s">
        <v>2119</v>
      </c>
      <c r="E299" s="8">
        <v>90000</v>
      </c>
      <c r="F299" s="6"/>
      <c r="G299" s="9">
        <v>-16.26551628112793</v>
      </c>
      <c r="H299" s="9">
        <v>28.453750775846249</v>
      </c>
      <c r="I299" s="6" t="s">
        <v>2115</v>
      </c>
      <c r="J299" s="6" t="s">
        <v>2120</v>
      </c>
      <c r="K299" s="6" t="s">
        <v>56</v>
      </c>
      <c r="L299" s="6" t="s">
        <v>1620</v>
      </c>
      <c r="M299" s="10">
        <v>0</v>
      </c>
      <c r="N299" s="6" t="s">
        <v>1621</v>
      </c>
      <c r="O299" s="6">
        <v>1</v>
      </c>
    </row>
    <row r="300" spans="1:15" ht="30" customHeight="1" x14ac:dyDescent="0.2">
      <c r="A300" s="6">
        <v>299</v>
      </c>
      <c r="B300" s="6" t="s">
        <v>488</v>
      </c>
      <c r="C300" s="6" t="s">
        <v>493</v>
      </c>
      <c r="D300" s="6" t="s">
        <v>2121</v>
      </c>
      <c r="E300" s="8">
        <v>220000</v>
      </c>
      <c r="F300" s="6"/>
      <c r="G300" s="9">
        <v>-3.1105899810791016</v>
      </c>
      <c r="H300" s="9">
        <v>43.328923926304682</v>
      </c>
      <c r="I300" s="6"/>
      <c r="J300" s="6" t="s">
        <v>2122</v>
      </c>
      <c r="K300" s="6" t="s">
        <v>56</v>
      </c>
      <c r="L300" s="6" t="s">
        <v>1620</v>
      </c>
      <c r="M300" s="10">
        <v>0</v>
      </c>
      <c r="N300" s="6" t="s">
        <v>1621</v>
      </c>
      <c r="O300" s="6">
        <v>1</v>
      </c>
    </row>
    <row r="301" spans="1:15" ht="30" customHeight="1" x14ac:dyDescent="0.2">
      <c r="A301" s="6">
        <v>300</v>
      </c>
      <c r="B301" s="6" t="s">
        <v>488</v>
      </c>
      <c r="C301" s="6" t="s">
        <v>493</v>
      </c>
      <c r="D301" s="6" t="s">
        <v>2123</v>
      </c>
      <c r="E301" s="8">
        <v>100000</v>
      </c>
      <c r="F301" s="6"/>
      <c r="G301" s="9">
        <v>-0.92267990112304688</v>
      </c>
      <c r="H301" s="9">
        <v>37.570161004082642</v>
      </c>
      <c r="I301" s="6"/>
      <c r="J301" s="6" t="s">
        <v>2122</v>
      </c>
      <c r="K301" s="6" t="s">
        <v>56</v>
      </c>
      <c r="L301" s="6" t="s">
        <v>1620</v>
      </c>
      <c r="M301" s="10">
        <v>0</v>
      </c>
      <c r="N301" s="6" t="s">
        <v>1621</v>
      </c>
      <c r="O301" s="6">
        <v>1</v>
      </c>
    </row>
    <row r="302" spans="1:15" ht="30" customHeight="1" x14ac:dyDescent="0.2">
      <c r="A302" s="6">
        <v>301</v>
      </c>
      <c r="B302" s="6" t="s">
        <v>488</v>
      </c>
      <c r="C302" s="6" t="s">
        <v>493</v>
      </c>
      <c r="D302" s="6" t="s">
        <v>2124</v>
      </c>
      <c r="E302" s="8">
        <v>120000</v>
      </c>
      <c r="F302" s="6"/>
      <c r="G302" s="9">
        <v>-8.4453105926513672</v>
      </c>
      <c r="H302" s="9">
        <v>43.352644787504502</v>
      </c>
      <c r="I302" s="6"/>
      <c r="J302" s="6" t="s">
        <v>2122</v>
      </c>
      <c r="K302" s="6" t="s">
        <v>56</v>
      </c>
      <c r="L302" s="6" t="s">
        <v>1620</v>
      </c>
      <c r="M302" s="10">
        <v>0</v>
      </c>
      <c r="N302" s="6" t="s">
        <v>1621</v>
      </c>
      <c r="O302" s="6">
        <v>1</v>
      </c>
    </row>
    <row r="303" spans="1:15" ht="30" customHeight="1" x14ac:dyDescent="0.2">
      <c r="A303" s="6">
        <v>302</v>
      </c>
      <c r="B303" s="6" t="s">
        <v>488</v>
      </c>
      <c r="C303" s="6" t="s">
        <v>493</v>
      </c>
      <c r="D303" s="6" t="s">
        <v>2125</v>
      </c>
      <c r="E303" s="8">
        <v>140000</v>
      </c>
      <c r="F303" s="6"/>
      <c r="G303" s="9">
        <v>-4.0494918823242188</v>
      </c>
      <c r="H303" s="9">
        <v>38.673113973456154</v>
      </c>
      <c r="I303" s="6"/>
      <c r="J303" s="6" t="s">
        <v>2122</v>
      </c>
      <c r="K303" s="6" t="s">
        <v>56</v>
      </c>
      <c r="L303" s="6" t="s">
        <v>1620</v>
      </c>
      <c r="M303" s="10">
        <v>0</v>
      </c>
      <c r="N303" s="6" t="s">
        <v>1621</v>
      </c>
      <c r="O303" s="6">
        <v>1</v>
      </c>
    </row>
    <row r="304" spans="1:15" ht="30" customHeight="1" x14ac:dyDescent="0.2">
      <c r="A304" s="6">
        <v>303</v>
      </c>
      <c r="B304" s="6" t="s">
        <v>488</v>
      </c>
      <c r="C304" s="6" t="s">
        <v>493</v>
      </c>
      <c r="D304" s="6" t="s">
        <v>2126</v>
      </c>
      <c r="E304" s="8">
        <v>160000</v>
      </c>
      <c r="F304" s="6"/>
      <c r="G304" s="9">
        <v>1.2227439880371094</v>
      </c>
      <c r="H304" s="9">
        <v>41.183046716683528</v>
      </c>
      <c r="I304" s="6"/>
      <c r="J304" s="6" t="s">
        <v>2122</v>
      </c>
      <c r="K304" s="6" t="s">
        <v>56</v>
      </c>
      <c r="L304" s="6" t="s">
        <v>1620</v>
      </c>
      <c r="M304" s="10">
        <v>0</v>
      </c>
      <c r="N304" s="6" t="s">
        <v>1621</v>
      </c>
      <c r="O304" s="6">
        <v>1</v>
      </c>
    </row>
    <row r="305" spans="1:15" ht="30" customHeight="1" x14ac:dyDescent="0.2">
      <c r="A305" s="6">
        <v>304</v>
      </c>
      <c r="B305" s="6" t="s">
        <v>641</v>
      </c>
      <c r="C305" s="6" t="s">
        <v>646</v>
      </c>
      <c r="D305" s="6" t="s">
        <v>2127</v>
      </c>
      <c r="E305" s="8">
        <v>68000</v>
      </c>
      <c r="F305" s="6"/>
      <c r="G305" s="9">
        <v>7.0361423492431641</v>
      </c>
      <c r="H305" s="9">
        <v>47.039012284955547</v>
      </c>
      <c r="I305" s="6" t="s">
        <v>2047</v>
      </c>
      <c r="J305" s="6" t="s">
        <v>2128</v>
      </c>
      <c r="K305" s="6" t="s">
        <v>56</v>
      </c>
      <c r="L305" s="6" t="s">
        <v>1620</v>
      </c>
      <c r="M305" s="10">
        <v>0</v>
      </c>
      <c r="N305" s="6" t="s">
        <v>1621</v>
      </c>
      <c r="O305" s="6">
        <v>1</v>
      </c>
    </row>
    <row r="306" spans="1:15" ht="30" customHeight="1" x14ac:dyDescent="0.2">
      <c r="A306" s="6">
        <v>305</v>
      </c>
      <c r="B306" s="6" t="s">
        <v>641</v>
      </c>
      <c r="C306" s="6" t="s">
        <v>646</v>
      </c>
      <c r="D306" s="6" t="s">
        <v>2129</v>
      </c>
      <c r="E306" s="8">
        <v>45000</v>
      </c>
      <c r="F306" s="6"/>
      <c r="G306" s="9">
        <v>6.9511699676513672</v>
      </c>
      <c r="H306" s="9">
        <v>46.284325842588458</v>
      </c>
      <c r="I306" s="6"/>
      <c r="J306" s="6" t="s">
        <v>2130</v>
      </c>
      <c r="K306" s="6" t="s">
        <v>56</v>
      </c>
      <c r="L306" s="6" t="s">
        <v>1620</v>
      </c>
      <c r="M306" s="10">
        <v>0</v>
      </c>
      <c r="N306" s="6" t="s">
        <v>1621</v>
      </c>
      <c r="O306" s="6">
        <v>1</v>
      </c>
    </row>
    <row r="307" spans="1:15" ht="30" customHeight="1" x14ac:dyDescent="0.2">
      <c r="A307" s="6">
        <v>306</v>
      </c>
      <c r="B307" s="6" t="s">
        <v>512</v>
      </c>
      <c r="C307" s="6" t="s">
        <v>517</v>
      </c>
      <c r="D307" s="6" t="s">
        <v>2131</v>
      </c>
      <c r="E307" s="8">
        <v>68000</v>
      </c>
      <c r="F307" s="6"/>
      <c r="G307" s="9">
        <v>9.7483062744140625</v>
      </c>
      <c r="H307" s="9">
        <v>55.591927437775468</v>
      </c>
      <c r="I307" s="6"/>
      <c r="J307" s="6" t="s">
        <v>2132</v>
      </c>
      <c r="K307" s="6" t="s">
        <v>56</v>
      </c>
      <c r="L307" s="6" t="s">
        <v>1620</v>
      </c>
      <c r="M307" s="10">
        <v>0</v>
      </c>
      <c r="N307" s="6" t="s">
        <v>1621</v>
      </c>
      <c r="O307" s="6">
        <v>1</v>
      </c>
    </row>
    <row r="308" spans="1:15" ht="30" customHeight="1" x14ac:dyDescent="0.2">
      <c r="A308" s="6">
        <v>307</v>
      </c>
      <c r="B308" s="6" t="s">
        <v>512</v>
      </c>
      <c r="C308" s="6" t="s">
        <v>517</v>
      </c>
      <c r="D308" s="6" t="s">
        <v>2133</v>
      </c>
      <c r="E308" s="8">
        <v>110000</v>
      </c>
      <c r="F308" s="6"/>
      <c r="G308" s="9">
        <v>11.096363067626953</v>
      </c>
      <c r="H308" s="9">
        <v>55.65623614424792</v>
      </c>
      <c r="I308" s="6" t="s">
        <v>2134</v>
      </c>
      <c r="J308" s="6" t="s">
        <v>2135</v>
      </c>
      <c r="K308" s="6" t="s">
        <v>56</v>
      </c>
      <c r="L308" s="6" t="s">
        <v>1620</v>
      </c>
      <c r="M308" s="10">
        <v>0</v>
      </c>
      <c r="N308" s="6" t="s">
        <v>1621</v>
      </c>
      <c r="O308" s="6">
        <v>1</v>
      </c>
    </row>
    <row r="309" spans="1:15" ht="30" customHeight="1" x14ac:dyDescent="0.2">
      <c r="A309" s="6">
        <v>308</v>
      </c>
      <c r="B309" s="6" t="s">
        <v>413</v>
      </c>
      <c r="C309" s="6" t="s">
        <v>418</v>
      </c>
      <c r="D309" s="6" t="s">
        <v>2136</v>
      </c>
      <c r="E309" s="8">
        <v>40000</v>
      </c>
      <c r="F309" s="6"/>
      <c r="G309" s="9">
        <v>22.092905044555664</v>
      </c>
      <c r="H309" s="9">
        <v>60.450657407816799</v>
      </c>
      <c r="I309" s="6" t="s">
        <v>2137</v>
      </c>
      <c r="J309" s="6" t="s">
        <v>2138</v>
      </c>
      <c r="K309" s="6" t="s">
        <v>56</v>
      </c>
      <c r="L309" s="6" t="s">
        <v>1629</v>
      </c>
      <c r="M309" s="10">
        <v>0.28000000000000003</v>
      </c>
      <c r="N309" s="6" t="s">
        <v>1621</v>
      </c>
      <c r="O309" s="6">
        <v>1</v>
      </c>
    </row>
    <row r="310" spans="1:15" ht="30" customHeight="1" x14ac:dyDescent="0.2">
      <c r="A310" s="6">
        <v>309</v>
      </c>
      <c r="B310" s="6" t="s">
        <v>413</v>
      </c>
      <c r="C310" s="6" t="s">
        <v>418</v>
      </c>
      <c r="D310" s="6" t="s">
        <v>2139</v>
      </c>
      <c r="E310" s="8">
        <v>160000</v>
      </c>
      <c r="F310" s="6"/>
      <c r="G310" s="9">
        <v>25.535488128662109</v>
      </c>
      <c r="H310" s="9">
        <v>60.31071234074831</v>
      </c>
      <c r="I310" s="6" t="s">
        <v>2137</v>
      </c>
      <c r="J310" s="6" t="s">
        <v>2140</v>
      </c>
      <c r="K310" s="6" t="s">
        <v>56</v>
      </c>
      <c r="L310" s="6" t="s">
        <v>1620</v>
      </c>
      <c r="M310" s="10">
        <v>0</v>
      </c>
      <c r="N310" s="6" t="s">
        <v>1621</v>
      </c>
      <c r="O310" s="6">
        <v>1</v>
      </c>
    </row>
    <row r="311" spans="1:15" ht="30" customHeight="1" x14ac:dyDescent="0.2">
      <c r="A311" s="6">
        <v>310</v>
      </c>
      <c r="B311" s="6" t="s">
        <v>401</v>
      </c>
      <c r="C311" s="6" t="s">
        <v>406</v>
      </c>
      <c r="D311" s="6" t="s">
        <v>2141</v>
      </c>
      <c r="E311" s="8">
        <v>200000</v>
      </c>
      <c r="F311" s="6"/>
      <c r="G311" s="9">
        <v>5.027618408203125</v>
      </c>
      <c r="H311" s="9">
        <v>60.814580616263427</v>
      </c>
      <c r="I311" s="6" t="s">
        <v>2134</v>
      </c>
      <c r="J311" s="6" t="s">
        <v>2135</v>
      </c>
      <c r="K311" s="6" t="s">
        <v>56</v>
      </c>
      <c r="L311" s="6" t="s">
        <v>1629</v>
      </c>
      <c r="M311" s="10">
        <v>1.6970000000000001</v>
      </c>
      <c r="N311" s="6" t="s">
        <v>1621</v>
      </c>
      <c r="O311" s="6">
        <v>1</v>
      </c>
    </row>
    <row r="312" spans="1:15" ht="30" customHeight="1" x14ac:dyDescent="0.2">
      <c r="A312" s="6">
        <v>311</v>
      </c>
      <c r="B312" s="6" t="s">
        <v>401</v>
      </c>
      <c r="C312" s="6" t="s">
        <v>406</v>
      </c>
      <c r="D312" s="6" t="s">
        <v>2142</v>
      </c>
      <c r="E312" s="8">
        <v>0</v>
      </c>
      <c r="F312" s="6"/>
      <c r="G312" s="9">
        <v>10.515718460083008</v>
      </c>
      <c r="H312" s="9">
        <v>59.314140879957918</v>
      </c>
      <c r="I312" s="6"/>
      <c r="J312" s="6" t="s">
        <v>2143</v>
      </c>
      <c r="K312" s="6" t="s">
        <v>56</v>
      </c>
      <c r="L312" s="6" t="s">
        <v>1629</v>
      </c>
      <c r="M312" s="10">
        <v>0.60899999999999999</v>
      </c>
      <c r="N312" s="6" t="s">
        <v>1621</v>
      </c>
      <c r="O312" s="6">
        <v>1</v>
      </c>
    </row>
    <row r="313" spans="1:15" ht="30" customHeight="1" x14ac:dyDescent="0.2">
      <c r="A313" s="6">
        <v>312</v>
      </c>
      <c r="B313" s="6" t="s">
        <v>407</v>
      </c>
      <c r="C313" s="6" t="s">
        <v>412</v>
      </c>
      <c r="D313" s="6" t="s">
        <v>2144</v>
      </c>
      <c r="E313" s="8">
        <v>13000</v>
      </c>
      <c r="F313" s="6"/>
      <c r="G313" s="9">
        <v>11.86274528503418</v>
      </c>
      <c r="H313" s="9">
        <v>57.699652814781992</v>
      </c>
      <c r="I313" s="6"/>
      <c r="J313" s="6" t="s">
        <v>2145</v>
      </c>
      <c r="K313" s="6" t="s">
        <v>56</v>
      </c>
      <c r="L313" s="6" t="s">
        <v>1620</v>
      </c>
      <c r="M313" s="10">
        <v>0</v>
      </c>
      <c r="N313" s="6" t="s">
        <v>1621</v>
      </c>
      <c r="O313" s="6">
        <v>1</v>
      </c>
    </row>
    <row r="314" spans="1:15" ht="30" customHeight="1" x14ac:dyDescent="0.2">
      <c r="A314" s="6">
        <v>313</v>
      </c>
      <c r="B314" s="6" t="s">
        <v>407</v>
      </c>
      <c r="C314" s="6" t="s">
        <v>412</v>
      </c>
      <c r="D314" s="6" t="s">
        <v>2146</v>
      </c>
      <c r="E314" s="8">
        <v>90000</v>
      </c>
      <c r="F314" s="6"/>
      <c r="G314" s="9">
        <v>17.958097457885742</v>
      </c>
      <c r="H314" s="9">
        <v>58.908989618264343</v>
      </c>
      <c r="I314" s="6"/>
      <c r="J314" s="6" t="s">
        <v>2145</v>
      </c>
      <c r="K314" s="6" t="s">
        <v>56</v>
      </c>
      <c r="L314" s="6" t="s">
        <v>1629</v>
      </c>
      <c r="M314" s="10">
        <v>0.85299999999999998</v>
      </c>
      <c r="N314" s="6" t="s">
        <v>1621</v>
      </c>
      <c r="O314" s="6">
        <v>1</v>
      </c>
    </row>
    <row r="315" spans="1:15" ht="30" customHeight="1" x14ac:dyDescent="0.2">
      <c r="A315" s="6">
        <v>314</v>
      </c>
      <c r="B315" s="6" t="s">
        <v>407</v>
      </c>
      <c r="C315" s="6" t="s">
        <v>412</v>
      </c>
      <c r="D315" s="6" t="s">
        <v>2147</v>
      </c>
      <c r="E315" s="8">
        <v>210000</v>
      </c>
      <c r="F315" s="6"/>
      <c r="G315" s="9">
        <v>11.424236297607422</v>
      </c>
      <c r="H315" s="9">
        <v>58.34459612517643</v>
      </c>
      <c r="I315" s="6" t="s">
        <v>1639</v>
      </c>
      <c r="J315" s="6" t="s">
        <v>2148</v>
      </c>
      <c r="K315" s="6" t="s">
        <v>56</v>
      </c>
      <c r="L315" s="6" t="s">
        <v>1629</v>
      </c>
      <c r="M315" s="10">
        <v>0.47299999999999998</v>
      </c>
      <c r="N315" s="6" t="s">
        <v>1621</v>
      </c>
      <c r="O315" s="6">
        <v>1</v>
      </c>
    </row>
    <row r="316" spans="1:15" ht="30" customHeight="1" x14ac:dyDescent="0.2">
      <c r="A316" s="6">
        <v>315</v>
      </c>
      <c r="B316" s="6" t="s">
        <v>407</v>
      </c>
      <c r="C316" s="6" t="s">
        <v>412</v>
      </c>
      <c r="D316" s="6" t="s">
        <v>2149</v>
      </c>
      <c r="E316" s="8">
        <v>13000</v>
      </c>
      <c r="F316" s="6"/>
      <c r="G316" s="9">
        <v>11.827554702758789</v>
      </c>
      <c r="H316" s="9">
        <v>57.707265483429957</v>
      </c>
      <c r="I316" s="6" t="s">
        <v>1639</v>
      </c>
      <c r="J316" s="6" t="s">
        <v>2148</v>
      </c>
      <c r="K316" s="6" t="s">
        <v>56</v>
      </c>
      <c r="L316" s="6" t="s">
        <v>1620</v>
      </c>
      <c r="M316" s="10">
        <v>0</v>
      </c>
      <c r="N316" s="6" t="s">
        <v>1621</v>
      </c>
      <c r="O316" s="6">
        <v>1</v>
      </c>
    </row>
    <row r="317" spans="1:15" ht="30" customHeight="1" x14ac:dyDescent="0.2">
      <c r="A317" s="6">
        <v>316</v>
      </c>
      <c r="B317" s="6" t="s">
        <v>407</v>
      </c>
      <c r="C317" s="6" t="s">
        <v>412</v>
      </c>
      <c r="D317" s="6" t="s">
        <v>2150</v>
      </c>
      <c r="E317" s="8">
        <v>90000</v>
      </c>
      <c r="F317" s="6"/>
      <c r="G317" s="9">
        <v>11.883773803710938</v>
      </c>
      <c r="H317" s="9">
        <v>57.704101375734297</v>
      </c>
      <c r="I317" s="6" t="s">
        <v>1715</v>
      </c>
      <c r="J317" s="6" t="s">
        <v>2151</v>
      </c>
      <c r="K317" s="6" t="s">
        <v>56</v>
      </c>
      <c r="L317" s="6" t="s">
        <v>1620</v>
      </c>
      <c r="M317" s="10">
        <v>0</v>
      </c>
      <c r="N317" s="6" t="s">
        <v>1621</v>
      </c>
      <c r="O317" s="6">
        <v>1</v>
      </c>
    </row>
    <row r="318" spans="1:15" ht="30" customHeight="1" x14ac:dyDescent="0.2">
      <c r="A318" s="6">
        <v>317</v>
      </c>
      <c r="B318" s="6" t="s">
        <v>561</v>
      </c>
      <c r="C318" s="6" t="s">
        <v>566</v>
      </c>
      <c r="D318" s="6" t="s">
        <v>2152</v>
      </c>
      <c r="E318" s="8">
        <v>208000</v>
      </c>
      <c r="F318" s="6"/>
      <c r="G318" s="9">
        <v>0.51858901977539063</v>
      </c>
      <c r="H318" s="9">
        <v>51.513710304651489</v>
      </c>
      <c r="I318" s="6" t="s">
        <v>1623</v>
      </c>
      <c r="J318" s="6" t="s">
        <v>1624</v>
      </c>
      <c r="K318" s="6" t="s">
        <v>56</v>
      </c>
      <c r="L318" s="6" t="s">
        <v>1629</v>
      </c>
      <c r="M318" s="10">
        <v>0.224</v>
      </c>
      <c r="N318" s="6" t="s">
        <v>1621</v>
      </c>
      <c r="O318" s="6">
        <v>1</v>
      </c>
    </row>
    <row r="319" spans="1:15" ht="30" customHeight="1" x14ac:dyDescent="0.2">
      <c r="A319" s="6">
        <v>318</v>
      </c>
      <c r="B319" s="6" t="s">
        <v>561</v>
      </c>
      <c r="C319" s="6" t="s">
        <v>566</v>
      </c>
      <c r="D319" s="6" t="s">
        <v>2153</v>
      </c>
      <c r="E319" s="8">
        <v>221000</v>
      </c>
      <c r="F319" s="6"/>
      <c r="G319" s="9">
        <v>-0.24230003356933594</v>
      </c>
      <c r="H319" s="9">
        <v>53.632526714359393</v>
      </c>
      <c r="I319" s="6"/>
      <c r="J319" s="6" t="s">
        <v>2154</v>
      </c>
      <c r="K319" s="6" t="s">
        <v>56</v>
      </c>
      <c r="L319" s="6" t="s">
        <v>1620</v>
      </c>
      <c r="M319" s="10">
        <v>0</v>
      </c>
      <c r="N319" s="6" t="s">
        <v>1621</v>
      </c>
      <c r="O319" s="6">
        <v>1</v>
      </c>
    </row>
    <row r="320" spans="1:15" ht="30" customHeight="1" x14ac:dyDescent="0.2">
      <c r="A320" s="6">
        <v>319</v>
      </c>
      <c r="B320" s="6" t="s">
        <v>561</v>
      </c>
      <c r="C320" s="6" t="s">
        <v>566</v>
      </c>
      <c r="D320" s="6" t="s">
        <v>2155</v>
      </c>
      <c r="E320" s="8">
        <v>27000</v>
      </c>
      <c r="F320" s="6"/>
      <c r="G320" s="9">
        <v>-2.8682041168212891</v>
      </c>
      <c r="H320" s="9">
        <v>53.283843966192634</v>
      </c>
      <c r="I320" s="6"/>
      <c r="J320" s="6" t="s">
        <v>2145</v>
      </c>
      <c r="K320" s="6" t="s">
        <v>56</v>
      </c>
      <c r="L320" s="6" t="s">
        <v>1620</v>
      </c>
      <c r="M320" s="10">
        <v>0</v>
      </c>
      <c r="N320" s="6" t="s">
        <v>1621</v>
      </c>
      <c r="O320" s="6">
        <v>1</v>
      </c>
    </row>
    <row r="321" spans="1:15" ht="30" customHeight="1" x14ac:dyDescent="0.2">
      <c r="A321" s="6">
        <v>320</v>
      </c>
      <c r="B321" s="6" t="s">
        <v>561</v>
      </c>
      <c r="C321" s="6" t="s">
        <v>566</v>
      </c>
      <c r="D321" s="6" t="s">
        <v>2156</v>
      </c>
      <c r="E321" s="8">
        <v>317000</v>
      </c>
      <c r="F321" s="6"/>
      <c r="G321" s="9">
        <v>-1.3667678833007813</v>
      </c>
      <c r="H321" s="9">
        <v>50.833155584017078</v>
      </c>
      <c r="I321" s="6"/>
      <c r="J321" s="6" t="s">
        <v>2157</v>
      </c>
      <c r="K321" s="6" t="s">
        <v>56</v>
      </c>
      <c r="L321" s="6" t="s">
        <v>1620</v>
      </c>
      <c r="M321" s="10">
        <v>0</v>
      </c>
      <c r="N321" s="6" t="s">
        <v>1621</v>
      </c>
      <c r="O321" s="6">
        <v>1</v>
      </c>
    </row>
    <row r="322" spans="1:15" ht="30" customHeight="1" x14ac:dyDescent="0.2">
      <c r="A322" s="6">
        <v>321</v>
      </c>
      <c r="B322" s="6" t="s">
        <v>561</v>
      </c>
      <c r="C322" s="6" t="s">
        <v>566</v>
      </c>
      <c r="D322" s="6" t="s">
        <v>2158</v>
      </c>
      <c r="E322" s="8">
        <v>117000</v>
      </c>
      <c r="F322" s="6"/>
      <c r="G322" s="9">
        <v>-1.2030029296875</v>
      </c>
      <c r="H322" s="9">
        <v>54.646326688128624</v>
      </c>
      <c r="I322" s="6" t="s">
        <v>2047</v>
      </c>
      <c r="J322" s="6" t="s">
        <v>2159</v>
      </c>
      <c r="K322" s="6" t="s">
        <v>56</v>
      </c>
      <c r="L322" s="6" t="s">
        <v>1620</v>
      </c>
      <c r="M322" s="10">
        <v>0</v>
      </c>
      <c r="N322" s="6" t="s">
        <v>1621</v>
      </c>
      <c r="O322" s="6">
        <v>1</v>
      </c>
    </row>
    <row r="323" spans="1:15" ht="30" customHeight="1" x14ac:dyDescent="0.2">
      <c r="A323" s="6">
        <v>322</v>
      </c>
      <c r="B323" s="6" t="s">
        <v>561</v>
      </c>
      <c r="C323" s="6" t="s">
        <v>566</v>
      </c>
      <c r="D323" s="6" t="s">
        <v>2160</v>
      </c>
      <c r="E323" s="8">
        <v>246000</v>
      </c>
      <c r="F323" s="6"/>
      <c r="G323" s="9">
        <v>-2.8449440002441406</v>
      </c>
      <c r="H323" s="9">
        <v>53.27378524238766</v>
      </c>
      <c r="I323" s="6"/>
      <c r="J323" s="6" t="s">
        <v>2161</v>
      </c>
      <c r="K323" s="6" t="s">
        <v>56</v>
      </c>
      <c r="L323" s="6" t="s">
        <v>1620</v>
      </c>
      <c r="M323" s="10">
        <v>0</v>
      </c>
      <c r="N323" s="6" t="s">
        <v>1621</v>
      </c>
      <c r="O323" s="6">
        <v>1</v>
      </c>
    </row>
    <row r="324" spans="1:15" ht="30" customHeight="1" x14ac:dyDescent="0.2">
      <c r="A324" s="6">
        <v>323</v>
      </c>
      <c r="B324" s="6" t="s">
        <v>561</v>
      </c>
      <c r="C324" s="6" t="s">
        <v>566</v>
      </c>
      <c r="D324" s="6" t="s">
        <v>2162</v>
      </c>
      <c r="E324" s="8">
        <v>223000</v>
      </c>
      <c r="F324" s="6"/>
      <c r="G324" s="9">
        <v>-0.25689125061035156</v>
      </c>
      <c r="H324" s="9">
        <v>53.647079980411618</v>
      </c>
      <c r="I324" s="6" t="s">
        <v>1704</v>
      </c>
      <c r="J324" s="6" t="s">
        <v>2163</v>
      </c>
      <c r="K324" s="6" t="s">
        <v>56</v>
      </c>
      <c r="L324" s="6" t="s">
        <v>1620</v>
      </c>
      <c r="M324" s="10">
        <v>0</v>
      </c>
      <c r="N324" s="6" t="s">
        <v>1621</v>
      </c>
      <c r="O324" s="6">
        <v>1</v>
      </c>
    </row>
    <row r="325" spans="1:15" ht="30" customHeight="1" x14ac:dyDescent="0.2">
      <c r="A325" s="6">
        <v>324</v>
      </c>
      <c r="B325" s="6" t="s">
        <v>561</v>
      </c>
      <c r="C325" s="6" t="s">
        <v>566</v>
      </c>
      <c r="D325" s="6" t="s">
        <v>2164</v>
      </c>
      <c r="E325" s="8">
        <v>105682</v>
      </c>
      <c r="F325" s="6"/>
      <c r="G325" s="9">
        <v>-5.0651264190673828</v>
      </c>
      <c r="H325" s="9">
        <v>51.73739400300515</v>
      </c>
      <c r="I325" s="6"/>
      <c r="J325" s="6"/>
      <c r="K325" s="6" t="s">
        <v>56</v>
      </c>
      <c r="L325" s="6" t="s">
        <v>1620</v>
      </c>
      <c r="M325" s="10">
        <v>0</v>
      </c>
      <c r="N325" s="6" t="s">
        <v>1621</v>
      </c>
      <c r="O325" s="6">
        <v>1</v>
      </c>
    </row>
    <row r="326" spans="1:15" ht="30" customHeight="1" x14ac:dyDescent="0.2">
      <c r="A326" s="6">
        <v>325</v>
      </c>
      <c r="B326" s="6" t="s">
        <v>555</v>
      </c>
      <c r="C326" s="6" t="s">
        <v>560</v>
      </c>
      <c r="D326" s="6" t="s">
        <v>2165</v>
      </c>
      <c r="E326" s="8">
        <v>71000</v>
      </c>
      <c r="F326" s="6"/>
      <c r="G326" s="9">
        <v>-8.2460975646972656</v>
      </c>
      <c r="H326" s="9">
        <v>51.818325200329902</v>
      </c>
      <c r="I326" s="6"/>
      <c r="J326" s="6" t="s">
        <v>2166</v>
      </c>
      <c r="K326" s="6" t="s">
        <v>56</v>
      </c>
      <c r="L326" s="6" t="s">
        <v>1629</v>
      </c>
      <c r="M326" s="10">
        <v>0.245</v>
      </c>
      <c r="N326" s="6" t="s">
        <v>1621</v>
      </c>
      <c r="O326" s="6">
        <v>1</v>
      </c>
    </row>
    <row r="327" spans="1:15" ht="30" customHeight="1" x14ac:dyDescent="0.2">
      <c r="A327" s="6">
        <v>326</v>
      </c>
      <c r="B327" s="6" t="s">
        <v>561</v>
      </c>
      <c r="C327" s="6" t="s">
        <v>566</v>
      </c>
      <c r="D327" s="6" t="s">
        <v>2167</v>
      </c>
      <c r="E327" s="8">
        <v>12000</v>
      </c>
      <c r="F327" s="6"/>
      <c r="G327" s="9">
        <v>-2.9457950592041016</v>
      </c>
      <c r="H327" s="9">
        <v>56.465430408699362</v>
      </c>
      <c r="I327" s="6"/>
      <c r="J327" s="6" t="s">
        <v>2145</v>
      </c>
      <c r="K327" s="6" t="s">
        <v>56</v>
      </c>
      <c r="L327" s="6" t="s">
        <v>1620</v>
      </c>
      <c r="M327" s="10">
        <v>0</v>
      </c>
      <c r="N327" s="6" t="s">
        <v>1621</v>
      </c>
      <c r="O327" s="6">
        <v>1</v>
      </c>
    </row>
    <row r="328" spans="1:15" ht="30" customHeight="1" x14ac:dyDescent="0.2">
      <c r="A328" s="6">
        <v>327</v>
      </c>
      <c r="B328" s="6" t="s">
        <v>561</v>
      </c>
      <c r="C328" s="6" t="s">
        <v>566</v>
      </c>
      <c r="D328" s="6" t="s">
        <v>2168</v>
      </c>
      <c r="E328" s="8">
        <v>205000</v>
      </c>
      <c r="F328" s="6"/>
      <c r="G328" s="9">
        <v>-3.6849689483642578</v>
      </c>
      <c r="H328" s="9">
        <v>56.016759788137513</v>
      </c>
      <c r="I328" s="6" t="s">
        <v>2063</v>
      </c>
      <c r="J328" s="6" t="s">
        <v>2169</v>
      </c>
      <c r="K328" s="6" t="s">
        <v>56</v>
      </c>
      <c r="L328" s="6" t="s">
        <v>1620</v>
      </c>
      <c r="M328" s="10">
        <v>0</v>
      </c>
      <c r="N328" s="6" t="s">
        <v>1621</v>
      </c>
      <c r="O328" s="6">
        <v>1</v>
      </c>
    </row>
    <row r="329" spans="1:15" ht="30" customHeight="1" x14ac:dyDescent="0.2">
      <c r="A329" s="6">
        <v>328</v>
      </c>
      <c r="B329" s="6" t="s">
        <v>561</v>
      </c>
      <c r="C329" s="6" t="s">
        <v>566</v>
      </c>
      <c r="D329" s="6" t="s">
        <v>2170</v>
      </c>
      <c r="E329" s="8">
        <v>210000</v>
      </c>
      <c r="F329" s="6"/>
      <c r="G329" s="9">
        <v>-5.0271034240722656</v>
      </c>
      <c r="H329" s="9">
        <v>51.685700635260027</v>
      </c>
      <c r="I329" s="6" t="s">
        <v>1929</v>
      </c>
      <c r="J329" s="6" t="s">
        <v>2171</v>
      </c>
      <c r="K329" s="6" t="s">
        <v>56</v>
      </c>
      <c r="L329" s="6" t="s">
        <v>1620</v>
      </c>
      <c r="M329" s="10">
        <v>0</v>
      </c>
      <c r="N329" s="6" t="s">
        <v>1621</v>
      </c>
      <c r="O329" s="6">
        <v>1</v>
      </c>
    </row>
    <row r="330" spans="1:15" ht="30" customHeight="1" x14ac:dyDescent="0.2">
      <c r="A330" s="6">
        <v>329</v>
      </c>
      <c r="B330" s="6" t="s">
        <v>285</v>
      </c>
      <c r="C330" s="6" t="s">
        <v>291</v>
      </c>
      <c r="D330" s="6" t="s">
        <v>2172</v>
      </c>
      <c r="E330" s="8">
        <v>88000</v>
      </c>
      <c r="F330" s="6"/>
      <c r="G330" s="9">
        <v>28.537073135375977</v>
      </c>
      <c r="H330" s="9">
        <v>55.495582463809292</v>
      </c>
      <c r="I330" s="6" t="s">
        <v>1639</v>
      </c>
      <c r="J330" s="6" t="s">
        <v>2173</v>
      </c>
      <c r="K330" s="6" t="s">
        <v>56</v>
      </c>
      <c r="L330" s="6" t="s">
        <v>1620</v>
      </c>
      <c r="M330" s="10">
        <v>0</v>
      </c>
      <c r="N330" s="6" t="s">
        <v>1621</v>
      </c>
      <c r="O330" s="6">
        <v>1</v>
      </c>
    </row>
    <row r="331" spans="1:15" ht="30" customHeight="1" x14ac:dyDescent="0.2">
      <c r="A331" s="6">
        <v>330</v>
      </c>
      <c r="B331" s="6" t="s">
        <v>619</v>
      </c>
      <c r="C331" s="6" t="s">
        <v>625</v>
      </c>
      <c r="D331" s="6" t="s">
        <v>2174</v>
      </c>
      <c r="E331" s="8">
        <v>175000</v>
      </c>
      <c r="F331" s="6"/>
      <c r="G331" s="9">
        <v>16.499662399291992</v>
      </c>
      <c r="H331" s="9">
        <v>48.144441561839884</v>
      </c>
      <c r="I331" s="6"/>
      <c r="J331" s="6" t="s">
        <v>2097</v>
      </c>
      <c r="K331" s="6" t="s">
        <v>56</v>
      </c>
      <c r="L331" s="6" t="s">
        <v>1620</v>
      </c>
      <c r="M331" s="10">
        <v>0</v>
      </c>
      <c r="N331" s="6" t="s">
        <v>1621</v>
      </c>
      <c r="O331" s="6">
        <v>1</v>
      </c>
    </row>
    <row r="332" spans="1:15" ht="30" customHeight="1" x14ac:dyDescent="0.2">
      <c r="A332" s="6">
        <v>331</v>
      </c>
      <c r="B332" s="6" t="s">
        <v>285</v>
      </c>
      <c r="C332" s="6" t="s">
        <v>291</v>
      </c>
      <c r="D332" s="6" t="s">
        <v>2175</v>
      </c>
      <c r="E332" s="8">
        <v>95000</v>
      </c>
      <c r="F332" s="6"/>
      <c r="G332" s="9">
        <v>29.321908950805664</v>
      </c>
      <c r="H332" s="9">
        <v>51.891325253349393</v>
      </c>
      <c r="I332" s="6" t="s">
        <v>2176</v>
      </c>
      <c r="J332" s="6" t="s">
        <v>2177</v>
      </c>
      <c r="K332" s="6" t="s">
        <v>56</v>
      </c>
      <c r="L332" s="6" t="s">
        <v>1620</v>
      </c>
      <c r="M332" s="10">
        <v>0</v>
      </c>
      <c r="N332" s="6" t="s">
        <v>1621</v>
      </c>
      <c r="O332" s="6">
        <v>1</v>
      </c>
    </row>
    <row r="333" spans="1:15" ht="30" customHeight="1" x14ac:dyDescent="0.2">
      <c r="A333" s="6">
        <v>332</v>
      </c>
      <c r="B333" s="6" t="s">
        <v>374</v>
      </c>
      <c r="C333" s="6" t="s">
        <v>380</v>
      </c>
      <c r="D333" s="6" t="s">
        <v>2178</v>
      </c>
      <c r="E333" s="8">
        <v>55000</v>
      </c>
      <c r="F333" s="6"/>
      <c r="G333" s="9">
        <v>14.326858520507813</v>
      </c>
      <c r="H333" s="9">
        <v>50.257687109792819</v>
      </c>
      <c r="I333" s="6" t="s">
        <v>1639</v>
      </c>
      <c r="J333" s="6" t="s">
        <v>2179</v>
      </c>
      <c r="K333" s="6" t="s">
        <v>56</v>
      </c>
      <c r="L333" s="6" t="s">
        <v>1620</v>
      </c>
      <c r="M333" s="10">
        <v>0</v>
      </c>
      <c r="N333" s="6" t="s">
        <v>1621</v>
      </c>
      <c r="O333" s="6">
        <v>1</v>
      </c>
    </row>
    <row r="334" spans="1:15" ht="30" customHeight="1" x14ac:dyDescent="0.2">
      <c r="A334" s="6">
        <v>333</v>
      </c>
      <c r="B334" s="6" t="s">
        <v>374</v>
      </c>
      <c r="C334" s="6" t="s">
        <v>380</v>
      </c>
      <c r="D334" s="6" t="s">
        <v>2180</v>
      </c>
      <c r="E334" s="8">
        <v>120000</v>
      </c>
      <c r="F334" s="6"/>
      <c r="G334" s="9">
        <v>13.61231803894043</v>
      </c>
      <c r="H334" s="9">
        <v>50.563231322361666</v>
      </c>
      <c r="I334" s="6" t="s">
        <v>1639</v>
      </c>
      <c r="J334" s="6" t="s">
        <v>2179</v>
      </c>
      <c r="K334" s="6" t="s">
        <v>56</v>
      </c>
      <c r="L334" s="6" t="s">
        <v>1620</v>
      </c>
      <c r="M334" s="10">
        <v>0</v>
      </c>
      <c r="N334" s="6" t="s">
        <v>1621</v>
      </c>
      <c r="O334" s="6">
        <v>1</v>
      </c>
    </row>
    <row r="335" spans="1:15" ht="30" customHeight="1" x14ac:dyDescent="0.2">
      <c r="A335" s="6">
        <v>334</v>
      </c>
      <c r="B335" s="6" t="s">
        <v>374</v>
      </c>
      <c r="C335" s="6" t="s">
        <v>380</v>
      </c>
      <c r="D335" s="6" t="s">
        <v>2181</v>
      </c>
      <c r="E335" s="8"/>
      <c r="F335" s="6"/>
      <c r="G335" s="9">
        <v>15.200357437133789</v>
      </c>
      <c r="H335" s="9">
        <v>50.025332478474624</v>
      </c>
      <c r="I335" s="6" t="s">
        <v>1639</v>
      </c>
      <c r="J335" s="6" t="s">
        <v>2182</v>
      </c>
      <c r="K335" s="6" t="s">
        <v>56</v>
      </c>
      <c r="L335" s="6" t="s">
        <v>1620</v>
      </c>
      <c r="M335" s="10">
        <v>0</v>
      </c>
      <c r="N335" s="6" t="s">
        <v>1621</v>
      </c>
      <c r="O335" s="6">
        <v>0</v>
      </c>
    </row>
    <row r="336" spans="1:15" ht="30" customHeight="1" x14ac:dyDescent="0.2">
      <c r="A336" s="6">
        <v>335</v>
      </c>
      <c r="B336" s="6" t="s">
        <v>374</v>
      </c>
      <c r="C336" s="6" t="s">
        <v>380</v>
      </c>
      <c r="D336" s="6" t="s">
        <v>2183</v>
      </c>
      <c r="E336" s="8">
        <v>15000</v>
      </c>
      <c r="F336" s="6"/>
      <c r="G336" s="9">
        <v>15.746841430664063</v>
      </c>
      <c r="H336" s="9">
        <v>50.028420321544111</v>
      </c>
      <c r="I336" s="6" t="s">
        <v>1639</v>
      </c>
      <c r="J336" s="6" t="s">
        <v>2182</v>
      </c>
      <c r="K336" s="6" t="s">
        <v>56</v>
      </c>
      <c r="L336" s="6" t="s">
        <v>1620</v>
      </c>
      <c r="M336" s="10">
        <v>0</v>
      </c>
      <c r="N336" s="6" t="s">
        <v>1621</v>
      </c>
      <c r="O336" s="6">
        <v>1</v>
      </c>
    </row>
    <row r="337" spans="1:15" ht="30" customHeight="1" x14ac:dyDescent="0.2">
      <c r="A337" s="6">
        <v>336</v>
      </c>
      <c r="B337" s="6" t="s">
        <v>537</v>
      </c>
      <c r="C337" s="6" t="s">
        <v>542</v>
      </c>
      <c r="D337" s="6" t="s">
        <v>2184</v>
      </c>
      <c r="E337" s="8">
        <v>161000</v>
      </c>
      <c r="F337" s="6"/>
      <c r="G337" s="9">
        <v>18.898029327392578</v>
      </c>
      <c r="H337" s="9">
        <v>47.286449001963533</v>
      </c>
      <c r="I337" s="6"/>
      <c r="J337" s="6" t="s">
        <v>2185</v>
      </c>
      <c r="K337" s="6" t="s">
        <v>56</v>
      </c>
      <c r="L337" s="6" t="s">
        <v>1620</v>
      </c>
      <c r="M337" s="10">
        <v>0</v>
      </c>
      <c r="N337" s="6" t="s">
        <v>1621</v>
      </c>
      <c r="O337" s="6">
        <v>1</v>
      </c>
    </row>
    <row r="338" spans="1:15" ht="30" customHeight="1" x14ac:dyDescent="0.2">
      <c r="A338" s="6">
        <v>337</v>
      </c>
      <c r="B338" s="6" t="s">
        <v>537</v>
      </c>
      <c r="C338" s="6" t="s">
        <v>542</v>
      </c>
      <c r="D338" s="6" t="s">
        <v>2186</v>
      </c>
      <c r="E338" s="8"/>
      <c r="F338" s="6"/>
      <c r="G338" s="9">
        <v>21.031866073608398</v>
      </c>
      <c r="H338" s="9">
        <v>47.891945686175333</v>
      </c>
      <c r="I338" s="6"/>
      <c r="J338" s="6" t="s">
        <v>2185</v>
      </c>
      <c r="K338" s="6" t="s">
        <v>56</v>
      </c>
      <c r="L338" s="6" t="s">
        <v>1620</v>
      </c>
      <c r="M338" s="10">
        <v>0</v>
      </c>
      <c r="N338" s="6" t="s">
        <v>1621</v>
      </c>
      <c r="O338" s="6">
        <v>0</v>
      </c>
    </row>
    <row r="339" spans="1:15" ht="30" customHeight="1" x14ac:dyDescent="0.2">
      <c r="A339" s="6">
        <v>338</v>
      </c>
      <c r="B339" s="6" t="s">
        <v>342</v>
      </c>
      <c r="C339" s="6" t="s">
        <v>348</v>
      </c>
      <c r="D339" s="6" t="s">
        <v>2187</v>
      </c>
      <c r="E339" s="8">
        <v>263000</v>
      </c>
      <c r="F339" s="6"/>
      <c r="G339" s="9">
        <v>21.105937957763672</v>
      </c>
      <c r="H339" s="9">
        <v>56.060200771605608</v>
      </c>
      <c r="I339" s="6" t="s">
        <v>2188</v>
      </c>
      <c r="J339" s="6" t="s">
        <v>2189</v>
      </c>
      <c r="K339" s="6" t="s">
        <v>56</v>
      </c>
      <c r="L339" s="6" t="s">
        <v>1620</v>
      </c>
      <c r="M339" s="10">
        <v>0</v>
      </c>
      <c r="N339" s="6" t="s">
        <v>1621</v>
      </c>
      <c r="O339" s="6">
        <v>1</v>
      </c>
    </row>
    <row r="340" spans="1:15" ht="30" customHeight="1" x14ac:dyDescent="0.2">
      <c r="A340" s="6">
        <v>339</v>
      </c>
      <c r="B340" s="6" t="s">
        <v>549</v>
      </c>
      <c r="C340" s="6" t="s">
        <v>554</v>
      </c>
      <c r="D340" s="6" t="s">
        <v>2190</v>
      </c>
      <c r="E340" s="8"/>
      <c r="F340" s="6"/>
      <c r="G340" s="9">
        <v>21.469945907592773</v>
      </c>
      <c r="H340" s="9">
        <v>49.746169539227189</v>
      </c>
      <c r="I340" s="6" t="s">
        <v>1639</v>
      </c>
      <c r="J340" s="6" t="s">
        <v>2191</v>
      </c>
      <c r="K340" s="6" t="s">
        <v>56</v>
      </c>
      <c r="L340" s="6" t="s">
        <v>1620</v>
      </c>
      <c r="M340" s="10">
        <v>0</v>
      </c>
      <c r="N340" s="6" t="s">
        <v>1621</v>
      </c>
      <c r="O340" s="6">
        <v>0</v>
      </c>
    </row>
    <row r="341" spans="1:15" ht="30" customHeight="1" x14ac:dyDescent="0.2">
      <c r="A341" s="6">
        <v>340</v>
      </c>
      <c r="B341" s="6" t="s">
        <v>549</v>
      </c>
      <c r="C341" s="6" t="s">
        <v>554</v>
      </c>
      <c r="D341" s="6" t="s">
        <v>2192</v>
      </c>
      <c r="E341" s="8"/>
      <c r="F341" s="6"/>
      <c r="G341" s="9">
        <v>21.158123016357422</v>
      </c>
      <c r="H341" s="9">
        <v>49.655127154450064</v>
      </c>
      <c r="I341" s="6" t="s">
        <v>1639</v>
      </c>
      <c r="J341" s="6" t="s">
        <v>2191</v>
      </c>
      <c r="K341" s="6" t="s">
        <v>56</v>
      </c>
      <c r="L341" s="6" t="s">
        <v>1620</v>
      </c>
      <c r="M341" s="10">
        <v>0</v>
      </c>
      <c r="N341" s="6" t="s">
        <v>1621</v>
      </c>
      <c r="O341" s="6">
        <v>0</v>
      </c>
    </row>
    <row r="342" spans="1:15" ht="30" customHeight="1" x14ac:dyDescent="0.2">
      <c r="A342" s="6">
        <v>341</v>
      </c>
      <c r="B342" s="6" t="s">
        <v>549</v>
      </c>
      <c r="C342" s="6" t="s">
        <v>554</v>
      </c>
      <c r="D342" s="6" t="s">
        <v>2193</v>
      </c>
      <c r="E342" s="8">
        <v>120000</v>
      </c>
      <c r="F342" s="6"/>
      <c r="G342" s="9">
        <v>18.735380172729492</v>
      </c>
      <c r="H342" s="9">
        <v>54.348352668747559</v>
      </c>
      <c r="I342" s="6" t="s">
        <v>1639</v>
      </c>
      <c r="J342" s="6" t="s">
        <v>2191</v>
      </c>
      <c r="K342" s="6" t="s">
        <v>56</v>
      </c>
      <c r="L342" s="6" t="s">
        <v>1620</v>
      </c>
      <c r="M342" s="10">
        <v>0</v>
      </c>
      <c r="N342" s="6" t="s">
        <v>1621</v>
      </c>
      <c r="O342" s="6">
        <v>1</v>
      </c>
    </row>
    <row r="343" spans="1:15" ht="30" customHeight="1" x14ac:dyDescent="0.2">
      <c r="A343" s="6">
        <v>342</v>
      </c>
      <c r="B343" s="6" t="s">
        <v>549</v>
      </c>
      <c r="C343" s="6" t="s">
        <v>554</v>
      </c>
      <c r="D343" s="6" t="s">
        <v>2194</v>
      </c>
      <c r="E343" s="8">
        <v>376500</v>
      </c>
      <c r="F343" s="6"/>
      <c r="G343" s="9">
        <v>19.44828987121582</v>
      </c>
      <c r="H343" s="9">
        <v>50.159855114755381</v>
      </c>
      <c r="I343" s="6" t="s">
        <v>1639</v>
      </c>
      <c r="J343" s="6" t="s">
        <v>2191</v>
      </c>
      <c r="K343" s="6" t="s">
        <v>56</v>
      </c>
      <c r="L343" s="6" t="s">
        <v>1620</v>
      </c>
      <c r="M343" s="10">
        <v>0</v>
      </c>
      <c r="N343" s="6" t="s">
        <v>1621</v>
      </c>
      <c r="O343" s="6">
        <v>1</v>
      </c>
    </row>
    <row r="344" spans="1:15" ht="30" customHeight="1" x14ac:dyDescent="0.2">
      <c r="A344" s="6">
        <v>343</v>
      </c>
      <c r="B344" s="6" t="s">
        <v>530</v>
      </c>
      <c r="C344" s="6" t="s">
        <v>536</v>
      </c>
      <c r="D344" s="6" t="s">
        <v>2195</v>
      </c>
      <c r="E344" s="8">
        <v>25000</v>
      </c>
      <c r="F344" s="6"/>
      <c r="G344" s="9">
        <v>26.444435119628906</v>
      </c>
      <c r="H344" s="9">
        <v>46.360019865671198</v>
      </c>
      <c r="I344" s="6"/>
      <c r="J344" s="6" t="s">
        <v>2196</v>
      </c>
      <c r="K344" s="6" t="s">
        <v>56</v>
      </c>
      <c r="L344" s="6" t="s">
        <v>1620</v>
      </c>
      <c r="M344" s="10">
        <v>0</v>
      </c>
      <c r="N344" s="6" t="s">
        <v>1621</v>
      </c>
      <c r="O344" s="6">
        <v>1</v>
      </c>
    </row>
    <row r="345" spans="1:15" ht="30" customHeight="1" x14ac:dyDescent="0.2">
      <c r="A345" s="6">
        <v>344</v>
      </c>
      <c r="B345" s="6" t="s">
        <v>530</v>
      </c>
      <c r="C345" s="6" t="s">
        <v>536</v>
      </c>
      <c r="D345" s="6" t="s">
        <v>2197</v>
      </c>
      <c r="E345" s="8">
        <v>20000</v>
      </c>
      <c r="F345" s="6"/>
      <c r="G345" s="9">
        <v>26.069784164428711</v>
      </c>
      <c r="H345" s="9">
        <v>44.94609042947274</v>
      </c>
      <c r="I345" s="6"/>
      <c r="J345" s="6" t="s">
        <v>2198</v>
      </c>
      <c r="K345" s="6" t="s">
        <v>56</v>
      </c>
      <c r="L345" s="6" t="s">
        <v>1620</v>
      </c>
      <c r="M345" s="10">
        <v>0</v>
      </c>
      <c r="N345" s="6" t="s">
        <v>1621</v>
      </c>
      <c r="O345" s="6">
        <v>1</v>
      </c>
    </row>
    <row r="346" spans="1:15" ht="30" customHeight="1" x14ac:dyDescent="0.2">
      <c r="A346" s="6">
        <v>345</v>
      </c>
      <c r="B346" s="6" t="s">
        <v>530</v>
      </c>
      <c r="C346" s="6" t="s">
        <v>536</v>
      </c>
      <c r="D346" s="6" t="s">
        <v>2199</v>
      </c>
      <c r="E346" s="8">
        <v>15000</v>
      </c>
      <c r="F346" s="6"/>
      <c r="G346" s="9">
        <v>22.537250518798828</v>
      </c>
      <c r="H346" s="9">
        <v>47.250280889493659</v>
      </c>
      <c r="I346" s="6" t="s">
        <v>2200</v>
      </c>
      <c r="J346" s="6"/>
      <c r="K346" s="6" t="s">
        <v>56</v>
      </c>
      <c r="L346" s="6" t="s">
        <v>1620</v>
      </c>
      <c r="M346" s="10">
        <v>0</v>
      </c>
      <c r="N346" s="6" t="s">
        <v>1621</v>
      </c>
      <c r="O346" s="6">
        <v>1</v>
      </c>
    </row>
    <row r="347" spans="1:15" ht="30" customHeight="1" x14ac:dyDescent="0.2">
      <c r="A347" s="6">
        <v>346</v>
      </c>
      <c r="B347" s="6" t="s">
        <v>530</v>
      </c>
      <c r="C347" s="6" t="s">
        <v>536</v>
      </c>
      <c r="D347" s="6" t="s">
        <v>2201</v>
      </c>
      <c r="E347" s="8">
        <v>68000</v>
      </c>
      <c r="F347" s="6"/>
      <c r="G347" s="9">
        <v>26.086263656616211</v>
      </c>
      <c r="H347" s="9">
        <v>44.946272674802096</v>
      </c>
      <c r="I347" s="6"/>
      <c r="J347" s="6" t="s">
        <v>2202</v>
      </c>
      <c r="K347" s="6" t="s">
        <v>56</v>
      </c>
      <c r="L347" s="6" t="s">
        <v>1620</v>
      </c>
      <c r="M347" s="10">
        <v>0</v>
      </c>
      <c r="N347" s="6" t="s">
        <v>1621</v>
      </c>
      <c r="O347" s="6">
        <v>1</v>
      </c>
    </row>
    <row r="348" spans="1:15" ht="30" customHeight="1" x14ac:dyDescent="0.2">
      <c r="A348" s="6">
        <v>347</v>
      </c>
      <c r="B348" s="6" t="s">
        <v>530</v>
      </c>
      <c r="C348" s="6" t="s">
        <v>536</v>
      </c>
      <c r="D348" s="6" t="s">
        <v>2203</v>
      </c>
      <c r="E348" s="8">
        <v>70000</v>
      </c>
      <c r="F348" s="6"/>
      <c r="G348" s="9">
        <v>24.932699203491211</v>
      </c>
      <c r="H348" s="9">
        <v>44.798342576202828</v>
      </c>
      <c r="I348" s="6" t="s">
        <v>2090</v>
      </c>
      <c r="J348" s="6" t="s">
        <v>2204</v>
      </c>
      <c r="K348" s="6" t="s">
        <v>56</v>
      </c>
      <c r="L348" s="6" t="s">
        <v>1620</v>
      </c>
      <c r="M348" s="10">
        <v>0</v>
      </c>
      <c r="N348" s="6" t="s">
        <v>1621</v>
      </c>
      <c r="O348" s="6">
        <v>1</v>
      </c>
    </row>
    <row r="349" spans="1:15" ht="30" customHeight="1" x14ac:dyDescent="0.2">
      <c r="A349" s="6">
        <v>348</v>
      </c>
      <c r="B349" s="6" t="s">
        <v>530</v>
      </c>
      <c r="C349" s="6" t="s">
        <v>536</v>
      </c>
      <c r="D349" s="6" t="s">
        <v>2205</v>
      </c>
      <c r="E349" s="8">
        <v>90000</v>
      </c>
      <c r="F349" s="6"/>
      <c r="G349" s="9">
        <v>26.015968322753906</v>
      </c>
      <c r="H349" s="9">
        <v>44.87174688678865</v>
      </c>
      <c r="I349" s="6" t="s">
        <v>2090</v>
      </c>
      <c r="J349" s="6" t="s">
        <v>2204</v>
      </c>
      <c r="K349" s="6" t="s">
        <v>56</v>
      </c>
      <c r="L349" s="6" t="s">
        <v>1620</v>
      </c>
      <c r="M349" s="10">
        <v>0</v>
      </c>
      <c r="N349" s="6" t="s">
        <v>1621</v>
      </c>
      <c r="O349" s="6">
        <v>1</v>
      </c>
    </row>
    <row r="350" spans="1:15" ht="30" customHeight="1" x14ac:dyDescent="0.2">
      <c r="A350" s="6">
        <v>349</v>
      </c>
      <c r="B350" s="6" t="s">
        <v>530</v>
      </c>
      <c r="C350" s="6" t="s">
        <v>536</v>
      </c>
      <c r="D350" s="6" t="s">
        <v>2206</v>
      </c>
      <c r="E350" s="8">
        <v>70000</v>
      </c>
      <c r="F350" s="6"/>
      <c r="G350" s="9">
        <v>26.764326095581055</v>
      </c>
      <c r="H350" s="9">
        <v>46.241186220809844</v>
      </c>
      <c r="I350" s="6" t="s">
        <v>1639</v>
      </c>
      <c r="J350" s="6" t="s">
        <v>2207</v>
      </c>
      <c r="K350" s="6" t="s">
        <v>56</v>
      </c>
      <c r="L350" s="6" t="s">
        <v>1620</v>
      </c>
      <c r="M350" s="10">
        <v>0</v>
      </c>
      <c r="N350" s="6" t="s">
        <v>1621</v>
      </c>
      <c r="O350" s="6">
        <v>1</v>
      </c>
    </row>
    <row r="351" spans="1:15" ht="30" customHeight="1" x14ac:dyDescent="0.2">
      <c r="A351" s="6">
        <v>350</v>
      </c>
      <c r="B351" s="6" t="s">
        <v>530</v>
      </c>
      <c r="C351" s="6" t="s">
        <v>536</v>
      </c>
      <c r="D351" s="6" t="s">
        <v>2208</v>
      </c>
      <c r="E351" s="8">
        <v>100000</v>
      </c>
      <c r="F351" s="6"/>
      <c r="G351" s="9">
        <v>28.654661178588867</v>
      </c>
      <c r="H351" s="9">
        <v>44.340301887355075</v>
      </c>
      <c r="I351" s="6"/>
      <c r="J351" s="6" t="s">
        <v>2209</v>
      </c>
      <c r="K351" s="6" t="s">
        <v>56</v>
      </c>
      <c r="L351" s="6" t="s">
        <v>1629</v>
      </c>
      <c r="M351" s="10">
        <v>0.159</v>
      </c>
      <c r="N351" s="6" t="s">
        <v>1621</v>
      </c>
      <c r="O351" s="6">
        <v>1</v>
      </c>
    </row>
    <row r="352" spans="1:15" ht="30" customHeight="1" x14ac:dyDescent="0.2">
      <c r="A352" s="6">
        <v>351</v>
      </c>
      <c r="B352" s="6" t="s">
        <v>530</v>
      </c>
      <c r="C352" s="6" t="s">
        <v>536</v>
      </c>
      <c r="D352" s="6" t="s">
        <v>2210</v>
      </c>
      <c r="E352" s="8">
        <v>20000</v>
      </c>
      <c r="F352" s="6"/>
      <c r="G352" s="9">
        <v>26.025152206420898</v>
      </c>
      <c r="H352" s="9">
        <v>44.961882876810925</v>
      </c>
      <c r="I352" s="6" t="s">
        <v>2211</v>
      </c>
      <c r="J352" s="6" t="s">
        <v>2212</v>
      </c>
      <c r="K352" s="6" t="s">
        <v>56</v>
      </c>
      <c r="L352" s="6" t="s">
        <v>1620</v>
      </c>
      <c r="M352" s="10">
        <v>0</v>
      </c>
      <c r="N352" s="6" t="s">
        <v>1621</v>
      </c>
      <c r="O352" s="6">
        <v>1</v>
      </c>
    </row>
    <row r="353" spans="1:15" ht="30" customHeight="1" x14ac:dyDescent="0.2">
      <c r="A353" s="6">
        <v>352</v>
      </c>
      <c r="B353" s="6" t="s">
        <v>530</v>
      </c>
      <c r="C353" s="6" t="s">
        <v>536</v>
      </c>
      <c r="D353" s="6" t="s">
        <v>2213</v>
      </c>
      <c r="E353" s="8">
        <v>15000</v>
      </c>
      <c r="F353" s="6"/>
      <c r="G353" s="9">
        <v>26.039400100708008</v>
      </c>
      <c r="H353" s="9">
        <v>45.182036837015879</v>
      </c>
      <c r="I353" s="6" t="s">
        <v>1639</v>
      </c>
      <c r="J353" s="6" t="s">
        <v>2214</v>
      </c>
      <c r="K353" s="6" t="s">
        <v>56</v>
      </c>
      <c r="L353" s="6" t="s">
        <v>1620</v>
      </c>
      <c r="M353" s="10">
        <v>0</v>
      </c>
      <c r="N353" s="6" t="s">
        <v>1621</v>
      </c>
      <c r="O353" s="6">
        <v>1</v>
      </c>
    </row>
    <row r="354" spans="1:15" ht="30" customHeight="1" x14ac:dyDescent="0.2">
      <c r="A354" s="6">
        <v>353</v>
      </c>
      <c r="B354" s="6" t="s">
        <v>368</v>
      </c>
      <c r="C354" s="6" t="s">
        <v>373</v>
      </c>
      <c r="D354" s="6" t="s">
        <v>2215</v>
      </c>
      <c r="E354" s="8">
        <v>213000</v>
      </c>
      <c r="F354" s="6"/>
      <c r="G354" s="9">
        <v>37.80644416809082</v>
      </c>
      <c r="H354" s="9">
        <v>55.651829496697779</v>
      </c>
      <c r="I354" s="6" t="s">
        <v>1639</v>
      </c>
      <c r="J354" s="6" t="s">
        <v>2216</v>
      </c>
      <c r="K354" s="6" t="s">
        <v>56</v>
      </c>
      <c r="L354" s="6" t="s">
        <v>1620</v>
      </c>
      <c r="M354" s="10">
        <v>0</v>
      </c>
      <c r="N354" s="6" t="s">
        <v>1621</v>
      </c>
      <c r="O354" s="6">
        <v>1</v>
      </c>
    </row>
    <row r="355" spans="1:15" ht="30" customHeight="1" x14ac:dyDescent="0.2">
      <c r="A355" s="6">
        <v>354</v>
      </c>
      <c r="B355" s="6" t="s">
        <v>368</v>
      </c>
      <c r="C355" s="6" t="s">
        <v>373</v>
      </c>
      <c r="D355" s="6" t="s">
        <v>2217</v>
      </c>
      <c r="E355" s="8">
        <v>2000</v>
      </c>
      <c r="F355" s="6"/>
      <c r="G355" s="9">
        <v>38.360996246337891</v>
      </c>
      <c r="H355" s="9">
        <v>55.995980984717974</v>
      </c>
      <c r="I355" s="6"/>
      <c r="J355" s="6" t="s">
        <v>2218</v>
      </c>
      <c r="K355" s="6" t="s">
        <v>56</v>
      </c>
      <c r="L355" s="6" t="s">
        <v>1620</v>
      </c>
      <c r="M355" s="10">
        <v>0</v>
      </c>
      <c r="N355" s="6" t="s">
        <v>1621</v>
      </c>
      <c r="O355" s="6">
        <v>1</v>
      </c>
    </row>
    <row r="356" spans="1:15" ht="30" customHeight="1" x14ac:dyDescent="0.2">
      <c r="A356" s="6">
        <v>355</v>
      </c>
      <c r="B356" s="6" t="s">
        <v>368</v>
      </c>
      <c r="C356" s="6" t="s">
        <v>373</v>
      </c>
      <c r="D356" s="6" t="s">
        <v>2219</v>
      </c>
      <c r="E356" s="8">
        <v>292000</v>
      </c>
      <c r="F356" s="6"/>
      <c r="G356" s="9">
        <v>44.142723083496094</v>
      </c>
      <c r="H356" s="9">
        <v>56.121921633636042</v>
      </c>
      <c r="I356" s="6" t="s">
        <v>2220</v>
      </c>
      <c r="J356" s="6" t="s">
        <v>2221</v>
      </c>
      <c r="K356" s="6" t="s">
        <v>56</v>
      </c>
      <c r="L356" s="6" t="s">
        <v>1620</v>
      </c>
      <c r="M356" s="10">
        <v>0</v>
      </c>
      <c r="N356" s="6" t="s">
        <v>1621</v>
      </c>
      <c r="O356" s="6">
        <v>1</v>
      </c>
    </row>
    <row r="357" spans="1:15" ht="30" customHeight="1" x14ac:dyDescent="0.2">
      <c r="A357" s="6">
        <v>356</v>
      </c>
      <c r="B357" s="6" t="s">
        <v>368</v>
      </c>
      <c r="C357" s="6" t="s">
        <v>373</v>
      </c>
      <c r="D357" s="6" t="s">
        <v>2222</v>
      </c>
      <c r="E357" s="8">
        <v>2000</v>
      </c>
      <c r="F357" s="6"/>
      <c r="G357" s="9">
        <v>37.865152359008789</v>
      </c>
      <c r="H357" s="9">
        <v>56.005100080379073</v>
      </c>
      <c r="I357" s="6" t="s">
        <v>2223</v>
      </c>
      <c r="J357" s="6" t="s">
        <v>2224</v>
      </c>
      <c r="K357" s="6" t="s">
        <v>56</v>
      </c>
      <c r="L357" s="6" t="s">
        <v>1620</v>
      </c>
      <c r="M357" s="10">
        <v>0</v>
      </c>
      <c r="N357" s="6" t="s">
        <v>1621</v>
      </c>
      <c r="O357" s="6">
        <v>1</v>
      </c>
    </row>
    <row r="358" spans="1:15" ht="30" customHeight="1" x14ac:dyDescent="0.2">
      <c r="A358" s="6">
        <v>357</v>
      </c>
      <c r="B358" s="6" t="s">
        <v>368</v>
      </c>
      <c r="C358" s="6" t="s">
        <v>373</v>
      </c>
      <c r="D358" s="6" t="s">
        <v>2225</v>
      </c>
      <c r="E358" s="8">
        <v>132000</v>
      </c>
      <c r="F358" s="6"/>
      <c r="G358" s="9">
        <v>39.785099029541016</v>
      </c>
      <c r="H358" s="9">
        <v>57.557516623134894</v>
      </c>
      <c r="I358" s="6"/>
      <c r="J358" s="6" t="s">
        <v>2226</v>
      </c>
      <c r="K358" s="6" t="s">
        <v>56</v>
      </c>
      <c r="L358" s="6" t="s">
        <v>1620</v>
      </c>
      <c r="M358" s="10">
        <v>0</v>
      </c>
      <c r="N358" s="6" t="s">
        <v>1621</v>
      </c>
      <c r="O358" s="6">
        <v>1</v>
      </c>
    </row>
    <row r="359" spans="1:15" ht="30" customHeight="1" x14ac:dyDescent="0.2">
      <c r="A359" s="6">
        <v>358</v>
      </c>
      <c r="B359" s="6" t="s">
        <v>368</v>
      </c>
      <c r="C359" s="6" t="s">
        <v>373</v>
      </c>
      <c r="D359" s="6" t="s">
        <v>2227</v>
      </c>
      <c r="E359" s="8">
        <v>8700</v>
      </c>
      <c r="F359" s="6"/>
      <c r="G359" s="9">
        <v>39.865608215332031</v>
      </c>
      <c r="H359" s="9">
        <v>57.630101773894445</v>
      </c>
      <c r="I359" s="6" t="s">
        <v>1639</v>
      </c>
      <c r="J359" s="6" t="s">
        <v>2228</v>
      </c>
      <c r="K359" s="6" t="s">
        <v>56</v>
      </c>
      <c r="L359" s="6" t="s">
        <v>1620</v>
      </c>
      <c r="M359" s="10">
        <v>0</v>
      </c>
      <c r="N359" s="6" t="s">
        <v>1621</v>
      </c>
      <c r="O359" s="6">
        <v>1</v>
      </c>
    </row>
    <row r="360" spans="1:15" ht="30" customHeight="1" x14ac:dyDescent="0.2">
      <c r="A360" s="6">
        <v>359</v>
      </c>
      <c r="B360" s="6" t="s">
        <v>368</v>
      </c>
      <c r="C360" s="6" t="s">
        <v>373</v>
      </c>
      <c r="D360" s="6" t="s">
        <v>2229</v>
      </c>
      <c r="E360" s="8">
        <v>337000</v>
      </c>
      <c r="F360" s="6"/>
      <c r="G360" s="9">
        <v>32.070808410644531</v>
      </c>
      <c r="H360" s="9">
        <v>59.483624896524496</v>
      </c>
      <c r="I360" s="6"/>
      <c r="J360" s="6" t="s">
        <v>2230</v>
      </c>
      <c r="K360" s="6" t="s">
        <v>56</v>
      </c>
      <c r="L360" s="6" t="s">
        <v>1620</v>
      </c>
      <c r="M360" s="10">
        <v>0</v>
      </c>
      <c r="N360" s="6" t="s">
        <v>1621</v>
      </c>
      <c r="O360" s="6">
        <v>1</v>
      </c>
    </row>
    <row r="361" spans="1:15" ht="30" customHeight="1" x14ac:dyDescent="0.2">
      <c r="A361" s="6">
        <v>360</v>
      </c>
      <c r="B361" s="6" t="s">
        <v>368</v>
      </c>
      <c r="C361" s="6" t="s">
        <v>373</v>
      </c>
      <c r="D361" s="6" t="s">
        <v>2231</v>
      </c>
      <c r="E361" s="8">
        <v>253000</v>
      </c>
      <c r="F361" s="6"/>
      <c r="G361" s="9">
        <v>39.754629135131836</v>
      </c>
      <c r="H361" s="9">
        <v>54.562507727670905</v>
      </c>
      <c r="I361" s="6" t="s">
        <v>2232</v>
      </c>
      <c r="J361" s="6" t="s">
        <v>2233</v>
      </c>
      <c r="K361" s="6" t="s">
        <v>56</v>
      </c>
      <c r="L361" s="6" t="s">
        <v>1620</v>
      </c>
      <c r="M361" s="10">
        <v>0</v>
      </c>
      <c r="N361" s="6" t="s">
        <v>1621</v>
      </c>
      <c r="O361" s="6">
        <v>1</v>
      </c>
    </row>
    <row r="362" spans="1:15" ht="30" customHeight="1" x14ac:dyDescent="0.2">
      <c r="A362" s="6">
        <v>361</v>
      </c>
      <c r="B362" s="6" t="s">
        <v>368</v>
      </c>
      <c r="C362" s="6" t="s">
        <v>373</v>
      </c>
      <c r="D362" s="6" t="s">
        <v>2234</v>
      </c>
      <c r="E362" s="8">
        <v>380000</v>
      </c>
      <c r="F362" s="6"/>
      <c r="G362" s="9">
        <v>56.085290908813477</v>
      </c>
      <c r="H362" s="9">
        <v>54.861394200812747</v>
      </c>
      <c r="I362" s="6"/>
      <c r="J362" s="6" t="s">
        <v>2235</v>
      </c>
      <c r="K362" s="6" t="s">
        <v>56</v>
      </c>
      <c r="L362" s="6" t="s">
        <v>1620</v>
      </c>
      <c r="M362" s="10">
        <v>0</v>
      </c>
      <c r="N362" s="6" t="s">
        <v>1621</v>
      </c>
      <c r="O362" s="6">
        <v>1</v>
      </c>
    </row>
    <row r="363" spans="1:15" ht="30" customHeight="1" x14ac:dyDescent="0.2">
      <c r="A363" s="6">
        <v>362</v>
      </c>
      <c r="B363" s="6" t="s">
        <v>368</v>
      </c>
      <c r="C363" s="6" t="s">
        <v>373</v>
      </c>
      <c r="D363" s="6" t="s">
        <v>2236</v>
      </c>
      <c r="E363" s="8">
        <v>234962</v>
      </c>
      <c r="F363" s="6"/>
      <c r="G363" s="9">
        <v>56.106491088867188</v>
      </c>
      <c r="H363" s="9">
        <v>54.851315259686075</v>
      </c>
      <c r="I363" s="6"/>
      <c r="J363" s="6" t="s">
        <v>2235</v>
      </c>
      <c r="K363" s="6" t="s">
        <v>56</v>
      </c>
      <c r="L363" s="6" t="s">
        <v>1620</v>
      </c>
      <c r="M363" s="10">
        <v>0</v>
      </c>
      <c r="N363" s="6" t="s">
        <v>1621</v>
      </c>
      <c r="O363" s="6">
        <v>1</v>
      </c>
    </row>
    <row r="364" spans="1:15" ht="30" customHeight="1" x14ac:dyDescent="0.2">
      <c r="A364" s="6">
        <v>363</v>
      </c>
      <c r="B364" s="6" t="s">
        <v>368</v>
      </c>
      <c r="C364" s="6" t="s">
        <v>373</v>
      </c>
      <c r="D364" s="6" t="s">
        <v>2237</v>
      </c>
      <c r="E364" s="8">
        <v>250000</v>
      </c>
      <c r="F364" s="6"/>
      <c r="G364" s="9">
        <v>56.083917617797852</v>
      </c>
      <c r="H364" s="9">
        <v>54.880359493412406</v>
      </c>
      <c r="I364" s="6"/>
      <c r="J364" s="6" t="s">
        <v>2235</v>
      </c>
      <c r="K364" s="6" t="s">
        <v>56</v>
      </c>
      <c r="L364" s="6" t="s">
        <v>1620</v>
      </c>
      <c r="M364" s="10">
        <v>0</v>
      </c>
      <c r="N364" s="6" t="s">
        <v>1621</v>
      </c>
      <c r="O364" s="6">
        <v>1</v>
      </c>
    </row>
    <row r="365" spans="1:15" ht="30" customHeight="1" x14ac:dyDescent="0.2">
      <c r="A365" s="6">
        <v>364</v>
      </c>
      <c r="B365" s="6" t="s">
        <v>368</v>
      </c>
      <c r="C365" s="6" t="s">
        <v>373</v>
      </c>
      <c r="D365" s="6" t="s">
        <v>2238</v>
      </c>
      <c r="E365" s="8">
        <v>235000</v>
      </c>
      <c r="F365" s="6"/>
      <c r="G365" s="9">
        <v>56.151723861694336</v>
      </c>
      <c r="H365" s="9">
        <v>57.911063476307646</v>
      </c>
      <c r="I365" s="6" t="s">
        <v>2220</v>
      </c>
      <c r="J365" s="6" t="s">
        <v>2221</v>
      </c>
      <c r="K365" s="6" t="s">
        <v>56</v>
      </c>
      <c r="L365" s="6" t="s">
        <v>1620</v>
      </c>
      <c r="M365" s="10">
        <v>0</v>
      </c>
      <c r="N365" s="6" t="s">
        <v>1621</v>
      </c>
      <c r="O365" s="6">
        <v>1</v>
      </c>
    </row>
    <row r="366" spans="1:15" ht="30" customHeight="1" x14ac:dyDescent="0.2">
      <c r="A366" s="6">
        <v>365</v>
      </c>
      <c r="B366" s="6" t="s">
        <v>368</v>
      </c>
      <c r="C366" s="6" t="s">
        <v>373</v>
      </c>
      <c r="D366" s="6" t="s">
        <v>2239</v>
      </c>
      <c r="E366" s="8">
        <v>72000</v>
      </c>
      <c r="F366" s="6"/>
      <c r="G366" s="9">
        <v>53.818931579589844</v>
      </c>
      <c r="H366" s="9">
        <v>63.64042910341518</v>
      </c>
      <c r="I366" s="6" t="s">
        <v>2220</v>
      </c>
      <c r="J366" s="6" t="s">
        <v>2221</v>
      </c>
      <c r="K366" s="6" t="s">
        <v>56</v>
      </c>
      <c r="L366" s="6" t="s">
        <v>1620</v>
      </c>
      <c r="M366" s="10">
        <v>0</v>
      </c>
      <c r="N366" s="6" t="s">
        <v>1621</v>
      </c>
      <c r="O366" s="6">
        <v>1</v>
      </c>
    </row>
    <row r="367" spans="1:15" ht="30" customHeight="1" x14ac:dyDescent="0.2">
      <c r="A367" s="6">
        <v>366</v>
      </c>
      <c r="B367" s="6" t="s">
        <v>368</v>
      </c>
      <c r="C367" s="6" t="s">
        <v>373</v>
      </c>
      <c r="D367" s="6" t="s">
        <v>2240</v>
      </c>
      <c r="E367" s="8">
        <v>2000</v>
      </c>
      <c r="F367" s="6"/>
      <c r="G367" s="9">
        <v>47.885198593139648</v>
      </c>
      <c r="H367" s="9">
        <v>56.611475403562707</v>
      </c>
      <c r="I367" s="6" t="s">
        <v>1639</v>
      </c>
      <c r="J367" s="6" t="s">
        <v>2241</v>
      </c>
      <c r="K367" s="6" t="s">
        <v>56</v>
      </c>
      <c r="L367" s="6" t="s">
        <v>1620</v>
      </c>
      <c r="M367" s="10">
        <v>0</v>
      </c>
      <c r="N367" s="6" t="s">
        <v>1621</v>
      </c>
      <c r="O367" s="6">
        <v>1</v>
      </c>
    </row>
    <row r="368" spans="1:15" ht="30" customHeight="1" x14ac:dyDescent="0.2">
      <c r="A368" s="6">
        <v>367</v>
      </c>
      <c r="B368" s="6" t="s">
        <v>368</v>
      </c>
      <c r="C368" s="6" t="s">
        <v>373</v>
      </c>
      <c r="D368" s="6" t="s">
        <v>2242</v>
      </c>
      <c r="E368" s="8">
        <v>250000</v>
      </c>
      <c r="F368" s="6"/>
      <c r="G368" s="9">
        <v>55.890712738037109</v>
      </c>
      <c r="H368" s="9">
        <v>53.421553441864866</v>
      </c>
      <c r="I368" s="6"/>
      <c r="J368" s="6" t="s">
        <v>2241</v>
      </c>
      <c r="K368" s="6" t="s">
        <v>56</v>
      </c>
      <c r="L368" s="6" t="s">
        <v>1620</v>
      </c>
      <c r="M368" s="10">
        <v>0</v>
      </c>
      <c r="N368" s="6" t="s">
        <v>1621</v>
      </c>
      <c r="O368" s="6">
        <v>1</v>
      </c>
    </row>
    <row r="369" spans="1:15" ht="30" customHeight="1" x14ac:dyDescent="0.2">
      <c r="A369" s="6">
        <v>368</v>
      </c>
      <c r="B369" s="6" t="s">
        <v>368</v>
      </c>
      <c r="C369" s="6" t="s">
        <v>373</v>
      </c>
      <c r="D369" s="6" t="s">
        <v>2243</v>
      </c>
      <c r="E369" s="8">
        <v>8000</v>
      </c>
      <c r="F369" s="6"/>
      <c r="G369" s="9">
        <v>51.987390518188477</v>
      </c>
      <c r="H369" s="9">
        <v>54.895860940878684</v>
      </c>
      <c r="I369" s="6" t="s">
        <v>2244</v>
      </c>
      <c r="J369" s="6" t="s">
        <v>2245</v>
      </c>
      <c r="K369" s="6" t="s">
        <v>56</v>
      </c>
      <c r="L369" s="6" t="s">
        <v>1620</v>
      </c>
      <c r="M369" s="10">
        <v>0</v>
      </c>
      <c r="N369" s="6" t="s">
        <v>1621</v>
      </c>
      <c r="O369" s="6">
        <v>1</v>
      </c>
    </row>
    <row r="370" spans="1:15" ht="30" customHeight="1" x14ac:dyDescent="0.2">
      <c r="A370" s="6">
        <v>369</v>
      </c>
      <c r="B370" s="6" t="s">
        <v>368</v>
      </c>
      <c r="C370" s="6" t="s">
        <v>373</v>
      </c>
      <c r="D370" s="6" t="s">
        <v>2246</v>
      </c>
      <c r="E370" s="8">
        <v>120493</v>
      </c>
      <c r="F370" s="6"/>
      <c r="G370" s="9">
        <v>51.967735290527344</v>
      </c>
      <c r="H370" s="9">
        <v>55.599492939970268</v>
      </c>
      <c r="I370" s="6" t="s">
        <v>2244</v>
      </c>
      <c r="J370" s="6" t="s">
        <v>2247</v>
      </c>
      <c r="K370" s="6" t="s">
        <v>56</v>
      </c>
      <c r="L370" s="6" t="s">
        <v>1620</v>
      </c>
      <c r="M370" s="10">
        <v>0</v>
      </c>
      <c r="N370" s="6" t="s">
        <v>1621</v>
      </c>
      <c r="O370" s="6">
        <v>1</v>
      </c>
    </row>
    <row r="371" spans="1:15" ht="30" customHeight="1" x14ac:dyDescent="0.2">
      <c r="A371" s="6">
        <v>370</v>
      </c>
      <c r="B371" s="6" t="s">
        <v>368</v>
      </c>
      <c r="C371" s="6" t="s">
        <v>373</v>
      </c>
      <c r="D371" s="6" t="s">
        <v>2248</v>
      </c>
      <c r="E371" s="8">
        <v>159000</v>
      </c>
      <c r="F371" s="6"/>
      <c r="G371" s="9">
        <v>58.52665901184082</v>
      </c>
      <c r="H371" s="9">
        <v>51.259497861077961</v>
      </c>
      <c r="I371" s="6" t="s">
        <v>2232</v>
      </c>
      <c r="J371" s="6" t="s">
        <v>2233</v>
      </c>
      <c r="K371" s="6" t="s">
        <v>56</v>
      </c>
      <c r="L371" s="6" t="s">
        <v>1620</v>
      </c>
      <c r="M371" s="10">
        <v>0</v>
      </c>
      <c r="N371" s="6" t="s">
        <v>1621</v>
      </c>
      <c r="O371" s="6">
        <v>1</v>
      </c>
    </row>
    <row r="372" spans="1:15" ht="30" customHeight="1" x14ac:dyDescent="0.2">
      <c r="A372" s="6">
        <v>371</v>
      </c>
      <c r="B372" s="6" t="s">
        <v>368</v>
      </c>
      <c r="C372" s="6" t="s">
        <v>373</v>
      </c>
      <c r="D372" s="6" t="s">
        <v>2249</v>
      </c>
      <c r="E372" s="8">
        <v>1500</v>
      </c>
      <c r="F372" s="6"/>
      <c r="G372" s="9">
        <v>48.360786437988281</v>
      </c>
      <c r="H372" s="9">
        <v>54.310214485917321</v>
      </c>
      <c r="I372" s="6" t="s">
        <v>1639</v>
      </c>
      <c r="J372" s="6" t="s">
        <v>2250</v>
      </c>
      <c r="K372" s="6" t="s">
        <v>56</v>
      </c>
      <c r="L372" s="6" t="s">
        <v>1620</v>
      </c>
      <c r="M372" s="10">
        <v>0</v>
      </c>
      <c r="N372" s="6" t="s">
        <v>1621</v>
      </c>
      <c r="O372" s="6">
        <v>1</v>
      </c>
    </row>
    <row r="373" spans="1:15" ht="30" customHeight="1" x14ac:dyDescent="0.2">
      <c r="A373" s="6">
        <v>372</v>
      </c>
      <c r="B373" s="6" t="s">
        <v>368</v>
      </c>
      <c r="C373" s="6" t="s">
        <v>373</v>
      </c>
      <c r="D373" s="6" t="s">
        <v>2251</v>
      </c>
      <c r="E373" s="8">
        <v>191500</v>
      </c>
      <c r="F373" s="6"/>
      <c r="G373" s="9">
        <v>49.895696640014648</v>
      </c>
      <c r="H373" s="9">
        <v>53.100672412920957</v>
      </c>
      <c r="I373" s="6" t="s">
        <v>2252</v>
      </c>
      <c r="J373" s="6" t="s">
        <v>2224</v>
      </c>
      <c r="K373" s="6" t="s">
        <v>56</v>
      </c>
      <c r="L373" s="6" t="s">
        <v>1620</v>
      </c>
      <c r="M373" s="10">
        <v>0</v>
      </c>
      <c r="N373" s="6" t="s">
        <v>1621</v>
      </c>
      <c r="O373" s="6">
        <v>1</v>
      </c>
    </row>
    <row r="374" spans="1:15" ht="30" customHeight="1" x14ac:dyDescent="0.2">
      <c r="A374" s="6">
        <v>373</v>
      </c>
      <c r="B374" s="6" t="s">
        <v>368</v>
      </c>
      <c r="C374" s="6" t="s">
        <v>373</v>
      </c>
      <c r="D374" s="6" t="s">
        <v>2253</v>
      </c>
      <c r="E374" s="8">
        <v>213400</v>
      </c>
      <c r="F374" s="6"/>
      <c r="G374" s="9">
        <v>48.387823104858398</v>
      </c>
      <c r="H374" s="9">
        <v>53.089281962905098</v>
      </c>
      <c r="I374" s="6" t="s">
        <v>2252</v>
      </c>
      <c r="J374" s="6" t="s">
        <v>2224</v>
      </c>
      <c r="K374" s="6" t="s">
        <v>56</v>
      </c>
      <c r="L374" s="6" t="s">
        <v>1620</v>
      </c>
      <c r="M374" s="10">
        <v>0</v>
      </c>
      <c r="N374" s="6" t="s">
        <v>1621</v>
      </c>
      <c r="O374" s="6">
        <v>1</v>
      </c>
    </row>
    <row r="375" spans="1:15" ht="30" customHeight="1" x14ac:dyDescent="0.2">
      <c r="A375" s="6">
        <v>374</v>
      </c>
      <c r="B375" s="6" t="s">
        <v>368</v>
      </c>
      <c r="C375" s="6" t="s">
        <v>373</v>
      </c>
      <c r="D375" s="6" t="s">
        <v>2254</v>
      </c>
      <c r="E375" s="8">
        <v>114000</v>
      </c>
      <c r="F375" s="6"/>
      <c r="G375" s="9">
        <v>135.05175590515137</v>
      </c>
      <c r="H375" s="9">
        <v>48.501763150271103</v>
      </c>
      <c r="I375" s="6"/>
      <c r="J375" s="6" t="s">
        <v>2255</v>
      </c>
      <c r="K375" s="6" t="s">
        <v>56</v>
      </c>
      <c r="L375" s="6" t="s">
        <v>1620</v>
      </c>
      <c r="M375" s="10">
        <v>0</v>
      </c>
      <c r="N375" s="6" t="s">
        <v>1621</v>
      </c>
      <c r="O375" s="6">
        <v>1</v>
      </c>
    </row>
    <row r="376" spans="1:15" ht="30" customHeight="1" x14ac:dyDescent="0.2">
      <c r="A376" s="6">
        <v>375</v>
      </c>
      <c r="B376" s="6" t="s">
        <v>368</v>
      </c>
      <c r="C376" s="6" t="s">
        <v>373</v>
      </c>
      <c r="D376" s="6" t="s">
        <v>2256</v>
      </c>
      <c r="E376" s="8">
        <v>10000</v>
      </c>
      <c r="F376" s="6"/>
      <c r="G376" s="9">
        <v>74.797325134277344</v>
      </c>
      <c r="H376" s="9">
        <v>62.35741531273905</v>
      </c>
      <c r="I376" s="6" t="s">
        <v>2220</v>
      </c>
      <c r="J376" s="6" t="s">
        <v>2221</v>
      </c>
      <c r="K376" s="6" t="s">
        <v>56</v>
      </c>
      <c r="L376" s="6" t="s">
        <v>1620</v>
      </c>
      <c r="M376" s="10">
        <v>0</v>
      </c>
      <c r="N376" s="6" t="s">
        <v>1621</v>
      </c>
      <c r="O376" s="6">
        <v>1</v>
      </c>
    </row>
    <row r="377" spans="1:15" ht="30" customHeight="1" x14ac:dyDescent="0.2">
      <c r="A377" s="6">
        <v>376</v>
      </c>
      <c r="B377" s="6" t="s">
        <v>368</v>
      </c>
      <c r="C377" s="6" t="s">
        <v>373</v>
      </c>
      <c r="D377" s="6" t="s">
        <v>2257</v>
      </c>
      <c r="E377" s="8">
        <v>116000</v>
      </c>
      <c r="F377" s="6"/>
      <c r="G377" s="9">
        <v>85.013837814331055</v>
      </c>
      <c r="H377" s="9">
        <v>56.622998689385156</v>
      </c>
      <c r="I377" s="6" t="s">
        <v>2223</v>
      </c>
      <c r="J377" s="6" t="s">
        <v>2224</v>
      </c>
      <c r="K377" s="6" t="s">
        <v>56</v>
      </c>
      <c r="L377" s="6" t="s">
        <v>1620</v>
      </c>
      <c r="M377" s="10">
        <v>0</v>
      </c>
      <c r="N377" s="6" t="s">
        <v>1621</v>
      </c>
      <c r="O377" s="6">
        <v>1</v>
      </c>
    </row>
    <row r="378" spans="1:15" ht="30" customHeight="1" x14ac:dyDescent="0.2">
      <c r="A378" s="6">
        <v>377</v>
      </c>
      <c r="B378" s="6" t="s">
        <v>368</v>
      </c>
      <c r="C378" s="6" t="s">
        <v>373</v>
      </c>
      <c r="D378" s="6" t="s">
        <v>2258</v>
      </c>
      <c r="E378" s="8">
        <v>380000</v>
      </c>
      <c r="F378" s="6"/>
      <c r="G378" s="9">
        <v>73.241386413574219</v>
      </c>
      <c r="H378" s="9">
        <v>55.077237128325848</v>
      </c>
      <c r="I378" s="6"/>
      <c r="J378" s="6" t="s">
        <v>2250</v>
      </c>
      <c r="K378" s="6" t="s">
        <v>56</v>
      </c>
      <c r="L378" s="6" t="s">
        <v>1620</v>
      </c>
      <c r="M378" s="10">
        <v>0</v>
      </c>
      <c r="N378" s="6" t="s">
        <v>1621</v>
      </c>
      <c r="O378" s="6">
        <v>1</v>
      </c>
    </row>
    <row r="379" spans="1:15" ht="30" customHeight="1" x14ac:dyDescent="0.2">
      <c r="A379" s="6">
        <v>378</v>
      </c>
      <c r="B379" s="6" t="s">
        <v>368</v>
      </c>
      <c r="C379" s="6" t="s">
        <v>373</v>
      </c>
      <c r="D379" s="6" t="s">
        <v>2259</v>
      </c>
      <c r="E379" s="8">
        <v>275000</v>
      </c>
      <c r="F379" s="6"/>
      <c r="G379" s="9">
        <v>68.987874984741211</v>
      </c>
      <c r="H379" s="9">
        <v>61.007738349031868</v>
      </c>
      <c r="I379" s="6" t="s">
        <v>2232</v>
      </c>
      <c r="J379" s="6" t="s">
        <v>2233</v>
      </c>
      <c r="K379" s="6" t="s">
        <v>56</v>
      </c>
      <c r="L379" s="6" t="s">
        <v>1620</v>
      </c>
      <c r="M379" s="10">
        <v>0</v>
      </c>
      <c r="N379" s="6" t="s">
        <v>1621</v>
      </c>
      <c r="O379" s="6">
        <v>1</v>
      </c>
    </row>
    <row r="380" spans="1:15" ht="30" customHeight="1" x14ac:dyDescent="0.2">
      <c r="A380" s="6">
        <v>379</v>
      </c>
      <c r="B380" s="6" t="s">
        <v>368</v>
      </c>
      <c r="C380" s="6" t="s">
        <v>373</v>
      </c>
      <c r="D380" s="6" t="s">
        <v>2260</v>
      </c>
      <c r="E380" s="8">
        <v>25100</v>
      </c>
      <c r="F380" s="6"/>
      <c r="G380" s="9">
        <v>76.448535919189453</v>
      </c>
      <c r="H380" s="9">
        <v>60.983600364281543</v>
      </c>
      <c r="I380" s="6" t="s">
        <v>2232</v>
      </c>
      <c r="J380" s="6" t="s">
        <v>2233</v>
      </c>
      <c r="K380" s="6" t="s">
        <v>56</v>
      </c>
      <c r="L380" s="6" t="s">
        <v>1620</v>
      </c>
      <c r="M380" s="10">
        <v>0</v>
      </c>
      <c r="N380" s="6" t="s">
        <v>1621</v>
      </c>
      <c r="O380" s="6">
        <v>1</v>
      </c>
    </row>
    <row r="381" spans="1:15" ht="30" customHeight="1" x14ac:dyDescent="0.2">
      <c r="A381" s="6">
        <v>380</v>
      </c>
      <c r="B381" s="6" t="s">
        <v>368</v>
      </c>
      <c r="C381" s="6" t="s">
        <v>373</v>
      </c>
      <c r="D381" s="6" t="s">
        <v>2261</v>
      </c>
      <c r="E381" s="8">
        <v>3000</v>
      </c>
      <c r="F381" s="6"/>
      <c r="G381" s="9">
        <v>84.962596893310547</v>
      </c>
      <c r="H381" s="9">
        <v>56.46400789285714</v>
      </c>
      <c r="I381" s="6" t="s">
        <v>1639</v>
      </c>
      <c r="J381" s="6" t="s">
        <v>2241</v>
      </c>
      <c r="K381" s="6" t="s">
        <v>56</v>
      </c>
      <c r="L381" s="6" t="s">
        <v>1620</v>
      </c>
      <c r="M381" s="10">
        <v>0</v>
      </c>
      <c r="N381" s="6" t="s">
        <v>1621</v>
      </c>
      <c r="O381" s="6">
        <v>1</v>
      </c>
    </row>
    <row r="382" spans="1:15" ht="30" customHeight="1" x14ac:dyDescent="0.2">
      <c r="A382" s="6">
        <v>381</v>
      </c>
      <c r="B382" s="6" t="s">
        <v>368</v>
      </c>
      <c r="C382" s="6" t="s">
        <v>373</v>
      </c>
      <c r="D382" s="6" t="s">
        <v>2262</v>
      </c>
      <c r="E382" s="8">
        <v>2500</v>
      </c>
      <c r="F382" s="6"/>
      <c r="G382" s="9">
        <v>129.76252555847168</v>
      </c>
      <c r="H382" s="9">
        <v>62.037872036543469</v>
      </c>
      <c r="I382" s="6" t="s">
        <v>1639</v>
      </c>
      <c r="J382" s="6" t="s">
        <v>2263</v>
      </c>
      <c r="K382" s="6" t="s">
        <v>56</v>
      </c>
      <c r="L382" s="6" t="s">
        <v>1620</v>
      </c>
      <c r="M382" s="10">
        <v>0</v>
      </c>
      <c r="N382" s="6" t="s">
        <v>1621</v>
      </c>
      <c r="O382" s="6">
        <v>1</v>
      </c>
    </row>
    <row r="383" spans="1:15" ht="30" customHeight="1" x14ac:dyDescent="0.2">
      <c r="A383" s="6">
        <v>382</v>
      </c>
      <c r="B383" s="6" t="s">
        <v>368</v>
      </c>
      <c r="C383" s="6" t="s">
        <v>373</v>
      </c>
      <c r="D383" s="6" t="s">
        <v>2264</v>
      </c>
      <c r="E383" s="8">
        <v>131000</v>
      </c>
      <c r="F383" s="6"/>
      <c r="G383" s="9">
        <v>90.418252944946289</v>
      </c>
      <c r="H383" s="9">
        <v>56.235145804978437</v>
      </c>
      <c r="I383" s="6" t="s">
        <v>2252</v>
      </c>
      <c r="J383" s="6" t="s">
        <v>2224</v>
      </c>
      <c r="K383" s="6" t="s">
        <v>56</v>
      </c>
      <c r="L383" s="6" t="s">
        <v>1620</v>
      </c>
      <c r="M383" s="10">
        <v>0</v>
      </c>
      <c r="N383" s="6" t="s">
        <v>1621</v>
      </c>
      <c r="O383" s="6">
        <v>1</v>
      </c>
    </row>
    <row r="384" spans="1:15" ht="30" customHeight="1" x14ac:dyDescent="0.2">
      <c r="A384" s="6">
        <v>383</v>
      </c>
      <c r="B384" s="6" t="s">
        <v>368</v>
      </c>
      <c r="C384" s="6" t="s">
        <v>373</v>
      </c>
      <c r="D384" s="6" t="s">
        <v>2265</v>
      </c>
      <c r="E384" s="8">
        <v>384000</v>
      </c>
      <c r="F384" s="6"/>
      <c r="G384" s="9">
        <v>103.92894744873047</v>
      </c>
      <c r="H384" s="9">
        <v>52.51548962199054</v>
      </c>
      <c r="I384" s="6" t="s">
        <v>2252</v>
      </c>
      <c r="J384" s="6" t="s">
        <v>2224</v>
      </c>
      <c r="K384" s="6" t="s">
        <v>56</v>
      </c>
      <c r="L384" s="6" t="s">
        <v>1620</v>
      </c>
      <c r="M384" s="10">
        <v>0</v>
      </c>
      <c r="N384" s="6" t="s">
        <v>1621</v>
      </c>
      <c r="O384" s="6">
        <v>1</v>
      </c>
    </row>
    <row r="385" spans="1:15" ht="30" customHeight="1" x14ac:dyDescent="0.2">
      <c r="A385" s="6">
        <v>384</v>
      </c>
      <c r="B385" s="6" t="s">
        <v>368</v>
      </c>
      <c r="C385" s="6" t="s">
        <v>373</v>
      </c>
      <c r="D385" s="6" t="s">
        <v>2266</v>
      </c>
      <c r="E385" s="8">
        <v>139800</v>
      </c>
      <c r="F385" s="6"/>
      <c r="G385" s="9">
        <v>78.320932388305664</v>
      </c>
      <c r="H385" s="9">
        <v>55.427844571808308</v>
      </c>
      <c r="I385" s="6" t="s">
        <v>2252</v>
      </c>
      <c r="J385" s="6" t="s">
        <v>2224</v>
      </c>
      <c r="K385" s="6" t="s">
        <v>56</v>
      </c>
      <c r="L385" s="6" t="s">
        <v>1620</v>
      </c>
      <c r="M385" s="10">
        <v>0</v>
      </c>
      <c r="N385" s="6" t="s">
        <v>1621</v>
      </c>
      <c r="O385" s="6">
        <v>1</v>
      </c>
    </row>
    <row r="386" spans="1:15" ht="30" customHeight="1" x14ac:dyDescent="0.2">
      <c r="A386" s="6">
        <v>385</v>
      </c>
      <c r="B386" s="6" t="s">
        <v>368</v>
      </c>
      <c r="C386" s="6" t="s">
        <v>373</v>
      </c>
      <c r="D386" s="6" t="s">
        <v>2267</v>
      </c>
      <c r="E386" s="8">
        <v>5400</v>
      </c>
      <c r="F386" s="6"/>
      <c r="G386" s="9">
        <v>77.481594085693359</v>
      </c>
      <c r="H386" s="9">
        <v>60.666409564362027</v>
      </c>
      <c r="I386" s="6" t="s">
        <v>2252</v>
      </c>
      <c r="J386" s="6" t="s">
        <v>2224</v>
      </c>
      <c r="K386" s="6" t="s">
        <v>56</v>
      </c>
      <c r="L386" s="6" t="s">
        <v>1620</v>
      </c>
      <c r="M386" s="10">
        <v>0</v>
      </c>
      <c r="N386" s="6" t="s">
        <v>1621</v>
      </c>
      <c r="O386" s="6">
        <v>1</v>
      </c>
    </row>
    <row r="387" spans="1:15" ht="30" customHeight="1" x14ac:dyDescent="0.2">
      <c r="A387" s="6">
        <v>386</v>
      </c>
      <c r="B387" s="6" t="s">
        <v>368</v>
      </c>
      <c r="C387" s="6" t="s">
        <v>373</v>
      </c>
      <c r="D387" s="6" t="s">
        <v>2268</v>
      </c>
      <c r="E387" s="8">
        <v>4000</v>
      </c>
      <c r="F387" s="6"/>
      <c r="G387" s="9">
        <v>47.462139129638672</v>
      </c>
      <c r="H387" s="9">
        <v>43.010672545272527</v>
      </c>
      <c r="I387" s="6" t="s">
        <v>1639</v>
      </c>
      <c r="J387" s="6" t="s">
        <v>2241</v>
      </c>
      <c r="K387" s="6" t="s">
        <v>56</v>
      </c>
      <c r="L387" s="6" t="s">
        <v>1620</v>
      </c>
      <c r="M387" s="10">
        <v>0</v>
      </c>
      <c r="N387" s="6" t="s">
        <v>1621</v>
      </c>
      <c r="O387" s="6">
        <v>1</v>
      </c>
    </row>
    <row r="388" spans="1:15" ht="30" customHeight="1" x14ac:dyDescent="0.2">
      <c r="A388" s="6">
        <v>387</v>
      </c>
      <c r="B388" s="6" t="s">
        <v>368</v>
      </c>
      <c r="C388" s="6" t="s">
        <v>373</v>
      </c>
      <c r="D388" s="6" t="s">
        <v>2269</v>
      </c>
      <c r="E388" s="8">
        <v>34000</v>
      </c>
      <c r="F388" s="6"/>
      <c r="G388" s="9">
        <v>38.96601676940918</v>
      </c>
      <c r="H388" s="9">
        <v>44.997521381956062</v>
      </c>
      <c r="I388" s="6"/>
      <c r="J388" s="6" t="s">
        <v>2250</v>
      </c>
      <c r="K388" s="6" t="s">
        <v>56</v>
      </c>
      <c r="L388" s="6" t="s">
        <v>1620</v>
      </c>
      <c r="M388" s="10">
        <v>0</v>
      </c>
      <c r="N388" s="6" t="s">
        <v>1621</v>
      </c>
      <c r="O388" s="6">
        <v>1</v>
      </c>
    </row>
    <row r="389" spans="1:15" ht="30" customHeight="1" x14ac:dyDescent="0.2">
      <c r="A389" s="6">
        <v>388</v>
      </c>
      <c r="B389" s="6" t="s">
        <v>368</v>
      </c>
      <c r="C389" s="6" t="s">
        <v>373</v>
      </c>
      <c r="D389" s="6" t="s">
        <v>2270</v>
      </c>
      <c r="E389" s="8">
        <v>193000</v>
      </c>
      <c r="F389" s="6"/>
      <c r="G389" s="9">
        <v>44.650754928588867</v>
      </c>
      <c r="H389" s="9">
        <v>48.504947834996457</v>
      </c>
      <c r="I389" s="6" t="s">
        <v>2220</v>
      </c>
      <c r="J389" s="6" t="s">
        <v>2221</v>
      </c>
      <c r="K389" s="6" t="s">
        <v>56</v>
      </c>
      <c r="L389" s="6" t="s">
        <v>1620</v>
      </c>
      <c r="M389" s="10">
        <v>0</v>
      </c>
      <c r="N389" s="6" t="s">
        <v>1621</v>
      </c>
      <c r="O389" s="6">
        <v>1</v>
      </c>
    </row>
    <row r="390" spans="1:15" ht="30" customHeight="1" x14ac:dyDescent="0.2">
      <c r="A390" s="6">
        <v>389</v>
      </c>
      <c r="B390" s="6" t="s">
        <v>368</v>
      </c>
      <c r="C390" s="6" t="s">
        <v>373</v>
      </c>
      <c r="D390" s="6" t="s">
        <v>2271</v>
      </c>
      <c r="E390" s="8">
        <v>28000</v>
      </c>
      <c r="F390" s="6"/>
      <c r="G390" s="9">
        <v>38.842763900756836</v>
      </c>
      <c r="H390" s="9">
        <v>44.910298388211793</v>
      </c>
      <c r="I390" s="6" t="s">
        <v>2223</v>
      </c>
      <c r="J390" s="6" t="s">
        <v>2224</v>
      </c>
      <c r="K390" s="6" t="s">
        <v>56</v>
      </c>
      <c r="L390" s="6" t="s">
        <v>1620</v>
      </c>
      <c r="M390" s="10">
        <v>0</v>
      </c>
      <c r="N390" s="6" t="s">
        <v>1621</v>
      </c>
      <c r="O390" s="6">
        <v>1</v>
      </c>
    </row>
    <row r="391" spans="1:15" ht="30" customHeight="1" x14ac:dyDescent="0.2">
      <c r="A391" s="6">
        <v>390</v>
      </c>
      <c r="B391" s="6" t="s">
        <v>368</v>
      </c>
      <c r="C391" s="6" t="s">
        <v>373</v>
      </c>
      <c r="D391" s="6" t="s">
        <v>2272</v>
      </c>
      <c r="E391" s="8">
        <v>46000</v>
      </c>
      <c r="F391" s="6"/>
      <c r="G391" s="9">
        <v>39.104290008544922</v>
      </c>
      <c r="H391" s="9">
        <v>44.107617954805008</v>
      </c>
      <c r="I391" s="6" t="s">
        <v>2223</v>
      </c>
      <c r="J391" s="6" t="s">
        <v>2224</v>
      </c>
      <c r="K391" s="6" t="s">
        <v>56</v>
      </c>
      <c r="L391" s="6" t="s">
        <v>1620</v>
      </c>
      <c r="M391" s="10">
        <v>0</v>
      </c>
      <c r="N391" s="6" t="s">
        <v>1621</v>
      </c>
      <c r="O391" s="6">
        <v>1</v>
      </c>
    </row>
    <row r="392" spans="1:15" ht="30" customHeight="1" x14ac:dyDescent="0.2">
      <c r="A392" s="6">
        <v>391</v>
      </c>
      <c r="B392" s="6" t="s">
        <v>368</v>
      </c>
      <c r="C392" s="6" t="s">
        <v>373</v>
      </c>
      <c r="D392" s="6" t="s">
        <v>2273</v>
      </c>
      <c r="E392" s="8">
        <v>22387</v>
      </c>
      <c r="F392" s="6"/>
      <c r="G392" s="9">
        <v>38.826370239257813</v>
      </c>
      <c r="H392" s="9">
        <v>44.882694734816496</v>
      </c>
      <c r="I392" s="6" t="s">
        <v>2223</v>
      </c>
      <c r="J392" s="6" t="s">
        <v>2224</v>
      </c>
      <c r="K392" s="6" t="s">
        <v>56</v>
      </c>
      <c r="L392" s="6" t="s">
        <v>1620</v>
      </c>
      <c r="M392" s="10">
        <v>0</v>
      </c>
      <c r="N392" s="6" t="s">
        <v>1621</v>
      </c>
      <c r="O392" s="6">
        <v>1</v>
      </c>
    </row>
    <row r="393" spans="1:15" ht="30" customHeight="1" x14ac:dyDescent="0.2">
      <c r="A393" s="6">
        <v>392</v>
      </c>
      <c r="B393" s="6" t="s">
        <v>368</v>
      </c>
      <c r="C393" s="6" t="s">
        <v>373</v>
      </c>
      <c r="D393" s="6" t="s">
        <v>2274</v>
      </c>
      <c r="E393" s="8">
        <v>134387</v>
      </c>
      <c r="F393" s="6"/>
      <c r="G393" s="9">
        <v>45.900707244873047</v>
      </c>
      <c r="H393" s="9">
        <v>51.437156100508062</v>
      </c>
      <c r="I393" s="6"/>
      <c r="J393" s="6" t="s">
        <v>2263</v>
      </c>
      <c r="K393" s="6" t="s">
        <v>56</v>
      </c>
      <c r="L393" s="6" t="s">
        <v>1620</v>
      </c>
      <c r="M393" s="10">
        <v>0</v>
      </c>
      <c r="N393" s="6" t="s">
        <v>1621</v>
      </c>
      <c r="O393" s="6">
        <v>1</v>
      </c>
    </row>
    <row r="394" spans="1:15" ht="30" customHeight="1" x14ac:dyDescent="0.2">
      <c r="A394" s="6">
        <v>393</v>
      </c>
      <c r="B394" s="6" t="s">
        <v>368</v>
      </c>
      <c r="C394" s="6" t="s">
        <v>373</v>
      </c>
      <c r="D394" s="6" t="s">
        <v>2275</v>
      </c>
      <c r="E394" s="8">
        <v>108000</v>
      </c>
      <c r="F394" s="6"/>
      <c r="G394" s="9">
        <v>45.936927795410156</v>
      </c>
      <c r="H394" s="9">
        <v>51.456681069905727</v>
      </c>
      <c r="I394" s="6" t="s">
        <v>2232</v>
      </c>
      <c r="J394" s="6" t="s">
        <v>2233</v>
      </c>
      <c r="K394" s="6" t="s">
        <v>56</v>
      </c>
      <c r="L394" s="6" t="s">
        <v>1620</v>
      </c>
      <c r="M394" s="10">
        <v>0</v>
      </c>
      <c r="N394" s="6" t="s">
        <v>1621</v>
      </c>
      <c r="O394" s="6">
        <v>1</v>
      </c>
    </row>
    <row r="395" spans="1:15" ht="30" customHeight="1" x14ac:dyDescent="0.2">
      <c r="A395" s="6">
        <v>394</v>
      </c>
      <c r="B395" s="6" t="s">
        <v>543</v>
      </c>
      <c r="C395" s="6" t="s">
        <v>548</v>
      </c>
      <c r="D395" s="6" t="s">
        <v>2276</v>
      </c>
      <c r="E395" s="8">
        <v>110000</v>
      </c>
      <c r="F395" s="6"/>
      <c r="G395" s="9">
        <v>17.11669921875</v>
      </c>
      <c r="H395" s="9">
        <v>48.149996544187985</v>
      </c>
      <c r="I395" s="6"/>
      <c r="J395" s="6" t="s">
        <v>2185</v>
      </c>
      <c r="K395" s="6" t="s">
        <v>56</v>
      </c>
      <c r="L395" s="6" t="s">
        <v>1620</v>
      </c>
      <c r="M395" s="10">
        <v>0</v>
      </c>
      <c r="N395" s="6" t="s">
        <v>1621</v>
      </c>
      <c r="O395" s="6">
        <v>1</v>
      </c>
    </row>
    <row r="396" spans="1:15" ht="30" customHeight="1" x14ac:dyDescent="0.2">
      <c r="A396" s="6">
        <v>395</v>
      </c>
      <c r="B396" s="6" t="s">
        <v>278</v>
      </c>
      <c r="C396" s="6" t="s">
        <v>284</v>
      </c>
      <c r="D396" s="6" t="s">
        <v>2277</v>
      </c>
      <c r="E396" s="8">
        <v>36000</v>
      </c>
      <c r="F396" s="6"/>
      <c r="G396" s="9">
        <v>32.568626403808594</v>
      </c>
      <c r="H396" s="9">
        <v>46.6749422315348</v>
      </c>
      <c r="I396" s="6"/>
      <c r="J396" s="6" t="s">
        <v>2278</v>
      </c>
      <c r="K396" s="6" t="s">
        <v>56</v>
      </c>
      <c r="L396" s="6" t="s">
        <v>1620</v>
      </c>
      <c r="M396" s="10">
        <v>0</v>
      </c>
      <c r="N396" s="6" t="s">
        <v>1621</v>
      </c>
      <c r="O396" s="6">
        <v>1</v>
      </c>
    </row>
    <row r="397" spans="1:15" ht="30" customHeight="1" x14ac:dyDescent="0.2">
      <c r="A397" s="6">
        <v>396</v>
      </c>
      <c r="B397" s="6" t="s">
        <v>278</v>
      </c>
      <c r="C397" s="6" t="s">
        <v>284</v>
      </c>
      <c r="D397" s="6" t="s">
        <v>2279</v>
      </c>
      <c r="E397" s="8">
        <v>70000</v>
      </c>
      <c r="F397" s="6"/>
      <c r="G397" s="9">
        <v>30.684814453125</v>
      </c>
      <c r="H397" s="9">
        <v>46.512806768866426</v>
      </c>
      <c r="I397" s="6" t="s">
        <v>2220</v>
      </c>
      <c r="J397" s="6" t="s">
        <v>2280</v>
      </c>
      <c r="K397" s="6" t="s">
        <v>56</v>
      </c>
      <c r="L397" s="6" t="s">
        <v>1620</v>
      </c>
      <c r="M397" s="10">
        <v>0</v>
      </c>
      <c r="N397" s="6" t="s">
        <v>1621</v>
      </c>
      <c r="O397" s="6">
        <v>1</v>
      </c>
    </row>
    <row r="398" spans="1:15" ht="30" customHeight="1" x14ac:dyDescent="0.2">
      <c r="A398" s="6">
        <v>397</v>
      </c>
      <c r="B398" s="6" t="s">
        <v>278</v>
      </c>
      <c r="C398" s="6" t="s">
        <v>284</v>
      </c>
      <c r="D398" s="6" t="s">
        <v>2281</v>
      </c>
      <c r="E398" s="8">
        <v>320000</v>
      </c>
      <c r="F398" s="6"/>
      <c r="G398" s="9">
        <v>38.307867050170898</v>
      </c>
      <c r="H398" s="9">
        <v>48.850145241393768</v>
      </c>
      <c r="I398" s="6" t="s">
        <v>2232</v>
      </c>
      <c r="J398" s="6" t="s">
        <v>2282</v>
      </c>
      <c r="K398" s="6" t="s">
        <v>56</v>
      </c>
      <c r="L398" s="6" t="s">
        <v>1620</v>
      </c>
      <c r="M398" s="10">
        <v>0</v>
      </c>
      <c r="N398" s="6" t="s">
        <v>1621</v>
      </c>
      <c r="O398" s="6">
        <v>1</v>
      </c>
    </row>
    <row r="399" spans="1:15" ht="30" customHeight="1" x14ac:dyDescent="0.2">
      <c r="A399" s="6">
        <v>398</v>
      </c>
      <c r="B399" s="6" t="s">
        <v>278</v>
      </c>
      <c r="C399" s="6" t="s">
        <v>284</v>
      </c>
      <c r="D399" s="6" t="s">
        <v>2283</v>
      </c>
      <c r="E399" s="8">
        <v>40000</v>
      </c>
      <c r="F399" s="6"/>
      <c r="G399" s="9">
        <v>23.481645584106445</v>
      </c>
      <c r="H399" s="9">
        <v>49.341342358866854</v>
      </c>
      <c r="I399" s="6" t="s">
        <v>1639</v>
      </c>
      <c r="J399" s="6" t="s">
        <v>2284</v>
      </c>
      <c r="K399" s="6" t="s">
        <v>56</v>
      </c>
      <c r="L399" s="6" t="s">
        <v>1620</v>
      </c>
      <c r="M399" s="10">
        <v>0</v>
      </c>
      <c r="N399" s="6" t="s">
        <v>1621</v>
      </c>
      <c r="O399" s="6">
        <v>1</v>
      </c>
    </row>
    <row r="400" spans="1:15" ht="30" customHeight="1" x14ac:dyDescent="0.2">
      <c r="A400" s="6">
        <v>399</v>
      </c>
      <c r="B400" s="6" t="s">
        <v>278</v>
      </c>
      <c r="C400" s="6" t="s">
        <v>284</v>
      </c>
      <c r="D400" s="6" t="s">
        <v>2285</v>
      </c>
      <c r="E400" s="8">
        <v>180000</v>
      </c>
      <c r="F400" s="6"/>
      <c r="G400" s="9">
        <v>33.463497161865234</v>
      </c>
      <c r="H400" s="9">
        <v>49.160266909633506</v>
      </c>
      <c r="I400" s="6" t="s">
        <v>1639</v>
      </c>
      <c r="J400" s="6" t="s">
        <v>2284</v>
      </c>
      <c r="K400" s="6" t="s">
        <v>56</v>
      </c>
      <c r="L400" s="6" t="s">
        <v>1620</v>
      </c>
      <c r="M400" s="10">
        <v>0</v>
      </c>
      <c r="N400" s="6" t="s">
        <v>1621</v>
      </c>
      <c r="O400" s="6">
        <v>1</v>
      </c>
    </row>
    <row r="401" spans="1:15" ht="30" customHeight="1" x14ac:dyDescent="0.2">
      <c r="A401" s="6">
        <v>400</v>
      </c>
      <c r="B401" s="6" t="s">
        <v>278</v>
      </c>
      <c r="C401" s="6" t="s">
        <v>284</v>
      </c>
      <c r="D401" s="6" t="s">
        <v>2286</v>
      </c>
      <c r="E401" s="8">
        <v>39000</v>
      </c>
      <c r="F401" s="6"/>
      <c r="G401" s="9">
        <v>24.584569931030273</v>
      </c>
      <c r="H401" s="9">
        <v>48.647881463806776</v>
      </c>
      <c r="I401" s="6" t="s">
        <v>1639</v>
      </c>
      <c r="J401" s="6" t="s">
        <v>2284</v>
      </c>
      <c r="K401" s="6" t="s">
        <v>56</v>
      </c>
      <c r="L401" s="6" t="s">
        <v>1620</v>
      </c>
      <c r="M401" s="10">
        <v>0</v>
      </c>
      <c r="N401" s="6" t="s">
        <v>1621</v>
      </c>
      <c r="O401" s="6">
        <v>1</v>
      </c>
    </row>
    <row r="402" spans="1:15" ht="30" customHeight="1" x14ac:dyDescent="0.2">
      <c r="A402" s="6">
        <v>401</v>
      </c>
      <c r="B402" s="6" t="s">
        <v>464</v>
      </c>
      <c r="C402" s="6" t="s">
        <v>470</v>
      </c>
      <c r="D402" s="6" t="s">
        <v>2287</v>
      </c>
      <c r="E402" s="8">
        <v>17800</v>
      </c>
      <c r="F402" s="6"/>
      <c r="G402" s="9">
        <v>19.745264053344727</v>
      </c>
      <c r="H402" s="9">
        <v>40.601636978289363</v>
      </c>
      <c r="I402" s="6"/>
      <c r="J402" s="6" t="s">
        <v>2288</v>
      </c>
      <c r="K402" s="6" t="s">
        <v>56</v>
      </c>
      <c r="L402" s="6" t="s">
        <v>1620</v>
      </c>
      <c r="M402" s="10">
        <v>0</v>
      </c>
      <c r="N402" s="6" t="s">
        <v>1621</v>
      </c>
      <c r="O402" s="6">
        <v>1</v>
      </c>
    </row>
    <row r="403" spans="1:15" ht="30" customHeight="1" x14ac:dyDescent="0.2">
      <c r="A403" s="6">
        <v>402</v>
      </c>
      <c r="B403" s="6" t="s">
        <v>464</v>
      </c>
      <c r="C403" s="6" t="s">
        <v>470</v>
      </c>
      <c r="D403" s="6" t="s">
        <v>2289</v>
      </c>
      <c r="E403" s="8">
        <v>8500</v>
      </c>
      <c r="F403" s="6"/>
      <c r="G403" s="9">
        <v>19.554119110107422</v>
      </c>
      <c r="H403" s="9">
        <v>40.722672968207313</v>
      </c>
      <c r="I403" s="6"/>
      <c r="J403" s="6" t="s">
        <v>2288</v>
      </c>
      <c r="K403" s="6" t="s">
        <v>56</v>
      </c>
      <c r="L403" s="6" t="s">
        <v>1620</v>
      </c>
      <c r="M403" s="10">
        <v>0</v>
      </c>
      <c r="N403" s="6" t="s">
        <v>1621</v>
      </c>
      <c r="O403" s="6">
        <v>1</v>
      </c>
    </row>
    <row r="404" spans="1:15" ht="30" customHeight="1" x14ac:dyDescent="0.2">
      <c r="A404" s="6">
        <v>403</v>
      </c>
      <c r="B404" s="6" t="s">
        <v>750</v>
      </c>
      <c r="C404" s="6" t="s">
        <v>755</v>
      </c>
      <c r="D404" s="6" t="s">
        <v>2290</v>
      </c>
      <c r="E404" s="8">
        <v>40000</v>
      </c>
      <c r="F404" s="6"/>
      <c r="G404" s="9">
        <v>27.326860427856445</v>
      </c>
      <c r="H404" s="9">
        <v>42.540307072754587</v>
      </c>
      <c r="I404" s="6"/>
      <c r="J404" s="6" t="s">
        <v>2291</v>
      </c>
      <c r="K404" s="6" t="s">
        <v>56</v>
      </c>
      <c r="L404" s="6" t="s">
        <v>1620</v>
      </c>
      <c r="M404" s="10">
        <v>0</v>
      </c>
      <c r="N404" s="6" t="s">
        <v>1621</v>
      </c>
      <c r="O404" s="6">
        <v>1</v>
      </c>
    </row>
    <row r="405" spans="1:15" ht="30" customHeight="1" x14ac:dyDescent="0.2">
      <c r="A405" s="6">
        <v>404</v>
      </c>
      <c r="B405" s="6" t="s">
        <v>708</v>
      </c>
      <c r="C405" s="6" t="s">
        <v>713</v>
      </c>
      <c r="D405" s="6" t="s">
        <v>2292</v>
      </c>
      <c r="E405" s="8">
        <v>102000</v>
      </c>
      <c r="F405" s="6"/>
      <c r="G405" s="9">
        <v>14.541177749633789</v>
      </c>
      <c r="H405" s="9">
        <v>45.284187211100878</v>
      </c>
      <c r="I405" s="6" t="s">
        <v>2293</v>
      </c>
      <c r="J405" s="6" t="s">
        <v>2294</v>
      </c>
      <c r="K405" s="6" t="s">
        <v>56</v>
      </c>
      <c r="L405" s="6" t="s">
        <v>1620</v>
      </c>
      <c r="M405" s="10">
        <v>0</v>
      </c>
      <c r="N405" s="6" t="s">
        <v>1621</v>
      </c>
      <c r="O405" s="6">
        <v>1</v>
      </c>
    </row>
    <row r="406" spans="1:15" ht="30" customHeight="1" x14ac:dyDescent="0.2">
      <c r="A406" s="6">
        <v>405</v>
      </c>
      <c r="B406" s="6" t="s">
        <v>708</v>
      </c>
      <c r="C406" s="6" t="s">
        <v>713</v>
      </c>
      <c r="D406" s="6" t="s">
        <v>2295</v>
      </c>
      <c r="E406" s="8">
        <v>61000</v>
      </c>
      <c r="F406" s="6"/>
      <c r="G406" s="9">
        <v>16.406965255737305</v>
      </c>
      <c r="H406" s="9">
        <v>45.454832603406942</v>
      </c>
      <c r="I406" s="6" t="s">
        <v>2293</v>
      </c>
      <c r="J406" s="6" t="s">
        <v>2296</v>
      </c>
      <c r="K406" s="6" t="s">
        <v>56</v>
      </c>
      <c r="L406" s="6" t="s">
        <v>1620</v>
      </c>
      <c r="M406" s="10">
        <v>0</v>
      </c>
      <c r="N406" s="6" t="s">
        <v>1621</v>
      </c>
      <c r="O406" s="6">
        <v>1</v>
      </c>
    </row>
    <row r="407" spans="1:15" ht="30" customHeight="1" x14ac:dyDescent="0.2">
      <c r="A407" s="6">
        <v>406</v>
      </c>
      <c r="B407" s="6" t="s">
        <v>708</v>
      </c>
      <c r="C407" s="6" t="s">
        <v>713</v>
      </c>
      <c r="D407" s="6" t="s">
        <v>2297</v>
      </c>
      <c r="E407" s="8">
        <v>80337</v>
      </c>
      <c r="F407" s="6"/>
      <c r="G407" s="9">
        <v>16.070852279663086</v>
      </c>
      <c r="H407" s="9">
        <v>45.798648249128739</v>
      </c>
      <c r="I407" s="6" t="s">
        <v>2293</v>
      </c>
      <c r="J407" s="6" t="s">
        <v>2298</v>
      </c>
      <c r="K407" s="6" t="s">
        <v>56</v>
      </c>
      <c r="L407" s="6" t="s">
        <v>1620</v>
      </c>
      <c r="M407" s="10">
        <v>0</v>
      </c>
      <c r="N407" s="6" t="s">
        <v>1621</v>
      </c>
      <c r="O407" s="6">
        <v>1</v>
      </c>
    </row>
    <row r="408" spans="1:15" ht="30" customHeight="1" x14ac:dyDescent="0.2">
      <c r="A408" s="6">
        <v>407</v>
      </c>
      <c r="B408" s="6" t="s">
        <v>567</v>
      </c>
      <c r="C408" s="6" t="s">
        <v>572</v>
      </c>
      <c r="D408" s="6" t="s">
        <v>2299</v>
      </c>
      <c r="E408" s="8">
        <v>100000</v>
      </c>
      <c r="F408" s="6"/>
      <c r="G408" s="9">
        <v>23.074808120727539</v>
      </c>
      <c r="H408" s="9">
        <v>37.922805315344071</v>
      </c>
      <c r="I408" s="6" t="s">
        <v>1639</v>
      </c>
      <c r="J408" s="6" t="s">
        <v>2300</v>
      </c>
      <c r="K408" s="6" t="s">
        <v>56</v>
      </c>
      <c r="L408" s="6" t="s">
        <v>1620</v>
      </c>
      <c r="M408" s="10">
        <v>0</v>
      </c>
      <c r="N408" s="6" t="s">
        <v>1621</v>
      </c>
      <c r="O408" s="6">
        <v>1</v>
      </c>
    </row>
    <row r="409" spans="1:15" ht="30" customHeight="1" x14ac:dyDescent="0.2">
      <c r="A409" s="6">
        <v>408</v>
      </c>
      <c r="B409" s="6" t="s">
        <v>567</v>
      </c>
      <c r="C409" s="6" t="s">
        <v>572</v>
      </c>
      <c r="D409" s="6" t="s">
        <v>2301</v>
      </c>
      <c r="E409" s="8">
        <v>135000</v>
      </c>
      <c r="F409" s="6"/>
      <c r="G409" s="9">
        <v>23.604040145874023</v>
      </c>
      <c r="H409" s="9">
        <v>38.032881484027712</v>
      </c>
      <c r="I409" s="6"/>
      <c r="J409" s="6" t="s">
        <v>2302</v>
      </c>
      <c r="K409" s="6" t="s">
        <v>56</v>
      </c>
      <c r="L409" s="6" t="s">
        <v>1620</v>
      </c>
      <c r="M409" s="10">
        <v>0</v>
      </c>
      <c r="N409" s="6" t="s">
        <v>1621</v>
      </c>
      <c r="O409" s="6">
        <v>1</v>
      </c>
    </row>
    <row r="410" spans="1:15" ht="30" customHeight="1" x14ac:dyDescent="0.2">
      <c r="A410" s="6">
        <v>409</v>
      </c>
      <c r="B410" s="6" t="s">
        <v>567</v>
      </c>
      <c r="C410" s="6" t="s">
        <v>572</v>
      </c>
      <c r="D410" s="6" t="s">
        <v>2303</v>
      </c>
      <c r="E410" s="8">
        <v>100000</v>
      </c>
      <c r="F410" s="6"/>
      <c r="G410" s="9">
        <v>23.50773811340332</v>
      </c>
      <c r="H410" s="9">
        <v>38.044981809529638</v>
      </c>
      <c r="I410" s="6"/>
      <c r="J410" s="6" t="s">
        <v>2302</v>
      </c>
      <c r="K410" s="6" t="s">
        <v>56</v>
      </c>
      <c r="L410" s="6" t="s">
        <v>1620</v>
      </c>
      <c r="M410" s="10">
        <v>0</v>
      </c>
      <c r="N410" s="6" t="s">
        <v>1621</v>
      </c>
      <c r="O410" s="6">
        <v>1</v>
      </c>
    </row>
    <row r="411" spans="1:15" ht="30" customHeight="1" x14ac:dyDescent="0.2">
      <c r="A411" s="6">
        <v>410</v>
      </c>
      <c r="B411" s="6" t="s">
        <v>567</v>
      </c>
      <c r="C411" s="6" t="s">
        <v>572</v>
      </c>
      <c r="D411" s="6" t="s">
        <v>2304</v>
      </c>
      <c r="E411" s="8">
        <v>66500</v>
      </c>
      <c r="F411" s="6"/>
      <c r="G411" s="9">
        <v>22.88151741027832</v>
      </c>
      <c r="H411" s="9">
        <v>40.680052211719818</v>
      </c>
      <c r="I411" s="6"/>
      <c r="J411" s="6" t="s">
        <v>2302</v>
      </c>
      <c r="K411" s="6" t="s">
        <v>56</v>
      </c>
      <c r="L411" s="6" t="s">
        <v>1620</v>
      </c>
      <c r="M411" s="10">
        <v>0</v>
      </c>
      <c r="N411" s="6" t="s">
        <v>1621</v>
      </c>
      <c r="O411" s="6">
        <v>1</v>
      </c>
    </row>
    <row r="412" spans="1:15" ht="30" customHeight="1" x14ac:dyDescent="0.2">
      <c r="A412" s="6">
        <v>411</v>
      </c>
      <c r="B412" s="6" t="s">
        <v>634</v>
      </c>
      <c r="C412" s="6" t="s">
        <v>640</v>
      </c>
      <c r="D412" s="6" t="s">
        <v>2305</v>
      </c>
      <c r="E412" s="8">
        <v>84000</v>
      </c>
      <c r="F412" s="6"/>
      <c r="G412" s="9">
        <v>10.337362289428711</v>
      </c>
      <c r="H412" s="9">
        <v>43.587354212306337</v>
      </c>
      <c r="I412" s="6" t="s">
        <v>2306</v>
      </c>
      <c r="J412" s="6" t="s">
        <v>2307</v>
      </c>
      <c r="K412" s="6" t="s">
        <v>56</v>
      </c>
      <c r="L412" s="6" t="s">
        <v>1620</v>
      </c>
      <c r="M412" s="10">
        <v>0</v>
      </c>
      <c r="N412" s="6" t="s">
        <v>1621</v>
      </c>
      <c r="O412" s="6">
        <v>1</v>
      </c>
    </row>
    <row r="413" spans="1:15" ht="30" customHeight="1" x14ac:dyDescent="0.2">
      <c r="A413" s="6">
        <v>412</v>
      </c>
      <c r="B413" s="6" t="s">
        <v>634</v>
      </c>
      <c r="C413" s="6" t="s">
        <v>640</v>
      </c>
      <c r="D413" s="6" t="s">
        <v>2308</v>
      </c>
      <c r="E413" s="8">
        <v>70000</v>
      </c>
      <c r="F413" s="6"/>
      <c r="G413" s="9">
        <v>12.269668579101563</v>
      </c>
      <c r="H413" s="9">
        <v>45.45988982896943</v>
      </c>
      <c r="I413" s="6" t="s">
        <v>2306</v>
      </c>
      <c r="J413" s="6" t="s">
        <v>2309</v>
      </c>
      <c r="K413" s="6" t="s">
        <v>56</v>
      </c>
      <c r="L413" s="6" t="s">
        <v>1620</v>
      </c>
      <c r="M413" s="10">
        <v>0</v>
      </c>
      <c r="N413" s="6" t="s">
        <v>1621</v>
      </c>
      <c r="O413" s="6">
        <v>1</v>
      </c>
    </row>
    <row r="414" spans="1:15" ht="30" customHeight="1" x14ac:dyDescent="0.2">
      <c r="A414" s="6">
        <v>413</v>
      </c>
      <c r="B414" s="6" t="s">
        <v>634</v>
      </c>
      <c r="C414" s="6" t="s">
        <v>640</v>
      </c>
      <c r="D414" s="6" t="s">
        <v>2310</v>
      </c>
      <c r="E414" s="8">
        <v>160000</v>
      </c>
      <c r="F414" s="6"/>
      <c r="G414" s="9">
        <v>8.8767814636230469</v>
      </c>
      <c r="H414" s="9">
        <v>45.099881411558805</v>
      </c>
      <c r="I414" s="6" t="s">
        <v>2306</v>
      </c>
      <c r="J414" s="6" t="s">
        <v>2309</v>
      </c>
      <c r="K414" s="6" t="s">
        <v>56</v>
      </c>
      <c r="L414" s="6" t="s">
        <v>1620</v>
      </c>
      <c r="M414" s="10">
        <v>0</v>
      </c>
      <c r="N414" s="6" t="s">
        <v>1621</v>
      </c>
      <c r="O414" s="6">
        <v>1</v>
      </c>
    </row>
    <row r="415" spans="1:15" ht="30" customHeight="1" x14ac:dyDescent="0.2">
      <c r="A415" s="6">
        <v>414</v>
      </c>
      <c r="B415" s="6" t="s">
        <v>634</v>
      </c>
      <c r="C415" s="6" t="s">
        <v>640</v>
      </c>
      <c r="D415" s="6" t="s">
        <v>2311</v>
      </c>
      <c r="E415" s="8">
        <v>85000</v>
      </c>
      <c r="F415" s="6"/>
      <c r="G415" s="9">
        <v>13.379459381103516</v>
      </c>
      <c r="H415" s="9">
        <v>43.638684092664867</v>
      </c>
      <c r="I415" s="6" t="s">
        <v>1639</v>
      </c>
      <c r="J415" s="6" t="s">
        <v>2312</v>
      </c>
      <c r="K415" s="6" t="s">
        <v>56</v>
      </c>
      <c r="L415" s="6" t="s">
        <v>1620</v>
      </c>
      <c r="M415" s="10">
        <v>0</v>
      </c>
      <c r="N415" s="6" t="s">
        <v>1621</v>
      </c>
      <c r="O415" s="6">
        <v>1</v>
      </c>
    </row>
    <row r="416" spans="1:15" ht="30" customHeight="1" x14ac:dyDescent="0.2">
      <c r="A416" s="6">
        <v>415</v>
      </c>
      <c r="B416" s="6" t="s">
        <v>634</v>
      </c>
      <c r="C416" s="6" t="s">
        <v>640</v>
      </c>
      <c r="D416" s="6" t="s">
        <v>2313</v>
      </c>
      <c r="E416" s="8">
        <v>33000</v>
      </c>
      <c r="F416" s="6"/>
      <c r="G416" s="9">
        <v>9.9182510375976563</v>
      </c>
      <c r="H416" s="9">
        <v>44.122160687786341</v>
      </c>
      <c r="I416" s="6" t="s">
        <v>1639</v>
      </c>
      <c r="J416" s="6" t="s">
        <v>2314</v>
      </c>
      <c r="K416" s="6" t="s">
        <v>56</v>
      </c>
      <c r="L416" s="6" t="s">
        <v>1620</v>
      </c>
      <c r="M416" s="10">
        <v>0</v>
      </c>
      <c r="N416" s="6" t="s">
        <v>1621</v>
      </c>
      <c r="O416" s="6">
        <v>1</v>
      </c>
    </row>
    <row r="417" spans="1:15" ht="30" customHeight="1" x14ac:dyDescent="0.2">
      <c r="A417" s="6">
        <v>416</v>
      </c>
      <c r="B417" s="6" t="s">
        <v>634</v>
      </c>
      <c r="C417" s="6" t="s">
        <v>640</v>
      </c>
      <c r="D417" s="6" t="s">
        <v>2315</v>
      </c>
      <c r="E417" s="8">
        <v>200000</v>
      </c>
      <c r="F417" s="6"/>
      <c r="G417" s="9">
        <v>8.7874317169189453</v>
      </c>
      <c r="H417" s="9">
        <v>45.439778653144927</v>
      </c>
      <c r="I417" s="6"/>
      <c r="J417" s="6" t="s">
        <v>1633</v>
      </c>
      <c r="K417" s="6" t="s">
        <v>56</v>
      </c>
      <c r="L417" s="6" t="s">
        <v>1620</v>
      </c>
      <c r="M417" s="10">
        <v>0</v>
      </c>
      <c r="N417" s="6" t="s">
        <v>1621</v>
      </c>
      <c r="O417" s="6">
        <v>1</v>
      </c>
    </row>
    <row r="418" spans="1:15" ht="30" customHeight="1" x14ac:dyDescent="0.2">
      <c r="A418" s="6">
        <v>417</v>
      </c>
      <c r="B418" s="6" t="s">
        <v>634</v>
      </c>
      <c r="C418" s="6" t="s">
        <v>640</v>
      </c>
      <c r="D418" s="6" t="s">
        <v>2316</v>
      </c>
      <c r="E418" s="8">
        <v>39500</v>
      </c>
      <c r="F418" s="6"/>
      <c r="G418" s="9">
        <v>8.9473342895507813</v>
      </c>
      <c r="H418" s="9">
        <v>44.574817404670291</v>
      </c>
      <c r="I418" s="6" t="s">
        <v>1639</v>
      </c>
      <c r="J418" s="6" t="s">
        <v>2317</v>
      </c>
      <c r="K418" s="6" t="s">
        <v>56</v>
      </c>
      <c r="L418" s="6" t="s">
        <v>1620</v>
      </c>
      <c r="M418" s="10">
        <v>0</v>
      </c>
      <c r="N418" s="6" t="s">
        <v>1621</v>
      </c>
      <c r="O418" s="6">
        <v>1</v>
      </c>
    </row>
    <row r="419" spans="1:15" ht="30" customHeight="1" x14ac:dyDescent="0.2">
      <c r="A419" s="6">
        <v>418</v>
      </c>
      <c r="B419" s="6" t="s">
        <v>634</v>
      </c>
      <c r="C419" s="6" t="s">
        <v>640</v>
      </c>
      <c r="D419" s="6" t="s">
        <v>2318</v>
      </c>
      <c r="E419" s="8">
        <v>55000</v>
      </c>
      <c r="F419" s="6"/>
      <c r="G419" s="9">
        <v>10.826168060302734</v>
      </c>
      <c r="H419" s="9">
        <v>45.146876456583328</v>
      </c>
      <c r="I419" s="6" t="s">
        <v>1639</v>
      </c>
      <c r="J419" s="6" t="s">
        <v>2319</v>
      </c>
      <c r="K419" s="6" t="s">
        <v>56</v>
      </c>
      <c r="L419" s="6" t="s">
        <v>1620</v>
      </c>
      <c r="M419" s="10">
        <v>0</v>
      </c>
      <c r="N419" s="6" t="s">
        <v>1621</v>
      </c>
      <c r="O419" s="6">
        <v>1</v>
      </c>
    </row>
    <row r="420" spans="1:15" ht="30" customHeight="1" x14ac:dyDescent="0.2">
      <c r="A420" s="6">
        <v>419</v>
      </c>
      <c r="B420" s="6" t="s">
        <v>634</v>
      </c>
      <c r="C420" s="6" t="s">
        <v>640</v>
      </c>
      <c r="D420" s="6" t="s">
        <v>2320</v>
      </c>
      <c r="E420" s="8">
        <v>80000</v>
      </c>
      <c r="F420" s="6"/>
      <c r="G420" s="9">
        <v>9.9917221069335938</v>
      </c>
      <c r="H420" s="9">
        <v>45.135918445187272</v>
      </c>
      <c r="I420" s="6"/>
      <c r="J420" s="6" t="s">
        <v>2321</v>
      </c>
      <c r="K420" s="6" t="s">
        <v>56</v>
      </c>
      <c r="L420" s="6" t="s">
        <v>1620</v>
      </c>
      <c r="M420" s="10">
        <v>0</v>
      </c>
      <c r="N420" s="6" t="s">
        <v>1621</v>
      </c>
      <c r="O420" s="6">
        <v>1</v>
      </c>
    </row>
    <row r="421" spans="1:15" ht="30" customHeight="1" x14ac:dyDescent="0.2">
      <c r="A421" s="6">
        <v>420</v>
      </c>
      <c r="B421" s="6" t="s">
        <v>634</v>
      </c>
      <c r="C421" s="6" t="s">
        <v>640</v>
      </c>
      <c r="D421" s="6" t="s">
        <v>2322</v>
      </c>
      <c r="E421" s="8">
        <v>100000</v>
      </c>
      <c r="F421" s="6"/>
      <c r="G421" s="9">
        <v>14.282140731811523</v>
      </c>
      <c r="H421" s="9">
        <v>37.053190648527803</v>
      </c>
      <c r="I421" s="6" t="s">
        <v>2306</v>
      </c>
      <c r="J421" s="6" t="s">
        <v>2309</v>
      </c>
      <c r="K421" s="6" t="s">
        <v>56</v>
      </c>
      <c r="L421" s="6" t="s">
        <v>1620</v>
      </c>
      <c r="M421" s="10">
        <v>0</v>
      </c>
      <c r="N421" s="6" t="s">
        <v>1621</v>
      </c>
      <c r="O421" s="6">
        <v>1</v>
      </c>
    </row>
    <row r="422" spans="1:15" ht="30" customHeight="1" x14ac:dyDescent="0.2">
      <c r="A422" s="6">
        <v>421</v>
      </c>
      <c r="B422" s="6" t="s">
        <v>634</v>
      </c>
      <c r="C422" s="6" t="s">
        <v>640</v>
      </c>
      <c r="D422" s="6" t="s">
        <v>2323</v>
      </c>
      <c r="E422" s="8">
        <v>90000</v>
      </c>
      <c r="F422" s="6"/>
      <c r="G422" s="9">
        <v>17.19334602355957</v>
      </c>
      <c r="H422" s="9">
        <v>40.489455465540594</v>
      </c>
      <c r="I422" s="6" t="s">
        <v>2306</v>
      </c>
      <c r="J422" s="6" t="s">
        <v>2309</v>
      </c>
      <c r="K422" s="6" t="s">
        <v>56</v>
      </c>
      <c r="L422" s="6" t="s">
        <v>1620</v>
      </c>
      <c r="M422" s="10">
        <v>0</v>
      </c>
      <c r="N422" s="6" t="s">
        <v>1621</v>
      </c>
      <c r="O422" s="6">
        <v>1</v>
      </c>
    </row>
    <row r="423" spans="1:15" ht="30" customHeight="1" x14ac:dyDescent="0.2">
      <c r="A423" s="6">
        <v>422</v>
      </c>
      <c r="B423" s="6" t="s">
        <v>634</v>
      </c>
      <c r="C423" s="6" t="s">
        <v>640</v>
      </c>
      <c r="D423" s="6" t="s">
        <v>2324</v>
      </c>
      <c r="E423" s="8">
        <v>160000</v>
      </c>
      <c r="F423" s="6"/>
      <c r="G423" s="9">
        <v>15.1885986328125</v>
      </c>
      <c r="H423" s="9">
        <v>37.181860306168318</v>
      </c>
      <c r="I423" s="6"/>
      <c r="J423" s="6" t="s">
        <v>2325</v>
      </c>
      <c r="K423" s="6" t="s">
        <v>56</v>
      </c>
      <c r="L423" s="6" t="s">
        <v>1620</v>
      </c>
      <c r="M423" s="10">
        <v>0</v>
      </c>
      <c r="N423" s="6" t="s">
        <v>1621</v>
      </c>
      <c r="O423" s="6">
        <v>1</v>
      </c>
    </row>
    <row r="424" spans="1:15" ht="30" customHeight="1" x14ac:dyDescent="0.2">
      <c r="A424" s="6">
        <v>423</v>
      </c>
      <c r="B424" s="6" t="s">
        <v>634</v>
      </c>
      <c r="C424" s="6" t="s">
        <v>640</v>
      </c>
      <c r="D424" s="6" t="s">
        <v>2326</v>
      </c>
      <c r="E424" s="8">
        <v>214000</v>
      </c>
      <c r="F424" s="6"/>
      <c r="G424" s="9">
        <v>15.215463638305664</v>
      </c>
      <c r="H424" s="9">
        <v>37.12419132789794</v>
      </c>
      <c r="I424" s="6"/>
      <c r="J424" s="6" t="s">
        <v>2327</v>
      </c>
      <c r="K424" s="6" t="s">
        <v>56</v>
      </c>
      <c r="L424" s="6" t="s">
        <v>1620</v>
      </c>
      <c r="M424" s="10">
        <v>0</v>
      </c>
      <c r="N424" s="6" t="s">
        <v>1621</v>
      </c>
      <c r="O424" s="6">
        <v>1</v>
      </c>
    </row>
    <row r="425" spans="1:15" ht="30" customHeight="1" x14ac:dyDescent="0.2">
      <c r="A425" s="6">
        <v>424</v>
      </c>
      <c r="B425" s="6" t="s">
        <v>634</v>
      </c>
      <c r="C425" s="6" t="s">
        <v>640</v>
      </c>
      <c r="D425" s="6" t="s">
        <v>2328</v>
      </c>
      <c r="E425" s="8">
        <v>190000</v>
      </c>
      <c r="F425" s="6"/>
      <c r="G425" s="9">
        <v>15.171604156494141</v>
      </c>
      <c r="H425" s="9">
        <v>37.212694804156172</v>
      </c>
      <c r="I425" s="6"/>
      <c r="J425" s="6" t="s">
        <v>1633</v>
      </c>
      <c r="K425" s="6" t="s">
        <v>56</v>
      </c>
      <c r="L425" s="6" t="s">
        <v>1620</v>
      </c>
      <c r="M425" s="10">
        <v>0</v>
      </c>
      <c r="N425" s="6" t="s">
        <v>1621</v>
      </c>
      <c r="O425" s="6">
        <v>1</v>
      </c>
    </row>
    <row r="426" spans="1:15" ht="30" customHeight="1" x14ac:dyDescent="0.2">
      <c r="A426" s="6">
        <v>425</v>
      </c>
      <c r="B426" s="6" t="s">
        <v>634</v>
      </c>
      <c r="C426" s="6" t="s">
        <v>640</v>
      </c>
      <c r="D426" s="6" t="s">
        <v>2329</v>
      </c>
      <c r="E426" s="8">
        <v>80000</v>
      </c>
      <c r="F426" s="6"/>
      <c r="G426" s="9">
        <v>15.272626876831055</v>
      </c>
      <c r="H426" s="9">
        <v>38.203385528564446</v>
      </c>
      <c r="I426" s="6" t="s">
        <v>2330</v>
      </c>
      <c r="J426" s="6" t="s">
        <v>2331</v>
      </c>
      <c r="K426" s="6" t="s">
        <v>56</v>
      </c>
      <c r="L426" s="6" t="s">
        <v>1620</v>
      </c>
      <c r="M426" s="10">
        <v>0</v>
      </c>
      <c r="N426" s="6" t="s">
        <v>1621</v>
      </c>
      <c r="O426" s="6">
        <v>1</v>
      </c>
    </row>
    <row r="427" spans="1:15" ht="30" customHeight="1" x14ac:dyDescent="0.2">
      <c r="A427" s="6">
        <v>426</v>
      </c>
      <c r="B427" s="6" t="s">
        <v>634</v>
      </c>
      <c r="C427" s="6" t="s">
        <v>640</v>
      </c>
      <c r="D427" s="6" t="s">
        <v>2332</v>
      </c>
      <c r="E427" s="8">
        <v>90000</v>
      </c>
      <c r="F427" s="6"/>
      <c r="G427" s="9">
        <v>12.322711944580078</v>
      </c>
      <c r="H427" s="9">
        <v>41.858055052913045</v>
      </c>
      <c r="I427" s="6"/>
      <c r="J427" s="6" t="s">
        <v>2333</v>
      </c>
      <c r="K427" s="6" t="s">
        <v>56</v>
      </c>
      <c r="L427" s="6" t="s">
        <v>1620</v>
      </c>
      <c r="M427" s="10">
        <v>0</v>
      </c>
      <c r="N427" s="6" t="s">
        <v>1621</v>
      </c>
      <c r="O427" s="6">
        <v>1</v>
      </c>
    </row>
    <row r="428" spans="1:15" ht="30" customHeight="1" x14ac:dyDescent="0.2">
      <c r="A428" s="6">
        <v>427</v>
      </c>
      <c r="B428" s="6" t="s">
        <v>634</v>
      </c>
      <c r="C428" s="6" t="s">
        <v>640</v>
      </c>
      <c r="D428" s="6" t="s">
        <v>2334</v>
      </c>
      <c r="E428" s="8">
        <v>300000</v>
      </c>
      <c r="F428" s="6"/>
      <c r="G428" s="9">
        <v>9.0154838562011719</v>
      </c>
      <c r="H428" s="9">
        <v>39.08776913370162</v>
      </c>
      <c r="I428" s="6" t="s">
        <v>2335</v>
      </c>
      <c r="J428" s="6" t="s">
        <v>2336</v>
      </c>
      <c r="K428" s="6" t="s">
        <v>56</v>
      </c>
      <c r="L428" s="6" t="s">
        <v>1620</v>
      </c>
      <c r="M428" s="10">
        <v>0</v>
      </c>
      <c r="N428" s="6" t="s">
        <v>1621</v>
      </c>
      <c r="O428" s="6">
        <v>1</v>
      </c>
    </row>
    <row r="429" spans="1:15" ht="30" customHeight="1" x14ac:dyDescent="0.2">
      <c r="A429" s="6">
        <v>428</v>
      </c>
      <c r="B429" s="6" t="s">
        <v>458</v>
      </c>
      <c r="C429" s="6" t="s">
        <v>463</v>
      </c>
      <c r="D429" s="6" t="s">
        <v>2337</v>
      </c>
      <c r="E429" s="8">
        <v>50000</v>
      </c>
      <c r="F429" s="6"/>
      <c r="G429" s="9">
        <v>21.654996871948242</v>
      </c>
      <c r="H429" s="9">
        <v>42.000006225986581</v>
      </c>
      <c r="I429" s="6"/>
      <c r="J429" s="6" t="s">
        <v>2338</v>
      </c>
      <c r="K429" s="6" t="s">
        <v>56</v>
      </c>
      <c r="L429" s="6" t="s">
        <v>1620</v>
      </c>
      <c r="M429" s="10">
        <v>0</v>
      </c>
      <c r="N429" s="6" t="s">
        <v>1621</v>
      </c>
      <c r="O429" s="6">
        <v>1</v>
      </c>
    </row>
    <row r="430" spans="1:15" ht="30" customHeight="1" x14ac:dyDescent="0.2">
      <c r="A430" s="6">
        <v>429</v>
      </c>
      <c r="B430" s="6" t="s">
        <v>672</v>
      </c>
      <c r="C430" s="6" t="s">
        <v>677</v>
      </c>
      <c r="D430" s="6" t="s">
        <v>2339</v>
      </c>
      <c r="E430" s="8">
        <v>116826</v>
      </c>
      <c r="F430" s="6"/>
      <c r="G430" s="9">
        <v>19.865598678588867</v>
      </c>
      <c r="H430" s="9">
        <v>45.274524038371744</v>
      </c>
      <c r="I430" s="6" t="s">
        <v>2340</v>
      </c>
      <c r="J430" s="6" t="s">
        <v>2341</v>
      </c>
      <c r="K430" s="6" t="s">
        <v>56</v>
      </c>
      <c r="L430" s="6" t="s">
        <v>1620</v>
      </c>
      <c r="M430" s="10">
        <v>0</v>
      </c>
      <c r="N430" s="6" t="s">
        <v>1621</v>
      </c>
      <c r="O430" s="6">
        <v>1</v>
      </c>
    </row>
    <row r="431" spans="1:15" ht="30" customHeight="1" x14ac:dyDescent="0.2">
      <c r="A431" s="6">
        <v>430</v>
      </c>
      <c r="B431" s="6" t="s">
        <v>672</v>
      </c>
      <c r="C431" s="6" t="s">
        <v>677</v>
      </c>
      <c r="D431" s="6" t="s">
        <v>2342</v>
      </c>
      <c r="E431" s="8">
        <v>98000</v>
      </c>
      <c r="F431" s="6"/>
      <c r="G431" s="9">
        <v>20.687685012817383</v>
      </c>
      <c r="H431" s="9">
        <v>44.829273865846737</v>
      </c>
      <c r="I431" s="6" t="s">
        <v>2340</v>
      </c>
      <c r="J431" s="6" t="s">
        <v>2343</v>
      </c>
      <c r="K431" s="6" t="s">
        <v>56</v>
      </c>
      <c r="L431" s="6" t="s">
        <v>1620</v>
      </c>
      <c r="M431" s="10">
        <v>0</v>
      </c>
      <c r="N431" s="6" t="s">
        <v>1621</v>
      </c>
      <c r="O431" s="6">
        <v>1</v>
      </c>
    </row>
    <row r="432" spans="1:15" ht="30" customHeight="1" x14ac:dyDescent="0.2">
      <c r="A432" s="6">
        <v>431</v>
      </c>
      <c r="B432" s="6" t="s">
        <v>714</v>
      </c>
      <c r="C432" s="6" t="s">
        <v>719</v>
      </c>
      <c r="D432" s="6" t="s">
        <v>2344</v>
      </c>
      <c r="E432" s="8">
        <v>13500</v>
      </c>
      <c r="F432" s="6"/>
      <c r="G432" s="9">
        <v>16.453227996826172</v>
      </c>
      <c r="H432" s="9">
        <v>46.563935609993869</v>
      </c>
      <c r="I432" s="6" t="s">
        <v>1639</v>
      </c>
      <c r="J432" s="6" t="s">
        <v>2345</v>
      </c>
      <c r="K432" s="6" t="s">
        <v>56</v>
      </c>
      <c r="L432" s="6" t="s">
        <v>1620</v>
      </c>
      <c r="M432" s="10">
        <v>0</v>
      </c>
      <c r="N432" s="6" t="s">
        <v>1621</v>
      </c>
      <c r="O432" s="6">
        <v>1</v>
      </c>
    </row>
    <row r="433" spans="1:15" ht="30" customHeight="1" x14ac:dyDescent="0.2">
      <c r="A433" s="6">
        <v>432</v>
      </c>
      <c r="B433" s="6" t="s">
        <v>482</v>
      </c>
      <c r="C433" s="6" t="s">
        <v>487</v>
      </c>
      <c r="D433" s="6" t="s">
        <v>2346</v>
      </c>
      <c r="E433" s="8">
        <v>95000</v>
      </c>
      <c r="F433" s="6"/>
      <c r="G433" s="9">
        <v>34.700660705566406</v>
      </c>
      <c r="H433" s="9">
        <v>36.820072823661732</v>
      </c>
      <c r="I433" s="6" t="s">
        <v>1639</v>
      </c>
      <c r="J433" s="6" t="s">
        <v>2347</v>
      </c>
      <c r="K433" s="6" t="s">
        <v>56</v>
      </c>
      <c r="L433" s="6" t="s">
        <v>1620</v>
      </c>
      <c r="M433" s="10">
        <v>0</v>
      </c>
      <c r="N433" s="6" t="s">
        <v>1621</v>
      </c>
      <c r="O433" s="6">
        <v>1</v>
      </c>
    </row>
    <row r="434" spans="1:15" ht="30" customHeight="1" x14ac:dyDescent="0.2">
      <c r="A434" s="6">
        <v>433</v>
      </c>
      <c r="B434" s="6" t="s">
        <v>482</v>
      </c>
      <c r="C434" s="6" t="s">
        <v>487</v>
      </c>
      <c r="D434" s="6" t="s">
        <v>2348</v>
      </c>
      <c r="E434" s="8">
        <v>6000</v>
      </c>
      <c r="F434" s="6"/>
      <c r="G434" s="9">
        <v>37.149152755737305</v>
      </c>
      <c r="H434" s="9">
        <v>37.400369145426332</v>
      </c>
      <c r="I434" s="6" t="s">
        <v>1639</v>
      </c>
      <c r="J434" s="6" t="s">
        <v>2349</v>
      </c>
      <c r="K434" s="6" t="s">
        <v>56</v>
      </c>
      <c r="L434" s="6" t="s">
        <v>1620</v>
      </c>
      <c r="M434" s="10">
        <v>0</v>
      </c>
      <c r="N434" s="6" t="s">
        <v>1621</v>
      </c>
      <c r="O434" s="6">
        <v>1</v>
      </c>
    </row>
    <row r="435" spans="1:15" ht="30" customHeight="1" x14ac:dyDescent="0.2">
      <c r="A435" s="6">
        <v>434</v>
      </c>
      <c r="B435" s="6" t="s">
        <v>482</v>
      </c>
      <c r="C435" s="6" t="s">
        <v>487</v>
      </c>
      <c r="D435" s="6" t="s">
        <v>2350</v>
      </c>
      <c r="E435" s="8">
        <v>200000</v>
      </c>
      <c r="F435" s="6"/>
      <c r="G435" s="9">
        <v>26.941394805908203</v>
      </c>
      <c r="H435" s="9">
        <v>38.802928510638658</v>
      </c>
      <c r="I435" s="6" t="s">
        <v>2351</v>
      </c>
      <c r="J435" s="6" t="s">
        <v>2352</v>
      </c>
      <c r="K435" s="6" t="s">
        <v>56</v>
      </c>
      <c r="L435" s="6" t="s">
        <v>1620</v>
      </c>
      <c r="M435" s="10">
        <v>0</v>
      </c>
      <c r="N435" s="6" t="s">
        <v>1621</v>
      </c>
      <c r="O435" s="6">
        <v>1</v>
      </c>
    </row>
    <row r="436" spans="1:15" ht="30" customHeight="1" x14ac:dyDescent="0.2">
      <c r="A436" s="6">
        <v>435</v>
      </c>
      <c r="B436" s="6" t="s">
        <v>482</v>
      </c>
      <c r="C436" s="6" t="s">
        <v>487</v>
      </c>
      <c r="D436" s="6" t="s">
        <v>2353</v>
      </c>
      <c r="E436" s="8">
        <v>24000</v>
      </c>
      <c r="F436" s="6"/>
      <c r="G436" s="9">
        <v>41.142425537109375</v>
      </c>
      <c r="H436" s="9">
        <v>37.871601285073439</v>
      </c>
      <c r="I436" s="6" t="s">
        <v>2351</v>
      </c>
      <c r="J436" s="6" t="s">
        <v>2354</v>
      </c>
      <c r="K436" s="6" t="s">
        <v>56</v>
      </c>
      <c r="L436" s="6" t="s">
        <v>1620</v>
      </c>
      <c r="M436" s="10">
        <v>0</v>
      </c>
      <c r="N436" s="6" t="s">
        <v>1621</v>
      </c>
      <c r="O436" s="6">
        <v>1</v>
      </c>
    </row>
    <row r="437" spans="1:15" ht="30" customHeight="1" x14ac:dyDescent="0.2">
      <c r="A437" s="6">
        <v>436</v>
      </c>
      <c r="B437" s="6" t="s">
        <v>482</v>
      </c>
      <c r="C437" s="6" t="s">
        <v>487</v>
      </c>
      <c r="D437" s="6" t="s">
        <v>2355</v>
      </c>
      <c r="E437" s="8">
        <v>226000</v>
      </c>
      <c r="F437" s="6"/>
      <c r="G437" s="9">
        <v>29.77046012878418</v>
      </c>
      <c r="H437" s="9">
        <v>40.75063817717384</v>
      </c>
      <c r="I437" s="6" t="s">
        <v>2351</v>
      </c>
      <c r="J437" s="6" t="s">
        <v>2356</v>
      </c>
      <c r="K437" s="6" t="s">
        <v>56</v>
      </c>
      <c r="L437" s="6" t="s">
        <v>1620</v>
      </c>
      <c r="M437" s="10">
        <v>0</v>
      </c>
      <c r="N437" s="6" t="s">
        <v>1621</v>
      </c>
      <c r="O437" s="6">
        <v>1</v>
      </c>
    </row>
    <row r="438" spans="1:15" ht="30" customHeight="1" x14ac:dyDescent="0.2">
      <c r="A438" s="6">
        <v>437</v>
      </c>
      <c r="B438" s="6" t="s">
        <v>482</v>
      </c>
      <c r="C438" s="6" t="s">
        <v>487</v>
      </c>
      <c r="D438" s="6" t="s">
        <v>2357</v>
      </c>
      <c r="E438" s="8">
        <v>100000</v>
      </c>
      <c r="F438" s="6"/>
      <c r="G438" s="9">
        <v>33.460063934326172</v>
      </c>
      <c r="H438" s="9">
        <v>39.74428621972816</v>
      </c>
      <c r="I438" s="6" t="s">
        <v>2351</v>
      </c>
      <c r="J438" s="6" t="s">
        <v>2354</v>
      </c>
      <c r="K438" s="6" t="s">
        <v>56</v>
      </c>
      <c r="L438" s="6" t="s">
        <v>1620</v>
      </c>
      <c r="M438" s="10">
        <v>0</v>
      </c>
      <c r="N438" s="6" t="s">
        <v>1621</v>
      </c>
      <c r="O438" s="6">
        <v>1</v>
      </c>
    </row>
    <row r="439" spans="1:15" ht="30" customHeight="1" x14ac:dyDescent="0.2">
      <c r="A439" s="6">
        <v>438</v>
      </c>
      <c r="B439" s="6" t="s">
        <v>91</v>
      </c>
      <c r="C439" s="6" t="s">
        <v>97</v>
      </c>
      <c r="D439" s="6" t="s">
        <v>2358</v>
      </c>
      <c r="E439" s="8">
        <v>4000</v>
      </c>
      <c r="F439" s="6"/>
      <c r="G439" s="9">
        <v>-58.335256576538086</v>
      </c>
      <c r="H439" s="9">
        <v>-34.648249054938795</v>
      </c>
      <c r="I439" s="6" t="s">
        <v>1639</v>
      </c>
      <c r="J439" s="6" t="s">
        <v>2359</v>
      </c>
      <c r="K439" s="6" t="s">
        <v>56</v>
      </c>
      <c r="L439" s="6" t="s">
        <v>1620</v>
      </c>
      <c r="M439" s="10">
        <v>0</v>
      </c>
      <c r="N439" s="6" t="s">
        <v>1621</v>
      </c>
      <c r="O439" s="6">
        <v>1</v>
      </c>
    </row>
    <row r="440" spans="1:15" ht="30" customHeight="1" x14ac:dyDescent="0.2">
      <c r="A440" s="6">
        <v>439</v>
      </c>
      <c r="B440" s="6" t="s">
        <v>91</v>
      </c>
      <c r="C440" s="6" t="s">
        <v>97</v>
      </c>
      <c r="D440" s="6" t="s">
        <v>2360</v>
      </c>
      <c r="E440" s="8">
        <v>8000</v>
      </c>
      <c r="F440" s="6"/>
      <c r="G440" s="9">
        <v>-58.39756965637207</v>
      </c>
      <c r="H440" s="9">
        <v>-34.767986388955933</v>
      </c>
      <c r="I440" s="6" t="s">
        <v>1639</v>
      </c>
      <c r="J440" s="6" t="s">
        <v>2359</v>
      </c>
      <c r="K440" s="6" t="s">
        <v>56</v>
      </c>
      <c r="L440" s="6" t="s">
        <v>1620</v>
      </c>
      <c r="M440" s="10">
        <v>0</v>
      </c>
      <c r="N440" s="6" t="s">
        <v>1621</v>
      </c>
      <c r="O440" s="6">
        <v>1</v>
      </c>
    </row>
    <row r="441" spans="1:15" ht="30" customHeight="1" x14ac:dyDescent="0.2">
      <c r="A441" s="6">
        <v>440</v>
      </c>
      <c r="B441" s="6" t="s">
        <v>91</v>
      </c>
      <c r="C441" s="6" t="s">
        <v>97</v>
      </c>
      <c r="D441" s="6" t="s">
        <v>2361</v>
      </c>
      <c r="E441" s="8">
        <v>84500</v>
      </c>
      <c r="F441" s="6"/>
      <c r="G441" s="9">
        <v>-58.950662612915039</v>
      </c>
      <c r="H441" s="9">
        <v>-34.158409083011769</v>
      </c>
      <c r="I441" s="6"/>
      <c r="J441" s="6" t="s">
        <v>1633</v>
      </c>
      <c r="K441" s="6" t="s">
        <v>56</v>
      </c>
      <c r="L441" s="6" t="s">
        <v>1620</v>
      </c>
      <c r="M441" s="10">
        <v>0</v>
      </c>
      <c r="N441" s="6" t="s">
        <v>1621</v>
      </c>
      <c r="O441" s="6">
        <v>1</v>
      </c>
    </row>
    <row r="442" spans="1:15" ht="30" customHeight="1" x14ac:dyDescent="0.2">
      <c r="A442" s="6">
        <v>441</v>
      </c>
      <c r="B442" s="6" t="s">
        <v>91</v>
      </c>
      <c r="C442" s="6" t="s">
        <v>97</v>
      </c>
      <c r="D442" s="6" t="s">
        <v>2362</v>
      </c>
      <c r="E442" s="8">
        <v>32500</v>
      </c>
      <c r="F442" s="6"/>
      <c r="G442" s="9">
        <v>-63.665170669555664</v>
      </c>
      <c r="H442" s="9">
        <v>-22.203458071781121</v>
      </c>
      <c r="I442" s="6"/>
      <c r="J442" s="6" t="s">
        <v>2363</v>
      </c>
      <c r="K442" s="6" t="s">
        <v>56</v>
      </c>
      <c r="L442" s="6" t="s">
        <v>1620</v>
      </c>
      <c r="M442" s="10">
        <v>0</v>
      </c>
      <c r="N442" s="6" t="s">
        <v>1621</v>
      </c>
      <c r="O442" s="6">
        <v>1</v>
      </c>
    </row>
    <row r="443" spans="1:15" ht="30" customHeight="1" x14ac:dyDescent="0.2">
      <c r="A443" s="6">
        <v>442</v>
      </c>
      <c r="B443" s="6" t="s">
        <v>91</v>
      </c>
      <c r="C443" s="6" t="s">
        <v>97</v>
      </c>
      <c r="D443" s="6" t="s">
        <v>2364</v>
      </c>
      <c r="E443" s="8">
        <v>189000</v>
      </c>
      <c r="F443" s="6"/>
      <c r="G443" s="9">
        <v>-57.923784255981445</v>
      </c>
      <c r="H443" s="9">
        <v>-34.875650984407116</v>
      </c>
      <c r="I443" s="6" t="s">
        <v>2365</v>
      </c>
      <c r="J443" s="6" t="s">
        <v>2366</v>
      </c>
      <c r="K443" s="6" t="s">
        <v>56</v>
      </c>
      <c r="L443" s="6" t="s">
        <v>1620</v>
      </c>
      <c r="M443" s="10">
        <v>0</v>
      </c>
      <c r="N443" s="6" t="s">
        <v>1621</v>
      </c>
      <c r="O443" s="6">
        <v>1</v>
      </c>
    </row>
    <row r="444" spans="1:15" ht="30" customHeight="1" x14ac:dyDescent="0.2">
      <c r="A444" s="6">
        <v>443</v>
      </c>
      <c r="B444" s="6" t="s">
        <v>91</v>
      </c>
      <c r="C444" s="6" t="s">
        <v>97</v>
      </c>
      <c r="D444" s="6" t="s">
        <v>2367</v>
      </c>
      <c r="E444" s="8">
        <v>100000</v>
      </c>
      <c r="F444" s="6"/>
      <c r="G444" s="9">
        <v>-58.326587677001953</v>
      </c>
      <c r="H444" s="9">
        <v>-34.655803905058967</v>
      </c>
      <c r="I444" s="6"/>
      <c r="J444" s="6" t="s">
        <v>2368</v>
      </c>
      <c r="K444" s="6" t="s">
        <v>56</v>
      </c>
      <c r="L444" s="6" t="s">
        <v>1620</v>
      </c>
      <c r="M444" s="10">
        <v>0</v>
      </c>
      <c r="N444" s="6" t="s">
        <v>1621</v>
      </c>
      <c r="O444" s="6">
        <v>1</v>
      </c>
    </row>
    <row r="445" spans="1:15" ht="30" customHeight="1" x14ac:dyDescent="0.2">
      <c r="A445" s="6">
        <v>444</v>
      </c>
      <c r="B445" s="6" t="s">
        <v>91</v>
      </c>
      <c r="C445" s="6" t="s">
        <v>97</v>
      </c>
      <c r="D445" s="6" t="s">
        <v>2369</v>
      </c>
      <c r="E445" s="8">
        <v>28975</v>
      </c>
      <c r="F445" s="6"/>
      <c r="G445" s="9">
        <v>-62.299003601074219</v>
      </c>
      <c r="H445" s="9">
        <v>-38.746519311228397</v>
      </c>
      <c r="I445" s="6"/>
      <c r="J445" s="6" t="s">
        <v>2363</v>
      </c>
      <c r="K445" s="6" t="s">
        <v>56</v>
      </c>
      <c r="L445" s="6" t="s">
        <v>1620</v>
      </c>
      <c r="M445" s="10">
        <v>0</v>
      </c>
      <c r="N445" s="6" t="s">
        <v>1621</v>
      </c>
      <c r="O445" s="6">
        <v>1</v>
      </c>
    </row>
    <row r="446" spans="1:15" ht="30" customHeight="1" x14ac:dyDescent="0.2">
      <c r="A446" s="6">
        <v>445</v>
      </c>
      <c r="B446" s="6" t="s">
        <v>91</v>
      </c>
      <c r="C446" s="6" t="s">
        <v>97</v>
      </c>
      <c r="D446" s="6" t="s">
        <v>2370</v>
      </c>
      <c r="E446" s="8">
        <v>37600</v>
      </c>
      <c r="F446" s="6"/>
      <c r="G446" s="9">
        <v>-60.744524002075195</v>
      </c>
      <c r="H446" s="9">
        <v>-32.721082198891033</v>
      </c>
      <c r="I446" s="6"/>
      <c r="J446" s="6" t="s">
        <v>2363</v>
      </c>
      <c r="K446" s="6" t="s">
        <v>56</v>
      </c>
      <c r="L446" s="6" t="s">
        <v>1620</v>
      </c>
      <c r="M446" s="10">
        <v>0</v>
      </c>
      <c r="N446" s="6" t="s">
        <v>1621</v>
      </c>
      <c r="O446" s="6">
        <v>1</v>
      </c>
    </row>
    <row r="447" spans="1:15" ht="30" customHeight="1" x14ac:dyDescent="0.2">
      <c r="A447" s="6">
        <v>446</v>
      </c>
      <c r="B447" s="6" t="s">
        <v>91</v>
      </c>
      <c r="C447" s="6" t="s">
        <v>97</v>
      </c>
      <c r="D447" s="6" t="s">
        <v>2371</v>
      </c>
      <c r="E447" s="8">
        <v>106000</v>
      </c>
      <c r="F447" s="6"/>
      <c r="G447" s="9">
        <v>-68.970451354980469</v>
      </c>
      <c r="H447" s="9">
        <v>-33.067592626772033</v>
      </c>
      <c r="I447" s="6" t="s">
        <v>2365</v>
      </c>
      <c r="J447" s="6" t="s">
        <v>2366</v>
      </c>
      <c r="K447" s="6" t="s">
        <v>56</v>
      </c>
      <c r="L447" s="6" t="s">
        <v>1620</v>
      </c>
      <c r="M447" s="10">
        <v>0</v>
      </c>
      <c r="N447" s="6" t="s">
        <v>1621</v>
      </c>
      <c r="O447" s="6">
        <v>1</v>
      </c>
    </row>
    <row r="448" spans="1:15" ht="30" customHeight="1" x14ac:dyDescent="0.2">
      <c r="A448" s="6">
        <v>447</v>
      </c>
      <c r="B448" s="6" t="s">
        <v>91</v>
      </c>
      <c r="C448" s="6" t="s">
        <v>97</v>
      </c>
      <c r="D448" s="6" t="s">
        <v>2372</v>
      </c>
      <c r="E448" s="8">
        <v>25000</v>
      </c>
      <c r="F448" s="6"/>
      <c r="G448" s="9">
        <v>-69.183740615844727</v>
      </c>
      <c r="H448" s="9">
        <v>-38.927165449476227</v>
      </c>
      <c r="I448" s="6" t="s">
        <v>2365</v>
      </c>
      <c r="J448" s="6" t="s">
        <v>2366</v>
      </c>
      <c r="K448" s="6" t="s">
        <v>56</v>
      </c>
      <c r="L448" s="6" t="s">
        <v>1620</v>
      </c>
      <c r="M448" s="10">
        <v>0</v>
      </c>
      <c r="N448" s="6" t="s">
        <v>1621</v>
      </c>
      <c r="O448" s="6">
        <v>1</v>
      </c>
    </row>
    <row r="449" spans="1:15" ht="30" customHeight="1" x14ac:dyDescent="0.2">
      <c r="A449" s="6">
        <v>448</v>
      </c>
      <c r="B449" s="6" t="s">
        <v>76</v>
      </c>
      <c r="C449" s="6" t="s">
        <v>82</v>
      </c>
      <c r="D449" s="6" t="s">
        <v>2373</v>
      </c>
      <c r="E449" s="8">
        <v>20000</v>
      </c>
      <c r="F449" s="6"/>
      <c r="G449" s="9">
        <v>-63.202543258666992</v>
      </c>
      <c r="H449" s="9">
        <v>-17.875347066185178</v>
      </c>
      <c r="I449" s="6"/>
      <c r="J449" s="6" t="s">
        <v>2374</v>
      </c>
      <c r="K449" s="6" t="s">
        <v>56</v>
      </c>
      <c r="L449" s="6" t="s">
        <v>1620</v>
      </c>
      <c r="M449" s="10">
        <v>0</v>
      </c>
      <c r="N449" s="6" t="s">
        <v>1621</v>
      </c>
      <c r="O449" s="6">
        <v>1</v>
      </c>
    </row>
    <row r="450" spans="1:15" ht="30" customHeight="1" x14ac:dyDescent="0.2">
      <c r="A450" s="6">
        <v>449</v>
      </c>
      <c r="B450" s="6" t="s">
        <v>76</v>
      </c>
      <c r="C450" s="6" t="s">
        <v>82</v>
      </c>
      <c r="D450" s="6" t="s">
        <v>2375</v>
      </c>
      <c r="E450" s="8"/>
      <c r="F450" s="6"/>
      <c r="G450" s="9">
        <v>-66.164474487304688</v>
      </c>
      <c r="H450" s="9">
        <v>-17.378654648452109</v>
      </c>
      <c r="I450" s="6"/>
      <c r="J450" s="6" t="s">
        <v>2374</v>
      </c>
      <c r="K450" s="6" t="s">
        <v>56</v>
      </c>
      <c r="L450" s="6" t="s">
        <v>1620</v>
      </c>
      <c r="M450" s="10">
        <v>0</v>
      </c>
      <c r="N450" s="6" t="s">
        <v>1621</v>
      </c>
      <c r="O450" s="6">
        <v>0</v>
      </c>
    </row>
    <row r="451" spans="1:15" ht="30" customHeight="1" x14ac:dyDescent="0.2">
      <c r="A451" s="6">
        <v>450</v>
      </c>
      <c r="B451" s="6" t="s">
        <v>349</v>
      </c>
      <c r="C451" s="6" t="s">
        <v>355</v>
      </c>
      <c r="D451" s="6" t="s">
        <v>2376</v>
      </c>
      <c r="E451" s="8">
        <v>12500</v>
      </c>
      <c r="F451" s="6"/>
      <c r="G451" s="9">
        <v>-52.097253799438477</v>
      </c>
      <c r="H451" s="9">
        <v>-32.078647437185161</v>
      </c>
      <c r="I451" s="6"/>
      <c r="J451" s="6" t="s">
        <v>2377</v>
      </c>
      <c r="K451" s="6" t="s">
        <v>56</v>
      </c>
      <c r="L451" s="6" t="s">
        <v>1620</v>
      </c>
      <c r="M451" s="10">
        <v>0</v>
      </c>
      <c r="N451" s="6" t="s">
        <v>1621</v>
      </c>
      <c r="O451" s="6">
        <v>1</v>
      </c>
    </row>
    <row r="452" spans="1:15" ht="30" customHeight="1" x14ac:dyDescent="0.2">
      <c r="A452" s="6">
        <v>451</v>
      </c>
      <c r="B452" s="6" t="s">
        <v>349</v>
      </c>
      <c r="C452" s="6" t="s">
        <v>355</v>
      </c>
      <c r="D452" s="6" t="s">
        <v>2378</v>
      </c>
      <c r="E452" s="8">
        <v>189000</v>
      </c>
      <c r="F452" s="6"/>
      <c r="G452" s="9">
        <v>-51.165475845336914</v>
      </c>
      <c r="H452" s="9">
        <v>-29.874364339333553</v>
      </c>
      <c r="I452" s="6"/>
      <c r="J452" s="6" t="s">
        <v>2363</v>
      </c>
      <c r="K452" s="6" t="s">
        <v>56</v>
      </c>
      <c r="L452" s="6" t="s">
        <v>1620</v>
      </c>
      <c r="M452" s="10">
        <v>0</v>
      </c>
      <c r="N452" s="6" t="s">
        <v>1621</v>
      </c>
      <c r="O452" s="6">
        <v>1</v>
      </c>
    </row>
    <row r="453" spans="1:15" ht="30" customHeight="1" x14ac:dyDescent="0.2">
      <c r="A453" s="6">
        <v>452</v>
      </c>
      <c r="B453" s="6" t="s">
        <v>349</v>
      </c>
      <c r="C453" s="6" t="s">
        <v>355</v>
      </c>
      <c r="D453" s="6" t="s">
        <v>2379</v>
      </c>
      <c r="E453" s="8">
        <v>196000</v>
      </c>
      <c r="F453" s="6"/>
      <c r="G453" s="9">
        <v>-49.358224868774414</v>
      </c>
      <c r="H453" s="9">
        <v>-25.567607518001516</v>
      </c>
      <c r="I453" s="6"/>
      <c r="J453" s="6" t="s">
        <v>2363</v>
      </c>
      <c r="K453" s="6" t="s">
        <v>56</v>
      </c>
      <c r="L453" s="6" t="s">
        <v>1620</v>
      </c>
      <c r="M453" s="10">
        <v>0</v>
      </c>
      <c r="N453" s="6" t="s">
        <v>1621</v>
      </c>
      <c r="O453" s="6">
        <v>1</v>
      </c>
    </row>
    <row r="454" spans="1:15" ht="30" customHeight="1" x14ac:dyDescent="0.2">
      <c r="A454" s="6">
        <v>453</v>
      </c>
      <c r="B454" s="6" t="s">
        <v>349</v>
      </c>
      <c r="C454" s="6" t="s">
        <v>355</v>
      </c>
      <c r="D454" s="6" t="s">
        <v>2380</v>
      </c>
      <c r="E454" s="8">
        <v>242000</v>
      </c>
      <c r="F454" s="6"/>
      <c r="G454" s="9">
        <v>-43.266992568969727</v>
      </c>
      <c r="H454" s="9">
        <v>-22.719902816166499</v>
      </c>
      <c r="I454" s="6"/>
      <c r="J454" s="6" t="s">
        <v>2363</v>
      </c>
      <c r="K454" s="6" t="s">
        <v>56</v>
      </c>
      <c r="L454" s="6" t="s">
        <v>1620</v>
      </c>
      <c r="M454" s="10">
        <v>0</v>
      </c>
      <c r="N454" s="6" t="s">
        <v>1621</v>
      </c>
      <c r="O454" s="6">
        <v>1</v>
      </c>
    </row>
    <row r="455" spans="1:15" ht="30" customHeight="1" x14ac:dyDescent="0.2">
      <c r="A455" s="6">
        <v>454</v>
      </c>
      <c r="B455" s="6" t="s">
        <v>349</v>
      </c>
      <c r="C455" s="6" t="s">
        <v>355</v>
      </c>
      <c r="D455" s="6" t="s">
        <v>2381</v>
      </c>
      <c r="E455" s="8">
        <v>53000</v>
      </c>
      <c r="F455" s="6"/>
      <c r="G455" s="9">
        <v>-46.475687026977539</v>
      </c>
      <c r="H455" s="9">
        <v>-23.641143266249088</v>
      </c>
      <c r="I455" s="6"/>
      <c r="J455" s="6" t="s">
        <v>2363</v>
      </c>
      <c r="K455" s="6" t="s">
        <v>56</v>
      </c>
      <c r="L455" s="6" t="s">
        <v>1620</v>
      </c>
      <c r="M455" s="10">
        <v>0</v>
      </c>
      <c r="N455" s="6" t="s">
        <v>1621</v>
      </c>
      <c r="O455" s="6">
        <v>1</v>
      </c>
    </row>
    <row r="456" spans="1:15" ht="30" customHeight="1" x14ac:dyDescent="0.2">
      <c r="A456" s="6">
        <v>455</v>
      </c>
      <c r="B456" s="6" t="s">
        <v>349</v>
      </c>
      <c r="C456" s="6" t="s">
        <v>355</v>
      </c>
      <c r="D456" s="6" t="s">
        <v>2382</v>
      </c>
      <c r="E456" s="8">
        <v>151000</v>
      </c>
      <c r="F456" s="6"/>
      <c r="G456" s="9">
        <v>-44.096803665161133</v>
      </c>
      <c r="H456" s="9">
        <v>-19.976736810354339</v>
      </c>
      <c r="I456" s="6"/>
      <c r="J456" s="6" t="s">
        <v>2363</v>
      </c>
      <c r="K456" s="6" t="s">
        <v>56</v>
      </c>
      <c r="L456" s="6" t="s">
        <v>1620</v>
      </c>
      <c r="M456" s="10">
        <v>0</v>
      </c>
      <c r="N456" s="6" t="s">
        <v>1621</v>
      </c>
      <c r="O456" s="6">
        <v>1</v>
      </c>
    </row>
    <row r="457" spans="1:15" ht="30" customHeight="1" x14ac:dyDescent="0.2">
      <c r="A457" s="6">
        <v>456</v>
      </c>
      <c r="B457" s="6" t="s">
        <v>349</v>
      </c>
      <c r="C457" s="6" t="s">
        <v>355</v>
      </c>
      <c r="D457" s="6" t="s">
        <v>2383</v>
      </c>
      <c r="E457" s="8">
        <v>170000</v>
      </c>
      <c r="F457" s="6"/>
      <c r="G457" s="9">
        <v>-46.434574127197266</v>
      </c>
      <c r="H457" s="9">
        <v>-23.86778612393984</v>
      </c>
      <c r="I457" s="6"/>
      <c r="J457" s="6" t="s">
        <v>2363</v>
      </c>
      <c r="K457" s="6" t="s">
        <v>56</v>
      </c>
      <c r="L457" s="6" t="s">
        <v>1620</v>
      </c>
      <c r="M457" s="10">
        <v>0</v>
      </c>
      <c r="N457" s="6" t="s">
        <v>1621</v>
      </c>
      <c r="O457" s="6">
        <v>1</v>
      </c>
    </row>
    <row r="458" spans="1:15" ht="30" customHeight="1" x14ac:dyDescent="0.2">
      <c r="A458" s="6">
        <v>457</v>
      </c>
      <c r="B458" s="6" t="s">
        <v>349</v>
      </c>
      <c r="C458" s="6" t="s">
        <v>355</v>
      </c>
      <c r="D458" s="6" t="s">
        <v>2384</v>
      </c>
      <c r="E458" s="8">
        <v>307000</v>
      </c>
      <c r="F458" s="6"/>
      <c r="G458" s="9">
        <v>-38.576774597167969</v>
      </c>
      <c r="H458" s="9">
        <v>-12.702222347868242</v>
      </c>
      <c r="I458" s="6"/>
      <c r="J458" s="6" t="s">
        <v>2363</v>
      </c>
      <c r="K458" s="6" t="s">
        <v>56</v>
      </c>
      <c r="L458" s="6" t="s">
        <v>1620</v>
      </c>
      <c r="M458" s="10">
        <v>0</v>
      </c>
      <c r="N458" s="6" t="s">
        <v>1621</v>
      </c>
      <c r="O458" s="6">
        <v>1</v>
      </c>
    </row>
    <row r="459" spans="1:15" ht="30" customHeight="1" x14ac:dyDescent="0.2">
      <c r="A459" s="6">
        <v>458</v>
      </c>
      <c r="B459" s="6" t="s">
        <v>349</v>
      </c>
      <c r="C459" s="6" t="s">
        <v>355</v>
      </c>
      <c r="D459" s="6" t="s">
        <v>2385</v>
      </c>
      <c r="E459" s="8">
        <v>6000</v>
      </c>
      <c r="F459" s="6"/>
      <c r="G459" s="9">
        <v>-38.469314575195313</v>
      </c>
      <c r="H459" s="9">
        <v>-3.716606235509516</v>
      </c>
      <c r="I459" s="6"/>
      <c r="J459" s="6" t="s">
        <v>2363</v>
      </c>
      <c r="K459" s="6" t="s">
        <v>56</v>
      </c>
      <c r="L459" s="6" t="s">
        <v>1620</v>
      </c>
      <c r="M459" s="10">
        <v>0</v>
      </c>
      <c r="N459" s="6" t="s">
        <v>1621</v>
      </c>
      <c r="O459" s="6">
        <v>1</v>
      </c>
    </row>
    <row r="460" spans="1:15" ht="30" customHeight="1" x14ac:dyDescent="0.2">
      <c r="A460" s="6">
        <v>459</v>
      </c>
      <c r="B460" s="6" t="s">
        <v>349</v>
      </c>
      <c r="C460" s="6" t="s">
        <v>355</v>
      </c>
      <c r="D460" s="6" t="s">
        <v>2386</v>
      </c>
      <c r="E460" s="8">
        <v>360000</v>
      </c>
      <c r="F460" s="6"/>
      <c r="G460" s="9">
        <v>-47.12834358215332</v>
      </c>
      <c r="H460" s="9">
        <v>-22.72758214582576</v>
      </c>
      <c r="I460" s="6"/>
      <c r="J460" s="6" t="s">
        <v>2363</v>
      </c>
      <c r="K460" s="6" t="s">
        <v>56</v>
      </c>
      <c r="L460" s="6" t="s">
        <v>1620</v>
      </c>
      <c r="M460" s="10">
        <v>0</v>
      </c>
      <c r="N460" s="6" t="s">
        <v>1621</v>
      </c>
      <c r="O460" s="6">
        <v>1</v>
      </c>
    </row>
    <row r="461" spans="1:15" ht="30" customHeight="1" x14ac:dyDescent="0.2">
      <c r="A461" s="6">
        <v>460</v>
      </c>
      <c r="B461" s="6" t="s">
        <v>349</v>
      </c>
      <c r="C461" s="6" t="s">
        <v>355</v>
      </c>
      <c r="D461" s="6" t="s">
        <v>2387</v>
      </c>
      <c r="E461" s="8">
        <v>226000</v>
      </c>
      <c r="F461" s="6"/>
      <c r="G461" s="9">
        <v>-45.820713043212891</v>
      </c>
      <c r="H461" s="9">
        <v>-23.190862576873613</v>
      </c>
      <c r="I461" s="6"/>
      <c r="J461" s="6" t="s">
        <v>2363</v>
      </c>
      <c r="K461" s="6" t="s">
        <v>56</v>
      </c>
      <c r="L461" s="6" t="s">
        <v>1620</v>
      </c>
      <c r="M461" s="10">
        <v>0</v>
      </c>
      <c r="N461" s="6" t="s">
        <v>1621</v>
      </c>
      <c r="O461" s="6">
        <v>1</v>
      </c>
    </row>
    <row r="462" spans="1:15" ht="30" customHeight="1" x14ac:dyDescent="0.2">
      <c r="A462" s="6">
        <v>461</v>
      </c>
      <c r="B462" s="6" t="s">
        <v>349</v>
      </c>
      <c r="C462" s="6" t="s">
        <v>355</v>
      </c>
      <c r="D462" s="6" t="s">
        <v>2388</v>
      </c>
      <c r="E462" s="8">
        <v>46000</v>
      </c>
      <c r="F462" s="6"/>
      <c r="G462" s="9">
        <v>-59.954023361206055</v>
      </c>
      <c r="H462" s="9">
        <v>-3.1476293279912406</v>
      </c>
      <c r="I462" s="6"/>
      <c r="J462" s="6" t="s">
        <v>2363</v>
      </c>
      <c r="K462" s="6" t="s">
        <v>56</v>
      </c>
      <c r="L462" s="6" t="s">
        <v>1620</v>
      </c>
      <c r="M462" s="10">
        <v>0</v>
      </c>
      <c r="N462" s="6" t="s">
        <v>1621</v>
      </c>
      <c r="O462" s="6">
        <v>1</v>
      </c>
    </row>
    <row r="463" spans="1:15" ht="30" customHeight="1" x14ac:dyDescent="0.2">
      <c r="A463" s="6">
        <v>462</v>
      </c>
      <c r="B463" s="6" t="s">
        <v>349</v>
      </c>
      <c r="C463" s="6" t="s">
        <v>355</v>
      </c>
      <c r="D463" s="6" t="s">
        <v>2389</v>
      </c>
      <c r="E463" s="8">
        <v>14000</v>
      </c>
      <c r="F463" s="6"/>
      <c r="G463" s="9">
        <v>-43.237209320068359</v>
      </c>
      <c r="H463" s="9">
        <v>-22.886692406902107</v>
      </c>
      <c r="I463" s="6"/>
      <c r="J463" s="6" t="s">
        <v>2390</v>
      </c>
      <c r="K463" s="6" t="s">
        <v>56</v>
      </c>
      <c r="L463" s="6" t="s">
        <v>1620</v>
      </c>
      <c r="M463" s="10">
        <v>0</v>
      </c>
      <c r="N463" s="6" t="s">
        <v>1621</v>
      </c>
      <c r="O463" s="6">
        <v>1</v>
      </c>
    </row>
    <row r="464" spans="1:15" ht="30" customHeight="1" x14ac:dyDescent="0.2">
      <c r="A464" s="6">
        <v>463</v>
      </c>
      <c r="B464" s="6" t="s">
        <v>67</v>
      </c>
      <c r="C464" s="6" t="s">
        <v>75</v>
      </c>
      <c r="D464" s="6" t="s">
        <v>2391</v>
      </c>
      <c r="E464" s="8">
        <v>97650</v>
      </c>
      <c r="F464" s="6"/>
      <c r="G464" s="9">
        <v>-71.501169204711914</v>
      </c>
      <c r="H464" s="9">
        <v>-32.928517168954656</v>
      </c>
      <c r="I464" s="6"/>
      <c r="J464" s="6" t="s">
        <v>2392</v>
      </c>
      <c r="K464" s="6" t="s">
        <v>56</v>
      </c>
      <c r="L464" s="6" t="s">
        <v>1620</v>
      </c>
      <c r="M464" s="10">
        <v>0</v>
      </c>
      <c r="N464" s="6" t="s">
        <v>1621</v>
      </c>
      <c r="O464" s="6">
        <v>1</v>
      </c>
    </row>
    <row r="465" spans="1:15" ht="30" customHeight="1" x14ac:dyDescent="0.2">
      <c r="A465" s="6">
        <v>464</v>
      </c>
      <c r="B465" s="6" t="s">
        <v>67</v>
      </c>
      <c r="C465" s="6" t="s">
        <v>75</v>
      </c>
      <c r="D465" s="6" t="s">
        <v>2393</v>
      </c>
      <c r="E465" s="8">
        <v>15700</v>
      </c>
      <c r="F465" s="6"/>
      <c r="G465" s="9">
        <v>-70.874433517456055</v>
      </c>
      <c r="H465" s="9">
        <v>-53.134516715450452</v>
      </c>
      <c r="I465" s="6"/>
      <c r="J465" s="6" t="s">
        <v>2392</v>
      </c>
      <c r="K465" s="6" t="s">
        <v>56</v>
      </c>
      <c r="L465" s="6" t="s">
        <v>1629</v>
      </c>
      <c r="M465" s="10">
        <v>1.7729999999999999</v>
      </c>
      <c r="N465" s="6" t="s">
        <v>1621</v>
      </c>
      <c r="O465" s="6">
        <v>1</v>
      </c>
    </row>
    <row r="466" spans="1:15" ht="30" customHeight="1" x14ac:dyDescent="0.2">
      <c r="A466" s="6">
        <v>465</v>
      </c>
      <c r="B466" s="6" t="s">
        <v>67</v>
      </c>
      <c r="C466" s="6" t="s">
        <v>75</v>
      </c>
      <c r="D466" s="6" t="s">
        <v>2394</v>
      </c>
      <c r="E466" s="8">
        <v>113400</v>
      </c>
      <c r="F466" s="6"/>
      <c r="G466" s="9">
        <v>-73.125171661376953</v>
      </c>
      <c r="H466" s="9">
        <v>-36.77917986771061</v>
      </c>
      <c r="I466" s="6"/>
      <c r="J466" s="6" t="s">
        <v>2392</v>
      </c>
      <c r="K466" s="6" t="s">
        <v>56</v>
      </c>
      <c r="L466" s="6" t="s">
        <v>1620</v>
      </c>
      <c r="M466" s="10">
        <v>0</v>
      </c>
      <c r="N466" s="6" t="s">
        <v>1621</v>
      </c>
      <c r="O466" s="6">
        <v>1</v>
      </c>
    </row>
    <row r="467" spans="1:15" ht="30" customHeight="1" x14ac:dyDescent="0.2">
      <c r="A467" s="6">
        <v>466</v>
      </c>
      <c r="B467" s="6" t="s">
        <v>911</v>
      </c>
      <c r="C467" s="6" t="s">
        <v>916</v>
      </c>
      <c r="D467" s="6" t="s">
        <v>2395</v>
      </c>
      <c r="E467" s="8">
        <v>1800</v>
      </c>
      <c r="F467" s="6"/>
      <c r="G467" s="9">
        <v>-72.739362716674805</v>
      </c>
      <c r="H467" s="9">
        <v>8.6378797734634958</v>
      </c>
      <c r="I467" s="6" t="s">
        <v>2396</v>
      </c>
      <c r="J467" s="6" t="s">
        <v>2397</v>
      </c>
      <c r="K467" s="6" t="s">
        <v>56</v>
      </c>
      <c r="L467" s="6" t="s">
        <v>1620</v>
      </c>
      <c r="M467" s="10">
        <v>0</v>
      </c>
      <c r="N467" s="6" t="s">
        <v>1621</v>
      </c>
      <c r="O467" s="6">
        <v>1</v>
      </c>
    </row>
    <row r="468" spans="1:15" ht="30" customHeight="1" x14ac:dyDescent="0.2">
      <c r="A468" s="6">
        <v>467</v>
      </c>
      <c r="B468" s="6" t="s">
        <v>911</v>
      </c>
      <c r="C468" s="6" t="s">
        <v>916</v>
      </c>
      <c r="D468" s="6" t="s">
        <v>2398</v>
      </c>
      <c r="E468" s="8">
        <v>1800</v>
      </c>
      <c r="F468" s="6"/>
      <c r="G468" s="9">
        <v>-76.877775192260742</v>
      </c>
      <c r="H468" s="9">
        <v>0.67598681929191506</v>
      </c>
      <c r="I468" s="6" t="s">
        <v>2396</v>
      </c>
      <c r="J468" s="6" t="s">
        <v>2397</v>
      </c>
      <c r="K468" s="6" t="s">
        <v>56</v>
      </c>
      <c r="L468" s="6" t="s">
        <v>1620</v>
      </c>
      <c r="M468" s="10">
        <v>0</v>
      </c>
      <c r="N468" s="6" t="s">
        <v>1621</v>
      </c>
      <c r="O468" s="6">
        <v>1</v>
      </c>
    </row>
    <row r="469" spans="1:15" ht="30" customHeight="1" x14ac:dyDescent="0.2">
      <c r="A469" s="6">
        <v>468</v>
      </c>
      <c r="B469" s="6" t="s">
        <v>911</v>
      </c>
      <c r="C469" s="6" t="s">
        <v>916</v>
      </c>
      <c r="D469" s="6" t="s">
        <v>2399</v>
      </c>
      <c r="E469" s="8">
        <v>2250</v>
      </c>
      <c r="F469" s="6"/>
      <c r="G469" s="9">
        <v>-73.047666549682617</v>
      </c>
      <c r="H469" s="9">
        <v>4.0730935567010684</v>
      </c>
      <c r="I469" s="6" t="s">
        <v>2396</v>
      </c>
      <c r="J469" s="6" t="s">
        <v>2397</v>
      </c>
      <c r="K469" s="6" t="s">
        <v>56</v>
      </c>
      <c r="L469" s="6" t="s">
        <v>1620</v>
      </c>
      <c r="M469" s="10">
        <v>0</v>
      </c>
      <c r="N469" s="6" t="s">
        <v>1621</v>
      </c>
      <c r="O469" s="6">
        <v>1</v>
      </c>
    </row>
    <row r="470" spans="1:15" ht="30" customHeight="1" x14ac:dyDescent="0.2">
      <c r="A470" s="6">
        <v>469</v>
      </c>
      <c r="B470" s="6" t="s">
        <v>911</v>
      </c>
      <c r="C470" s="6" t="s">
        <v>916</v>
      </c>
      <c r="D470" s="6" t="s">
        <v>2400</v>
      </c>
      <c r="E470" s="8">
        <v>205000</v>
      </c>
      <c r="F470" s="6"/>
      <c r="G470" s="9">
        <v>-73.878250122070313</v>
      </c>
      <c r="H470" s="9">
        <v>7.0720183307429636</v>
      </c>
      <c r="I470" s="6" t="s">
        <v>2396</v>
      </c>
      <c r="J470" s="6" t="s">
        <v>2397</v>
      </c>
      <c r="K470" s="6" t="s">
        <v>56</v>
      </c>
      <c r="L470" s="6" t="s">
        <v>1620</v>
      </c>
      <c r="M470" s="10">
        <v>0</v>
      </c>
      <c r="N470" s="6" t="s">
        <v>1621</v>
      </c>
      <c r="O470" s="6">
        <v>1</v>
      </c>
    </row>
    <row r="471" spans="1:15" ht="30" customHeight="1" x14ac:dyDescent="0.2">
      <c r="A471" s="6">
        <v>470</v>
      </c>
      <c r="B471" s="6" t="s">
        <v>911</v>
      </c>
      <c r="C471" s="6" t="s">
        <v>916</v>
      </c>
      <c r="D471" s="6" t="s">
        <v>2401</v>
      </c>
      <c r="E471" s="8">
        <v>76700</v>
      </c>
      <c r="F471" s="6"/>
      <c r="G471" s="9">
        <v>-75.502595901489258</v>
      </c>
      <c r="H471" s="9">
        <v>10.316608151906445</v>
      </c>
      <c r="I471" s="6" t="s">
        <v>2396</v>
      </c>
      <c r="J471" s="6" t="s">
        <v>2397</v>
      </c>
      <c r="K471" s="6" t="s">
        <v>56</v>
      </c>
      <c r="L471" s="6" t="s">
        <v>1620</v>
      </c>
      <c r="M471" s="10">
        <v>0</v>
      </c>
      <c r="N471" s="6" t="s">
        <v>1621</v>
      </c>
      <c r="O471" s="6">
        <v>1</v>
      </c>
    </row>
    <row r="472" spans="1:15" ht="30" customHeight="1" x14ac:dyDescent="0.2">
      <c r="A472" s="6">
        <v>471</v>
      </c>
      <c r="B472" s="6" t="s">
        <v>905</v>
      </c>
      <c r="C472" s="6" t="s">
        <v>910</v>
      </c>
      <c r="D472" s="6" t="s">
        <v>2402</v>
      </c>
      <c r="E472" s="8">
        <v>110000</v>
      </c>
      <c r="F472" s="6"/>
      <c r="G472" s="9">
        <v>-79.692850112915039</v>
      </c>
      <c r="H472" s="9">
        <v>0.93319581377153338</v>
      </c>
      <c r="I472" s="6" t="s">
        <v>2403</v>
      </c>
      <c r="J472" s="6" t="s">
        <v>2404</v>
      </c>
      <c r="K472" s="6" t="s">
        <v>56</v>
      </c>
      <c r="L472" s="6" t="s">
        <v>1620</v>
      </c>
      <c r="M472" s="10">
        <v>0</v>
      </c>
      <c r="N472" s="6" t="s">
        <v>1621</v>
      </c>
      <c r="O472" s="6">
        <v>1</v>
      </c>
    </row>
    <row r="473" spans="1:15" ht="30" customHeight="1" x14ac:dyDescent="0.2">
      <c r="A473" s="6">
        <v>472</v>
      </c>
      <c r="B473" s="6" t="s">
        <v>905</v>
      </c>
      <c r="C473" s="6" t="s">
        <v>910</v>
      </c>
      <c r="D473" s="6" t="s">
        <v>2405</v>
      </c>
      <c r="E473" s="8">
        <v>45000</v>
      </c>
      <c r="F473" s="6"/>
      <c r="G473" s="9">
        <v>-80.899372100830078</v>
      </c>
      <c r="H473" s="9">
        <v>-2.2254591142848432</v>
      </c>
      <c r="I473" s="6" t="s">
        <v>2403</v>
      </c>
      <c r="J473" s="6" t="s">
        <v>2404</v>
      </c>
      <c r="K473" s="6" t="s">
        <v>56</v>
      </c>
      <c r="L473" s="6" t="s">
        <v>1620</v>
      </c>
      <c r="M473" s="10">
        <v>0</v>
      </c>
      <c r="N473" s="6" t="s">
        <v>1621</v>
      </c>
      <c r="O473" s="6">
        <v>1</v>
      </c>
    </row>
    <row r="474" spans="1:15" ht="30" customHeight="1" x14ac:dyDescent="0.2">
      <c r="A474" s="6">
        <v>473</v>
      </c>
      <c r="B474" s="6" t="s">
        <v>905</v>
      </c>
      <c r="C474" s="6" t="s">
        <v>910</v>
      </c>
      <c r="D474" s="6" t="s">
        <v>2406</v>
      </c>
      <c r="E474" s="8">
        <v>20000</v>
      </c>
      <c r="F474" s="6"/>
      <c r="G474" s="9">
        <v>-76.645259857177734</v>
      </c>
      <c r="H474" s="9">
        <v>-0.19320451361286234</v>
      </c>
      <c r="I474" s="6" t="s">
        <v>2403</v>
      </c>
      <c r="J474" s="6" t="s">
        <v>2404</v>
      </c>
      <c r="K474" s="6" t="s">
        <v>56</v>
      </c>
      <c r="L474" s="6" t="s">
        <v>1620</v>
      </c>
      <c r="M474" s="10">
        <v>0</v>
      </c>
      <c r="N474" s="6" t="s">
        <v>1621</v>
      </c>
      <c r="O474" s="6">
        <v>1</v>
      </c>
    </row>
    <row r="475" spans="1:15" ht="30" customHeight="1" x14ac:dyDescent="0.2">
      <c r="A475" s="6">
        <v>474</v>
      </c>
      <c r="B475" s="6" t="s">
        <v>917</v>
      </c>
      <c r="C475" s="6" t="s">
        <v>922</v>
      </c>
      <c r="D475" s="6" t="s">
        <v>2407</v>
      </c>
      <c r="E475" s="8">
        <v>7500</v>
      </c>
      <c r="F475" s="6"/>
      <c r="G475" s="9">
        <v>-57.604751586914063</v>
      </c>
      <c r="H475" s="9">
        <v>-25.386139105257278</v>
      </c>
      <c r="I475" s="6"/>
      <c r="J475" s="6" t="s">
        <v>2408</v>
      </c>
      <c r="K475" s="6" t="s">
        <v>56</v>
      </c>
      <c r="L475" s="6" t="s">
        <v>1620</v>
      </c>
      <c r="M475" s="10">
        <v>0</v>
      </c>
      <c r="N475" s="6" t="s">
        <v>1621</v>
      </c>
      <c r="O475" s="6">
        <v>1</v>
      </c>
    </row>
    <row r="476" spans="1:15" ht="30" customHeight="1" x14ac:dyDescent="0.2">
      <c r="A476" s="6">
        <v>475</v>
      </c>
      <c r="B476" s="6" t="s">
        <v>84</v>
      </c>
      <c r="C476" s="6" t="s">
        <v>90</v>
      </c>
      <c r="D476" s="6" t="s">
        <v>2409</v>
      </c>
      <c r="E476" s="8">
        <v>3250</v>
      </c>
      <c r="F476" s="6"/>
      <c r="G476" s="9">
        <v>-74.533052444458008</v>
      </c>
      <c r="H476" s="9">
        <v>-8.3923089166816389</v>
      </c>
      <c r="I476" s="6" t="s">
        <v>1639</v>
      </c>
      <c r="J476" s="6" t="s">
        <v>2410</v>
      </c>
      <c r="K476" s="6" t="s">
        <v>56</v>
      </c>
      <c r="L476" s="6" t="s">
        <v>1620</v>
      </c>
      <c r="M476" s="10">
        <v>0</v>
      </c>
      <c r="N476" s="6" t="s">
        <v>1621</v>
      </c>
      <c r="O476" s="6">
        <v>1</v>
      </c>
    </row>
    <row r="477" spans="1:15" ht="30" customHeight="1" x14ac:dyDescent="0.2">
      <c r="A477" s="6">
        <v>476</v>
      </c>
      <c r="B477" s="6" t="s">
        <v>84</v>
      </c>
      <c r="C477" s="6" t="s">
        <v>90</v>
      </c>
      <c r="D477" s="6" t="s">
        <v>2411</v>
      </c>
      <c r="E477" s="8"/>
      <c r="F477" s="6"/>
      <c r="G477" s="9">
        <v>-78.617391586303711</v>
      </c>
      <c r="H477" s="9">
        <v>-6.4739503147889357</v>
      </c>
      <c r="I477" s="6" t="s">
        <v>2412</v>
      </c>
      <c r="J477" s="6" t="s">
        <v>2413</v>
      </c>
      <c r="K477" s="6" t="s">
        <v>56</v>
      </c>
      <c r="L477" s="6" t="s">
        <v>1620</v>
      </c>
      <c r="M477" s="10">
        <v>0</v>
      </c>
      <c r="N477" s="6" t="s">
        <v>1621</v>
      </c>
      <c r="O477" s="6">
        <v>0</v>
      </c>
    </row>
    <row r="478" spans="1:15" ht="30" customHeight="1" x14ac:dyDescent="0.2">
      <c r="A478" s="6">
        <v>477</v>
      </c>
      <c r="B478" s="6" t="s">
        <v>84</v>
      </c>
      <c r="C478" s="6" t="s">
        <v>90</v>
      </c>
      <c r="D478" s="6" t="s">
        <v>2414</v>
      </c>
      <c r="E478" s="8"/>
      <c r="F478" s="6"/>
      <c r="G478" s="9">
        <v>-74.832258224487305</v>
      </c>
      <c r="H478" s="9">
        <v>-14.667048271448785</v>
      </c>
      <c r="I478" s="6" t="s">
        <v>2412</v>
      </c>
      <c r="J478" s="6" t="s">
        <v>2415</v>
      </c>
      <c r="K478" s="6" t="s">
        <v>56</v>
      </c>
      <c r="L478" s="6" t="s">
        <v>1620</v>
      </c>
      <c r="M478" s="10">
        <v>0</v>
      </c>
      <c r="N478" s="6" t="s">
        <v>1621</v>
      </c>
      <c r="O478" s="6">
        <v>0</v>
      </c>
    </row>
    <row r="479" spans="1:15" ht="30" customHeight="1" x14ac:dyDescent="0.2">
      <c r="A479" s="6">
        <v>478</v>
      </c>
      <c r="B479" s="6" t="s">
        <v>84</v>
      </c>
      <c r="C479" s="6" t="s">
        <v>90</v>
      </c>
      <c r="D479" s="6" t="s">
        <v>2416</v>
      </c>
      <c r="E479" s="8"/>
      <c r="F479" s="6"/>
      <c r="G479" s="9">
        <v>-73.243618011474609</v>
      </c>
      <c r="H479" s="9">
        <v>-3.7248286140156828</v>
      </c>
      <c r="I479" s="6" t="s">
        <v>2412</v>
      </c>
      <c r="J479" s="6" t="s">
        <v>2417</v>
      </c>
      <c r="K479" s="6" t="s">
        <v>56</v>
      </c>
      <c r="L479" s="6" t="s">
        <v>1620</v>
      </c>
      <c r="M479" s="10">
        <v>0</v>
      </c>
      <c r="N479" s="6" t="s">
        <v>1621</v>
      </c>
      <c r="O479" s="6">
        <v>0</v>
      </c>
    </row>
    <row r="480" spans="1:15" ht="30" customHeight="1" x14ac:dyDescent="0.2">
      <c r="A480" s="6">
        <v>479</v>
      </c>
      <c r="B480" s="6" t="s">
        <v>84</v>
      </c>
      <c r="C480" s="6" t="s">
        <v>90</v>
      </c>
      <c r="D480" s="6" t="s">
        <v>2418</v>
      </c>
      <c r="E480" s="8">
        <v>60000</v>
      </c>
      <c r="F480" s="6"/>
      <c r="G480" s="9">
        <v>-81.283636093139648</v>
      </c>
      <c r="H480" s="9">
        <v>-4.5830127977934945</v>
      </c>
      <c r="I480" s="6" t="s">
        <v>2412</v>
      </c>
      <c r="J480" s="6" t="s">
        <v>2419</v>
      </c>
      <c r="K480" s="6" t="s">
        <v>56</v>
      </c>
      <c r="L480" s="6" t="s">
        <v>1620</v>
      </c>
      <c r="M480" s="10">
        <v>0</v>
      </c>
      <c r="N480" s="6" t="s">
        <v>1621</v>
      </c>
      <c r="O480" s="6">
        <v>1</v>
      </c>
    </row>
    <row r="481" spans="1:15" ht="30" customHeight="1" x14ac:dyDescent="0.2">
      <c r="A481" s="6">
        <v>480</v>
      </c>
      <c r="B481" s="6" t="s">
        <v>84</v>
      </c>
      <c r="C481" s="6" t="s">
        <v>90</v>
      </c>
      <c r="D481" s="6" t="s">
        <v>2420</v>
      </c>
      <c r="E481" s="8">
        <v>102000</v>
      </c>
      <c r="F481" s="6"/>
      <c r="G481" s="9">
        <v>-71.791706085205078</v>
      </c>
      <c r="H481" s="9">
        <v>-17.163590104347126</v>
      </c>
      <c r="I481" s="6"/>
      <c r="J481" s="6" t="s">
        <v>2421</v>
      </c>
      <c r="K481" s="6" t="s">
        <v>56</v>
      </c>
      <c r="L481" s="6" t="s">
        <v>1620</v>
      </c>
      <c r="M481" s="10">
        <v>0</v>
      </c>
      <c r="N481" s="6" t="s">
        <v>1621</v>
      </c>
      <c r="O481" s="6">
        <v>1</v>
      </c>
    </row>
    <row r="482" spans="1:15" ht="30" customHeight="1" x14ac:dyDescent="0.2">
      <c r="A482" s="6">
        <v>481</v>
      </c>
      <c r="B482" s="6" t="s">
        <v>206</v>
      </c>
      <c r="C482" s="6" t="s">
        <v>212</v>
      </c>
      <c r="D482" s="6" t="s">
        <v>2422</v>
      </c>
      <c r="E482" s="8">
        <v>7000</v>
      </c>
      <c r="F482" s="6"/>
      <c r="G482" s="9">
        <v>-55.149135589599609</v>
      </c>
      <c r="H482" s="9">
        <v>5.7642536715758963</v>
      </c>
      <c r="I482" s="6" t="s">
        <v>1639</v>
      </c>
      <c r="J482" s="6" t="s">
        <v>2423</v>
      </c>
      <c r="K482" s="6" t="s">
        <v>56</v>
      </c>
      <c r="L482" s="6" t="s">
        <v>1620</v>
      </c>
      <c r="M482" s="10">
        <v>0</v>
      </c>
      <c r="N482" s="6" t="s">
        <v>1621</v>
      </c>
      <c r="O482" s="6">
        <v>1</v>
      </c>
    </row>
    <row r="483" spans="1:15" ht="30" customHeight="1" x14ac:dyDescent="0.2">
      <c r="A483" s="6">
        <v>482</v>
      </c>
      <c r="B483" s="6" t="s">
        <v>356</v>
      </c>
      <c r="C483" s="6" t="s">
        <v>361</v>
      </c>
      <c r="D483" s="6" t="s">
        <v>2424</v>
      </c>
      <c r="E483" s="8">
        <v>40000</v>
      </c>
      <c r="F483" s="6"/>
      <c r="G483" s="9">
        <v>-56.229915618896484</v>
      </c>
      <c r="H483" s="9">
        <v>-34.875791814412722</v>
      </c>
      <c r="I483" s="6"/>
      <c r="J483" s="6" t="s">
        <v>2408</v>
      </c>
      <c r="K483" s="6" t="s">
        <v>56</v>
      </c>
      <c r="L483" s="6" t="s">
        <v>1620</v>
      </c>
      <c r="M483" s="10">
        <v>0</v>
      </c>
      <c r="N483" s="6" t="s">
        <v>1621</v>
      </c>
      <c r="O483" s="6">
        <v>1</v>
      </c>
    </row>
    <row r="484" spans="1:15" ht="30" customHeight="1" x14ac:dyDescent="0.2">
      <c r="A484" s="6">
        <v>483</v>
      </c>
      <c r="B484" s="6" t="s">
        <v>1037</v>
      </c>
      <c r="C484" s="6" t="s">
        <v>1042</v>
      </c>
      <c r="D484" s="6" t="s">
        <v>2425</v>
      </c>
      <c r="E484" s="8">
        <v>16000</v>
      </c>
      <c r="F484" s="6"/>
      <c r="G484" s="9">
        <v>-71.640129089355469</v>
      </c>
      <c r="H484" s="9">
        <v>10.509079137166104</v>
      </c>
      <c r="I484" s="6" t="s">
        <v>2426</v>
      </c>
      <c r="J484" s="6" t="s">
        <v>2427</v>
      </c>
      <c r="K484" s="6" t="s">
        <v>56</v>
      </c>
      <c r="L484" s="6" t="s">
        <v>1620</v>
      </c>
      <c r="M484" s="10">
        <v>0</v>
      </c>
      <c r="N484" s="6" t="s">
        <v>1621</v>
      </c>
      <c r="O484" s="6">
        <v>1</v>
      </c>
    </row>
    <row r="485" spans="1:15" ht="30" customHeight="1" x14ac:dyDescent="0.2">
      <c r="A485" s="6">
        <v>484</v>
      </c>
      <c r="B485" s="6" t="s">
        <v>1037</v>
      </c>
      <c r="C485" s="6" t="s">
        <v>1042</v>
      </c>
      <c r="D485" s="6" t="s">
        <v>2428</v>
      </c>
      <c r="E485" s="8">
        <v>297000</v>
      </c>
      <c r="F485" s="6"/>
      <c r="G485" s="9">
        <v>-70.224609375</v>
      </c>
      <c r="H485" s="9">
        <v>11.631052011193569</v>
      </c>
      <c r="I485" s="6" t="s">
        <v>2426</v>
      </c>
      <c r="J485" s="6" t="s">
        <v>2427</v>
      </c>
      <c r="K485" s="6" t="s">
        <v>56</v>
      </c>
      <c r="L485" s="6" t="s">
        <v>1620</v>
      </c>
      <c r="M485" s="10">
        <v>0</v>
      </c>
      <c r="N485" s="6" t="s">
        <v>1621</v>
      </c>
      <c r="O485" s="6">
        <v>1</v>
      </c>
    </row>
    <row r="486" spans="1:15" ht="30" customHeight="1" x14ac:dyDescent="0.2">
      <c r="A486" s="6">
        <v>485</v>
      </c>
      <c r="B486" s="6" t="s">
        <v>1037</v>
      </c>
      <c r="C486" s="6" t="s">
        <v>1042</v>
      </c>
      <c r="D486" s="6" t="s">
        <v>2429</v>
      </c>
      <c r="E486" s="8">
        <v>176000</v>
      </c>
      <c r="F486" s="6"/>
      <c r="G486" s="9">
        <v>-68.119955062866211</v>
      </c>
      <c r="H486" s="9">
        <v>10.483085626798836</v>
      </c>
      <c r="I486" s="6" t="s">
        <v>2426</v>
      </c>
      <c r="J486" s="6" t="s">
        <v>2427</v>
      </c>
      <c r="K486" s="6" t="s">
        <v>56</v>
      </c>
      <c r="L486" s="6" t="s">
        <v>1620</v>
      </c>
      <c r="M486" s="10">
        <v>0</v>
      </c>
      <c r="N486" s="6" t="s">
        <v>1621</v>
      </c>
      <c r="O486" s="6">
        <v>1</v>
      </c>
    </row>
    <row r="487" spans="1:15" ht="30" customHeight="1" x14ac:dyDescent="0.2">
      <c r="A487" s="6">
        <v>486</v>
      </c>
      <c r="B487" s="6" t="s">
        <v>1037</v>
      </c>
      <c r="C487" s="6" t="s">
        <v>1042</v>
      </c>
      <c r="D487" s="6" t="s">
        <v>2430</v>
      </c>
      <c r="E487" s="8">
        <v>200000</v>
      </c>
      <c r="F487" s="6"/>
      <c r="G487" s="9">
        <v>-64.617033004760742</v>
      </c>
      <c r="H487" s="9">
        <v>10.222862419485764</v>
      </c>
      <c r="I487" s="6" t="s">
        <v>2426</v>
      </c>
      <c r="J487" s="6" t="s">
        <v>2427</v>
      </c>
      <c r="K487" s="6" t="s">
        <v>56</v>
      </c>
      <c r="L487" s="6" t="s">
        <v>1620</v>
      </c>
      <c r="M487" s="10">
        <v>0</v>
      </c>
      <c r="N487" s="6" t="s">
        <v>1621</v>
      </c>
      <c r="O487" s="6">
        <v>1</v>
      </c>
    </row>
    <row r="488" spans="1:15" ht="30" customHeight="1" x14ac:dyDescent="0.2">
      <c r="A488" s="6">
        <v>487</v>
      </c>
      <c r="B488" s="6" t="s">
        <v>1037</v>
      </c>
      <c r="C488" s="6" t="s">
        <v>1042</v>
      </c>
      <c r="D488" s="6" t="s">
        <v>2431</v>
      </c>
      <c r="E488" s="8"/>
      <c r="F488" s="6"/>
      <c r="G488" s="9">
        <v>-64.599781036376953</v>
      </c>
      <c r="H488" s="9">
        <v>9.4346682835361211</v>
      </c>
      <c r="I488" s="6" t="s">
        <v>2426</v>
      </c>
      <c r="J488" s="6" t="s">
        <v>2432</v>
      </c>
      <c r="K488" s="6" t="s">
        <v>56</v>
      </c>
      <c r="L488" s="6" t="s">
        <v>1620</v>
      </c>
      <c r="M488" s="10">
        <v>0</v>
      </c>
      <c r="N488" s="6" t="s">
        <v>1621</v>
      </c>
      <c r="O488" s="6">
        <v>0</v>
      </c>
    </row>
    <row r="489" spans="1:15" ht="30" customHeight="1" x14ac:dyDescent="0.2">
      <c r="A489" s="6">
        <v>488</v>
      </c>
      <c r="B489" s="6" t="s">
        <v>244</v>
      </c>
      <c r="C489" s="6" t="s">
        <v>250</v>
      </c>
      <c r="D489" s="6" t="s">
        <v>2433</v>
      </c>
      <c r="E489" s="8">
        <v>25000</v>
      </c>
      <c r="F489" s="6"/>
      <c r="G489" s="9">
        <v>-83.029603958129883</v>
      </c>
      <c r="H489" s="9">
        <v>9.9939564818009643</v>
      </c>
      <c r="I489" s="6"/>
      <c r="J489" s="6" t="s">
        <v>2434</v>
      </c>
      <c r="K489" s="6" t="s">
        <v>56</v>
      </c>
      <c r="L489" s="6" t="s">
        <v>1620</v>
      </c>
      <c r="M489" s="10">
        <v>0</v>
      </c>
      <c r="N489" s="6" t="s">
        <v>1621</v>
      </c>
      <c r="O489" s="6">
        <v>1</v>
      </c>
    </row>
    <row r="490" spans="1:15" ht="30" customHeight="1" x14ac:dyDescent="0.2">
      <c r="A490" s="6">
        <v>489</v>
      </c>
      <c r="B490" s="6" t="s">
        <v>893</v>
      </c>
      <c r="C490" s="6" t="s">
        <v>898</v>
      </c>
      <c r="D490" s="6" t="s">
        <v>2435</v>
      </c>
      <c r="E490" s="8">
        <v>4000</v>
      </c>
      <c r="F490" s="6"/>
      <c r="G490" s="9">
        <v>-78.765964508056641</v>
      </c>
      <c r="H490" s="9">
        <v>21.823337304444152</v>
      </c>
      <c r="I490" s="6" t="s">
        <v>2436</v>
      </c>
      <c r="J490" s="6" t="s">
        <v>2437</v>
      </c>
      <c r="K490" s="6" t="s">
        <v>56</v>
      </c>
      <c r="L490" s="6" t="s">
        <v>1620</v>
      </c>
      <c r="M490" s="10">
        <v>0</v>
      </c>
      <c r="N490" s="6" t="s">
        <v>1621</v>
      </c>
      <c r="O490" s="6">
        <v>1</v>
      </c>
    </row>
    <row r="491" spans="1:15" ht="30" customHeight="1" x14ac:dyDescent="0.2">
      <c r="A491" s="6">
        <v>490</v>
      </c>
      <c r="B491" s="6" t="s">
        <v>893</v>
      </c>
      <c r="C491" s="6" t="s">
        <v>898</v>
      </c>
      <c r="D491" s="6" t="s">
        <v>2438</v>
      </c>
      <c r="E491" s="8">
        <v>76000</v>
      </c>
      <c r="F491" s="6"/>
      <c r="G491" s="9">
        <v>-80.520429611206055</v>
      </c>
      <c r="H491" s="9">
        <v>22.191140277867447</v>
      </c>
      <c r="I491" s="6" t="s">
        <v>2436</v>
      </c>
      <c r="J491" s="6" t="s">
        <v>2437</v>
      </c>
      <c r="K491" s="6" t="s">
        <v>56</v>
      </c>
      <c r="L491" s="6" t="s">
        <v>1620</v>
      </c>
      <c r="M491" s="10">
        <v>0</v>
      </c>
      <c r="N491" s="6" t="s">
        <v>1621</v>
      </c>
      <c r="O491" s="6">
        <v>1</v>
      </c>
    </row>
    <row r="492" spans="1:15" ht="30" customHeight="1" x14ac:dyDescent="0.2">
      <c r="A492" s="6">
        <v>491</v>
      </c>
      <c r="B492" s="6" t="s">
        <v>893</v>
      </c>
      <c r="C492" s="6" t="s">
        <v>898</v>
      </c>
      <c r="D492" s="6" t="s">
        <v>2439</v>
      </c>
      <c r="E492" s="8">
        <v>122000</v>
      </c>
      <c r="F492" s="6"/>
      <c r="G492" s="9">
        <v>-82.321844100952148</v>
      </c>
      <c r="H492" s="9">
        <v>23.136492598683702</v>
      </c>
      <c r="I492" s="6" t="s">
        <v>2436</v>
      </c>
      <c r="J492" s="6" t="s">
        <v>2437</v>
      </c>
      <c r="K492" s="6" t="s">
        <v>56</v>
      </c>
      <c r="L492" s="6" t="s">
        <v>1620</v>
      </c>
      <c r="M492" s="10">
        <v>0</v>
      </c>
      <c r="N492" s="6" t="s">
        <v>1621</v>
      </c>
      <c r="O492" s="6">
        <v>1</v>
      </c>
    </row>
    <row r="493" spans="1:15" ht="30" customHeight="1" x14ac:dyDescent="0.2">
      <c r="A493" s="6">
        <v>492</v>
      </c>
      <c r="B493" s="6" t="s">
        <v>893</v>
      </c>
      <c r="C493" s="6" t="s">
        <v>898</v>
      </c>
      <c r="D493" s="6" t="s">
        <v>2440</v>
      </c>
      <c r="E493" s="8">
        <v>102500</v>
      </c>
      <c r="F493" s="6"/>
      <c r="G493" s="9">
        <v>-75.872697830200195</v>
      </c>
      <c r="H493" s="9">
        <v>20.0057740297996</v>
      </c>
      <c r="I493" s="6" t="s">
        <v>2436</v>
      </c>
      <c r="J493" s="6" t="s">
        <v>2437</v>
      </c>
      <c r="K493" s="6" t="s">
        <v>56</v>
      </c>
      <c r="L493" s="6" t="s">
        <v>1620</v>
      </c>
      <c r="M493" s="10">
        <v>0</v>
      </c>
      <c r="N493" s="6" t="s">
        <v>1621</v>
      </c>
      <c r="O493" s="6">
        <v>1</v>
      </c>
    </row>
    <row r="494" spans="1:15" ht="30" customHeight="1" x14ac:dyDescent="0.2">
      <c r="A494" s="6">
        <v>493</v>
      </c>
      <c r="B494" s="6" t="s">
        <v>774</v>
      </c>
      <c r="C494" s="6" t="s">
        <v>779</v>
      </c>
      <c r="D494" s="6" t="s">
        <v>2441</v>
      </c>
      <c r="E494" s="8">
        <v>33000</v>
      </c>
      <c r="F494" s="6"/>
      <c r="G494" s="9">
        <v>-70.031061172485352</v>
      </c>
      <c r="H494" s="9">
        <v>18.402745571906404</v>
      </c>
      <c r="I494" s="6" t="s">
        <v>1639</v>
      </c>
      <c r="J494" s="6" t="s">
        <v>2442</v>
      </c>
      <c r="K494" s="6" t="s">
        <v>56</v>
      </c>
      <c r="L494" s="6" t="s">
        <v>1620</v>
      </c>
      <c r="M494" s="10">
        <v>0</v>
      </c>
      <c r="N494" s="6" t="s">
        <v>1621</v>
      </c>
      <c r="O494" s="6">
        <v>1</v>
      </c>
    </row>
    <row r="495" spans="1:15" ht="30" customHeight="1" x14ac:dyDescent="0.2">
      <c r="A495" s="6">
        <v>494</v>
      </c>
      <c r="B495" s="6" t="s">
        <v>774</v>
      </c>
      <c r="C495" s="6" t="s">
        <v>779</v>
      </c>
      <c r="D495" s="6" t="s">
        <v>2443</v>
      </c>
      <c r="E495" s="8">
        <v>16000</v>
      </c>
      <c r="F495" s="6"/>
      <c r="G495" s="9">
        <v>-70.416011810302734</v>
      </c>
      <c r="H495" s="9">
        <v>18.948667578399416</v>
      </c>
      <c r="I495" s="6"/>
      <c r="J495" s="6" t="s">
        <v>2444</v>
      </c>
      <c r="K495" s="6" t="s">
        <v>56</v>
      </c>
      <c r="L495" s="6" t="s">
        <v>1620</v>
      </c>
      <c r="M495" s="10">
        <v>0</v>
      </c>
      <c r="N495" s="6" t="s">
        <v>1621</v>
      </c>
      <c r="O495" s="6">
        <v>1</v>
      </c>
    </row>
    <row r="496" spans="1:15" ht="30" customHeight="1" x14ac:dyDescent="0.2">
      <c r="A496" s="6">
        <v>495</v>
      </c>
      <c r="B496" s="6" t="s">
        <v>791</v>
      </c>
      <c r="C496" s="6" t="s">
        <v>796</v>
      </c>
      <c r="D496" s="6" t="s">
        <v>2445</v>
      </c>
      <c r="E496" s="8">
        <v>22000</v>
      </c>
      <c r="F496" s="6"/>
      <c r="G496" s="9">
        <v>-89.827737808227539</v>
      </c>
      <c r="H496" s="9">
        <v>13.567153251995432</v>
      </c>
      <c r="I496" s="6"/>
      <c r="J496" s="6" t="s">
        <v>1633</v>
      </c>
      <c r="K496" s="6" t="s">
        <v>56</v>
      </c>
      <c r="L496" s="6" t="s">
        <v>1620</v>
      </c>
      <c r="M496" s="10">
        <v>0</v>
      </c>
      <c r="N496" s="6" t="s">
        <v>1621</v>
      </c>
      <c r="O496" s="6">
        <v>1</v>
      </c>
    </row>
    <row r="497" spans="1:15" ht="30" customHeight="1" x14ac:dyDescent="0.2">
      <c r="A497" s="6">
        <v>496</v>
      </c>
      <c r="B497" s="6" t="s">
        <v>1305</v>
      </c>
      <c r="C497" s="6" t="s">
        <v>1310</v>
      </c>
      <c r="D497" s="6" t="s">
        <v>2446</v>
      </c>
      <c r="E497" s="8">
        <v>36000</v>
      </c>
      <c r="F497" s="6"/>
      <c r="G497" s="9">
        <v>-76.817607879638672</v>
      </c>
      <c r="H497" s="9">
        <v>17.974324498085636</v>
      </c>
      <c r="I497" s="6" t="s">
        <v>1639</v>
      </c>
      <c r="J497" s="6" t="s">
        <v>2447</v>
      </c>
      <c r="K497" s="6" t="s">
        <v>56</v>
      </c>
      <c r="L497" s="6" t="s">
        <v>1629</v>
      </c>
      <c r="M497" s="10">
        <v>1.2E-2</v>
      </c>
      <c r="N497" s="6" t="s">
        <v>1621</v>
      </c>
      <c r="O497" s="6">
        <v>1</v>
      </c>
    </row>
    <row r="498" spans="1:15" ht="30" customHeight="1" x14ac:dyDescent="0.2">
      <c r="A498" s="6">
        <v>497</v>
      </c>
      <c r="B498" s="6" t="s">
        <v>199</v>
      </c>
      <c r="C498" s="6" t="s">
        <v>205</v>
      </c>
      <c r="D498" s="6" t="s">
        <v>2448</v>
      </c>
      <c r="E498" s="8">
        <v>17000</v>
      </c>
      <c r="F498" s="6"/>
      <c r="G498" s="9">
        <v>-61.07600212097168</v>
      </c>
      <c r="H498" s="9">
        <v>14.599697541309752</v>
      </c>
      <c r="I498" s="6"/>
      <c r="J498" s="6" t="s">
        <v>2449</v>
      </c>
      <c r="K498" s="6" t="s">
        <v>56</v>
      </c>
      <c r="L498" s="6" t="s">
        <v>1629</v>
      </c>
      <c r="M498" s="10">
        <v>0.61699999999999999</v>
      </c>
      <c r="N498" s="6" t="s">
        <v>1621</v>
      </c>
      <c r="O498" s="6">
        <v>1</v>
      </c>
    </row>
    <row r="499" spans="1:15" ht="30" customHeight="1" x14ac:dyDescent="0.2">
      <c r="A499" s="6">
        <v>498</v>
      </c>
      <c r="B499" s="6" t="s">
        <v>1155</v>
      </c>
      <c r="C499" s="6" t="s">
        <v>1160</v>
      </c>
      <c r="D499" s="6" t="s">
        <v>2450</v>
      </c>
      <c r="E499" s="8">
        <v>320000</v>
      </c>
      <c r="F499" s="6"/>
      <c r="G499" s="9">
        <v>-68.929166793823242</v>
      </c>
      <c r="H499" s="9">
        <v>12.130718693891838</v>
      </c>
      <c r="I499" s="6" t="s">
        <v>2426</v>
      </c>
      <c r="J499" s="6" t="s">
        <v>2451</v>
      </c>
      <c r="K499" s="6" t="s">
        <v>56</v>
      </c>
      <c r="L499" s="6" t="s">
        <v>1620</v>
      </c>
      <c r="M499" s="10">
        <v>0</v>
      </c>
      <c r="N499" s="6" t="s">
        <v>1621</v>
      </c>
      <c r="O499" s="6">
        <v>1</v>
      </c>
    </row>
    <row r="500" spans="1:15" ht="30" customHeight="1" x14ac:dyDescent="0.2">
      <c r="A500" s="6">
        <v>499</v>
      </c>
      <c r="B500" s="6" t="s">
        <v>1161</v>
      </c>
      <c r="C500" s="6" t="s">
        <v>1166</v>
      </c>
      <c r="D500" s="6" t="s">
        <v>2452</v>
      </c>
      <c r="E500" s="8">
        <v>275000</v>
      </c>
      <c r="F500" s="6"/>
      <c r="G500" s="9">
        <v>-69.898366928100586</v>
      </c>
      <c r="H500" s="9">
        <v>12.423919912873941</v>
      </c>
      <c r="I500" s="6" t="s">
        <v>2453</v>
      </c>
      <c r="J500" s="6" t="s">
        <v>2454</v>
      </c>
      <c r="K500" s="6" t="s">
        <v>56</v>
      </c>
      <c r="L500" s="6" t="s">
        <v>1620</v>
      </c>
      <c r="M500" s="10">
        <v>0</v>
      </c>
      <c r="N500" s="6" t="s">
        <v>1621</v>
      </c>
      <c r="O500" s="6">
        <v>1</v>
      </c>
    </row>
    <row r="501" spans="1:15" ht="30" customHeight="1" x14ac:dyDescent="0.2">
      <c r="A501" s="6">
        <v>500</v>
      </c>
      <c r="B501" s="6" t="s">
        <v>251</v>
      </c>
      <c r="C501" s="6" t="s">
        <v>257</v>
      </c>
      <c r="D501" s="6" t="s">
        <v>2455</v>
      </c>
      <c r="E501" s="8">
        <v>20000</v>
      </c>
      <c r="F501" s="6"/>
      <c r="G501" s="9">
        <v>-86.319408416748047</v>
      </c>
      <c r="H501" s="9">
        <v>12.145738903416234</v>
      </c>
      <c r="I501" s="6"/>
      <c r="J501" s="6" t="s">
        <v>1633</v>
      </c>
      <c r="K501" s="6" t="s">
        <v>56</v>
      </c>
      <c r="L501" s="6" t="s">
        <v>1620</v>
      </c>
      <c r="M501" s="10">
        <v>0</v>
      </c>
      <c r="N501" s="6" t="s">
        <v>1621</v>
      </c>
      <c r="O501" s="6">
        <v>1</v>
      </c>
    </row>
    <row r="502" spans="1:15" ht="30" customHeight="1" x14ac:dyDescent="0.2">
      <c r="A502" s="6">
        <v>501</v>
      </c>
      <c r="B502" s="6" t="s">
        <v>1291</v>
      </c>
      <c r="C502" s="6" t="s">
        <v>1296</v>
      </c>
      <c r="D502" s="6" t="s">
        <v>2456</v>
      </c>
      <c r="E502" s="8">
        <v>73000</v>
      </c>
      <c r="F502" s="6"/>
      <c r="G502" s="9">
        <v>-65.853509902954102</v>
      </c>
      <c r="H502" s="9">
        <v>18.04705226588986</v>
      </c>
      <c r="I502" s="6"/>
      <c r="J502" s="6" t="s">
        <v>2457</v>
      </c>
      <c r="K502" s="6" t="s">
        <v>56</v>
      </c>
      <c r="L502" s="6" t="s">
        <v>1620</v>
      </c>
      <c r="M502" s="10">
        <v>0</v>
      </c>
      <c r="N502" s="6" t="s">
        <v>1621</v>
      </c>
      <c r="O502" s="6">
        <v>1</v>
      </c>
    </row>
    <row r="503" spans="1:15" ht="30" customHeight="1" x14ac:dyDescent="0.2">
      <c r="A503" s="6">
        <v>502</v>
      </c>
      <c r="B503" s="6" t="s">
        <v>1230</v>
      </c>
      <c r="C503" s="6" t="s">
        <v>1235</v>
      </c>
      <c r="D503" s="6" t="s">
        <v>2458</v>
      </c>
      <c r="E503" s="8">
        <v>165000</v>
      </c>
      <c r="F503" s="6"/>
      <c r="G503" s="9">
        <v>-61.450481414794922</v>
      </c>
      <c r="H503" s="9">
        <v>10.315763719992422</v>
      </c>
      <c r="I503" s="6" t="s">
        <v>2459</v>
      </c>
      <c r="J503" s="6" t="s">
        <v>2460</v>
      </c>
      <c r="K503" s="6" t="s">
        <v>56</v>
      </c>
      <c r="L503" s="6" t="s">
        <v>1620</v>
      </c>
      <c r="M503" s="10">
        <v>0</v>
      </c>
      <c r="N503" s="6" t="s">
        <v>1621</v>
      </c>
      <c r="O503" s="6">
        <v>1</v>
      </c>
    </row>
    <row r="504" spans="1:15" ht="30" customHeight="1" x14ac:dyDescent="0.2">
      <c r="A504" s="6">
        <v>503</v>
      </c>
      <c r="B504" s="6" t="s">
        <v>1283</v>
      </c>
      <c r="C504" s="6" t="s">
        <v>1286</v>
      </c>
      <c r="D504" s="6" t="s">
        <v>2461</v>
      </c>
      <c r="E504" s="8">
        <v>494000</v>
      </c>
      <c r="F504" s="6"/>
      <c r="G504" s="9">
        <v>-64.751443862915039</v>
      </c>
      <c r="H504" s="9">
        <v>17.708463406176051</v>
      </c>
      <c r="I504" s="6" t="s">
        <v>2462</v>
      </c>
      <c r="J504" s="6" t="s">
        <v>2463</v>
      </c>
      <c r="K504" s="6" t="s">
        <v>56</v>
      </c>
      <c r="L504" s="6" t="s">
        <v>1620</v>
      </c>
      <c r="M504" s="10">
        <v>0</v>
      </c>
      <c r="N504" s="6" t="s">
        <v>1621</v>
      </c>
      <c r="O504" s="6">
        <v>1</v>
      </c>
    </row>
    <row r="505" spans="1:15" ht="30" customHeight="1" x14ac:dyDescent="0.2">
      <c r="A505" s="6">
        <v>504</v>
      </c>
      <c r="B505" s="6" t="s">
        <v>1019</v>
      </c>
      <c r="C505" s="6" t="s">
        <v>1024</v>
      </c>
      <c r="D505" s="6" t="s">
        <v>2464</v>
      </c>
      <c r="E505" s="8">
        <v>292000</v>
      </c>
      <c r="F505" s="6"/>
      <c r="G505" s="9">
        <v>-99.940567016601563</v>
      </c>
      <c r="H505" s="9">
        <v>25.587659136795075</v>
      </c>
      <c r="I505" s="6" t="s">
        <v>2465</v>
      </c>
      <c r="J505" s="6" t="s">
        <v>2466</v>
      </c>
      <c r="K505" s="6" t="s">
        <v>56</v>
      </c>
      <c r="L505" s="6" t="s">
        <v>1620</v>
      </c>
      <c r="M505" s="10">
        <v>0</v>
      </c>
      <c r="N505" s="6" t="s">
        <v>1621</v>
      </c>
      <c r="O505" s="6">
        <v>1</v>
      </c>
    </row>
    <row r="506" spans="1:15" ht="30" customHeight="1" x14ac:dyDescent="0.2">
      <c r="A506" s="6">
        <v>505</v>
      </c>
      <c r="B506" s="6" t="s">
        <v>1019</v>
      </c>
      <c r="C506" s="6" t="s">
        <v>1024</v>
      </c>
      <c r="D506" s="6" t="s">
        <v>2467</v>
      </c>
      <c r="E506" s="8">
        <v>190000</v>
      </c>
      <c r="F506" s="6"/>
      <c r="G506" s="9">
        <v>-97.814884185791016</v>
      </c>
      <c r="H506" s="9">
        <v>22.27670672669672</v>
      </c>
      <c r="I506" s="6" t="s">
        <v>2465</v>
      </c>
      <c r="J506" s="6" t="s">
        <v>2466</v>
      </c>
      <c r="K506" s="6" t="s">
        <v>56</v>
      </c>
      <c r="L506" s="6" t="s">
        <v>1620</v>
      </c>
      <c r="M506" s="10">
        <v>0</v>
      </c>
      <c r="N506" s="6" t="s">
        <v>1621</v>
      </c>
      <c r="O506" s="6">
        <v>1</v>
      </c>
    </row>
    <row r="507" spans="1:15" ht="30" customHeight="1" x14ac:dyDescent="0.2">
      <c r="A507" s="6">
        <v>506</v>
      </c>
      <c r="B507" s="6" t="s">
        <v>1019</v>
      </c>
      <c r="C507" s="6" t="s">
        <v>1024</v>
      </c>
      <c r="D507" s="6" t="s">
        <v>2468</v>
      </c>
      <c r="E507" s="8">
        <v>170000</v>
      </c>
      <c r="F507" s="6"/>
      <c r="G507" s="9">
        <v>-94.531946182250977</v>
      </c>
      <c r="H507" s="9">
        <v>17.982488480653377</v>
      </c>
      <c r="I507" s="6" t="s">
        <v>2465</v>
      </c>
      <c r="J507" s="6" t="s">
        <v>2466</v>
      </c>
      <c r="K507" s="6" t="s">
        <v>56</v>
      </c>
      <c r="L507" s="6" t="s">
        <v>1620</v>
      </c>
      <c r="M507" s="10">
        <v>0</v>
      </c>
      <c r="N507" s="6" t="s">
        <v>1621</v>
      </c>
      <c r="O507" s="6">
        <v>1</v>
      </c>
    </row>
    <row r="508" spans="1:15" ht="30" customHeight="1" x14ac:dyDescent="0.2">
      <c r="A508" s="6">
        <v>507</v>
      </c>
      <c r="B508" s="6" t="s">
        <v>1019</v>
      </c>
      <c r="C508" s="6" t="s">
        <v>1024</v>
      </c>
      <c r="D508" s="6" t="s">
        <v>2469</v>
      </c>
      <c r="E508" s="8">
        <v>236000</v>
      </c>
      <c r="F508" s="6"/>
      <c r="G508" s="9">
        <v>-101.1800479888916</v>
      </c>
      <c r="H508" s="9">
        <v>20.582090524153841</v>
      </c>
      <c r="I508" s="6" t="s">
        <v>2465</v>
      </c>
      <c r="J508" s="6" t="s">
        <v>2466</v>
      </c>
      <c r="K508" s="6" t="s">
        <v>56</v>
      </c>
      <c r="L508" s="6" t="s">
        <v>1620</v>
      </c>
      <c r="M508" s="10">
        <v>0</v>
      </c>
      <c r="N508" s="6" t="s">
        <v>1621</v>
      </c>
      <c r="O508" s="6">
        <v>1</v>
      </c>
    </row>
    <row r="509" spans="1:15" ht="30" customHeight="1" x14ac:dyDescent="0.2">
      <c r="A509" s="6">
        <v>508</v>
      </c>
      <c r="B509" s="6" t="s">
        <v>1019</v>
      </c>
      <c r="C509" s="6" t="s">
        <v>1024</v>
      </c>
      <c r="D509" s="6" t="s">
        <v>2470</v>
      </c>
      <c r="E509" s="8">
        <v>320000</v>
      </c>
      <c r="F509" s="6"/>
      <c r="G509" s="9">
        <v>-95.173788070678711</v>
      </c>
      <c r="H509" s="9">
        <v>16.207339380341267</v>
      </c>
      <c r="I509" s="6" t="s">
        <v>2465</v>
      </c>
      <c r="J509" s="6" t="s">
        <v>2466</v>
      </c>
      <c r="K509" s="6" t="s">
        <v>56</v>
      </c>
      <c r="L509" s="6" t="s">
        <v>1620</v>
      </c>
      <c r="M509" s="10">
        <v>0</v>
      </c>
      <c r="N509" s="6" t="s">
        <v>1621</v>
      </c>
      <c r="O509" s="6">
        <v>1</v>
      </c>
    </row>
    <row r="510" spans="1:15" ht="30" customHeight="1" x14ac:dyDescent="0.2">
      <c r="A510" s="6">
        <v>509</v>
      </c>
      <c r="B510" s="6" t="s">
        <v>1019</v>
      </c>
      <c r="C510" s="6" t="s">
        <v>1024</v>
      </c>
      <c r="D510" s="6" t="s">
        <v>2471</v>
      </c>
      <c r="E510" s="8">
        <v>320000</v>
      </c>
      <c r="F510" s="6"/>
      <c r="G510" s="9">
        <v>-99.27821159362793</v>
      </c>
      <c r="H510" s="9">
        <v>20.047707221267302</v>
      </c>
      <c r="I510" s="6" t="s">
        <v>2465</v>
      </c>
      <c r="J510" s="6" t="s">
        <v>2466</v>
      </c>
      <c r="K510" s="6" t="s">
        <v>56</v>
      </c>
      <c r="L510" s="6" t="s">
        <v>1620</v>
      </c>
      <c r="M510" s="10">
        <v>0</v>
      </c>
      <c r="N510" s="6" t="s">
        <v>1621</v>
      </c>
      <c r="O510" s="6">
        <v>1</v>
      </c>
    </row>
    <row r="511" spans="1:15" ht="30" customHeight="1" x14ac:dyDescent="0.2">
      <c r="A511" s="6">
        <v>510</v>
      </c>
      <c r="B511" s="6" t="s">
        <v>1007</v>
      </c>
      <c r="C511" s="6" t="s">
        <v>1012</v>
      </c>
      <c r="D511" s="6" t="s">
        <v>2472</v>
      </c>
      <c r="E511" s="8">
        <v>52000</v>
      </c>
      <c r="F511" s="6"/>
      <c r="G511" s="9">
        <v>-87.603950500488281</v>
      </c>
      <c r="H511" s="9">
        <v>33.202714189480702</v>
      </c>
      <c r="I511" s="6" t="s">
        <v>2473</v>
      </c>
      <c r="J511" s="6" t="s">
        <v>2474</v>
      </c>
      <c r="K511" s="6" t="s">
        <v>56</v>
      </c>
      <c r="L511" s="6" t="s">
        <v>1620</v>
      </c>
      <c r="M511" s="10">
        <v>0</v>
      </c>
      <c r="N511" s="6" t="s">
        <v>1621</v>
      </c>
      <c r="O511" s="6">
        <v>1</v>
      </c>
    </row>
    <row r="512" spans="1:15" ht="30" customHeight="1" x14ac:dyDescent="0.2">
      <c r="A512" s="6">
        <v>511</v>
      </c>
      <c r="B512" s="6" t="s">
        <v>1007</v>
      </c>
      <c r="C512" s="6" t="s">
        <v>1012</v>
      </c>
      <c r="D512" s="6" t="s">
        <v>2475</v>
      </c>
      <c r="E512" s="8">
        <v>80000</v>
      </c>
      <c r="F512" s="6"/>
      <c r="G512" s="9">
        <v>-88.056192398071289</v>
      </c>
      <c r="H512" s="9">
        <v>30.789552884567644</v>
      </c>
      <c r="I512" s="6"/>
      <c r="J512" s="6" t="s">
        <v>2476</v>
      </c>
      <c r="K512" s="6" t="s">
        <v>56</v>
      </c>
      <c r="L512" s="6" t="s">
        <v>1620</v>
      </c>
      <c r="M512" s="10">
        <v>0</v>
      </c>
      <c r="N512" s="6" t="s">
        <v>1621</v>
      </c>
      <c r="O512" s="6">
        <v>1</v>
      </c>
    </row>
    <row r="513" spans="1:15" ht="30" customHeight="1" x14ac:dyDescent="0.2">
      <c r="A513" s="6">
        <v>512</v>
      </c>
      <c r="B513" s="6" t="s">
        <v>1007</v>
      </c>
      <c r="C513" s="6" t="s">
        <v>1012</v>
      </c>
      <c r="D513" s="6" t="s">
        <v>2477</v>
      </c>
      <c r="E513" s="8">
        <v>16700</v>
      </c>
      <c r="F513" s="6"/>
      <c r="G513" s="9">
        <v>-88.034906387329102</v>
      </c>
      <c r="H513" s="9">
        <v>30.708486045819889</v>
      </c>
      <c r="I513" s="6"/>
      <c r="J513" s="6" t="s">
        <v>2478</v>
      </c>
      <c r="K513" s="6" t="s">
        <v>56</v>
      </c>
      <c r="L513" s="6" t="s">
        <v>1620</v>
      </c>
      <c r="M513" s="10">
        <v>0</v>
      </c>
      <c r="N513" s="6" t="s">
        <v>1621</v>
      </c>
      <c r="O513" s="6">
        <v>1</v>
      </c>
    </row>
    <row r="514" spans="1:15" ht="30" customHeight="1" x14ac:dyDescent="0.2">
      <c r="A514" s="6">
        <v>513</v>
      </c>
      <c r="B514" s="6" t="s">
        <v>1007</v>
      </c>
      <c r="C514" s="6" t="s">
        <v>1012</v>
      </c>
      <c r="D514" s="6" t="s">
        <v>2479</v>
      </c>
      <c r="E514" s="8">
        <v>15000</v>
      </c>
      <c r="F514" s="6"/>
      <c r="G514" s="9">
        <v>-148.73256683349609</v>
      </c>
      <c r="H514" s="9">
        <v>70.306044512520501</v>
      </c>
      <c r="I514" s="6" t="s">
        <v>1623</v>
      </c>
      <c r="J514" s="6" t="s">
        <v>1624</v>
      </c>
      <c r="K514" s="6" t="s">
        <v>56</v>
      </c>
      <c r="L514" s="6" t="s">
        <v>1620</v>
      </c>
      <c r="M514" s="10">
        <v>0</v>
      </c>
      <c r="N514" s="6" t="s">
        <v>1621</v>
      </c>
      <c r="O514" s="6">
        <v>1</v>
      </c>
    </row>
    <row r="515" spans="1:15" ht="30" customHeight="1" x14ac:dyDescent="0.2">
      <c r="A515" s="6">
        <v>514</v>
      </c>
      <c r="B515" s="6" t="s">
        <v>1007</v>
      </c>
      <c r="C515" s="6" t="s">
        <v>1012</v>
      </c>
      <c r="D515" s="6" t="s">
        <v>2480</v>
      </c>
      <c r="E515" s="8">
        <v>14500</v>
      </c>
      <c r="F515" s="6"/>
      <c r="G515" s="9">
        <v>-148.90130996704102</v>
      </c>
      <c r="H515" s="9">
        <v>70.401129887761215</v>
      </c>
      <c r="I515" s="6"/>
      <c r="J515" s="6" t="s">
        <v>2481</v>
      </c>
      <c r="K515" s="6" t="s">
        <v>56</v>
      </c>
      <c r="L515" s="6" t="s">
        <v>1620</v>
      </c>
      <c r="M515" s="10">
        <v>0</v>
      </c>
      <c r="N515" s="6" t="s">
        <v>1621</v>
      </c>
      <c r="O515" s="6">
        <v>1</v>
      </c>
    </row>
    <row r="516" spans="1:15" ht="30" customHeight="1" x14ac:dyDescent="0.2">
      <c r="A516" s="6">
        <v>515</v>
      </c>
      <c r="B516" s="6" t="s">
        <v>1007</v>
      </c>
      <c r="C516" s="6" t="s">
        <v>1012</v>
      </c>
      <c r="D516" s="6" t="s">
        <v>2482</v>
      </c>
      <c r="E516" s="8">
        <v>220000</v>
      </c>
      <c r="F516" s="6"/>
      <c r="G516" s="9">
        <v>-147.34803199768066</v>
      </c>
      <c r="H516" s="9">
        <v>64.735945401662633</v>
      </c>
      <c r="I516" s="6" t="s">
        <v>1639</v>
      </c>
      <c r="J516" s="6" t="s">
        <v>2483</v>
      </c>
      <c r="K516" s="6" t="s">
        <v>56</v>
      </c>
      <c r="L516" s="6" t="s">
        <v>1620</v>
      </c>
      <c r="M516" s="10">
        <v>0</v>
      </c>
      <c r="N516" s="6" t="s">
        <v>1621</v>
      </c>
      <c r="O516" s="6">
        <v>1</v>
      </c>
    </row>
    <row r="517" spans="1:15" ht="30" customHeight="1" x14ac:dyDescent="0.2">
      <c r="A517" s="6">
        <v>516</v>
      </c>
      <c r="B517" s="6" t="s">
        <v>1007</v>
      </c>
      <c r="C517" s="6" t="s">
        <v>1012</v>
      </c>
      <c r="D517" s="6" t="s">
        <v>2484</v>
      </c>
      <c r="E517" s="8">
        <v>17000</v>
      </c>
      <c r="F517" s="6"/>
      <c r="G517" s="9">
        <v>-147.34348297119141</v>
      </c>
      <c r="H517" s="9">
        <v>64.732538436147095</v>
      </c>
      <c r="I517" s="6"/>
      <c r="J517" s="6" t="s">
        <v>2485</v>
      </c>
      <c r="K517" s="6" t="s">
        <v>56</v>
      </c>
      <c r="L517" s="6" t="s">
        <v>1620</v>
      </c>
      <c r="M517" s="10">
        <v>0</v>
      </c>
      <c r="N517" s="6" t="s">
        <v>1621</v>
      </c>
      <c r="O517" s="6">
        <v>1</v>
      </c>
    </row>
    <row r="518" spans="1:15" ht="30" customHeight="1" x14ac:dyDescent="0.2">
      <c r="A518" s="6">
        <v>517</v>
      </c>
      <c r="B518" s="6" t="s">
        <v>1007</v>
      </c>
      <c r="C518" s="6" t="s">
        <v>1012</v>
      </c>
      <c r="D518" s="6" t="s">
        <v>2486</v>
      </c>
      <c r="E518" s="8">
        <v>50000</v>
      </c>
      <c r="F518" s="6"/>
      <c r="G518" s="9">
        <v>-146.38355255126953</v>
      </c>
      <c r="H518" s="9">
        <v>61.081702539752996</v>
      </c>
      <c r="I518" s="6"/>
      <c r="J518" s="6" t="s">
        <v>2487</v>
      </c>
      <c r="K518" s="6" t="s">
        <v>56</v>
      </c>
      <c r="L518" s="6" t="s">
        <v>1620</v>
      </c>
      <c r="M518" s="10">
        <v>0</v>
      </c>
      <c r="N518" s="6" t="s">
        <v>1621</v>
      </c>
      <c r="O518" s="6">
        <v>1</v>
      </c>
    </row>
    <row r="519" spans="1:15" ht="30" customHeight="1" x14ac:dyDescent="0.2">
      <c r="A519" s="6">
        <v>518</v>
      </c>
      <c r="B519" s="6" t="s">
        <v>1007</v>
      </c>
      <c r="C519" s="6" t="s">
        <v>1012</v>
      </c>
      <c r="D519" s="6" t="s">
        <v>2488</v>
      </c>
      <c r="E519" s="8">
        <v>72000</v>
      </c>
      <c r="F519" s="6"/>
      <c r="G519" s="9">
        <v>-151.37683868408203</v>
      </c>
      <c r="H519" s="9">
        <v>60.68229975079165</v>
      </c>
      <c r="I519" s="6"/>
      <c r="J519" s="6" t="s">
        <v>2489</v>
      </c>
      <c r="K519" s="6" t="s">
        <v>56</v>
      </c>
      <c r="L519" s="6" t="s">
        <v>1620</v>
      </c>
      <c r="M519" s="10">
        <v>0</v>
      </c>
      <c r="N519" s="6" t="s">
        <v>1621</v>
      </c>
      <c r="O519" s="6">
        <v>1</v>
      </c>
    </row>
    <row r="520" spans="1:15" ht="30" customHeight="1" x14ac:dyDescent="0.2">
      <c r="A520" s="6">
        <v>519</v>
      </c>
      <c r="B520" s="6" t="s">
        <v>1007</v>
      </c>
      <c r="C520" s="6" t="s">
        <v>1012</v>
      </c>
      <c r="D520" s="6" t="s">
        <v>2490</v>
      </c>
      <c r="E520" s="8">
        <v>6800</v>
      </c>
      <c r="F520" s="6"/>
      <c r="G520" s="9">
        <v>-92.712678909301758</v>
      </c>
      <c r="H520" s="9">
        <v>33.362936405192471</v>
      </c>
      <c r="I520" s="6" t="s">
        <v>1639</v>
      </c>
      <c r="J520" s="6" t="s">
        <v>2491</v>
      </c>
      <c r="K520" s="6" t="s">
        <v>56</v>
      </c>
      <c r="L520" s="6" t="s">
        <v>1620</v>
      </c>
      <c r="M520" s="10">
        <v>0</v>
      </c>
      <c r="N520" s="6" t="s">
        <v>1621</v>
      </c>
      <c r="O520" s="6">
        <v>1</v>
      </c>
    </row>
    <row r="521" spans="1:15" ht="30" customHeight="1" x14ac:dyDescent="0.2">
      <c r="A521" s="6">
        <v>520</v>
      </c>
      <c r="B521" s="6" t="s">
        <v>1007</v>
      </c>
      <c r="C521" s="6" t="s">
        <v>1012</v>
      </c>
      <c r="D521" s="6" t="s">
        <v>2492</v>
      </c>
      <c r="E521" s="8">
        <v>70000</v>
      </c>
      <c r="F521" s="6"/>
      <c r="G521" s="9">
        <v>-92.6751708984375</v>
      </c>
      <c r="H521" s="9">
        <v>33.20041598873533</v>
      </c>
      <c r="I521" s="6" t="s">
        <v>2493</v>
      </c>
      <c r="J521" s="6" t="s">
        <v>2494</v>
      </c>
      <c r="K521" s="6" t="s">
        <v>56</v>
      </c>
      <c r="L521" s="6" t="s">
        <v>1620</v>
      </c>
      <c r="M521" s="10">
        <v>0</v>
      </c>
      <c r="N521" s="6" t="s">
        <v>1621</v>
      </c>
      <c r="O521" s="6">
        <v>1</v>
      </c>
    </row>
    <row r="522" spans="1:15" ht="30" customHeight="1" x14ac:dyDescent="0.2">
      <c r="A522" s="6">
        <v>521</v>
      </c>
      <c r="B522" s="6" t="s">
        <v>1007</v>
      </c>
      <c r="C522" s="6" t="s">
        <v>1012</v>
      </c>
      <c r="D522" s="6" t="s">
        <v>2495</v>
      </c>
      <c r="E522" s="8">
        <v>0</v>
      </c>
      <c r="F522" s="6"/>
      <c r="G522" s="9">
        <v>-122.39876747131348</v>
      </c>
      <c r="H522" s="9">
        <v>37.949815301916324</v>
      </c>
      <c r="I522" s="6" t="s">
        <v>1929</v>
      </c>
      <c r="J522" s="6" t="s">
        <v>2496</v>
      </c>
      <c r="K522" s="6" t="s">
        <v>56</v>
      </c>
      <c r="L522" s="6" t="s">
        <v>1620</v>
      </c>
      <c r="M522" s="10">
        <v>0</v>
      </c>
      <c r="N522" s="6" t="s">
        <v>1621</v>
      </c>
      <c r="O522" s="6">
        <v>1</v>
      </c>
    </row>
    <row r="523" spans="1:15" ht="30" customHeight="1" x14ac:dyDescent="0.2">
      <c r="A523" s="6">
        <v>522</v>
      </c>
      <c r="B523" s="6" t="s">
        <v>1007</v>
      </c>
      <c r="C523" s="6" t="s">
        <v>1012</v>
      </c>
      <c r="D523" s="6" t="s">
        <v>2497</v>
      </c>
      <c r="E523" s="8">
        <v>106000</v>
      </c>
      <c r="F523" s="6"/>
      <c r="G523" s="9">
        <v>-122.25603103637695</v>
      </c>
      <c r="H523" s="9">
        <v>38.045116997402687</v>
      </c>
      <c r="I523" s="6"/>
      <c r="J523" s="6" t="s">
        <v>2498</v>
      </c>
      <c r="K523" s="6" t="s">
        <v>56</v>
      </c>
      <c r="L523" s="6" t="s">
        <v>1620</v>
      </c>
      <c r="M523" s="10">
        <v>0</v>
      </c>
      <c r="N523" s="6" t="s">
        <v>1621</v>
      </c>
      <c r="O523" s="6">
        <v>1</v>
      </c>
    </row>
    <row r="524" spans="1:15" ht="30" customHeight="1" x14ac:dyDescent="0.2">
      <c r="A524" s="6">
        <v>523</v>
      </c>
      <c r="B524" s="6" t="s">
        <v>1007</v>
      </c>
      <c r="C524" s="6" t="s">
        <v>1012</v>
      </c>
      <c r="D524" s="6" t="s">
        <v>2499</v>
      </c>
      <c r="E524" s="8">
        <v>155000</v>
      </c>
      <c r="F524" s="6"/>
      <c r="G524" s="9">
        <v>-122.11312294006348</v>
      </c>
      <c r="H524" s="9">
        <v>38.018818259272741</v>
      </c>
      <c r="I524" s="6"/>
      <c r="J524" s="6" t="s">
        <v>2500</v>
      </c>
      <c r="K524" s="6" t="s">
        <v>56</v>
      </c>
      <c r="L524" s="6" t="s">
        <v>1620</v>
      </c>
      <c r="M524" s="10">
        <v>0</v>
      </c>
      <c r="N524" s="6" t="s">
        <v>1621</v>
      </c>
      <c r="O524" s="6">
        <v>1</v>
      </c>
    </row>
    <row r="525" spans="1:15" ht="30" customHeight="1" x14ac:dyDescent="0.2">
      <c r="A525" s="6">
        <v>524</v>
      </c>
      <c r="B525" s="6" t="s">
        <v>1007</v>
      </c>
      <c r="C525" s="6" t="s">
        <v>1012</v>
      </c>
      <c r="D525" s="6" t="s">
        <v>2501</v>
      </c>
      <c r="E525" s="8">
        <v>168000</v>
      </c>
      <c r="F525" s="6"/>
      <c r="G525" s="9">
        <v>-122.06694602966309</v>
      </c>
      <c r="H525" s="9">
        <v>38.027878530719626</v>
      </c>
      <c r="I525" s="6"/>
      <c r="J525" s="6" t="s">
        <v>2502</v>
      </c>
      <c r="K525" s="6" t="s">
        <v>56</v>
      </c>
      <c r="L525" s="6" t="s">
        <v>1620</v>
      </c>
      <c r="M525" s="10">
        <v>0</v>
      </c>
      <c r="N525" s="6" t="s">
        <v>1621</v>
      </c>
      <c r="O525" s="6">
        <v>1</v>
      </c>
    </row>
    <row r="526" spans="1:15" ht="30" customHeight="1" x14ac:dyDescent="0.2">
      <c r="A526" s="6">
        <v>525</v>
      </c>
      <c r="B526" s="6" t="s">
        <v>1007</v>
      </c>
      <c r="C526" s="6" t="s">
        <v>1012</v>
      </c>
      <c r="D526" s="6" t="s">
        <v>2503</v>
      </c>
      <c r="E526" s="8">
        <v>144000</v>
      </c>
      <c r="F526" s="6"/>
      <c r="G526" s="9">
        <v>-122.13827133178711</v>
      </c>
      <c r="H526" s="9">
        <v>38.072081985467953</v>
      </c>
      <c r="I526" s="6" t="s">
        <v>2453</v>
      </c>
      <c r="J526" s="6" t="s">
        <v>2504</v>
      </c>
      <c r="K526" s="6" t="s">
        <v>56</v>
      </c>
      <c r="L526" s="6" t="s">
        <v>1620</v>
      </c>
      <c r="M526" s="10">
        <v>0</v>
      </c>
      <c r="N526" s="6" t="s">
        <v>1621</v>
      </c>
      <c r="O526" s="6">
        <v>1</v>
      </c>
    </row>
    <row r="527" spans="1:15" ht="30" customHeight="1" x14ac:dyDescent="0.2">
      <c r="A527" s="6">
        <v>526</v>
      </c>
      <c r="B527" s="6" t="s">
        <v>1007</v>
      </c>
      <c r="C527" s="6" t="s">
        <v>1012</v>
      </c>
      <c r="D527" s="6" t="s">
        <v>2505</v>
      </c>
      <c r="E527" s="8">
        <v>66000</v>
      </c>
      <c r="F527" s="6"/>
      <c r="G527" s="9">
        <v>-119.01034355163574</v>
      </c>
      <c r="H527" s="9">
        <v>35.417943423751758</v>
      </c>
      <c r="I527" s="6" t="s">
        <v>2506</v>
      </c>
      <c r="J527" s="6" t="s">
        <v>2507</v>
      </c>
      <c r="K527" s="6" t="s">
        <v>56</v>
      </c>
      <c r="L527" s="6" t="s">
        <v>1620</v>
      </c>
      <c r="M527" s="10">
        <v>0</v>
      </c>
      <c r="N527" s="6" t="s">
        <v>1621</v>
      </c>
      <c r="O527" s="6">
        <v>1</v>
      </c>
    </row>
    <row r="528" spans="1:15" ht="30" customHeight="1" x14ac:dyDescent="0.2">
      <c r="A528" s="6">
        <v>527</v>
      </c>
      <c r="B528" s="6" t="s">
        <v>1007</v>
      </c>
      <c r="C528" s="6" t="s">
        <v>1012</v>
      </c>
      <c r="D528" s="6" t="s">
        <v>2508</v>
      </c>
      <c r="E528" s="8">
        <v>25000</v>
      </c>
      <c r="F528" s="6"/>
      <c r="G528" s="9">
        <v>-118.91841888427734</v>
      </c>
      <c r="H528" s="9">
        <v>35.295442524065464</v>
      </c>
      <c r="I528" s="6" t="s">
        <v>1639</v>
      </c>
      <c r="J528" s="6" t="s">
        <v>2509</v>
      </c>
      <c r="K528" s="6" t="s">
        <v>56</v>
      </c>
      <c r="L528" s="6" t="s">
        <v>1620</v>
      </c>
      <c r="M528" s="10">
        <v>0</v>
      </c>
      <c r="N528" s="6" t="s">
        <v>1621</v>
      </c>
      <c r="O528" s="6">
        <v>1</v>
      </c>
    </row>
    <row r="529" spans="1:15" ht="30" customHeight="1" x14ac:dyDescent="0.2">
      <c r="A529" s="6">
        <v>528</v>
      </c>
      <c r="B529" s="6" t="s">
        <v>1007</v>
      </c>
      <c r="C529" s="6" t="s">
        <v>1012</v>
      </c>
      <c r="D529" s="6" t="s">
        <v>2510</v>
      </c>
      <c r="E529" s="8">
        <v>24300</v>
      </c>
      <c r="F529" s="6"/>
      <c r="G529" s="9">
        <v>-119.04948234558105</v>
      </c>
      <c r="H529" s="9">
        <v>35.387580531428789</v>
      </c>
      <c r="I529" s="6" t="s">
        <v>1639</v>
      </c>
      <c r="J529" s="6" t="s">
        <v>2511</v>
      </c>
      <c r="K529" s="6" t="s">
        <v>56</v>
      </c>
      <c r="L529" s="6" t="s">
        <v>1620</v>
      </c>
      <c r="M529" s="10">
        <v>0</v>
      </c>
      <c r="N529" s="6" t="s">
        <v>1621</v>
      </c>
      <c r="O529" s="6">
        <v>1</v>
      </c>
    </row>
    <row r="530" spans="1:15" ht="30" customHeight="1" x14ac:dyDescent="0.2">
      <c r="A530" s="6">
        <v>529</v>
      </c>
      <c r="B530" s="6" t="s">
        <v>1007</v>
      </c>
      <c r="C530" s="6" t="s">
        <v>1012</v>
      </c>
      <c r="D530" s="6" t="s">
        <v>2512</v>
      </c>
      <c r="E530" s="8">
        <v>260000</v>
      </c>
      <c r="F530" s="6"/>
      <c r="G530" s="9">
        <v>-118.23949813842773</v>
      </c>
      <c r="H530" s="9">
        <v>33.812385943899471</v>
      </c>
      <c r="I530" s="6" t="s">
        <v>1623</v>
      </c>
      <c r="J530" s="6" t="s">
        <v>1624</v>
      </c>
      <c r="K530" s="6" t="s">
        <v>56</v>
      </c>
      <c r="L530" s="6" t="s">
        <v>1620</v>
      </c>
      <c r="M530" s="10">
        <v>0</v>
      </c>
      <c r="N530" s="6" t="s">
        <v>1621</v>
      </c>
      <c r="O530" s="6">
        <v>1</v>
      </c>
    </row>
    <row r="531" spans="1:15" ht="30" customHeight="1" x14ac:dyDescent="0.2">
      <c r="A531" s="6">
        <v>530</v>
      </c>
      <c r="B531" s="6" t="s">
        <v>1007</v>
      </c>
      <c r="C531" s="6" t="s">
        <v>1012</v>
      </c>
      <c r="D531" s="6" t="s">
        <v>2513</v>
      </c>
      <c r="E531" s="8">
        <v>260000</v>
      </c>
      <c r="F531" s="6"/>
      <c r="G531" s="9">
        <v>-118.40789794921875</v>
      </c>
      <c r="H531" s="9">
        <v>33.909317498856815</v>
      </c>
      <c r="I531" s="6" t="s">
        <v>1929</v>
      </c>
      <c r="J531" s="6" t="s">
        <v>2496</v>
      </c>
      <c r="K531" s="6" t="s">
        <v>56</v>
      </c>
      <c r="L531" s="6" t="s">
        <v>1620</v>
      </c>
      <c r="M531" s="10">
        <v>0</v>
      </c>
      <c r="N531" s="6" t="s">
        <v>1621</v>
      </c>
      <c r="O531" s="6">
        <v>1</v>
      </c>
    </row>
    <row r="532" spans="1:15" ht="30" customHeight="1" x14ac:dyDescent="0.2">
      <c r="A532" s="6">
        <v>531</v>
      </c>
      <c r="B532" s="6" t="s">
        <v>1007</v>
      </c>
      <c r="C532" s="6" t="s">
        <v>1012</v>
      </c>
      <c r="D532" s="6" t="s">
        <v>2514</v>
      </c>
      <c r="E532" s="8">
        <v>133000</v>
      </c>
      <c r="F532" s="6"/>
      <c r="G532" s="9">
        <v>-118.28644752502441</v>
      </c>
      <c r="H532" s="9">
        <v>33.772940409675222</v>
      </c>
      <c r="I532" s="6"/>
      <c r="J532" s="6" t="s">
        <v>2498</v>
      </c>
      <c r="K532" s="6" t="s">
        <v>56</v>
      </c>
      <c r="L532" s="6" t="s">
        <v>1620</v>
      </c>
      <c r="M532" s="10">
        <v>0</v>
      </c>
      <c r="N532" s="6" t="s">
        <v>1621</v>
      </c>
      <c r="O532" s="6">
        <v>1</v>
      </c>
    </row>
    <row r="533" spans="1:15" ht="30" customHeight="1" x14ac:dyDescent="0.2">
      <c r="A533" s="6">
        <v>532</v>
      </c>
      <c r="B533" s="6" t="s">
        <v>1007</v>
      </c>
      <c r="C533" s="6" t="s">
        <v>1012</v>
      </c>
      <c r="D533" s="6" t="s">
        <v>2515</v>
      </c>
      <c r="E533" s="8">
        <v>149000</v>
      </c>
      <c r="F533" s="6"/>
      <c r="G533" s="9">
        <v>-118.33219528198242</v>
      </c>
      <c r="H533" s="9">
        <v>33.853238901677337</v>
      </c>
      <c r="I533" s="6"/>
      <c r="J533" s="6" t="s">
        <v>2516</v>
      </c>
      <c r="K533" s="6" t="s">
        <v>56</v>
      </c>
      <c r="L533" s="6" t="s">
        <v>1620</v>
      </c>
      <c r="M533" s="10">
        <v>0</v>
      </c>
      <c r="N533" s="6" t="s">
        <v>1621</v>
      </c>
      <c r="O533" s="6">
        <v>1</v>
      </c>
    </row>
    <row r="534" spans="1:15" ht="30" customHeight="1" x14ac:dyDescent="0.2">
      <c r="A534" s="6">
        <v>533</v>
      </c>
      <c r="B534" s="6" t="s">
        <v>1007</v>
      </c>
      <c r="C534" s="6" t="s">
        <v>1012</v>
      </c>
      <c r="D534" s="6" t="s">
        <v>2517</v>
      </c>
      <c r="E534" s="8">
        <v>54000</v>
      </c>
      <c r="F534" s="6"/>
      <c r="G534" s="9">
        <v>-118.14714431762695</v>
      </c>
      <c r="H534" s="9">
        <v>33.898346951020116</v>
      </c>
      <c r="I534" s="6" t="s">
        <v>2518</v>
      </c>
      <c r="J534" s="6" t="s">
        <v>2519</v>
      </c>
      <c r="K534" s="6" t="s">
        <v>56</v>
      </c>
      <c r="L534" s="6" t="s">
        <v>1620</v>
      </c>
      <c r="M534" s="10">
        <v>0</v>
      </c>
      <c r="N534" s="6" t="s">
        <v>1621</v>
      </c>
      <c r="O534" s="6">
        <v>1</v>
      </c>
    </row>
    <row r="535" spans="1:15" ht="30" customHeight="1" x14ac:dyDescent="0.2">
      <c r="A535" s="6">
        <v>534</v>
      </c>
      <c r="B535" s="6" t="s">
        <v>1007</v>
      </c>
      <c r="C535" s="6" t="s">
        <v>1012</v>
      </c>
      <c r="D535" s="6" t="s">
        <v>2520</v>
      </c>
      <c r="E535" s="8">
        <v>100000</v>
      </c>
      <c r="F535" s="6"/>
      <c r="G535" s="9">
        <v>-118.23503494262695</v>
      </c>
      <c r="H535" s="9">
        <v>33.794769660137483</v>
      </c>
      <c r="I535" s="6"/>
      <c r="J535" s="6" t="s">
        <v>2500</v>
      </c>
      <c r="K535" s="6" t="s">
        <v>56</v>
      </c>
      <c r="L535" s="6" t="s">
        <v>1620</v>
      </c>
      <c r="M535" s="10">
        <v>0</v>
      </c>
      <c r="N535" s="6" t="s">
        <v>1621</v>
      </c>
      <c r="O535" s="6">
        <v>1</v>
      </c>
    </row>
    <row r="536" spans="1:15" ht="30" customHeight="1" x14ac:dyDescent="0.2">
      <c r="A536" s="6">
        <v>535</v>
      </c>
      <c r="B536" s="6" t="s">
        <v>1007</v>
      </c>
      <c r="C536" s="6" t="s">
        <v>1012</v>
      </c>
      <c r="D536" s="6" t="s">
        <v>2521</v>
      </c>
      <c r="E536" s="8">
        <v>140000</v>
      </c>
      <c r="F536" s="6"/>
      <c r="G536" s="9">
        <v>-118.23675155639648</v>
      </c>
      <c r="H536" s="9">
        <v>33.778433914896645</v>
      </c>
      <c r="I536" s="6" t="s">
        <v>2453</v>
      </c>
      <c r="J536" s="6" t="s">
        <v>2522</v>
      </c>
      <c r="K536" s="6" t="s">
        <v>56</v>
      </c>
      <c r="L536" s="6" t="s">
        <v>1620</v>
      </c>
      <c r="M536" s="10">
        <v>0</v>
      </c>
      <c r="N536" s="6" t="s">
        <v>1621</v>
      </c>
      <c r="O536" s="6">
        <v>1</v>
      </c>
    </row>
    <row r="537" spans="1:15" ht="30" customHeight="1" x14ac:dyDescent="0.2">
      <c r="A537" s="6">
        <v>536</v>
      </c>
      <c r="B537" s="6" t="s">
        <v>1007</v>
      </c>
      <c r="C537" s="6" t="s">
        <v>1012</v>
      </c>
      <c r="D537" s="6" t="s">
        <v>2523</v>
      </c>
      <c r="E537" s="8">
        <v>27000</v>
      </c>
      <c r="F537" s="6"/>
      <c r="G537" s="9">
        <v>-104.94492530822754</v>
      </c>
      <c r="H537" s="9">
        <v>39.801546669704905</v>
      </c>
      <c r="I537" s="6" t="s">
        <v>2524</v>
      </c>
      <c r="J537" s="6" t="s">
        <v>2525</v>
      </c>
      <c r="K537" s="6" t="s">
        <v>56</v>
      </c>
      <c r="L537" s="6" t="s">
        <v>1620</v>
      </c>
      <c r="M537" s="10">
        <v>0</v>
      </c>
      <c r="N537" s="6" t="s">
        <v>1621</v>
      </c>
      <c r="O537" s="6">
        <v>1</v>
      </c>
    </row>
    <row r="538" spans="1:15" ht="30" customHeight="1" x14ac:dyDescent="0.2">
      <c r="A538" s="6">
        <v>537</v>
      </c>
      <c r="B538" s="6" t="s">
        <v>1007</v>
      </c>
      <c r="C538" s="6" t="s">
        <v>1012</v>
      </c>
      <c r="D538" s="6" t="s">
        <v>2526</v>
      </c>
      <c r="E538" s="8">
        <v>90000</v>
      </c>
      <c r="F538" s="6"/>
      <c r="G538" s="9">
        <v>-104.94681358337402</v>
      </c>
      <c r="H538" s="9">
        <v>39.803129231189288</v>
      </c>
      <c r="I538" s="6" t="s">
        <v>2524</v>
      </c>
      <c r="J538" s="6" t="s">
        <v>2527</v>
      </c>
      <c r="K538" s="6" t="s">
        <v>56</v>
      </c>
      <c r="L538" s="6" t="s">
        <v>1620</v>
      </c>
      <c r="M538" s="10">
        <v>0</v>
      </c>
      <c r="N538" s="6" t="s">
        <v>1621</v>
      </c>
      <c r="O538" s="6">
        <v>1</v>
      </c>
    </row>
    <row r="539" spans="1:15" ht="30" customHeight="1" x14ac:dyDescent="0.2">
      <c r="A539" s="6">
        <v>538</v>
      </c>
      <c r="B539" s="6" t="s">
        <v>1007</v>
      </c>
      <c r="C539" s="6" t="s">
        <v>1012</v>
      </c>
      <c r="D539" s="6" t="s">
        <v>2528</v>
      </c>
      <c r="E539" s="8">
        <v>175000</v>
      </c>
      <c r="F539" s="6"/>
      <c r="G539" s="9">
        <v>-75.630912780761719</v>
      </c>
      <c r="H539" s="9">
        <v>39.588360409331187</v>
      </c>
      <c r="I539" s="6" t="s">
        <v>2453</v>
      </c>
      <c r="J539" s="6" t="s">
        <v>2529</v>
      </c>
      <c r="K539" s="6" t="s">
        <v>56</v>
      </c>
      <c r="L539" s="6" t="s">
        <v>1620</v>
      </c>
      <c r="M539" s="10">
        <v>0</v>
      </c>
      <c r="N539" s="6" t="s">
        <v>1621</v>
      </c>
      <c r="O539" s="6">
        <v>1</v>
      </c>
    </row>
    <row r="540" spans="1:15" ht="30" customHeight="1" x14ac:dyDescent="0.2">
      <c r="A540" s="6">
        <v>539</v>
      </c>
      <c r="B540" s="6" t="s">
        <v>1007</v>
      </c>
      <c r="C540" s="6" t="s">
        <v>1012</v>
      </c>
      <c r="D540" s="6" t="s">
        <v>2530</v>
      </c>
      <c r="E540" s="8">
        <v>95000</v>
      </c>
      <c r="F540" s="6"/>
      <c r="G540" s="9">
        <v>-158.09197425842285</v>
      </c>
      <c r="H540" s="9">
        <v>21.305208252125421</v>
      </c>
      <c r="I540" s="6"/>
      <c r="J540" s="6" t="s">
        <v>2531</v>
      </c>
      <c r="K540" s="6" t="s">
        <v>56</v>
      </c>
      <c r="L540" s="6" t="s">
        <v>1620</v>
      </c>
      <c r="M540" s="10">
        <v>0</v>
      </c>
      <c r="N540" s="6" t="s">
        <v>1621</v>
      </c>
      <c r="O540" s="6">
        <v>1</v>
      </c>
    </row>
    <row r="541" spans="1:15" ht="30" customHeight="1" x14ac:dyDescent="0.2">
      <c r="A541" s="6">
        <v>540</v>
      </c>
      <c r="B541" s="6" t="s">
        <v>1007</v>
      </c>
      <c r="C541" s="6" t="s">
        <v>1012</v>
      </c>
      <c r="D541" s="6" t="s">
        <v>2532</v>
      </c>
      <c r="E541" s="8">
        <v>57000</v>
      </c>
      <c r="F541" s="6"/>
      <c r="G541" s="9">
        <v>-158.11240196228027</v>
      </c>
      <c r="H541" s="9">
        <v>21.309126478260147</v>
      </c>
      <c r="I541" s="6" t="s">
        <v>1929</v>
      </c>
      <c r="J541" s="6" t="s">
        <v>2496</v>
      </c>
      <c r="K541" s="6" t="s">
        <v>56</v>
      </c>
      <c r="L541" s="6" t="s">
        <v>1620</v>
      </c>
      <c r="M541" s="10">
        <v>0</v>
      </c>
      <c r="N541" s="6" t="s">
        <v>1621</v>
      </c>
      <c r="O541" s="6">
        <v>1</v>
      </c>
    </row>
    <row r="542" spans="1:15" ht="30" customHeight="1" x14ac:dyDescent="0.2">
      <c r="A542" s="6">
        <v>541</v>
      </c>
      <c r="B542" s="6" t="s">
        <v>1007</v>
      </c>
      <c r="C542" s="6" t="s">
        <v>1012</v>
      </c>
      <c r="D542" s="6" t="s">
        <v>2533</v>
      </c>
      <c r="E542" s="8">
        <v>306000</v>
      </c>
      <c r="F542" s="6"/>
      <c r="G542" s="9">
        <v>-90.064888000488281</v>
      </c>
      <c r="H542" s="9">
        <v>38.837300835121653</v>
      </c>
      <c r="I542" s="6"/>
      <c r="J542" s="6" t="s">
        <v>2534</v>
      </c>
      <c r="K542" s="6" t="s">
        <v>56</v>
      </c>
      <c r="L542" s="6" t="s">
        <v>1620</v>
      </c>
      <c r="M542" s="10">
        <v>0</v>
      </c>
      <c r="N542" s="6" t="s">
        <v>1621</v>
      </c>
      <c r="O542" s="6">
        <v>1</v>
      </c>
    </row>
    <row r="543" spans="1:15" ht="30" customHeight="1" x14ac:dyDescent="0.2">
      <c r="A543" s="6">
        <v>542</v>
      </c>
      <c r="B543" s="6" t="s">
        <v>1007</v>
      </c>
      <c r="C543" s="6" t="s">
        <v>1012</v>
      </c>
      <c r="D543" s="6" t="s">
        <v>2535</v>
      </c>
      <c r="E543" s="8">
        <v>238000</v>
      </c>
      <c r="F543" s="6"/>
      <c r="G543" s="9">
        <v>-88.183221817016602</v>
      </c>
      <c r="H543" s="9">
        <v>41.414603617418258</v>
      </c>
      <c r="I543" s="6"/>
      <c r="J543" s="6" t="s">
        <v>2536</v>
      </c>
      <c r="K543" s="6" t="s">
        <v>56</v>
      </c>
      <c r="L543" s="6" t="s">
        <v>1620</v>
      </c>
      <c r="M543" s="10">
        <v>0</v>
      </c>
      <c r="N543" s="6" t="s">
        <v>1621</v>
      </c>
      <c r="O543" s="6">
        <v>1</v>
      </c>
    </row>
    <row r="544" spans="1:15" ht="30" customHeight="1" x14ac:dyDescent="0.2">
      <c r="A544" s="6">
        <v>543</v>
      </c>
      <c r="B544" s="6" t="s">
        <v>1007</v>
      </c>
      <c r="C544" s="6" t="s">
        <v>1012</v>
      </c>
      <c r="D544" s="6" t="s">
        <v>2537</v>
      </c>
      <c r="E544" s="8">
        <v>192000</v>
      </c>
      <c r="F544" s="6"/>
      <c r="G544" s="9">
        <v>-87.716903686523438</v>
      </c>
      <c r="H544" s="9">
        <v>38.997040842877709</v>
      </c>
      <c r="I544" s="6"/>
      <c r="J544" s="6" t="s">
        <v>2538</v>
      </c>
      <c r="K544" s="6" t="s">
        <v>56</v>
      </c>
      <c r="L544" s="6" t="s">
        <v>1620</v>
      </c>
      <c r="M544" s="10">
        <v>0</v>
      </c>
      <c r="N544" s="6" t="s">
        <v>1621</v>
      </c>
      <c r="O544" s="6">
        <v>1</v>
      </c>
    </row>
    <row r="545" spans="1:15" ht="30" customHeight="1" x14ac:dyDescent="0.2">
      <c r="A545" s="6">
        <v>544</v>
      </c>
      <c r="B545" s="6" t="s">
        <v>1007</v>
      </c>
      <c r="C545" s="6" t="s">
        <v>1012</v>
      </c>
      <c r="D545" s="6" t="s">
        <v>2539</v>
      </c>
      <c r="E545" s="8">
        <v>160000</v>
      </c>
      <c r="F545" s="6"/>
      <c r="G545" s="9">
        <v>-88.048810958862305</v>
      </c>
      <c r="H545" s="9">
        <v>41.653483117158189</v>
      </c>
      <c r="I545" s="6" t="s">
        <v>2540</v>
      </c>
      <c r="J545" s="6" t="s">
        <v>2541</v>
      </c>
      <c r="K545" s="6" t="s">
        <v>56</v>
      </c>
      <c r="L545" s="6" t="s">
        <v>1620</v>
      </c>
      <c r="M545" s="10">
        <v>0</v>
      </c>
      <c r="N545" s="6" t="s">
        <v>1621</v>
      </c>
      <c r="O545" s="6">
        <v>1</v>
      </c>
    </row>
    <row r="546" spans="1:15" ht="30" customHeight="1" x14ac:dyDescent="0.2">
      <c r="A546" s="6">
        <v>545</v>
      </c>
      <c r="B546" s="6" t="s">
        <v>1007</v>
      </c>
      <c r="C546" s="6" t="s">
        <v>1012</v>
      </c>
      <c r="D546" s="6" t="s">
        <v>2542</v>
      </c>
      <c r="E546" s="8">
        <v>23000</v>
      </c>
      <c r="F546" s="6"/>
      <c r="G546" s="9">
        <v>-87.928905487060547</v>
      </c>
      <c r="H546" s="9">
        <v>37.906418483434798</v>
      </c>
      <c r="I546" s="6" t="s">
        <v>1639</v>
      </c>
      <c r="J546" s="6" t="s">
        <v>2543</v>
      </c>
      <c r="K546" s="6" t="s">
        <v>56</v>
      </c>
      <c r="L546" s="6" t="s">
        <v>1620</v>
      </c>
      <c r="M546" s="10">
        <v>0</v>
      </c>
      <c r="N546" s="6" t="s">
        <v>1621</v>
      </c>
      <c r="O546" s="6">
        <v>1</v>
      </c>
    </row>
    <row r="547" spans="1:15" ht="30" customHeight="1" x14ac:dyDescent="0.2">
      <c r="A547" s="6">
        <v>546</v>
      </c>
      <c r="B547" s="6" t="s">
        <v>1007</v>
      </c>
      <c r="C547" s="6" t="s">
        <v>1012</v>
      </c>
      <c r="D547" s="6" t="s">
        <v>2544</v>
      </c>
      <c r="E547" s="8">
        <v>410000</v>
      </c>
      <c r="F547" s="6"/>
      <c r="G547" s="9">
        <v>-87.48112678527832</v>
      </c>
      <c r="H547" s="9">
        <v>41.668487977107119</v>
      </c>
      <c r="I547" s="6" t="s">
        <v>1623</v>
      </c>
      <c r="J547" s="6" t="s">
        <v>1624</v>
      </c>
      <c r="K547" s="6" t="s">
        <v>56</v>
      </c>
      <c r="L547" s="6" t="s">
        <v>1620</v>
      </c>
      <c r="M547" s="10">
        <v>0</v>
      </c>
      <c r="N547" s="6" t="s">
        <v>1621</v>
      </c>
      <c r="O547" s="6">
        <v>1</v>
      </c>
    </row>
    <row r="548" spans="1:15" ht="30" customHeight="1" x14ac:dyDescent="0.2">
      <c r="A548" s="6">
        <v>547</v>
      </c>
      <c r="B548" s="6" t="s">
        <v>1007</v>
      </c>
      <c r="C548" s="6" t="s">
        <v>1012</v>
      </c>
      <c r="D548" s="6" t="s">
        <v>2545</v>
      </c>
      <c r="E548" s="8">
        <v>112000</v>
      </c>
      <c r="F548" s="6"/>
      <c r="G548" s="9">
        <v>-95.605859756469727</v>
      </c>
      <c r="H548" s="9">
        <v>37.0492175762638</v>
      </c>
      <c r="I548" s="6" t="s">
        <v>2546</v>
      </c>
      <c r="J548" s="6" t="s">
        <v>2547</v>
      </c>
      <c r="K548" s="6" t="s">
        <v>56</v>
      </c>
      <c r="L548" s="6" t="s">
        <v>1620</v>
      </c>
      <c r="M548" s="10">
        <v>0</v>
      </c>
      <c r="N548" s="6" t="s">
        <v>1621</v>
      </c>
      <c r="O548" s="6">
        <v>1</v>
      </c>
    </row>
    <row r="549" spans="1:15" ht="30" customHeight="1" x14ac:dyDescent="0.2">
      <c r="A549" s="6">
        <v>548</v>
      </c>
      <c r="B549" s="6" t="s">
        <v>1007</v>
      </c>
      <c r="C549" s="6" t="s">
        <v>1012</v>
      </c>
      <c r="D549" s="6" t="s">
        <v>2548</v>
      </c>
      <c r="E549" s="8">
        <v>103000</v>
      </c>
      <c r="F549" s="6"/>
      <c r="G549" s="9">
        <v>-96.872377395629883</v>
      </c>
      <c r="H549" s="9">
        <v>37.797644864326571</v>
      </c>
      <c r="I549" s="6" t="s">
        <v>2549</v>
      </c>
      <c r="J549" s="6" t="s">
        <v>2550</v>
      </c>
      <c r="K549" s="6" t="s">
        <v>56</v>
      </c>
      <c r="L549" s="6" t="s">
        <v>1620</v>
      </c>
      <c r="M549" s="10">
        <v>0</v>
      </c>
      <c r="N549" s="6" t="s">
        <v>1621</v>
      </c>
      <c r="O549" s="6">
        <v>1</v>
      </c>
    </row>
    <row r="550" spans="1:15" ht="30" customHeight="1" x14ac:dyDescent="0.2">
      <c r="A550" s="6">
        <v>549</v>
      </c>
      <c r="B550" s="6" t="s">
        <v>1007</v>
      </c>
      <c r="C550" s="6" t="s">
        <v>1012</v>
      </c>
      <c r="D550" s="6" t="s">
        <v>2551</v>
      </c>
      <c r="E550" s="8">
        <v>81200</v>
      </c>
      <c r="F550" s="6"/>
      <c r="G550" s="9">
        <v>-97.676010131835938</v>
      </c>
      <c r="H550" s="9">
        <v>38.340915677779819</v>
      </c>
      <c r="I550" s="6" t="s">
        <v>1639</v>
      </c>
      <c r="J550" s="6" t="s">
        <v>2552</v>
      </c>
      <c r="K550" s="6" t="s">
        <v>56</v>
      </c>
      <c r="L550" s="6" t="s">
        <v>1620</v>
      </c>
      <c r="M550" s="10">
        <v>0</v>
      </c>
      <c r="N550" s="6" t="s">
        <v>1621</v>
      </c>
      <c r="O550" s="6">
        <v>1</v>
      </c>
    </row>
    <row r="551" spans="1:15" ht="30" customHeight="1" x14ac:dyDescent="0.2">
      <c r="A551" s="6">
        <v>550</v>
      </c>
      <c r="B551" s="6" t="s">
        <v>1007</v>
      </c>
      <c r="C551" s="6" t="s">
        <v>1012</v>
      </c>
      <c r="D551" s="6" t="s">
        <v>2553</v>
      </c>
      <c r="E551" s="8">
        <v>5500</v>
      </c>
      <c r="F551" s="6"/>
      <c r="G551" s="9">
        <v>-84.616870880126953</v>
      </c>
      <c r="H551" s="9">
        <v>37.069560251748712</v>
      </c>
      <c r="I551" s="6" t="s">
        <v>1639</v>
      </c>
      <c r="J551" s="6" t="s">
        <v>2554</v>
      </c>
      <c r="K551" s="6" t="s">
        <v>56</v>
      </c>
      <c r="L551" s="6" t="s">
        <v>1620</v>
      </c>
      <c r="M551" s="10">
        <v>0</v>
      </c>
      <c r="N551" s="6" t="s">
        <v>1621</v>
      </c>
      <c r="O551" s="6">
        <v>1</v>
      </c>
    </row>
    <row r="552" spans="1:15" ht="30" customHeight="1" x14ac:dyDescent="0.2">
      <c r="A552" s="6">
        <v>551</v>
      </c>
      <c r="B552" s="6" t="s">
        <v>1007</v>
      </c>
      <c r="C552" s="6" t="s">
        <v>1012</v>
      </c>
      <c r="D552" s="6" t="s">
        <v>2555</v>
      </c>
      <c r="E552" s="8">
        <v>222000</v>
      </c>
      <c r="F552" s="6"/>
      <c r="G552" s="9">
        <v>-82.596673965454102</v>
      </c>
      <c r="H552" s="9">
        <v>38.377124724511141</v>
      </c>
      <c r="I552" s="6"/>
      <c r="J552" s="6" t="s">
        <v>2556</v>
      </c>
      <c r="K552" s="6" t="s">
        <v>56</v>
      </c>
      <c r="L552" s="6" t="s">
        <v>1620</v>
      </c>
      <c r="M552" s="10">
        <v>0</v>
      </c>
      <c r="N552" s="6" t="s">
        <v>1621</v>
      </c>
      <c r="O552" s="6">
        <v>1</v>
      </c>
    </row>
    <row r="553" spans="1:15" ht="30" customHeight="1" x14ac:dyDescent="0.2">
      <c r="A553" s="6">
        <v>552</v>
      </c>
      <c r="B553" s="6" t="s">
        <v>1007</v>
      </c>
      <c r="C553" s="6" t="s">
        <v>1012</v>
      </c>
      <c r="D553" s="6" t="s">
        <v>2557</v>
      </c>
      <c r="E553" s="8">
        <v>187200</v>
      </c>
      <c r="F553" s="6"/>
      <c r="G553" s="9">
        <v>-89.974851608276367</v>
      </c>
      <c r="H553" s="9">
        <v>29.935151415337312</v>
      </c>
      <c r="I553" s="6" t="s">
        <v>1639</v>
      </c>
      <c r="J553" s="6" t="s">
        <v>2558</v>
      </c>
      <c r="K553" s="6" t="s">
        <v>56</v>
      </c>
      <c r="L553" s="6" t="s">
        <v>1620</v>
      </c>
      <c r="M553" s="10">
        <v>0</v>
      </c>
      <c r="N553" s="6" t="s">
        <v>1621</v>
      </c>
      <c r="O553" s="6">
        <v>1</v>
      </c>
    </row>
    <row r="554" spans="1:15" ht="30" customHeight="1" x14ac:dyDescent="0.2">
      <c r="A554" s="6">
        <v>553</v>
      </c>
      <c r="B554" s="6" t="s">
        <v>1007</v>
      </c>
      <c r="C554" s="6" t="s">
        <v>1012</v>
      </c>
      <c r="D554" s="6" t="s">
        <v>2559</v>
      </c>
      <c r="E554" s="8">
        <v>247000</v>
      </c>
      <c r="F554" s="6"/>
      <c r="G554" s="9">
        <v>-89.975709915161133</v>
      </c>
      <c r="H554" s="9">
        <v>29.684175341516173</v>
      </c>
      <c r="I554" s="6"/>
      <c r="J554" s="6" t="s">
        <v>2560</v>
      </c>
      <c r="K554" s="6" t="s">
        <v>56</v>
      </c>
      <c r="L554" s="6" t="s">
        <v>1620</v>
      </c>
      <c r="M554" s="10">
        <v>0</v>
      </c>
      <c r="N554" s="6" t="s">
        <v>1621</v>
      </c>
      <c r="O554" s="6">
        <v>1</v>
      </c>
    </row>
    <row r="555" spans="1:15" ht="30" customHeight="1" x14ac:dyDescent="0.2">
      <c r="A555" s="6">
        <v>554</v>
      </c>
      <c r="B555" s="6" t="s">
        <v>1007</v>
      </c>
      <c r="C555" s="6" t="s">
        <v>1012</v>
      </c>
      <c r="D555" s="6" t="s">
        <v>2561</v>
      </c>
      <c r="E555" s="8">
        <v>493500</v>
      </c>
      <c r="F555" s="6"/>
      <c r="G555" s="9">
        <v>-91.178798675537109</v>
      </c>
      <c r="H555" s="9">
        <v>30.488104083590812</v>
      </c>
      <c r="I555" s="6"/>
      <c r="J555" s="6" t="s">
        <v>2562</v>
      </c>
      <c r="K555" s="6" t="s">
        <v>56</v>
      </c>
      <c r="L555" s="6" t="s">
        <v>1620</v>
      </c>
      <c r="M555" s="10">
        <v>0</v>
      </c>
      <c r="N555" s="6" t="s">
        <v>1621</v>
      </c>
      <c r="O555" s="6">
        <v>1</v>
      </c>
    </row>
    <row r="556" spans="1:15" ht="30" customHeight="1" x14ac:dyDescent="0.2">
      <c r="A556" s="6">
        <v>555</v>
      </c>
      <c r="B556" s="6" t="s">
        <v>1007</v>
      </c>
      <c r="C556" s="6" t="s">
        <v>1012</v>
      </c>
      <c r="D556" s="6" t="s">
        <v>2563</v>
      </c>
      <c r="E556" s="8">
        <v>245000</v>
      </c>
      <c r="F556" s="6"/>
      <c r="G556" s="9">
        <v>-90.598840713500977</v>
      </c>
      <c r="H556" s="9">
        <v>30.059882846806005</v>
      </c>
      <c r="I556" s="6"/>
      <c r="J556" s="6" t="s">
        <v>2564</v>
      </c>
      <c r="K556" s="6" t="s">
        <v>56</v>
      </c>
      <c r="L556" s="6" t="s">
        <v>1620</v>
      </c>
      <c r="M556" s="10">
        <v>0</v>
      </c>
      <c r="N556" s="6" t="s">
        <v>1621</v>
      </c>
      <c r="O556" s="6">
        <v>1</v>
      </c>
    </row>
    <row r="557" spans="1:15" ht="30" customHeight="1" x14ac:dyDescent="0.2">
      <c r="A557" s="6">
        <v>556</v>
      </c>
      <c r="B557" s="6" t="s">
        <v>1007</v>
      </c>
      <c r="C557" s="6" t="s">
        <v>1012</v>
      </c>
      <c r="D557" s="6" t="s">
        <v>2565</v>
      </c>
      <c r="E557" s="8">
        <v>235000</v>
      </c>
      <c r="F557" s="6"/>
      <c r="G557" s="9">
        <v>-90.895986557006836</v>
      </c>
      <c r="H557" s="9">
        <v>30.110756128613886</v>
      </c>
      <c r="I557" s="6" t="s">
        <v>2566</v>
      </c>
      <c r="J557" s="6" t="s">
        <v>2567</v>
      </c>
      <c r="K557" s="6" t="s">
        <v>56</v>
      </c>
      <c r="L557" s="6" t="s">
        <v>1620</v>
      </c>
      <c r="M557" s="10">
        <v>0</v>
      </c>
      <c r="N557" s="6" t="s">
        <v>1621</v>
      </c>
      <c r="O557" s="6">
        <v>1</v>
      </c>
    </row>
    <row r="558" spans="1:15" ht="30" customHeight="1" x14ac:dyDescent="0.2">
      <c r="A558" s="6">
        <v>557</v>
      </c>
      <c r="B558" s="6" t="s">
        <v>1007</v>
      </c>
      <c r="C558" s="6" t="s">
        <v>1012</v>
      </c>
      <c r="D558" s="6" t="s">
        <v>2568</v>
      </c>
      <c r="E558" s="8">
        <v>226500</v>
      </c>
      <c r="F558" s="6"/>
      <c r="G558" s="9">
        <v>-90.401945114135742</v>
      </c>
      <c r="H558" s="9">
        <v>30.001401987236676</v>
      </c>
      <c r="I558" s="6" t="s">
        <v>2566</v>
      </c>
      <c r="J558" s="6" t="s">
        <v>2567</v>
      </c>
      <c r="K558" s="6" t="s">
        <v>56</v>
      </c>
      <c r="L558" s="6" t="s">
        <v>1620</v>
      </c>
      <c r="M558" s="10">
        <v>0</v>
      </c>
      <c r="N558" s="6" t="s">
        <v>1621</v>
      </c>
      <c r="O558" s="6">
        <v>1</v>
      </c>
    </row>
    <row r="559" spans="1:15" ht="30" customHeight="1" x14ac:dyDescent="0.2">
      <c r="A559" s="6">
        <v>558</v>
      </c>
      <c r="B559" s="6" t="s">
        <v>1007</v>
      </c>
      <c r="C559" s="6" t="s">
        <v>1012</v>
      </c>
      <c r="D559" s="6" t="s">
        <v>2569</v>
      </c>
      <c r="E559" s="8">
        <v>120000</v>
      </c>
      <c r="F559" s="6"/>
      <c r="G559" s="9">
        <v>-89.940776824951172</v>
      </c>
      <c r="H559" s="9">
        <v>29.934035707859188</v>
      </c>
      <c r="I559" s="6" t="s">
        <v>2570</v>
      </c>
      <c r="J559" s="6" t="s">
        <v>2571</v>
      </c>
      <c r="K559" s="6" t="s">
        <v>56</v>
      </c>
      <c r="L559" s="6" t="s">
        <v>1620</v>
      </c>
      <c r="M559" s="10">
        <v>0</v>
      </c>
      <c r="N559" s="6" t="s">
        <v>1621</v>
      </c>
      <c r="O559" s="6">
        <v>1</v>
      </c>
    </row>
    <row r="560" spans="1:15" ht="30" customHeight="1" x14ac:dyDescent="0.2">
      <c r="A560" s="6">
        <v>559</v>
      </c>
      <c r="B560" s="6" t="s">
        <v>1007</v>
      </c>
      <c r="C560" s="6" t="s">
        <v>1012</v>
      </c>
      <c r="D560" s="6" t="s">
        <v>2572</v>
      </c>
      <c r="E560" s="8">
        <v>48500</v>
      </c>
      <c r="F560" s="6"/>
      <c r="G560" s="9">
        <v>-91.211328506469727</v>
      </c>
      <c r="H560" s="9">
        <v>30.479006176536394</v>
      </c>
      <c r="I560" s="6" t="s">
        <v>1639</v>
      </c>
      <c r="J560" s="6" t="s">
        <v>2573</v>
      </c>
      <c r="K560" s="6" t="s">
        <v>56</v>
      </c>
      <c r="L560" s="6" t="s">
        <v>1620</v>
      </c>
      <c r="M560" s="10">
        <v>0</v>
      </c>
      <c r="N560" s="6" t="s">
        <v>1621</v>
      </c>
      <c r="O560" s="6">
        <v>1</v>
      </c>
    </row>
    <row r="561" spans="1:15" ht="30" customHeight="1" x14ac:dyDescent="0.2">
      <c r="A561" s="6">
        <v>560</v>
      </c>
      <c r="B561" s="6" t="s">
        <v>1007</v>
      </c>
      <c r="C561" s="6" t="s">
        <v>1012</v>
      </c>
      <c r="D561" s="6" t="s">
        <v>2574</v>
      </c>
      <c r="E561" s="8">
        <v>55000</v>
      </c>
      <c r="F561" s="6"/>
      <c r="G561" s="9">
        <v>-90.330018997192383</v>
      </c>
      <c r="H561" s="9">
        <v>29.945489709484221</v>
      </c>
      <c r="I561" s="6"/>
      <c r="J561" s="6" t="s">
        <v>2575</v>
      </c>
      <c r="K561" s="6" t="s">
        <v>56</v>
      </c>
      <c r="L561" s="6" t="s">
        <v>1620</v>
      </c>
      <c r="M561" s="10">
        <v>0</v>
      </c>
      <c r="N561" s="6" t="s">
        <v>1621</v>
      </c>
      <c r="O561" s="6">
        <v>1</v>
      </c>
    </row>
    <row r="562" spans="1:15" ht="30" customHeight="1" x14ac:dyDescent="0.2">
      <c r="A562" s="6">
        <v>561</v>
      </c>
      <c r="B562" s="6" t="s">
        <v>1007</v>
      </c>
      <c r="C562" s="6" t="s">
        <v>1012</v>
      </c>
      <c r="D562" s="6" t="s">
        <v>2576</v>
      </c>
      <c r="E562" s="8">
        <v>80000</v>
      </c>
      <c r="F562" s="6"/>
      <c r="G562" s="9">
        <v>-91.750087738037109</v>
      </c>
      <c r="H562" s="9">
        <v>30.528775375700572</v>
      </c>
      <c r="I562" s="6" t="s">
        <v>2453</v>
      </c>
      <c r="J562" s="6" t="s">
        <v>2577</v>
      </c>
      <c r="K562" s="6" t="s">
        <v>56</v>
      </c>
      <c r="L562" s="6" t="s">
        <v>1620</v>
      </c>
      <c r="M562" s="10">
        <v>0</v>
      </c>
      <c r="N562" s="6" t="s">
        <v>1621</v>
      </c>
      <c r="O562" s="6">
        <v>1</v>
      </c>
    </row>
    <row r="563" spans="1:15" ht="30" customHeight="1" x14ac:dyDescent="0.2">
      <c r="A563" s="6">
        <v>562</v>
      </c>
      <c r="B563" s="6" t="s">
        <v>1007</v>
      </c>
      <c r="C563" s="6" t="s">
        <v>1012</v>
      </c>
      <c r="D563" s="6" t="s">
        <v>2578</v>
      </c>
      <c r="E563" s="8">
        <v>260000</v>
      </c>
      <c r="F563" s="6"/>
      <c r="G563" s="9">
        <v>-90.445375442504883</v>
      </c>
      <c r="H563" s="9">
        <v>29.981851138716657</v>
      </c>
      <c r="I563" s="6" t="s">
        <v>2453</v>
      </c>
      <c r="J563" s="6" t="s">
        <v>2579</v>
      </c>
      <c r="K563" s="6" t="s">
        <v>56</v>
      </c>
      <c r="L563" s="6" t="s">
        <v>1620</v>
      </c>
      <c r="M563" s="10">
        <v>0</v>
      </c>
      <c r="N563" s="6" t="s">
        <v>1621</v>
      </c>
      <c r="O563" s="6">
        <v>1</v>
      </c>
    </row>
    <row r="564" spans="1:15" ht="30" customHeight="1" x14ac:dyDescent="0.2">
      <c r="A564" s="6">
        <v>563</v>
      </c>
      <c r="B564" s="6" t="s">
        <v>1007</v>
      </c>
      <c r="C564" s="6" t="s">
        <v>1012</v>
      </c>
      <c r="D564" s="6" t="s">
        <v>2580</v>
      </c>
      <c r="E564" s="8">
        <v>9500</v>
      </c>
      <c r="F564" s="6"/>
      <c r="G564" s="9">
        <v>-93.415203094482422</v>
      </c>
      <c r="H564" s="9">
        <v>32.801704703205651</v>
      </c>
      <c r="I564" s="6"/>
      <c r="J564" s="6" t="s">
        <v>2581</v>
      </c>
      <c r="K564" s="6" t="s">
        <v>56</v>
      </c>
      <c r="L564" s="6" t="s">
        <v>1620</v>
      </c>
      <c r="M564" s="10">
        <v>0</v>
      </c>
      <c r="N564" s="6" t="s">
        <v>1621</v>
      </c>
      <c r="O564" s="6">
        <v>1</v>
      </c>
    </row>
    <row r="565" spans="1:15" ht="30" customHeight="1" x14ac:dyDescent="0.2">
      <c r="A565" s="6">
        <v>564</v>
      </c>
      <c r="B565" s="6" t="s">
        <v>1007</v>
      </c>
      <c r="C565" s="6" t="s">
        <v>1012</v>
      </c>
      <c r="D565" s="6" t="s">
        <v>2582</v>
      </c>
      <c r="E565" s="8">
        <v>8300</v>
      </c>
      <c r="F565" s="6"/>
      <c r="G565" s="9">
        <v>-93.513479232788086</v>
      </c>
      <c r="H565" s="9">
        <v>32.589345576065625</v>
      </c>
      <c r="I565" s="6"/>
      <c r="J565" s="6" t="s">
        <v>2583</v>
      </c>
      <c r="K565" s="6" t="s">
        <v>56</v>
      </c>
      <c r="L565" s="6" t="s">
        <v>1620</v>
      </c>
      <c r="M565" s="10">
        <v>0</v>
      </c>
      <c r="N565" s="6" t="s">
        <v>1621</v>
      </c>
      <c r="O565" s="6">
        <v>1</v>
      </c>
    </row>
    <row r="566" spans="1:15" ht="30" customHeight="1" x14ac:dyDescent="0.2">
      <c r="A566" s="6">
        <v>565</v>
      </c>
      <c r="B566" s="6" t="s">
        <v>1007</v>
      </c>
      <c r="C566" s="6" t="s">
        <v>1012</v>
      </c>
      <c r="D566" s="6" t="s">
        <v>2584</v>
      </c>
      <c r="E566" s="8">
        <v>35000</v>
      </c>
      <c r="F566" s="6"/>
      <c r="G566" s="9">
        <v>-93.792343139648438</v>
      </c>
      <c r="H566" s="9">
        <v>32.467698535623612</v>
      </c>
      <c r="I566" s="6"/>
      <c r="J566" s="6" t="s">
        <v>2585</v>
      </c>
      <c r="K566" s="6" t="s">
        <v>56</v>
      </c>
      <c r="L566" s="6" t="s">
        <v>1620</v>
      </c>
      <c r="M566" s="10">
        <v>0</v>
      </c>
      <c r="N566" s="6" t="s">
        <v>1621</v>
      </c>
      <c r="O566" s="6">
        <v>1</v>
      </c>
    </row>
    <row r="567" spans="1:15" ht="30" customHeight="1" x14ac:dyDescent="0.2">
      <c r="A567" s="6">
        <v>566</v>
      </c>
      <c r="B567" s="6" t="s">
        <v>1007</v>
      </c>
      <c r="C567" s="6" t="s">
        <v>1012</v>
      </c>
      <c r="D567" s="6" t="s">
        <v>2586</v>
      </c>
      <c r="E567" s="8">
        <v>30000</v>
      </c>
      <c r="F567" s="6"/>
      <c r="G567" s="9">
        <v>-93.320960998535156</v>
      </c>
      <c r="H567" s="9">
        <v>30.133622007197467</v>
      </c>
      <c r="I567" s="6" t="s">
        <v>1639</v>
      </c>
      <c r="J567" s="6" t="s">
        <v>2587</v>
      </c>
      <c r="K567" s="6" t="s">
        <v>56</v>
      </c>
      <c r="L567" s="6" t="s">
        <v>1620</v>
      </c>
      <c r="M567" s="10">
        <v>0</v>
      </c>
      <c r="N567" s="6" t="s">
        <v>1621</v>
      </c>
      <c r="O567" s="6">
        <v>1</v>
      </c>
    </row>
    <row r="568" spans="1:15" ht="30" customHeight="1" x14ac:dyDescent="0.2">
      <c r="A568" s="6">
        <v>567</v>
      </c>
      <c r="B568" s="6" t="s">
        <v>1007</v>
      </c>
      <c r="C568" s="6" t="s">
        <v>1012</v>
      </c>
      <c r="D568" s="6" t="s">
        <v>2588</v>
      </c>
      <c r="E568" s="8"/>
      <c r="F568" s="6"/>
      <c r="G568" s="9">
        <v>-93.357696533203125</v>
      </c>
      <c r="H568" s="9">
        <v>30.178892692486684</v>
      </c>
      <c r="I568" s="6"/>
      <c r="J568" s="6" t="s">
        <v>2589</v>
      </c>
      <c r="K568" s="6" t="s">
        <v>56</v>
      </c>
      <c r="L568" s="6" t="s">
        <v>1620</v>
      </c>
      <c r="M568" s="10">
        <v>0</v>
      </c>
      <c r="N568" s="6" t="s">
        <v>1621</v>
      </c>
      <c r="O568" s="6">
        <v>0</v>
      </c>
    </row>
    <row r="569" spans="1:15" ht="30" customHeight="1" x14ac:dyDescent="0.2">
      <c r="A569" s="6">
        <v>568</v>
      </c>
      <c r="B569" s="6" t="s">
        <v>1007</v>
      </c>
      <c r="C569" s="6" t="s">
        <v>1012</v>
      </c>
      <c r="D569" s="6" t="s">
        <v>2590</v>
      </c>
      <c r="E569" s="8">
        <v>324300</v>
      </c>
      <c r="F569" s="6"/>
      <c r="G569" s="9">
        <v>-93.326711654663086</v>
      </c>
      <c r="H569" s="9">
        <v>30.182157315260508</v>
      </c>
      <c r="I569" s="6"/>
      <c r="J569" s="6" t="s">
        <v>2591</v>
      </c>
      <c r="K569" s="6" t="s">
        <v>56</v>
      </c>
      <c r="L569" s="6" t="s">
        <v>1620</v>
      </c>
      <c r="M569" s="10">
        <v>0</v>
      </c>
      <c r="N569" s="6" t="s">
        <v>1621</v>
      </c>
      <c r="O569" s="6">
        <v>1</v>
      </c>
    </row>
    <row r="570" spans="1:15" ht="30" customHeight="1" x14ac:dyDescent="0.2">
      <c r="A570" s="6">
        <v>569</v>
      </c>
      <c r="B570" s="6" t="s">
        <v>1007</v>
      </c>
      <c r="C570" s="6" t="s">
        <v>1012</v>
      </c>
      <c r="D570" s="6" t="s">
        <v>2592</v>
      </c>
      <c r="E570" s="8">
        <v>239400</v>
      </c>
      <c r="F570" s="6"/>
      <c r="G570" s="9">
        <v>-93.275642395019531</v>
      </c>
      <c r="H570" s="9">
        <v>30.241050320251166</v>
      </c>
      <c r="I570" s="6"/>
      <c r="J570" s="6" t="s">
        <v>2560</v>
      </c>
      <c r="K570" s="6" t="s">
        <v>56</v>
      </c>
      <c r="L570" s="6" t="s">
        <v>1620</v>
      </c>
      <c r="M570" s="10">
        <v>0</v>
      </c>
      <c r="N570" s="6" t="s">
        <v>1621</v>
      </c>
      <c r="O570" s="6">
        <v>1</v>
      </c>
    </row>
    <row r="571" spans="1:15" ht="30" customHeight="1" x14ac:dyDescent="0.2">
      <c r="A571" s="6">
        <v>570</v>
      </c>
      <c r="B571" s="6" t="s">
        <v>1007</v>
      </c>
      <c r="C571" s="6" t="s">
        <v>1012</v>
      </c>
      <c r="D571" s="6" t="s">
        <v>2593</v>
      </c>
      <c r="E571" s="8">
        <v>74000</v>
      </c>
      <c r="F571" s="6"/>
      <c r="G571" s="9">
        <v>-83.15826416015625</v>
      </c>
      <c r="H571" s="9">
        <v>42.283913043627457</v>
      </c>
      <c r="I571" s="6"/>
      <c r="J571" s="6" t="s">
        <v>2594</v>
      </c>
      <c r="K571" s="6" t="s">
        <v>56</v>
      </c>
      <c r="L571" s="6" t="s">
        <v>1620</v>
      </c>
      <c r="M571" s="10">
        <v>0</v>
      </c>
      <c r="N571" s="6" t="s">
        <v>1621</v>
      </c>
      <c r="O571" s="6">
        <v>1</v>
      </c>
    </row>
    <row r="572" spans="1:15" ht="30" customHeight="1" x14ac:dyDescent="0.2">
      <c r="A572" s="6">
        <v>571</v>
      </c>
      <c r="B572" s="6" t="s">
        <v>1007</v>
      </c>
      <c r="C572" s="6" t="s">
        <v>1012</v>
      </c>
      <c r="D572" s="6" t="s">
        <v>2595</v>
      </c>
      <c r="E572" s="8">
        <v>265000</v>
      </c>
      <c r="F572" s="6"/>
      <c r="G572" s="9">
        <v>-93.041238784790039</v>
      </c>
      <c r="H572" s="9">
        <v>44.765993120354715</v>
      </c>
      <c r="I572" s="6" t="s">
        <v>1639</v>
      </c>
      <c r="J572" s="6" t="s">
        <v>2596</v>
      </c>
      <c r="K572" s="6" t="s">
        <v>56</v>
      </c>
      <c r="L572" s="6" t="s">
        <v>1620</v>
      </c>
      <c r="M572" s="10">
        <v>0</v>
      </c>
      <c r="N572" s="6" t="s">
        <v>1621</v>
      </c>
      <c r="O572" s="6">
        <v>1</v>
      </c>
    </row>
    <row r="573" spans="1:15" ht="30" customHeight="1" x14ac:dyDescent="0.2">
      <c r="A573" s="6">
        <v>572</v>
      </c>
      <c r="B573" s="6" t="s">
        <v>1007</v>
      </c>
      <c r="C573" s="6" t="s">
        <v>1012</v>
      </c>
      <c r="D573" s="6" t="s">
        <v>2597</v>
      </c>
      <c r="E573" s="8">
        <v>70000</v>
      </c>
      <c r="F573" s="6"/>
      <c r="G573" s="9">
        <v>-93.000211715698242</v>
      </c>
      <c r="H573" s="9">
        <v>44.852400598176033</v>
      </c>
      <c r="I573" s="6"/>
      <c r="J573" s="6" t="s">
        <v>2598</v>
      </c>
      <c r="K573" s="6" t="s">
        <v>56</v>
      </c>
      <c r="L573" s="6" t="s">
        <v>1620</v>
      </c>
      <c r="M573" s="10">
        <v>0</v>
      </c>
      <c r="N573" s="6" t="s">
        <v>1621</v>
      </c>
      <c r="O573" s="6">
        <v>1</v>
      </c>
    </row>
    <row r="574" spans="1:15" ht="30" customHeight="1" x14ac:dyDescent="0.2">
      <c r="A574" s="6">
        <v>573</v>
      </c>
      <c r="B574" s="6" t="s">
        <v>1007</v>
      </c>
      <c r="C574" s="6" t="s">
        <v>1012</v>
      </c>
      <c r="D574" s="6" t="s">
        <v>2599</v>
      </c>
      <c r="E574" s="8">
        <v>325000</v>
      </c>
      <c r="F574" s="6"/>
      <c r="G574" s="9">
        <v>-88.489809036254883</v>
      </c>
      <c r="H574" s="9">
        <v>30.344287441800354</v>
      </c>
      <c r="I574" s="6" t="s">
        <v>1929</v>
      </c>
      <c r="J574" s="6" t="s">
        <v>2496</v>
      </c>
      <c r="K574" s="6" t="s">
        <v>56</v>
      </c>
      <c r="L574" s="6" t="s">
        <v>1620</v>
      </c>
      <c r="M574" s="10">
        <v>0</v>
      </c>
      <c r="N574" s="6" t="s">
        <v>1621</v>
      </c>
      <c r="O574" s="6">
        <v>1</v>
      </c>
    </row>
    <row r="575" spans="1:15" ht="30" customHeight="1" x14ac:dyDescent="0.2">
      <c r="A575" s="6">
        <v>574</v>
      </c>
      <c r="B575" s="6" t="s">
        <v>1007</v>
      </c>
      <c r="C575" s="6" t="s">
        <v>1012</v>
      </c>
      <c r="D575" s="6" t="s">
        <v>2600</v>
      </c>
      <c r="E575" s="8">
        <v>23000</v>
      </c>
      <c r="F575" s="6"/>
      <c r="G575" s="9">
        <v>-90.907659530639648</v>
      </c>
      <c r="H575" s="9">
        <v>32.386702348315744</v>
      </c>
      <c r="I575" s="6" t="s">
        <v>2601</v>
      </c>
      <c r="J575" s="6" t="s">
        <v>2602</v>
      </c>
      <c r="K575" s="6" t="s">
        <v>56</v>
      </c>
      <c r="L575" s="6" t="s">
        <v>1620</v>
      </c>
      <c r="M575" s="10">
        <v>0</v>
      </c>
      <c r="N575" s="6" t="s">
        <v>1621</v>
      </c>
      <c r="O575" s="6">
        <v>1</v>
      </c>
    </row>
    <row r="576" spans="1:15" ht="30" customHeight="1" x14ac:dyDescent="0.2">
      <c r="A576" s="6">
        <v>575</v>
      </c>
      <c r="B576" s="6" t="s">
        <v>1007</v>
      </c>
      <c r="C576" s="6" t="s">
        <v>1012</v>
      </c>
      <c r="D576" s="6" t="s">
        <v>2603</v>
      </c>
      <c r="E576" s="8">
        <v>55000</v>
      </c>
      <c r="F576" s="6"/>
      <c r="G576" s="9">
        <v>-108.7686824798584</v>
      </c>
      <c r="H576" s="9">
        <v>45.658807546792453</v>
      </c>
      <c r="I576" s="6" t="s">
        <v>1639</v>
      </c>
      <c r="J576" s="6" t="s">
        <v>2604</v>
      </c>
      <c r="K576" s="6" t="s">
        <v>56</v>
      </c>
      <c r="L576" s="6" t="s">
        <v>1620</v>
      </c>
      <c r="M576" s="10">
        <v>0</v>
      </c>
      <c r="N576" s="6" t="s">
        <v>1621</v>
      </c>
      <c r="O576" s="6">
        <v>1</v>
      </c>
    </row>
    <row r="577" spans="1:15" ht="30" customHeight="1" x14ac:dyDescent="0.2">
      <c r="A577" s="6">
        <v>576</v>
      </c>
      <c r="B577" s="6" t="s">
        <v>1007</v>
      </c>
      <c r="C577" s="6" t="s">
        <v>1012</v>
      </c>
      <c r="D577" s="6" t="s">
        <v>2605</v>
      </c>
      <c r="E577" s="8">
        <v>58000</v>
      </c>
      <c r="F577" s="6"/>
      <c r="G577" s="9">
        <v>-108.48878860473633</v>
      </c>
      <c r="H577" s="9">
        <v>45.782130068412165</v>
      </c>
      <c r="I577" s="6"/>
      <c r="J577" s="6" t="s">
        <v>2498</v>
      </c>
      <c r="K577" s="6" t="s">
        <v>56</v>
      </c>
      <c r="L577" s="6" t="s">
        <v>1620</v>
      </c>
      <c r="M577" s="10">
        <v>0</v>
      </c>
      <c r="N577" s="6" t="s">
        <v>1621</v>
      </c>
      <c r="O577" s="6">
        <v>1</v>
      </c>
    </row>
    <row r="578" spans="1:15" ht="30" customHeight="1" x14ac:dyDescent="0.2">
      <c r="A578" s="6">
        <v>577</v>
      </c>
      <c r="B578" s="6" t="s">
        <v>1007</v>
      </c>
      <c r="C578" s="6" t="s">
        <v>1012</v>
      </c>
      <c r="D578" s="6" t="s">
        <v>2606</v>
      </c>
      <c r="E578" s="8">
        <v>60000</v>
      </c>
      <c r="F578" s="6"/>
      <c r="G578" s="9">
        <v>-108.43454360961914</v>
      </c>
      <c r="H578" s="9">
        <v>45.814623135030068</v>
      </c>
      <c r="I578" s="6" t="s">
        <v>2607</v>
      </c>
      <c r="J578" s="6" t="s">
        <v>2536</v>
      </c>
      <c r="K578" s="6" t="s">
        <v>56</v>
      </c>
      <c r="L578" s="6" t="s">
        <v>1620</v>
      </c>
      <c r="M578" s="10">
        <v>0</v>
      </c>
      <c r="N578" s="6" t="s">
        <v>1621</v>
      </c>
      <c r="O578" s="6">
        <v>1</v>
      </c>
    </row>
    <row r="579" spans="1:15" ht="30" customHeight="1" x14ac:dyDescent="0.2">
      <c r="A579" s="6">
        <v>578</v>
      </c>
      <c r="B579" s="6" t="s">
        <v>1007</v>
      </c>
      <c r="C579" s="6" t="s">
        <v>1012</v>
      </c>
      <c r="D579" s="6" t="s">
        <v>2608</v>
      </c>
      <c r="E579" s="8">
        <v>8200</v>
      </c>
      <c r="F579" s="6"/>
      <c r="G579" s="9">
        <v>-111.29184722900391</v>
      </c>
      <c r="H579" s="9">
        <v>47.523808562174516</v>
      </c>
      <c r="I579" s="6" t="s">
        <v>2609</v>
      </c>
      <c r="J579" s="6" t="s">
        <v>2610</v>
      </c>
      <c r="K579" s="6" t="s">
        <v>56</v>
      </c>
      <c r="L579" s="6" t="s">
        <v>1620</v>
      </c>
      <c r="M579" s="10">
        <v>0</v>
      </c>
      <c r="N579" s="6" t="s">
        <v>1621</v>
      </c>
      <c r="O579" s="6">
        <v>1</v>
      </c>
    </row>
    <row r="580" spans="1:15" ht="30" customHeight="1" x14ac:dyDescent="0.2">
      <c r="A580" s="6">
        <v>579</v>
      </c>
      <c r="B580" s="6" t="s">
        <v>1007</v>
      </c>
      <c r="C580" s="6" t="s">
        <v>1012</v>
      </c>
      <c r="D580" s="6" t="s">
        <v>2611</v>
      </c>
      <c r="E580" s="8">
        <v>230000</v>
      </c>
      <c r="F580" s="6"/>
      <c r="G580" s="9">
        <v>-74.222259521484375</v>
      </c>
      <c r="H580" s="9">
        <v>40.635645591623415</v>
      </c>
      <c r="I580" s="6"/>
      <c r="J580" s="6" t="s">
        <v>2612</v>
      </c>
      <c r="K580" s="6" t="s">
        <v>56</v>
      </c>
      <c r="L580" s="6" t="s">
        <v>1620</v>
      </c>
      <c r="M580" s="10">
        <v>0</v>
      </c>
      <c r="N580" s="6" t="s">
        <v>1621</v>
      </c>
      <c r="O580" s="6">
        <v>1</v>
      </c>
    </row>
    <row r="581" spans="1:15" ht="30" customHeight="1" x14ac:dyDescent="0.2">
      <c r="A581" s="6">
        <v>580</v>
      </c>
      <c r="B581" s="6" t="s">
        <v>1007</v>
      </c>
      <c r="C581" s="6" t="s">
        <v>1012</v>
      </c>
      <c r="D581" s="6" t="s">
        <v>2613</v>
      </c>
      <c r="E581" s="8">
        <v>145000</v>
      </c>
      <c r="F581" s="6"/>
      <c r="G581" s="9">
        <v>-75.156955718994141</v>
      </c>
      <c r="H581" s="9">
        <v>39.870486170985799</v>
      </c>
      <c r="I581" s="6"/>
      <c r="J581" s="6" t="s">
        <v>2614</v>
      </c>
      <c r="K581" s="6" t="s">
        <v>56</v>
      </c>
      <c r="L581" s="6" t="s">
        <v>1620</v>
      </c>
      <c r="M581" s="10">
        <v>0</v>
      </c>
      <c r="N581" s="6" t="s">
        <v>1621</v>
      </c>
      <c r="O581" s="6">
        <v>1</v>
      </c>
    </row>
    <row r="582" spans="1:15" ht="30" customHeight="1" x14ac:dyDescent="0.2">
      <c r="A582" s="6">
        <v>581</v>
      </c>
      <c r="B582" s="6" t="s">
        <v>1007</v>
      </c>
      <c r="C582" s="6" t="s">
        <v>1012</v>
      </c>
      <c r="D582" s="6" t="s">
        <v>2615</v>
      </c>
      <c r="E582" s="8">
        <v>160000</v>
      </c>
      <c r="F582" s="6"/>
      <c r="G582" s="9">
        <v>-75.257377624511719</v>
      </c>
      <c r="H582" s="9">
        <v>39.8402430364849</v>
      </c>
      <c r="I582" s="6" t="s">
        <v>2453</v>
      </c>
      <c r="J582" s="6" t="s">
        <v>2616</v>
      </c>
      <c r="K582" s="6" t="s">
        <v>56</v>
      </c>
      <c r="L582" s="6" t="s">
        <v>1620</v>
      </c>
      <c r="M582" s="10">
        <v>0</v>
      </c>
      <c r="N582" s="6" t="s">
        <v>1621</v>
      </c>
      <c r="O582" s="6">
        <v>1</v>
      </c>
    </row>
    <row r="583" spans="1:15" ht="30" customHeight="1" x14ac:dyDescent="0.2">
      <c r="A583" s="6">
        <v>582</v>
      </c>
      <c r="B583" s="6" t="s">
        <v>1007</v>
      </c>
      <c r="C583" s="6" t="s">
        <v>1012</v>
      </c>
      <c r="D583" s="6" t="s">
        <v>2617</v>
      </c>
      <c r="E583" s="8">
        <v>26000</v>
      </c>
      <c r="F583" s="6"/>
      <c r="G583" s="9">
        <v>-108.42578887939453</v>
      </c>
      <c r="H583" s="9">
        <v>35.489677490350061</v>
      </c>
      <c r="I583" s="6" t="s">
        <v>1639</v>
      </c>
      <c r="J583" s="6" t="s">
        <v>2618</v>
      </c>
      <c r="K583" s="6" t="s">
        <v>56</v>
      </c>
      <c r="L583" s="6" t="s">
        <v>1620</v>
      </c>
      <c r="M583" s="10">
        <v>0</v>
      </c>
      <c r="N583" s="6" t="s">
        <v>1621</v>
      </c>
      <c r="O583" s="6">
        <v>1</v>
      </c>
    </row>
    <row r="584" spans="1:15" ht="30" customHeight="1" x14ac:dyDescent="0.2">
      <c r="A584" s="6">
        <v>583</v>
      </c>
      <c r="B584" s="6" t="s">
        <v>1007</v>
      </c>
      <c r="C584" s="6" t="s">
        <v>1012</v>
      </c>
      <c r="D584" s="6" t="s">
        <v>2619</v>
      </c>
      <c r="E584" s="8">
        <v>84000</v>
      </c>
      <c r="F584" s="6"/>
      <c r="G584" s="9">
        <v>-104.39363479614258</v>
      </c>
      <c r="H584" s="9">
        <v>32.848514492388645</v>
      </c>
      <c r="I584" s="6" t="s">
        <v>1639</v>
      </c>
      <c r="J584" s="6" t="s">
        <v>2620</v>
      </c>
      <c r="K584" s="6" t="s">
        <v>56</v>
      </c>
      <c r="L584" s="6" t="s">
        <v>1620</v>
      </c>
      <c r="M584" s="10">
        <v>0</v>
      </c>
      <c r="N584" s="6" t="s">
        <v>1621</v>
      </c>
      <c r="O584" s="6">
        <v>1</v>
      </c>
    </row>
    <row r="585" spans="1:15" ht="30" customHeight="1" x14ac:dyDescent="0.2">
      <c r="A585" s="6">
        <v>584</v>
      </c>
      <c r="B585" s="6" t="s">
        <v>1007</v>
      </c>
      <c r="C585" s="6" t="s">
        <v>1012</v>
      </c>
      <c r="D585" s="6" t="s">
        <v>2621</v>
      </c>
      <c r="E585" s="8">
        <v>16800</v>
      </c>
      <c r="F585" s="6"/>
      <c r="G585" s="9">
        <v>-107.97088623046875</v>
      </c>
      <c r="H585" s="9">
        <v>36.699255395552683</v>
      </c>
      <c r="I585" s="6" t="s">
        <v>1639</v>
      </c>
      <c r="J585" s="6" t="s">
        <v>2618</v>
      </c>
      <c r="K585" s="6" t="s">
        <v>56</v>
      </c>
      <c r="L585" s="6" t="s">
        <v>1620</v>
      </c>
      <c r="M585" s="10">
        <v>0</v>
      </c>
      <c r="N585" s="6" t="s">
        <v>1621</v>
      </c>
      <c r="O585" s="6">
        <v>1</v>
      </c>
    </row>
    <row r="586" spans="1:15" ht="30" customHeight="1" x14ac:dyDescent="0.2">
      <c r="A586" s="6">
        <v>585</v>
      </c>
      <c r="B586" s="6" t="s">
        <v>1007</v>
      </c>
      <c r="C586" s="6" t="s">
        <v>1012</v>
      </c>
      <c r="D586" s="6" t="s">
        <v>2622</v>
      </c>
      <c r="E586" s="8">
        <v>58000</v>
      </c>
      <c r="F586" s="6"/>
      <c r="G586" s="9">
        <v>-100.88170051574707</v>
      </c>
      <c r="H586" s="9">
        <v>46.850388993376704</v>
      </c>
      <c r="I586" s="6"/>
      <c r="J586" s="6" t="s">
        <v>2623</v>
      </c>
      <c r="K586" s="6" t="s">
        <v>56</v>
      </c>
      <c r="L586" s="6" t="s">
        <v>1620</v>
      </c>
      <c r="M586" s="10">
        <v>0</v>
      </c>
      <c r="N586" s="6" t="s">
        <v>1621</v>
      </c>
      <c r="O586" s="6">
        <v>1</v>
      </c>
    </row>
    <row r="587" spans="1:15" ht="30" customHeight="1" x14ac:dyDescent="0.2">
      <c r="A587" s="6">
        <v>586</v>
      </c>
      <c r="B587" s="6" t="s">
        <v>1007</v>
      </c>
      <c r="C587" s="6" t="s">
        <v>1012</v>
      </c>
      <c r="D587" s="6" t="s">
        <v>2624</v>
      </c>
      <c r="E587" s="8">
        <v>160000</v>
      </c>
      <c r="F587" s="6"/>
      <c r="G587" s="9">
        <v>-83.454294204711914</v>
      </c>
      <c r="H587" s="9">
        <v>41.678296956652439</v>
      </c>
      <c r="I587" s="6" t="s">
        <v>1623</v>
      </c>
      <c r="J587" s="6" t="s">
        <v>1624</v>
      </c>
      <c r="K587" s="6" t="s">
        <v>56</v>
      </c>
      <c r="L587" s="6" t="s">
        <v>1620</v>
      </c>
      <c r="M587" s="10">
        <v>0</v>
      </c>
      <c r="N587" s="6" t="s">
        <v>1621</v>
      </c>
      <c r="O587" s="6">
        <v>1</v>
      </c>
    </row>
    <row r="588" spans="1:15" ht="30" customHeight="1" x14ac:dyDescent="0.2">
      <c r="A588" s="6">
        <v>587</v>
      </c>
      <c r="B588" s="6" t="s">
        <v>1007</v>
      </c>
      <c r="C588" s="6" t="s">
        <v>1012</v>
      </c>
      <c r="D588" s="6" t="s">
        <v>2625</v>
      </c>
      <c r="E588" s="8">
        <v>160000</v>
      </c>
      <c r="F588" s="6"/>
      <c r="G588" s="9">
        <v>-83.502273559570313</v>
      </c>
      <c r="H588" s="9">
        <v>41.632124019468044</v>
      </c>
      <c r="I588" s="6"/>
      <c r="J588" s="6" t="s">
        <v>2614</v>
      </c>
      <c r="K588" s="6" t="s">
        <v>56</v>
      </c>
      <c r="L588" s="6" t="s">
        <v>1620</v>
      </c>
      <c r="M588" s="10">
        <v>0</v>
      </c>
      <c r="N588" s="6" t="s">
        <v>1621</v>
      </c>
      <c r="O588" s="6">
        <v>1</v>
      </c>
    </row>
    <row r="589" spans="1:15" ht="30" customHeight="1" x14ac:dyDescent="0.2">
      <c r="A589" s="6">
        <v>588</v>
      </c>
      <c r="B589" s="6" t="s">
        <v>1007</v>
      </c>
      <c r="C589" s="6" t="s">
        <v>1012</v>
      </c>
      <c r="D589" s="6" t="s">
        <v>2626</v>
      </c>
      <c r="E589" s="8">
        <v>158400</v>
      </c>
      <c r="F589" s="6"/>
      <c r="G589" s="9">
        <v>-84.126434326171875</v>
      </c>
      <c r="H589" s="9">
        <v>40.71766400377539</v>
      </c>
      <c r="I589" s="6" t="s">
        <v>2453</v>
      </c>
      <c r="J589" s="6" t="s">
        <v>2627</v>
      </c>
      <c r="K589" s="6" t="s">
        <v>56</v>
      </c>
      <c r="L589" s="6" t="s">
        <v>1620</v>
      </c>
      <c r="M589" s="10">
        <v>0</v>
      </c>
      <c r="N589" s="6" t="s">
        <v>1621</v>
      </c>
      <c r="O589" s="6">
        <v>1</v>
      </c>
    </row>
    <row r="590" spans="1:15" ht="30" customHeight="1" x14ac:dyDescent="0.2">
      <c r="A590" s="6">
        <v>589</v>
      </c>
      <c r="B590" s="6" t="s">
        <v>1007</v>
      </c>
      <c r="C590" s="6" t="s">
        <v>1012</v>
      </c>
      <c r="D590" s="6" t="s">
        <v>2628</v>
      </c>
      <c r="E590" s="8">
        <v>73000</v>
      </c>
      <c r="F590" s="6"/>
      <c r="G590" s="9">
        <v>-81.413841247558594</v>
      </c>
      <c r="H590" s="9">
        <v>40.772741880010699</v>
      </c>
      <c r="I590" s="6"/>
      <c r="J590" s="6" t="s">
        <v>2629</v>
      </c>
      <c r="K590" s="6" t="s">
        <v>56</v>
      </c>
      <c r="L590" s="6" t="s">
        <v>1620</v>
      </c>
      <c r="M590" s="10">
        <v>0</v>
      </c>
      <c r="N590" s="6" t="s">
        <v>1621</v>
      </c>
      <c r="O590" s="6">
        <v>1</v>
      </c>
    </row>
    <row r="591" spans="1:15" ht="30" customHeight="1" x14ac:dyDescent="0.2">
      <c r="A591" s="6">
        <v>590</v>
      </c>
      <c r="B591" s="6" t="s">
        <v>1007</v>
      </c>
      <c r="C591" s="6" t="s">
        <v>1012</v>
      </c>
      <c r="D591" s="6" t="s">
        <v>2630</v>
      </c>
      <c r="E591" s="8">
        <v>35000</v>
      </c>
      <c r="F591" s="6"/>
      <c r="G591" s="9">
        <v>-122.39679336547852</v>
      </c>
      <c r="H591" s="9">
        <v>47.255582432126424</v>
      </c>
      <c r="I591" s="6" t="s">
        <v>1639</v>
      </c>
      <c r="J591" s="6" t="s">
        <v>2631</v>
      </c>
      <c r="K591" s="6" t="s">
        <v>56</v>
      </c>
      <c r="L591" s="6" t="s">
        <v>1620</v>
      </c>
      <c r="M591" s="10">
        <v>0</v>
      </c>
      <c r="N591" s="6" t="s">
        <v>1621</v>
      </c>
      <c r="O591" s="6">
        <v>1</v>
      </c>
    </row>
    <row r="592" spans="1:15" ht="30" customHeight="1" x14ac:dyDescent="0.2">
      <c r="A592" s="6">
        <v>591</v>
      </c>
      <c r="B592" s="6" t="s">
        <v>1007</v>
      </c>
      <c r="C592" s="6" t="s">
        <v>1012</v>
      </c>
      <c r="D592" s="6" t="s">
        <v>2632</v>
      </c>
      <c r="E592" s="8">
        <v>194000</v>
      </c>
      <c r="F592" s="6"/>
      <c r="G592" s="9">
        <v>-97.095794677734375</v>
      </c>
      <c r="H592" s="9">
        <v>36.682393229206014</v>
      </c>
      <c r="I592" s="6"/>
      <c r="J592" s="6" t="s">
        <v>2534</v>
      </c>
      <c r="K592" s="6" t="s">
        <v>56</v>
      </c>
      <c r="L592" s="6" t="s">
        <v>1620</v>
      </c>
      <c r="M592" s="10">
        <v>0</v>
      </c>
      <c r="N592" s="6" t="s">
        <v>1621</v>
      </c>
      <c r="O592" s="6">
        <v>1</v>
      </c>
    </row>
    <row r="593" spans="1:15" ht="30" customHeight="1" x14ac:dyDescent="0.2">
      <c r="A593" s="6">
        <v>592</v>
      </c>
      <c r="B593" s="6" t="s">
        <v>1007</v>
      </c>
      <c r="C593" s="6" t="s">
        <v>1012</v>
      </c>
      <c r="D593" s="6" t="s">
        <v>2633</v>
      </c>
      <c r="E593" s="8">
        <v>70300</v>
      </c>
      <c r="F593" s="6"/>
      <c r="G593" s="9">
        <v>-96.000852584838867</v>
      </c>
      <c r="H593" s="9">
        <v>36.115066149883177</v>
      </c>
      <c r="I593" s="6" t="s">
        <v>2634</v>
      </c>
      <c r="J593" s="6" t="s">
        <v>2635</v>
      </c>
      <c r="K593" s="6" t="s">
        <v>56</v>
      </c>
      <c r="L593" s="6" t="s">
        <v>1620</v>
      </c>
      <c r="M593" s="10">
        <v>0</v>
      </c>
      <c r="N593" s="6" t="s">
        <v>1621</v>
      </c>
      <c r="O593" s="6">
        <v>1</v>
      </c>
    </row>
    <row r="594" spans="1:15" ht="30" customHeight="1" x14ac:dyDescent="0.2">
      <c r="A594" s="6">
        <v>593</v>
      </c>
      <c r="B594" s="6" t="s">
        <v>1007</v>
      </c>
      <c r="C594" s="6" t="s">
        <v>1012</v>
      </c>
      <c r="D594" s="6" t="s">
        <v>2636</v>
      </c>
      <c r="E594" s="8">
        <v>83200</v>
      </c>
      <c r="F594" s="6"/>
      <c r="G594" s="9">
        <v>-96.015100479125977</v>
      </c>
      <c r="H594" s="9">
        <v>36.139676936677553</v>
      </c>
      <c r="I594" s="6"/>
      <c r="J594" s="6" t="s">
        <v>2614</v>
      </c>
      <c r="K594" s="6" t="s">
        <v>56</v>
      </c>
      <c r="L594" s="6" t="s">
        <v>1620</v>
      </c>
      <c r="M594" s="10">
        <v>0</v>
      </c>
      <c r="N594" s="6" t="s">
        <v>1621</v>
      </c>
      <c r="O594" s="6">
        <v>1</v>
      </c>
    </row>
    <row r="595" spans="1:15" ht="30" customHeight="1" x14ac:dyDescent="0.2">
      <c r="A595" s="6">
        <v>594</v>
      </c>
      <c r="B595" s="6" t="s">
        <v>1007</v>
      </c>
      <c r="C595" s="6" t="s">
        <v>1012</v>
      </c>
      <c r="D595" s="6" t="s">
        <v>2637</v>
      </c>
      <c r="E595" s="8">
        <v>74700</v>
      </c>
      <c r="F595" s="6"/>
      <c r="G595" s="9">
        <v>-97.104806900024414</v>
      </c>
      <c r="H595" s="9">
        <v>34.204987902440557</v>
      </c>
      <c r="I595" s="6" t="s">
        <v>2453</v>
      </c>
      <c r="J595" s="6" t="s">
        <v>2638</v>
      </c>
      <c r="K595" s="6" t="s">
        <v>56</v>
      </c>
      <c r="L595" s="6" t="s">
        <v>1620</v>
      </c>
      <c r="M595" s="10">
        <v>0</v>
      </c>
      <c r="N595" s="6" t="s">
        <v>1621</v>
      </c>
      <c r="O595" s="6">
        <v>1</v>
      </c>
    </row>
    <row r="596" spans="1:15" ht="30" customHeight="1" x14ac:dyDescent="0.2">
      <c r="A596" s="6">
        <v>595</v>
      </c>
      <c r="B596" s="6" t="s">
        <v>1007</v>
      </c>
      <c r="C596" s="6" t="s">
        <v>1012</v>
      </c>
      <c r="D596" s="6" t="s">
        <v>2639</v>
      </c>
      <c r="E596" s="8">
        <v>52500</v>
      </c>
      <c r="F596" s="6"/>
      <c r="G596" s="9">
        <v>-97.167720794677734</v>
      </c>
      <c r="H596" s="9">
        <v>34.632784177690233</v>
      </c>
      <c r="I596" s="6" t="s">
        <v>1639</v>
      </c>
      <c r="J596" s="6" t="s">
        <v>2640</v>
      </c>
      <c r="K596" s="6" t="s">
        <v>56</v>
      </c>
      <c r="L596" s="6" t="s">
        <v>1620</v>
      </c>
      <c r="M596" s="10">
        <v>0</v>
      </c>
      <c r="N596" s="6" t="s">
        <v>1621</v>
      </c>
      <c r="O596" s="6">
        <v>1</v>
      </c>
    </row>
    <row r="597" spans="1:15" ht="30" customHeight="1" x14ac:dyDescent="0.2">
      <c r="A597" s="6">
        <v>596</v>
      </c>
      <c r="B597" s="6" t="s">
        <v>1007</v>
      </c>
      <c r="C597" s="6" t="s">
        <v>1012</v>
      </c>
      <c r="D597" s="6" t="s">
        <v>2641</v>
      </c>
      <c r="E597" s="8">
        <v>10000</v>
      </c>
      <c r="F597" s="6"/>
      <c r="G597" s="9">
        <v>-78.622713088989258</v>
      </c>
      <c r="H597" s="9">
        <v>41.977996725195311</v>
      </c>
      <c r="I597" s="6" t="s">
        <v>1639</v>
      </c>
      <c r="J597" s="6" t="s">
        <v>2642</v>
      </c>
      <c r="K597" s="6" t="s">
        <v>56</v>
      </c>
      <c r="L597" s="6" t="s">
        <v>1620</v>
      </c>
      <c r="M597" s="10">
        <v>0</v>
      </c>
      <c r="N597" s="6" t="s">
        <v>1621</v>
      </c>
      <c r="O597" s="6">
        <v>1</v>
      </c>
    </row>
    <row r="598" spans="1:15" ht="30" customHeight="1" x14ac:dyDescent="0.2">
      <c r="A598" s="6">
        <v>597</v>
      </c>
      <c r="B598" s="6" t="s">
        <v>1007</v>
      </c>
      <c r="C598" s="6" t="s">
        <v>1012</v>
      </c>
      <c r="D598" s="6" t="s">
        <v>2643</v>
      </c>
      <c r="E598" s="8">
        <v>185000</v>
      </c>
      <c r="F598" s="6"/>
      <c r="G598" s="9">
        <v>-75.403375625610352</v>
      </c>
      <c r="H598" s="9">
        <v>39.823171857298192</v>
      </c>
      <c r="I598" s="6"/>
      <c r="J598" s="6" t="s">
        <v>2612</v>
      </c>
      <c r="K598" s="6" t="s">
        <v>56</v>
      </c>
      <c r="L598" s="6" t="s">
        <v>1629</v>
      </c>
      <c r="M598" s="10">
        <v>0.315</v>
      </c>
      <c r="N598" s="6" t="s">
        <v>1621</v>
      </c>
      <c r="O598" s="6">
        <v>1</v>
      </c>
    </row>
    <row r="599" spans="1:15" ht="30" customHeight="1" x14ac:dyDescent="0.2">
      <c r="A599" s="6">
        <v>598</v>
      </c>
      <c r="B599" s="6" t="s">
        <v>1007</v>
      </c>
      <c r="C599" s="6" t="s">
        <v>1012</v>
      </c>
      <c r="D599" s="6" t="s">
        <v>2644</v>
      </c>
      <c r="E599" s="8">
        <v>175000</v>
      </c>
      <c r="F599" s="6"/>
      <c r="G599" s="9">
        <v>-75.423717498779297</v>
      </c>
      <c r="H599" s="9">
        <v>39.812623835210303</v>
      </c>
      <c r="I599" s="6"/>
      <c r="J599" s="6" t="s">
        <v>2614</v>
      </c>
      <c r="K599" s="6" t="s">
        <v>56</v>
      </c>
      <c r="L599" s="6" t="s">
        <v>1620</v>
      </c>
      <c r="M599" s="10">
        <v>0</v>
      </c>
      <c r="N599" s="6" t="s">
        <v>1621</v>
      </c>
      <c r="O599" s="6">
        <v>1</v>
      </c>
    </row>
    <row r="600" spans="1:15" ht="30" customHeight="1" x14ac:dyDescent="0.2">
      <c r="A600" s="6">
        <v>599</v>
      </c>
      <c r="B600" s="6" t="s">
        <v>1007</v>
      </c>
      <c r="C600" s="6" t="s">
        <v>1012</v>
      </c>
      <c r="D600" s="6" t="s">
        <v>2645</v>
      </c>
      <c r="E600" s="8">
        <v>335000</v>
      </c>
      <c r="F600" s="6"/>
      <c r="G600" s="9">
        <v>-75.202960968017578</v>
      </c>
      <c r="H600" s="9">
        <v>39.909999581857228</v>
      </c>
      <c r="I600" s="6"/>
      <c r="J600" s="6" t="s">
        <v>2614</v>
      </c>
      <c r="K600" s="6" t="s">
        <v>56</v>
      </c>
      <c r="L600" s="6" t="s">
        <v>1620</v>
      </c>
      <c r="M600" s="10">
        <v>0</v>
      </c>
      <c r="N600" s="6" t="s">
        <v>1621</v>
      </c>
      <c r="O600" s="6">
        <v>1</v>
      </c>
    </row>
    <row r="601" spans="1:15" ht="30" customHeight="1" x14ac:dyDescent="0.2">
      <c r="A601" s="6">
        <v>600</v>
      </c>
      <c r="B601" s="6" t="s">
        <v>1007</v>
      </c>
      <c r="C601" s="6" t="s">
        <v>1012</v>
      </c>
      <c r="D601" s="6" t="s">
        <v>2646</v>
      </c>
      <c r="E601" s="8">
        <v>65000</v>
      </c>
      <c r="F601" s="6"/>
      <c r="G601" s="9">
        <v>-79.122762680053711</v>
      </c>
      <c r="H601" s="9">
        <v>41.827043079100669</v>
      </c>
      <c r="I601" s="6" t="s">
        <v>2647</v>
      </c>
      <c r="J601" s="6" t="s">
        <v>2648</v>
      </c>
      <c r="K601" s="6" t="s">
        <v>56</v>
      </c>
      <c r="L601" s="6" t="s">
        <v>1620</v>
      </c>
      <c r="M601" s="10">
        <v>0</v>
      </c>
      <c r="N601" s="6" t="s">
        <v>1621</v>
      </c>
      <c r="O601" s="6">
        <v>1</v>
      </c>
    </row>
    <row r="602" spans="1:15" ht="30" customHeight="1" x14ac:dyDescent="0.2">
      <c r="A602" s="6">
        <v>601</v>
      </c>
      <c r="B602" s="6" t="s">
        <v>1007</v>
      </c>
      <c r="C602" s="6" t="s">
        <v>1012</v>
      </c>
      <c r="D602" s="6" t="s">
        <v>2649</v>
      </c>
      <c r="E602" s="8">
        <v>180000</v>
      </c>
      <c r="F602" s="6"/>
      <c r="G602" s="9">
        <v>-90.083255767822266</v>
      </c>
      <c r="H602" s="9">
        <v>35.085290055609875</v>
      </c>
      <c r="I602" s="6" t="s">
        <v>2453</v>
      </c>
      <c r="J602" s="6" t="s">
        <v>2650</v>
      </c>
      <c r="K602" s="6" t="s">
        <v>56</v>
      </c>
      <c r="L602" s="6" t="s">
        <v>1620</v>
      </c>
      <c r="M602" s="10">
        <v>0</v>
      </c>
      <c r="N602" s="6" t="s">
        <v>1621</v>
      </c>
      <c r="O602" s="6">
        <v>1</v>
      </c>
    </row>
    <row r="603" spans="1:15" ht="30" customHeight="1" x14ac:dyDescent="0.2">
      <c r="A603" s="6">
        <v>602</v>
      </c>
      <c r="B603" s="6" t="s">
        <v>1007</v>
      </c>
      <c r="C603" s="6" t="s">
        <v>1012</v>
      </c>
      <c r="D603" s="6" t="s">
        <v>2651</v>
      </c>
      <c r="E603" s="8">
        <v>146000</v>
      </c>
      <c r="F603" s="6"/>
      <c r="G603" s="9">
        <v>-101.36226654052734</v>
      </c>
      <c r="H603" s="9">
        <v>35.69822254660582</v>
      </c>
      <c r="I603" s="6"/>
      <c r="J603" s="6" t="s">
        <v>2534</v>
      </c>
      <c r="K603" s="6" t="s">
        <v>56</v>
      </c>
      <c r="L603" s="6" t="s">
        <v>1620</v>
      </c>
      <c r="M603" s="10">
        <v>0</v>
      </c>
      <c r="N603" s="6" t="s">
        <v>1621</v>
      </c>
      <c r="O603" s="6">
        <v>1</v>
      </c>
    </row>
    <row r="604" spans="1:15" ht="30" customHeight="1" x14ac:dyDescent="0.2">
      <c r="A604" s="6">
        <v>603</v>
      </c>
      <c r="B604" s="6" t="s">
        <v>1007</v>
      </c>
      <c r="C604" s="6" t="s">
        <v>1012</v>
      </c>
      <c r="D604" s="6" t="s">
        <v>2652</v>
      </c>
      <c r="E604" s="8">
        <v>55000</v>
      </c>
      <c r="F604" s="6"/>
      <c r="G604" s="9">
        <v>-95.280561447143555</v>
      </c>
      <c r="H604" s="9">
        <v>32.362563311220384</v>
      </c>
      <c r="I604" s="6"/>
      <c r="J604" s="6"/>
      <c r="K604" s="6" t="s">
        <v>56</v>
      </c>
      <c r="L604" s="6" t="s">
        <v>1620</v>
      </c>
      <c r="M604" s="10">
        <v>0</v>
      </c>
      <c r="N604" s="6" t="s">
        <v>1621</v>
      </c>
      <c r="O604" s="6">
        <v>1</v>
      </c>
    </row>
    <row r="605" spans="1:15" ht="30" customHeight="1" x14ac:dyDescent="0.2">
      <c r="A605" s="6">
        <v>604</v>
      </c>
      <c r="B605" s="6" t="s">
        <v>1007</v>
      </c>
      <c r="C605" s="6" t="s">
        <v>1012</v>
      </c>
      <c r="D605" s="6" t="s">
        <v>2653</v>
      </c>
      <c r="E605" s="8">
        <v>175000</v>
      </c>
      <c r="F605" s="6"/>
      <c r="G605" s="9">
        <v>-101.88094139099121</v>
      </c>
      <c r="H605" s="9">
        <v>35.955637585634051</v>
      </c>
      <c r="I605" s="6" t="s">
        <v>2453</v>
      </c>
      <c r="J605" s="6" t="s">
        <v>2654</v>
      </c>
      <c r="K605" s="6" t="s">
        <v>56</v>
      </c>
      <c r="L605" s="6" t="s">
        <v>1620</v>
      </c>
      <c r="M605" s="10">
        <v>0</v>
      </c>
      <c r="N605" s="6" t="s">
        <v>1621</v>
      </c>
      <c r="O605" s="6">
        <v>1</v>
      </c>
    </row>
    <row r="606" spans="1:15" ht="30" customHeight="1" x14ac:dyDescent="0.2">
      <c r="A606" s="6">
        <v>605</v>
      </c>
      <c r="B606" s="6" t="s">
        <v>1007</v>
      </c>
      <c r="C606" s="6" t="s">
        <v>1012</v>
      </c>
      <c r="D606" s="6" t="s">
        <v>2655</v>
      </c>
      <c r="E606" s="8">
        <v>61000</v>
      </c>
      <c r="F606" s="6"/>
      <c r="G606" s="9">
        <v>-101.41505241394043</v>
      </c>
      <c r="H606" s="9">
        <v>32.271022947866086</v>
      </c>
      <c r="I606" s="6"/>
      <c r="J606" s="6"/>
      <c r="K606" s="6" t="s">
        <v>56</v>
      </c>
      <c r="L606" s="6" t="s">
        <v>1620</v>
      </c>
      <c r="M606" s="10">
        <v>0</v>
      </c>
      <c r="N606" s="6" t="s">
        <v>1621</v>
      </c>
      <c r="O606" s="6">
        <v>1</v>
      </c>
    </row>
    <row r="607" spans="1:15" ht="30" customHeight="1" x14ac:dyDescent="0.2">
      <c r="A607" s="6">
        <v>606</v>
      </c>
      <c r="B607" s="6" t="s">
        <v>1007</v>
      </c>
      <c r="C607" s="6" t="s">
        <v>1012</v>
      </c>
      <c r="D607" s="6" t="s">
        <v>2656</v>
      </c>
      <c r="E607" s="8">
        <v>107000</v>
      </c>
      <c r="F607" s="6"/>
      <c r="G607" s="9">
        <v>-106.39803886413574</v>
      </c>
      <c r="H607" s="9">
        <v>31.76947792515859</v>
      </c>
      <c r="I607" s="6" t="s">
        <v>1639</v>
      </c>
      <c r="J607" s="6" t="s">
        <v>2657</v>
      </c>
      <c r="K607" s="6" t="s">
        <v>56</v>
      </c>
      <c r="L607" s="6" t="s">
        <v>1620</v>
      </c>
      <c r="M607" s="10">
        <v>0</v>
      </c>
      <c r="N607" s="6" t="s">
        <v>1621</v>
      </c>
      <c r="O607" s="6">
        <v>1</v>
      </c>
    </row>
    <row r="608" spans="1:15" ht="30" customHeight="1" x14ac:dyDescent="0.2">
      <c r="A608" s="6">
        <v>607</v>
      </c>
      <c r="B608" s="6" t="s">
        <v>1007</v>
      </c>
      <c r="C608" s="6" t="s">
        <v>1012</v>
      </c>
      <c r="D608" s="6" t="s">
        <v>2658</v>
      </c>
      <c r="E608" s="8">
        <v>10300</v>
      </c>
      <c r="F608" s="6"/>
      <c r="G608" s="9">
        <v>-98.460588455200195</v>
      </c>
      <c r="H608" s="9">
        <v>29.34776586732885</v>
      </c>
      <c r="I608" s="6"/>
      <c r="J608" s="6" t="s">
        <v>2659</v>
      </c>
      <c r="K608" s="6" t="s">
        <v>56</v>
      </c>
      <c r="L608" s="6" t="s">
        <v>1620</v>
      </c>
      <c r="M608" s="10">
        <v>0</v>
      </c>
      <c r="N608" s="6" t="s">
        <v>1621</v>
      </c>
      <c r="O608" s="6">
        <v>1</v>
      </c>
    </row>
    <row r="609" spans="1:15" ht="30" customHeight="1" x14ac:dyDescent="0.2">
      <c r="A609" s="6">
        <v>608</v>
      </c>
      <c r="B609" s="6" t="s">
        <v>1007</v>
      </c>
      <c r="C609" s="6" t="s">
        <v>1012</v>
      </c>
      <c r="D609" s="6" t="s">
        <v>2660</v>
      </c>
      <c r="E609" s="8">
        <v>156000</v>
      </c>
      <c r="F609" s="6"/>
      <c r="G609" s="9">
        <v>-97.486410140991211</v>
      </c>
      <c r="H609" s="9">
        <v>27.812964428734297</v>
      </c>
      <c r="I609" s="6" t="s">
        <v>2540</v>
      </c>
      <c r="J609" s="6" t="s">
        <v>2661</v>
      </c>
      <c r="K609" s="6" t="s">
        <v>56</v>
      </c>
      <c r="L609" s="6" t="s">
        <v>1620</v>
      </c>
      <c r="M609" s="10">
        <v>0</v>
      </c>
      <c r="N609" s="6" t="s">
        <v>1621</v>
      </c>
      <c r="O609" s="6">
        <v>1</v>
      </c>
    </row>
    <row r="610" spans="1:15" ht="30" customHeight="1" x14ac:dyDescent="0.2">
      <c r="A610" s="6">
        <v>609</v>
      </c>
      <c r="B610" s="6" t="s">
        <v>1007</v>
      </c>
      <c r="C610" s="6" t="s">
        <v>1012</v>
      </c>
      <c r="D610" s="6" t="s">
        <v>2662</v>
      </c>
      <c r="E610" s="8">
        <v>229000</v>
      </c>
      <c r="F610" s="6"/>
      <c r="G610" s="9">
        <v>-95.749883651733398</v>
      </c>
      <c r="H610" s="9">
        <v>29.073499802372872</v>
      </c>
      <c r="I610" s="6"/>
      <c r="J610" s="6" t="s">
        <v>2560</v>
      </c>
      <c r="K610" s="6" t="s">
        <v>56</v>
      </c>
      <c r="L610" s="6" t="s">
        <v>1620</v>
      </c>
      <c r="M610" s="10">
        <v>0</v>
      </c>
      <c r="N610" s="6" t="s">
        <v>1621</v>
      </c>
      <c r="O610" s="6">
        <v>1</v>
      </c>
    </row>
    <row r="611" spans="1:15" ht="30" customHeight="1" x14ac:dyDescent="0.2">
      <c r="A611" s="6">
        <v>610</v>
      </c>
      <c r="B611" s="6" t="s">
        <v>1007</v>
      </c>
      <c r="C611" s="6" t="s">
        <v>1012</v>
      </c>
      <c r="D611" s="6" t="s">
        <v>2663</v>
      </c>
      <c r="E611" s="8">
        <v>288100</v>
      </c>
      <c r="F611" s="6"/>
      <c r="G611" s="9">
        <v>-97.525119781494141</v>
      </c>
      <c r="H611" s="9">
        <v>27.833155976978816</v>
      </c>
      <c r="I611" s="6" t="s">
        <v>1639</v>
      </c>
      <c r="J611" s="6" t="s">
        <v>2664</v>
      </c>
      <c r="K611" s="6" t="s">
        <v>56</v>
      </c>
      <c r="L611" s="6" t="s">
        <v>1620</v>
      </c>
      <c r="M611" s="10">
        <v>0</v>
      </c>
      <c r="N611" s="6" t="s">
        <v>1621</v>
      </c>
      <c r="O611" s="6">
        <v>1</v>
      </c>
    </row>
    <row r="612" spans="1:15" ht="30" customHeight="1" x14ac:dyDescent="0.2">
      <c r="A612" s="6">
        <v>611</v>
      </c>
      <c r="B612" s="6" t="s">
        <v>1007</v>
      </c>
      <c r="C612" s="6" t="s">
        <v>1012</v>
      </c>
      <c r="D612" s="6" t="s">
        <v>2665</v>
      </c>
      <c r="E612" s="8">
        <v>142000</v>
      </c>
      <c r="F612" s="6"/>
      <c r="G612" s="9">
        <v>-97.444696426391602</v>
      </c>
      <c r="H612" s="9">
        <v>27.806663289814026</v>
      </c>
      <c r="I612" s="6" t="s">
        <v>2453</v>
      </c>
      <c r="J612" s="6" t="s">
        <v>2666</v>
      </c>
      <c r="K612" s="6" t="s">
        <v>56</v>
      </c>
      <c r="L612" s="6" t="s">
        <v>1620</v>
      </c>
      <c r="M612" s="10">
        <v>0</v>
      </c>
      <c r="N612" s="6" t="s">
        <v>1621</v>
      </c>
      <c r="O612" s="6">
        <v>1</v>
      </c>
    </row>
    <row r="613" spans="1:15" ht="30" customHeight="1" x14ac:dyDescent="0.2">
      <c r="A613" s="6">
        <v>612</v>
      </c>
      <c r="B613" s="6" t="s">
        <v>1007</v>
      </c>
      <c r="C613" s="6" t="s">
        <v>1012</v>
      </c>
      <c r="D613" s="6" t="s">
        <v>2667</v>
      </c>
      <c r="E613" s="8">
        <v>90000</v>
      </c>
      <c r="F613" s="6"/>
      <c r="G613" s="9">
        <v>-98.189277648925781</v>
      </c>
      <c r="H613" s="9">
        <v>28.45692015384715</v>
      </c>
      <c r="I613" s="6" t="s">
        <v>2453</v>
      </c>
      <c r="J613" s="6" t="s">
        <v>2668</v>
      </c>
      <c r="K613" s="6" t="s">
        <v>56</v>
      </c>
      <c r="L613" s="6" t="s">
        <v>1620</v>
      </c>
      <c r="M613" s="10">
        <v>0</v>
      </c>
      <c r="N613" s="6" t="s">
        <v>1621</v>
      </c>
      <c r="O613" s="6">
        <v>1</v>
      </c>
    </row>
    <row r="614" spans="1:15" ht="30" customHeight="1" x14ac:dyDescent="0.2">
      <c r="A614" s="6">
        <v>613</v>
      </c>
      <c r="B614" s="6" t="s">
        <v>1007</v>
      </c>
      <c r="C614" s="6" t="s">
        <v>1012</v>
      </c>
      <c r="D614" s="6" t="s">
        <v>2669</v>
      </c>
      <c r="E614" s="8">
        <v>437000</v>
      </c>
      <c r="F614" s="6"/>
      <c r="G614" s="9">
        <v>-94.927968978881836</v>
      </c>
      <c r="H614" s="9">
        <v>29.373798251985612</v>
      </c>
      <c r="I614" s="6" t="s">
        <v>1623</v>
      </c>
      <c r="J614" s="6" t="s">
        <v>1624</v>
      </c>
      <c r="K614" s="6" t="s">
        <v>56</v>
      </c>
      <c r="L614" s="6" t="s">
        <v>1620</v>
      </c>
      <c r="M614" s="10">
        <v>0</v>
      </c>
      <c r="N614" s="6" t="s">
        <v>1621</v>
      </c>
      <c r="O614" s="6">
        <v>1</v>
      </c>
    </row>
    <row r="615" spans="1:15" ht="30" customHeight="1" x14ac:dyDescent="0.2">
      <c r="A615" s="6">
        <v>614</v>
      </c>
      <c r="B615" s="6" t="s">
        <v>1007</v>
      </c>
      <c r="C615" s="6" t="s">
        <v>1012</v>
      </c>
      <c r="D615" s="6" t="s">
        <v>2670</v>
      </c>
      <c r="E615" s="8">
        <v>100000</v>
      </c>
      <c r="F615" s="6"/>
      <c r="G615" s="9">
        <v>-95.255069732666016</v>
      </c>
      <c r="H615" s="9">
        <v>29.701324284352882</v>
      </c>
      <c r="I615" s="6"/>
      <c r="J615" s="6" t="s">
        <v>2671</v>
      </c>
      <c r="K615" s="6" t="s">
        <v>56</v>
      </c>
      <c r="L615" s="6" t="s">
        <v>1620</v>
      </c>
      <c r="M615" s="10">
        <v>0</v>
      </c>
      <c r="N615" s="6" t="s">
        <v>1621</v>
      </c>
      <c r="O615" s="6">
        <v>1</v>
      </c>
    </row>
    <row r="616" spans="1:15" ht="30" customHeight="1" x14ac:dyDescent="0.2">
      <c r="A616" s="6">
        <v>615</v>
      </c>
      <c r="B616" s="6" t="s">
        <v>1007</v>
      </c>
      <c r="C616" s="6" t="s">
        <v>1012</v>
      </c>
      <c r="D616" s="6" t="s">
        <v>2672</v>
      </c>
      <c r="E616" s="8">
        <v>557000</v>
      </c>
      <c r="F616" s="6"/>
      <c r="G616" s="9">
        <v>-95.009250640869141</v>
      </c>
      <c r="H616" s="9">
        <v>29.741053841368647</v>
      </c>
      <c r="I616" s="6"/>
      <c r="J616" s="6" t="s">
        <v>2536</v>
      </c>
      <c r="K616" s="6" t="s">
        <v>56</v>
      </c>
      <c r="L616" s="6" t="s">
        <v>1620</v>
      </c>
      <c r="M616" s="10">
        <v>0</v>
      </c>
      <c r="N616" s="6" t="s">
        <v>1621</v>
      </c>
      <c r="O616" s="6">
        <v>1</v>
      </c>
    </row>
    <row r="617" spans="1:15" ht="30" customHeight="1" x14ac:dyDescent="0.2">
      <c r="A617" s="6">
        <v>616</v>
      </c>
      <c r="B617" s="6" t="s">
        <v>1007</v>
      </c>
      <c r="C617" s="6" t="s">
        <v>1012</v>
      </c>
      <c r="D617" s="6" t="s">
        <v>2673</v>
      </c>
      <c r="E617" s="8">
        <v>348500</v>
      </c>
      <c r="F617" s="6"/>
      <c r="G617" s="9">
        <v>-94.070520401000977</v>
      </c>
      <c r="H617" s="9">
        <v>30.067459796441149</v>
      </c>
      <c r="I617" s="6"/>
      <c r="J617" s="6" t="s">
        <v>2536</v>
      </c>
      <c r="K617" s="6" t="s">
        <v>56</v>
      </c>
      <c r="L617" s="6" t="s">
        <v>1620</v>
      </c>
      <c r="M617" s="10">
        <v>0</v>
      </c>
      <c r="N617" s="6" t="s">
        <v>1621</v>
      </c>
      <c r="O617" s="6">
        <v>1</v>
      </c>
    </row>
    <row r="618" spans="1:15" ht="30" customHeight="1" x14ac:dyDescent="0.2">
      <c r="A618" s="6">
        <v>617</v>
      </c>
      <c r="B618" s="6" t="s">
        <v>1007</v>
      </c>
      <c r="C618" s="6" t="s">
        <v>1012</v>
      </c>
      <c r="D618" s="6" t="s">
        <v>2674</v>
      </c>
      <c r="E618" s="8">
        <v>270200</v>
      </c>
      <c r="F618" s="6"/>
      <c r="G618" s="9">
        <v>-95.232152938842773</v>
      </c>
      <c r="H618" s="9">
        <v>29.714519521109803</v>
      </c>
      <c r="I618" s="6"/>
      <c r="J618" s="6" t="s">
        <v>2675</v>
      </c>
      <c r="K618" s="6" t="s">
        <v>56</v>
      </c>
      <c r="L618" s="6" t="s">
        <v>1620</v>
      </c>
      <c r="M618" s="10">
        <v>0</v>
      </c>
      <c r="N618" s="6" t="s">
        <v>1621</v>
      </c>
      <c r="O618" s="6">
        <v>1</v>
      </c>
    </row>
    <row r="619" spans="1:15" ht="30" customHeight="1" x14ac:dyDescent="0.2">
      <c r="A619" s="6">
        <v>618</v>
      </c>
      <c r="B619" s="6" t="s">
        <v>1007</v>
      </c>
      <c r="C619" s="6" t="s">
        <v>1012</v>
      </c>
      <c r="D619" s="6" t="s">
        <v>2676</v>
      </c>
      <c r="E619" s="8">
        <v>72000</v>
      </c>
      <c r="F619" s="6"/>
      <c r="G619" s="9">
        <v>-94.89689826965332</v>
      </c>
      <c r="H619" s="9">
        <v>29.377687577054001</v>
      </c>
      <c r="I619" s="6"/>
      <c r="J619" s="6" t="s">
        <v>2677</v>
      </c>
      <c r="K619" s="6" t="s">
        <v>56</v>
      </c>
      <c r="L619" s="6" t="s">
        <v>1620</v>
      </c>
      <c r="M619" s="10">
        <v>0</v>
      </c>
      <c r="N619" s="6" t="s">
        <v>1621</v>
      </c>
      <c r="O619" s="6">
        <v>1</v>
      </c>
    </row>
    <row r="620" spans="1:15" ht="30" customHeight="1" x14ac:dyDescent="0.2">
      <c r="A620" s="6">
        <v>619</v>
      </c>
      <c r="B620" s="6" t="s">
        <v>1007</v>
      </c>
      <c r="C620" s="6" t="s">
        <v>1012</v>
      </c>
      <c r="D620" s="6" t="s">
        <v>2678</v>
      </c>
      <c r="E620" s="8">
        <v>285000</v>
      </c>
      <c r="F620" s="6"/>
      <c r="G620" s="9">
        <v>-93.969240188598633</v>
      </c>
      <c r="H620" s="9">
        <v>29.859999187359762</v>
      </c>
      <c r="I620" s="6" t="s">
        <v>2566</v>
      </c>
      <c r="J620" s="6" t="s">
        <v>2567</v>
      </c>
      <c r="K620" s="6" t="s">
        <v>56</v>
      </c>
      <c r="L620" s="6" t="s">
        <v>1620</v>
      </c>
      <c r="M620" s="10">
        <v>0</v>
      </c>
      <c r="N620" s="6" t="s">
        <v>1621</v>
      </c>
      <c r="O620" s="6">
        <v>1</v>
      </c>
    </row>
    <row r="621" spans="1:15" ht="30" customHeight="1" x14ac:dyDescent="0.2">
      <c r="A621" s="6">
        <v>620</v>
      </c>
      <c r="B621" s="6" t="s">
        <v>1007</v>
      </c>
      <c r="C621" s="6" t="s">
        <v>1012</v>
      </c>
      <c r="D621" s="6" t="s">
        <v>2679</v>
      </c>
      <c r="E621" s="8">
        <v>333700</v>
      </c>
      <c r="F621" s="6"/>
      <c r="G621" s="9">
        <v>-95.128641128540039</v>
      </c>
      <c r="H621" s="9">
        <v>29.721600995207957</v>
      </c>
      <c r="I621" s="6" t="s">
        <v>1715</v>
      </c>
      <c r="J621" s="6" t="s">
        <v>2680</v>
      </c>
      <c r="K621" s="6" t="s">
        <v>56</v>
      </c>
      <c r="L621" s="6" t="s">
        <v>1620</v>
      </c>
      <c r="M621" s="10">
        <v>0</v>
      </c>
      <c r="N621" s="6" t="s">
        <v>1621</v>
      </c>
      <c r="O621" s="6">
        <v>1</v>
      </c>
    </row>
    <row r="622" spans="1:15" ht="30" customHeight="1" x14ac:dyDescent="0.2">
      <c r="A622" s="6">
        <v>621</v>
      </c>
      <c r="B622" s="6" t="s">
        <v>1007</v>
      </c>
      <c r="C622" s="6" t="s">
        <v>1012</v>
      </c>
      <c r="D622" s="6" t="s">
        <v>2681</v>
      </c>
      <c r="E622" s="8">
        <v>233500</v>
      </c>
      <c r="F622" s="6"/>
      <c r="G622" s="9">
        <v>-93.930959701538086</v>
      </c>
      <c r="H622" s="9">
        <v>29.96422977609868</v>
      </c>
      <c r="I622" s="6"/>
      <c r="J622" s="6" t="s">
        <v>2682</v>
      </c>
      <c r="K622" s="6" t="s">
        <v>56</v>
      </c>
      <c r="L622" s="6" t="s">
        <v>1620</v>
      </c>
      <c r="M622" s="10">
        <v>0</v>
      </c>
      <c r="N622" s="6" t="s">
        <v>1621</v>
      </c>
      <c r="O622" s="6">
        <v>1</v>
      </c>
    </row>
    <row r="623" spans="1:15" ht="30" customHeight="1" x14ac:dyDescent="0.2">
      <c r="A623" s="6">
        <v>622</v>
      </c>
      <c r="B623" s="6" t="s">
        <v>1007</v>
      </c>
      <c r="C623" s="6" t="s">
        <v>1012</v>
      </c>
      <c r="D623" s="6" t="s">
        <v>2683</v>
      </c>
      <c r="E623" s="8">
        <v>90000</v>
      </c>
      <c r="F623" s="6"/>
      <c r="G623" s="9">
        <v>-95.255584716796875</v>
      </c>
      <c r="H623" s="9">
        <v>29.722793615371724</v>
      </c>
      <c r="I623" s="6" t="s">
        <v>2453</v>
      </c>
      <c r="J623" s="6" t="s">
        <v>2684</v>
      </c>
      <c r="K623" s="6" t="s">
        <v>56</v>
      </c>
      <c r="L623" s="6" t="s">
        <v>1620</v>
      </c>
      <c r="M623" s="10">
        <v>0</v>
      </c>
      <c r="N623" s="6" t="s">
        <v>1621</v>
      </c>
      <c r="O623" s="6">
        <v>1</v>
      </c>
    </row>
    <row r="624" spans="1:15" ht="30" customHeight="1" x14ac:dyDescent="0.2">
      <c r="A624" s="6">
        <v>623</v>
      </c>
      <c r="B624" s="6" t="s">
        <v>1007</v>
      </c>
      <c r="C624" s="6" t="s">
        <v>1012</v>
      </c>
      <c r="D624" s="6" t="s">
        <v>2685</v>
      </c>
      <c r="E624" s="8">
        <v>250000</v>
      </c>
      <c r="F624" s="6"/>
      <c r="G624" s="9">
        <v>-93.889331817626953</v>
      </c>
      <c r="H624" s="9">
        <v>29.958280931308533</v>
      </c>
      <c r="I624" s="6" t="s">
        <v>2453</v>
      </c>
      <c r="J624" s="6" t="s">
        <v>2686</v>
      </c>
      <c r="K624" s="6" t="s">
        <v>56</v>
      </c>
      <c r="L624" s="6" t="s">
        <v>1620</v>
      </c>
      <c r="M624" s="10">
        <v>0</v>
      </c>
      <c r="N624" s="6" t="s">
        <v>1621</v>
      </c>
      <c r="O624" s="6">
        <v>1</v>
      </c>
    </row>
    <row r="625" spans="1:15" ht="30" customHeight="1" x14ac:dyDescent="0.2">
      <c r="A625" s="6">
        <v>624</v>
      </c>
      <c r="B625" s="6" t="s">
        <v>1007</v>
      </c>
      <c r="C625" s="6" t="s">
        <v>1012</v>
      </c>
      <c r="D625" s="6" t="s">
        <v>2687</v>
      </c>
      <c r="E625" s="8">
        <v>210000</v>
      </c>
      <c r="F625" s="6"/>
      <c r="G625" s="9">
        <v>-94.90839958190918</v>
      </c>
      <c r="H625" s="9">
        <v>29.367739584209591</v>
      </c>
      <c r="I625" s="6" t="s">
        <v>2453</v>
      </c>
      <c r="J625" s="6" t="s">
        <v>2688</v>
      </c>
      <c r="K625" s="6" t="s">
        <v>56</v>
      </c>
      <c r="L625" s="6" t="s">
        <v>1620</v>
      </c>
      <c r="M625" s="10">
        <v>0</v>
      </c>
      <c r="N625" s="6" t="s">
        <v>1621</v>
      </c>
      <c r="O625" s="6">
        <v>1</v>
      </c>
    </row>
    <row r="626" spans="1:15" ht="30" customHeight="1" x14ac:dyDescent="0.2">
      <c r="A626" s="6">
        <v>625</v>
      </c>
      <c r="B626" s="6" t="s">
        <v>1007</v>
      </c>
      <c r="C626" s="6" t="s">
        <v>1012</v>
      </c>
      <c r="D626" s="6" t="s">
        <v>2689</v>
      </c>
      <c r="E626" s="8">
        <v>24400</v>
      </c>
      <c r="F626" s="6"/>
      <c r="G626" s="9">
        <v>-111.9206428527832</v>
      </c>
      <c r="H626" s="9">
        <v>40.83855433129041</v>
      </c>
      <c r="I626" s="6" t="s">
        <v>2506</v>
      </c>
      <c r="J626" s="6" t="s">
        <v>2507</v>
      </c>
      <c r="K626" s="6" t="s">
        <v>56</v>
      </c>
      <c r="L626" s="6" t="s">
        <v>1620</v>
      </c>
      <c r="M626" s="10">
        <v>0</v>
      </c>
      <c r="N626" s="6" t="s">
        <v>1621</v>
      </c>
      <c r="O626" s="6">
        <v>1</v>
      </c>
    </row>
    <row r="627" spans="1:15" ht="30" customHeight="1" x14ac:dyDescent="0.2">
      <c r="A627" s="6">
        <v>626</v>
      </c>
      <c r="B627" s="6" t="s">
        <v>1007</v>
      </c>
      <c r="C627" s="6" t="s">
        <v>1012</v>
      </c>
      <c r="D627" s="6" t="s">
        <v>2690</v>
      </c>
      <c r="E627" s="8">
        <v>45000</v>
      </c>
      <c r="F627" s="6"/>
      <c r="G627" s="9">
        <v>-111.92381858825684</v>
      </c>
      <c r="H627" s="9">
        <v>40.824072098940547</v>
      </c>
      <c r="I627" s="6" t="s">
        <v>1929</v>
      </c>
      <c r="J627" s="6" t="s">
        <v>2496</v>
      </c>
      <c r="K627" s="6" t="s">
        <v>56</v>
      </c>
      <c r="L627" s="6" t="s">
        <v>1620</v>
      </c>
      <c r="M627" s="10">
        <v>0</v>
      </c>
      <c r="N627" s="6" t="s">
        <v>1621</v>
      </c>
      <c r="O627" s="6">
        <v>1</v>
      </c>
    </row>
    <row r="628" spans="1:15" ht="30" customHeight="1" x14ac:dyDescent="0.2">
      <c r="A628" s="6">
        <v>627</v>
      </c>
      <c r="B628" s="6" t="s">
        <v>1007</v>
      </c>
      <c r="C628" s="6" t="s">
        <v>1012</v>
      </c>
      <c r="D628" s="6" t="s">
        <v>2691</v>
      </c>
      <c r="E628" s="8">
        <v>26000</v>
      </c>
      <c r="F628" s="6"/>
      <c r="G628" s="9">
        <v>-111.90390586853027</v>
      </c>
      <c r="H628" s="9">
        <v>40.885745739810972</v>
      </c>
      <c r="I628" s="6" t="s">
        <v>2609</v>
      </c>
      <c r="J628" s="6" t="s">
        <v>2692</v>
      </c>
      <c r="K628" s="6" t="s">
        <v>56</v>
      </c>
      <c r="L628" s="6" t="s">
        <v>1620</v>
      </c>
      <c r="M628" s="10">
        <v>0</v>
      </c>
      <c r="N628" s="6" t="s">
        <v>1621</v>
      </c>
      <c r="O628" s="6">
        <v>1</v>
      </c>
    </row>
    <row r="629" spans="1:15" ht="30" customHeight="1" x14ac:dyDescent="0.2">
      <c r="A629" s="6">
        <v>628</v>
      </c>
      <c r="B629" s="6" t="s">
        <v>1007</v>
      </c>
      <c r="C629" s="6" t="s">
        <v>1012</v>
      </c>
      <c r="D629" s="6" t="s">
        <v>2693</v>
      </c>
      <c r="E629" s="8">
        <v>10250</v>
      </c>
      <c r="F629" s="6"/>
      <c r="G629" s="9">
        <v>-111.91025733947754</v>
      </c>
      <c r="H629" s="9">
        <v>40.867184768577509</v>
      </c>
      <c r="I629" s="6"/>
      <c r="J629" s="6" t="s">
        <v>2694</v>
      </c>
      <c r="K629" s="6" t="s">
        <v>56</v>
      </c>
      <c r="L629" s="6" t="s">
        <v>1620</v>
      </c>
      <c r="M629" s="10">
        <v>0</v>
      </c>
      <c r="N629" s="6" t="s">
        <v>1621</v>
      </c>
      <c r="O629" s="6">
        <v>1</v>
      </c>
    </row>
    <row r="630" spans="1:15" ht="30" customHeight="1" x14ac:dyDescent="0.2">
      <c r="A630" s="6">
        <v>629</v>
      </c>
      <c r="B630" s="6" t="s">
        <v>1007</v>
      </c>
      <c r="C630" s="6" t="s">
        <v>1012</v>
      </c>
      <c r="D630" s="6" t="s">
        <v>2695</v>
      </c>
      <c r="E630" s="8">
        <v>58000</v>
      </c>
      <c r="F630" s="6"/>
      <c r="G630" s="9">
        <v>-111.90545082092285</v>
      </c>
      <c r="H630" s="9">
        <v>40.792304023601339</v>
      </c>
      <c r="I630" s="6"/>
      <c r="J630" s="6" t="s">
        <v>2696</v>
      </c>
      <c r="K630" s="6" t="s">
        <v>56</v>
      </c>
      <c r="L630" s="6" t="s">
        <v>1620</v>
      </c>
      <c r="M630" s="10">
        <v>0</v>
      </c>
      <c r="N630" s="6" t="s">
        <v>1621</v>
      </c>
      <c r="O630" s="6">
        <v>1</v>
      </c>
    </row>
    <row r="631" spans="1:15" ht="30" customHeight="1" x14ac:dyDescent="0.2">
      <c r="A631" s="6">
        <v>630</v>
      </c>
      <c r="B631" s="6" t="s">
        <v>1007</v>
      </c>
      <c r="C631" s="6" t="s">
        <v>1012</v>
      </c>
      <c r="D631" s="6" t="s">
        <v>2697</v>
      </c>
      <c r="E631" s="8">
        <v>58600</v>
      </c>
      <c r="F631" s="6"/>
      <c r="G631" s="9">
        <v>-76.453771591186523</v>
      </c>
      <c r="H631" s="9">
        <v>37.212831514455942</v>
      </c>
      <c r="I631" s="6" t="s">
        <v>1639</v>
      </c>
      <c r="J631" s="6" t="s">
        <v>2618</v>
      </c>
      <c r="K631" s="6" t="s">
        <v>56</v>
      </c>
      <c r="L631" s="6" t="s">
        <v>1620</v>
      </c>
      <c r="M631" s="10">
        <v>0</v>
      </c>
      <c r="N631" s="6" t="s">
        <v>1621</v>
      </c>
      <c r="O631" s="6">
        <v>1</v>
      </c>
    </row>
    <row r="632" spans="1:15" ht="30" customHeight="1" x14ac:dyDescent="0.2">
      <c r="A632" s="6">
        <v>631</v>
      </c>
      <c r="B632" s="6" t="s">
        <v>1007</v>
      </c>
      <c r="C632" s="6" t="s">
        <v>1012</v>
      </c>
      <c r="D632" s="6" t="s">
        <v>2698</v>
      </c>
      <c r="E632" s="8">
        <v>225000</v>
      </c>
      <c r="F632" s="6"/>
      <c r="G632" s="9">
        <v>-122.7348804473877</v>
      </c>
      <c r="H632" s="9">
        <v>48.88458571785511</v>
      </c>
      <c r="I632" s="6" t="s">
        <v>1623</v>
      </c>
      <c r="J632" s="6" t="s">
        <v>1624</v>
      </c>
      <c r="K632" s="6" t="s">
        <v>56</v>
      </c>
      <c r="L632" s="6" t="s">
        <v>1620</v>
      </c>
      <c r="M632" s="10">
        <v>0</v>
      </c>
      <c r="N632" s="6" t="s">
        <v>1621</v>
      </c>
      <c r="O632" s="6">
        <v>1</v>
      </c>
    </row>
    <row r="633" spans="1:15" ht="30" customHeight="1" x14ac:dyDescent="0.2">
      <c r="A633" s="6">
        <v>632</v>
      </c>
      <c r="B633" s="6" t="s">
        <v>1007</v>
      </c>
      <c r="C633" s="6" t="s">
        <v>1012</v>
      </c>
      <c r="D633" s="6" t="s">
        <v>2699</v>
      </c>
      <c r="E633" s="8">
        <v>96000</v>
      </c>
      <c r="F633" s="6"/>
      <c r="G633" s="9">
        <v>-122.69659996032715</v>
      </c>
      <c r="H633" s="9">
        <v>48.830486612393585</v>
      </c>
      <c r="I633" s="6"/>
      <c r="J633" s="6" t="s">
        <v>2498</v>
      </c>
      <c r="K633" s="6" t="s">
        <v>56</v>
      </c>
      <c r="L633" s="6" t="s">
        <v>1620</v>
      </c>
      <c r="M633" s="10">
        <v>0</v>
      </c>
      <c r="N633" s="6" t="s">
        <v>1621</v>
      </c>
      <c r="O633" s="6">
        <v>1</v>
      </c>
    </row>
    <row r="634" spans="1:15" ht="30" customHeight="1" x14ac:dyDescent="0.2">
      <c r="A634" s="6">
        <v>633</v>
      </c>
      <c r="B634" s="6" t="s">
        <v>1007</v>
      </c>
      <c r="C634" s="6" t="s">
        <v>1012</v>
      </c>
      <c r="D634" s="6" t="s">
        <v>2700</v>
      </c>
      <c r="E634" s="8">
        <v>145000</v>
      </c>
      <c r="F634" s="6"/>
      <c r="G634" s="9">
        <v>-122.55626678466797</v>
      </c>
      <c r="H634" s="9">
        <v>48.470645081044623</v>
      </c>
      <c r="I634" s="6"/>
      <c r="J634" s="6" t="s">
        <v>2500</v>
      </c>
      <c r="K634" s="6" t="s">
        <v>56</v>
      </c>
      <c r="L634" s="6" t="s">
        <v>1620</v>
      </c>
      <c r="M634" s="10">
        <v>0</v>
      </c>
      <c r="N634" s="6" t="s">
        <v>1621</v>
      </c>
      <c r="O634" s="6">
        <v>1</v>
      </c>
    </row>
    <row r="635" spans="1:15" ht="30" customHeight="1" x14ac:dyDescent="0.2">
      <c r="A635" s="6">
        <v>634</v>
      </c>
      <c r="B635" s="6" t="s">
        <v>1007</v>
      </c>
      <c r="C635" s="6" t="s">
        <v>1012</v>
      </c>
      <c r="D635" s="6" t="s">
        <v>2701</v>
      </c>
      <c r="E635" s="8">
        <v>108000</v>
      </c>
      <c r="F635" s="6"/>
      <c r="G635" s="9">
        <v>-122.56253242492676</v>
      </c>
      <c r="H635" s="9">
        <v>48.494369360706671</v>
      </c>
      <c r="I635" s="6"/>
      <c r="J635" s="6" t="s">
        <v>2702</v>
      </c>
      <c r="K635" s="6" t="s">
        <v>56</v>
      </c>
      <c r="L635" s="6" t="s">
        <v>1629</v>
      </c>
      <c r="M635" s="10">
        <v>0.69</v>
      </c>
      <c r="N635" s="6" t="s">
        <v>1621</v>
      </c>
      <c r="O635" s="6">
        <v>1</v>
      </c>
    </row>
    <row r="636" spans="1:15" ht="30" customHeight="1" x14ac:dyDescent="0.2">
      <c r="A636" s="6">
        <v>635</v>
      </c>
      <c r="B636" s="6" t="s">
        <v>1007</v>
      </c>
      <c r="C636" s="6" t="s">
        <v>1012</v>
      </c>
      <c r="D636" s="6" t="s">
        <v>2703</v>
      </c>
      <c r="E636" s="8">
        <v>19400</v>
      </c>
      <c r="F636" s="6"/>
      <c r="G636" s="9">
        <v>-80.605230331420898</v>
      </c>
      <c r="H636" s="9">
        <v>40.617144968474925</v>
      </c>
      <c r="I636" s="6" t="s">
        <v>2601</v>
      </c>
      <c r="J636" s="6" t="s">
        <v>2602</v>
      </c>
      <c r="K636" s="6" t="s">
        <v>56</v>
      </c>
      <c r="L636" s="6" t="s">
        <v>1620</v>
      </c>
      <c r="M636" s="10">
        <v>0</v>
      </c>
      <c r="N636" s="6" t="s">
        <v>1621</v>
      </c>
      <c r="O636" s="6">
        <v>1</v>
      </c>
    </row>
    <row r="637" spans="1:15" ht="30" customHeight="1" x14ac:dyDescent="0.2">
      <c r="A637" s="6">
        <v>636</v>
      </c>
      <c r="B637" s="6" t="s">
        <v>1007</v>
      </c>
      <c r="C637" s="6" t="s">
        <v>1012</v>
      </c>
      <c r="D637" s="6" t="s">
        <v>2704</v>
      </c>
      <c r="E637" s="8">
        <v>33000</v>
      </c>
      <c r="F637" s="6"/>
      <c r="G637" s="9">
        <v>-92.067317962646484</v>
      </c>
      <c r="H637" s="9">
        <v>46.690546245293277</v>
      </c>
      <c r="I637" s="6" t="s">
        <v>2570</v>
      </c>
      <c r="J637" s="6" t="s">
        <v>2571</v>
      </c>
      <c r="K637" s="6" t="s">
        <v>56</v>
      </c>
      <c r="L637" s="6" t="s">
        <v>1620</v>
      </c>
      <c r="M637" s="10">
        <v>0</v>
      </c>
      <c r="N637" s="6" t="s">
        <v>1621</v>
      </c>
      <c r="O637" s="6">
        <v>1</v>
      </c>
    </row>
    <row r="638" spans="1:15" ht="30" customHeight="1" x14ac:dyDescent="0.2">
      <c r="A638" s="6">
        <v>637</v>
      </c>
      <c r="B638" s="6" t="s">
        <v>1007</v>
      </c>
      <c r="C638" s="6" t="s">
        <v>1012</v>
      </c>
      <c r="D638" s="6" t="s">
        <v>2705</v>
      </c>
      <c r="E638" s="8">
        <v>46000</v>
      </c>
      <c r="F638" s="6"/>
      <c r="G638" s="9">
        <v>-104.78965759277344</v>
      </c>
      <c r="H638" s="9">
        <v>41.127146462668854</v>
      </c>
      <c r="I638" s="6" t="s">
        <v>2549</v>
      </c>
      <c r="J638" s="6" t="s">
        <v>2706</v>
      </c>
      <c r="K638" s="6" t="s">
        <v>56</v>
      </c>
      <c r="L638" s="6" t="s">
        <v>1620</v>
      </c>
      <c r="M638" s="10">
        <v>0</v>
      </c>
      <c r="N638" s="6" t="s">
        <v>1621</v>
      </c>
      <c r="O638" s="6">
        <v>1</v>
      </c>
    </row>
    <row r="639" spans="1:15" ht="30" customHeight="1" x14ac:dyDescent="0.2">
      <c r="A639" s="6">
        <v>638</v>
      </c>
      <c r="B639" s="6" t="s">
        <v>1007</v>
      </c>
      <c r="C639" s="6" t="s">
        <v>1012</v>
      </c>
      <c r="D639" s="6" t="s">
        <v>2707</v>
      </c>
      <c r="E639" s="8">
        <v>24500</v>
      </c>
      <c r="F639" s="6"/>
      <c r="G639" s="9">
        <v>-106.24251365661621</v>
      </c>
      <c r="H639" s="9">
        <v>42.858223988355014</v>
      </c>
      <c r="I639" s="6" t="s">
        <v>2634</v>
      </c>
      <c r="J639" s="6" t="s">
        <v>2635</v>
      </c>
      <c r="K639" s="6" t="s">
        <v>56</v>
      </c>
      <c r="L639" s="6" t="s">
        <v>1620</v>
      </c>
      <c r="M639" s="10">
        <v>0</v>
      </c>
      <c r="N639" s="6" t="s">
        <v>1621</v>
      </c>
      <c r="O639" s="6">
        <v>1</v>
      </c>
    </row>
    <row r="640" spans="1:15" ht="30" customHeight="1" x14ac:dyDescent="0.2">
      <c r="A640" s="6">
        <v>639</v>
      </c>
      <c r="B640" s="6" t="s">
        <v>1007</v>
      </c>
      <c r="C640" s="6" t="s">
        <v>1012</v>
      </c>
      <c r="D640" s="6" t="s">
        <v>2708</v>
      </c>
      <c r="E640" s="8">
        <v>66000</v>
      </c>
      <c r="F640" s="6"/>
      <c r="G640" s="9">
        <v>-107.10845947265625</v>
      </c>
      <c r="H640" s="9">
        <v>41.782257029509644</v>
      </c>
      <c r="I640" s="6" t="s">
        <v>2634</v>
      </c>
      <c r="J640" s="6" t="s">
        <v>2635</v>
      </c>
      <c r="K640" s="6" t="s">
        <v>56</v>
      </c>
      <c r="L640" s="6" t="s">
        <v>1620</v>
      </c>
      <c r="M640" s="10">
        <v>0</v>
      </c>
      <c r="N640" s="6" t="s">
        <v>1621</v>
      </c>
      <c r="O640" s="6">
        <v>1</v>
      </c>
    </row>
    <row r="641" spans="1:15" ht="30" customHeight="1" x14ac:dyDescent="0.2">
      <c r="A641" s="6">
        <v>640</v>
      </c>
      <c r="B641" s="6" t="s">
        <v>1007</v>
      </c>
      <c r="C641" s="6" t="s">
        <v>1012</v>
      </c>
      <c r="D641" s="6" t="s">
        <v>2709</v>
      </c>
      <c r="E641" s="8">
        <v>12500</v>
      </c>
      <c r="F641" s="6"/>
      <c r="G641" s="9">
        <v>-104.21502113342285</v>
      </c>
      <c r="H641" s="9">
        <v>43.849755526865174</v>
      </c>
      <c r="I641" s="6" t="s">
        <v>1639</v>
      </c>
      <c r="J641" s="6" t="s">
        <v>2710</v>
      </c>
      <c r="K641" s="6" t="s">
        <v>56</v>
      </c>
      <c r="L641" s="6" t="s">
        <v>1620</v>
      </c>
      <c r="M641" s="10">
        <v>0</v>
      </c>
      <c r="N641" s="6" t="s">
        <v>1621</v>
      </c>
      <c r="O641" s="6">
        <v>1</v>
      </c>
    </row>
    <row r="642" spans="1:15" ht="30" customHeight="1" x14ac:dyDescent="0.2">
      <c r="A642" s="6">
        <v>641</v>
      </c>
      <c r="B642" s="6" t="s">
        <v>1013</v>
      </c>
      <c r="C642" s="6" t="s">
        <v>1018</v>
      </c>
      <c r="D642" s="6" t="s">
        <v>2711</v>
      </c>
      <c r="E642" s="8">
        <v>195000</v>
      </c>
      <c r="F642" s="6"/>
      <c r="G642" s="9">
        <v>-113.39444160461426</v>
      </c>
      <c r="H642" s="9">
        <v>53.546529604997069</v>
      </c>
      <c r="I642" s="6"/>
      <c r="J642" s="6" t="s">
        <v>2712</v>
      </c>
      <c r="K642" s="6" t="s">
        <v>56</v>
      </c>
      <c r="L642" s="6" t="s">
        <v>1620</v>
      </c>
      <c r="M642" s="10">
        <v>0</v>
      </c>
      <c r="N642" s="6" t="s">
        <v>1621</v>
      </c>
      <c r="O642" s="6">
        <v>1</v>
      </c>
    </row>
    <row r="643" spans="1:15" ht="30" customHeight="1" x14ac:dyDescent="0.2">
      <c r="A643" s="6">
        <v>642</v>
      </c>
      <c r="B643" s="6" t="s">
        <v>1013</v>
      </c>
      <c r="C643" s="6" t="s">
        <v>1018</v>
      </c>
      <c r="D643" s="6" t="s">
        <v>2713</v>
      </c>
      <c r="E643" s="8">
        <v>135000</v>
      </c>
      <c r="F643" s="6"/>
      <c r="G643" s="9">
        <v>-113.35135459899902</v>
      </c>
      <c r="H643" s="9">
        <v>53.551986039403687</v>
      </c>
      <c r="I643" s="6" t="s">
        <v>2714</v>
      </c>
      <c r="J643" s="6" t="s">
        <v>2715</v>
      </c>
      <c r="K643" s="6" t="s">
        <v>56</v>
      </c>
      <c r="L643" s="6" t="s">
        <v>1620</v>
      </c>
      <c r="M643" s="10">
        <v>0</v>
      </c>
      <c r="N643" s="6" t="s">
        <v>1621</v>
      </c>
      <c r="O643" s="6">
        <v>1</v>
      </c>
    </row>
    <row r="644" spans="1:15" ht="30" customHeight="1" x14ac:dyDescent="0.2">
      <c r="A644" s="6">
        <v>643</v>
      </c>
      <c r="B644" s="6" t="s">
        <v>1013</v>
      </c>
      <c r="C644" s="6" t="s">
        <v>1018</v>
      </c>
      <c r="D644" s="6" t="s">
        <v>2716</v>
      </c>
      <c r="E644" s="8">
        <v>100000</v>
      </c>
      <c r="F644" s="6"/>
      <c r="G644" s="9">
        <v>-113.10081481933594</v>
      </c>
      <c r="H644" s="9">
        <v>53.794618127223472</v>
      </c>
      <c r="I644" s="6"/>
      <c r="J644" s="6" t="s">
        <v>2717</v>
      </c>
      <c r="K644" s="6" t="s">
        <v>56</v>
      </c>
      <c r="L644" s="6" t="s">
        <v>1620</v>
      </c>
      <c r="M644" s="10">
        <v>0</v>
      </c>
      <c r="N644" s="6" t="s">
        <v>1621</v>
      </c>
      <c r="O644" s="6">
        <v>1</v>
      </c>
    </row>
    <row r="645" spans="1:15" ht="30" customHeight="1" x14ac:dyDescent="0.2">
      <c r="A645" s="6">
        <v>644</v>
      </c>
      <c r="B645" s="6" t="s">
        <v>1013</v>
      </c>
      <c r="C645" s="6" t="s">
        <v>1018</v>
      </c>
      <c r="D645" s="6" t="s">
        <v>2718</v>
      </c>
      <c r="E645" s="8">
        <v>52000</v>
      </c>
      <c r="F645" s="6"/>
      <c r="G645" s="9">
        <v>-122.98696517944336</v>
      </c>
      <c r="H645" s="9">
        <v>49.29361684282339</v>
      </c>
      <c r="I645" s="6" t="s">
        <v>1929</v>
      </c>
      <c r="J645" s="6" t="s">
        <v>2719</v>
      </c>
      <c r="K645" s="6" t="s">
        <v>56</v>
      </c>
      <c r="L645" s="6" t="s">
        <v>1629</v>
      </c>
      <c r="M645" s="10">
        <v>0.92800000000000005</v>
      </c>
      <c r="N645" s="6" t="s">
        <v>1621</v>
      </c>
      <c r="O645" s="6">
        <v>1</v>
      </c>
    </row>
    <row r="646" spans="1:15" ht="30" customHeight="1" x14ac:dyDescent="0.2">
      <c r="A646" s="6">
        <v>645</v>
      </c>
      <c r="B646" s="6" t="s">
        <v>1013</v>
      </c>
      <c r="C646" s="6" t="s">
        <v>1018</v>
      </c>
      <c r="D646" s="6" t="s">
        <v>2720</v>
      </c>
      <c r="E646" s="8">
        <v>10800</v>
      </c>
      <c r="F646" s="6"/>
      <c r="G646" s="9">
        <v>-122.77547836303711</v>
      </c>
      <c r="H646" s="9">
        <v>53.929866120632155</v>
      </c>
      <c r="I646" s="6"/>
      <c r="J646" s="6" t="s">
        <v>2721</v>
      </c>
      <c r="K646" s="6" t="s">
        <v>56</v>
      </c>
      <c r="L646" s="6" t="s">
        <v>1620</v>
      </c>
      <c r="M646" s="10">
        <v>0</v>
      </c>
      <c r="N646" s="6" t="s">
        <v>1621</v>
      </c>
      <c r="O646" s="6">
        <v>1</v>
      </c>
    </row>
    <row r="647" spans="1:15" ht="30" customHeight="1" x14ac:dyDescent="0.2">
      <c r="A647" s="6">
        <v>646</v>
      </c>
      <c r="B647" s="6" t="s">
        <v>1013</v>
      </c>
      <c r="C647" s="6" t="s">
        <v>1018</v>
      </c>
      <c r="D647" s="6" t="s">
        <v>2722</v>
      </c>
      <c r="E647" s="8">
        <v>250000</v>
      </c>
      <c r="F647" s="6"/>
      <c r="G647" s="9">
        <v>-66.011695861816406</v>
      </c>
      <c r="H647" s="9">
        <v>45.282919013504589</v>
      </c>
      <c r="I647" s="6" t="s">
        <v>2723</v>
      </c>
      <c r="J647" s="6" t="s">
        <v>2724</v>
      </c>
      <c r="K647" s="6" t="s">
        <v>56</v>
      </c>
      <c r="L647" s="6" t="s">
        <v>1620</v>
      </c>
      <c r="M647" s="10">
        <v>0</v>
      </c>
      <c r="N647" s="6" t="s">
        <v>1621</v>
      </c>
      <c r="O647" s="6">
        <v>1</v>
      </c>
    </row>
    <row r="648" spans="1:15" ht="30" customHeight="1" x14ac:dyDescent="0.2">
      <c r="A648" s="6">
        <v>647</v>
      </c>
      <c r="B648" s="6" t="s">
        <v>1013</v>
      </c>
      <c r="C648" s="6" t="s">
        <v>1018</v>
      </c>
      <c r="D648" s="6" t="s">
        <v>2725</v>
      </c>
      <c r="E648" s="8">
        <v>89000</v>
      </c>
      <c r="F648" s="6"/>
      <c r="G648" s="9">
        <v>-63.535737991333008</v>
      </c>
      <c r="H648" s="9">
        <v>44.64197162938008</v>
      </c>
      <c r="I648" s="6"/>
      <c r="J648" s="6" t="s">
        <v>2726</v>
      </c>
      <c r="K648" s="6" t="s">
        <v>56</v>
      </c>
      <c r="L648" s="6" t="s">
        <v>1629</v>
      </c>
      <c r="M648" s="10">
        <v>0.26100000000000001</v>
      </c>
      <c r="N648" s="6" t="s">
        <v>1621</v>
      </c>
      <c r="O648" s="6">
        <v>1</v>
      </c>
    </row>
    <row r="649" spans="1:15" ht="30" customHeight="1" x14ac:dyDescent="0.2">
      <c r="A649" s="6">
        <v>648</v>
      </c>
      <c r="B649" s="6" t="s">
        <v>1013</v>
      </c>
      <c r="C649" s="6" t="s">
        <v>1018</v>
      </c>
      <c r="D649" s="6" t="s">
        <v>2727</v>
      </c>
      <c r="E649" s="8">
        <v>105000</v>
      </c>
      <c r="F649" s="6"/>
      <c r="G649" s="9">
        <v>-53.993339538574219</v>
      </c>
      <c r="H649" s="9">
        <v>47.798223704607594</v>
      </c>
      <c r="I649" s="6" t="s">
        <v>2728</v>
      </c>
      <c r="J649" s="6" t="s">
        <v>2729</v>
      </c>
      <c r="K649" s="6" t="s">
        <v>56</v>
      </c>
      <c r="L649" s="6" t="s">
        <v>1620</v>
      </c>
      <c r="M649" s="10">
        <v>0</v>
      </c>
      <c r="N649" s="6" t="s">
        <v>1621</v>
      </c>
      <c r="O649" s="6">
        <v>1</v>
      </c>
    </row>
    <row r="650" spans="1:15" ht="30" customHeight="1" x14ac:dyDescent="0.2">
      <c r="A650" s="6">
        <v>649</v>
      </c>
      <c r="B650" s="6" t="s">
        <v>1013</v>
      </c>
      <c r="C650" s="6" t="s">
        <v>1018</v>
      </c>
      <c r="D650" s="6" t="s">
        <v>2730</v>
      </c>
      <c r="E650" s="8">
        <v>118000</v>
      </c>
      <c r="F650" s="6"/>
      <c r="G650" s="9">
        <v>-80.048446655273438</v>
      </c>
      <c r="H650" s="9">
        <v>42.834940219452626</v>
      </c>
      <c r="I650" s="6"/>
      <c r="J650" s="6" t="s">
        <v>2731</v>
      </c>
      <c r="K650" s="6" t="s">
        <v>56</v>
      </c>
      <c r="L650" s="6" t="s">
        <v>1620</v>
      </c>
      <c r="M650" s="10">
        <v>0</v>
      </c>
      <c r="N650" s="6" t="s">
        <v>1621</v>
      </c>
      <c r="O650" s="6">
        <v>1</v>
      </c>
    </row>
    <row r="651" spans="1:15" ht="30" customHeight="1" x14ac:dyDescent="0.2">
      <c r="A651" s="6">
        <v>650</v>
      </c>
      <c r="B651" s="6" t="s">
        <v>1013</v>
      </c>
      <c r="C651" s="6" t="s">
        <v>1018</v>
      </c>
      <c r="D651" s="6" t="s">
        <v>2732</v>
      </c>
      <c r="E651" s="8">
        <v>119000</v>
      </c>
      <c r="F651" s="6"/>
      <c r="G651" s="9">
        <v>-82.416000366210938</v>
      </c>
      <c r="H651" s="9">
        <v>42.951836692305243</v>
      </c>
      <c r="I651" s="6"/>
      <c r="J651" s="6" t="s">
        <v>2733</v>
      </c>
      <c r="K651" s="6" t="s">
        <v>56</v>
      </c>
      <c r="L651" s="6" t="s">
        <v>1620</v>
      </c>
      <c r="M651" s="10">
        <v>0</v>
      </c>
      <c r="N651" s="6" t="s">
        <v>1621</v>
      </c>
      <c r="O651" s="6">
        <v>1</v>
      </c>
    </row>
    <row r="652" spans="1:15" ht="30" customHeight="1" x14ac:dyDescent="0.2">
      <c r="A652" s="6">
        <v>651</v>
      </c>
      <c r="B652" s="6" t="s">
        <v>1013</v>
      </c>
      <c r="C652" s="6" t="s">
        <v>1018</v>
      </c>
      <c r="D652" s="6" t="s">
        <v>2734</v>
      </c>
      <c r="E652" s="8">
        <v>72000</v>
      </c>
      <c r="F652" s="6"/>
      <c r="G652" s="9">
        <v>-82.405614852905273</v>
      </c>
      <c r="H652" s="9">
        <v>42.880303992228285</v>
      </c>
      <c r="I652" s="6"/>
      <c r="J652" s="6" t="s">
        <v>2735</v>
      </c>
      <c r="K652" s="6" t="s">
        <v>56</v>
      </c>
      <c r="L652" s="6" t="s">
        <v>1620</v>
      </c>
      <c r="M652" s="10">
        <v>0</v>
      </c>
      <c r="N652" s="6" t="s">
        <v>1621</v>
      </c>
      <c r="O652" s="6">
        <v>1</v>
      </c>
    </row>
    <row r="653" spans="1:15" ht="30" customHeight="1" x14ac:dyDescent="0.2">
      <c r="A653" s="6">
        <v>652</v>
      </c>
      <c r="B653" s="6" t="s">
        <v>1013</v>
      </c>
      <c r="C653" s="6" t="s">
        <v>1018</v>
      </c>
      <c r="D653" s="6" t="s">
        <v>2736</v>
      </c>
      <c r="E653" s="8">
        <v>83000</v>
      </c>
      <c r="F653" s="6"/>
      <c r="G653" s="9">
        <v>-79.611053466796875</v>
      </c>
      <c r="H653" s="9">
        <v>43.502308880771999</v>
      </c>
      <c r="I653" s="6" t="s">
        <v>2714</v>
      </c>
      <c r="J653" s="6" t="s">
        <v>2715</v>
      </c>
      <c r="K653" s="6" t="s">
        <v>56</v>
      </c>
      <c r="L653" s="6" t="s">
        <v>1620</v>
      </c>
      <c r="M653" s="10">
        <v>0</v>
      </c>
      <c r="N653" s="6" t="s">
        <v>1621</v>
      </c>
      <c r="O653" s="6">
        <v>1</v>
      </c>
    </row>
    <row r="654" spans="1:15" ht="30" customHeight="1" x14ac:dyDescent="0.2">
      <c r="A654" s="6">
        <v>653</v>
      </c>
      <c r="B654" s="6" t="s">
        <v>1013</v>
      </c>
      <c r="C654" s="6" t="s">
        <v>1018</v>
      </c>
      <c r="D654" s="6" t="s">
        <v>2737</v>
      </c>
      <c r="E654" s="8">
        <v>71400</v>
      </c>
      <c r="F654" s="6"/>
      <c r="G654" s="9">
        <v>-82.44990348815918</v>
      </c>
      <c r="H654" s="9">
        <v>42.901810244637538</v>
      </c>
      <c r="I654" s="6"/>
      <c r="J654" s="6" t="s">
        <v>2738</v>
      </c>
      <c r="K654" s="6" t="s">
        <v>56</v>
      </c>
      <c r="L654" s="6" t="s">
        <v>1620</v>
      </c>
      <c r="M654" s="10">
        <v>0</v>
      </c>
      <c r="N654" s="6" t="s">
        <v>1621</v>
      </c>
      <c r="O654" s="6">
        <v>1</v>
      </c>
    </row>
    <row r="655" spans="1:15" ht="30" customHeight="1" x14ac:dyDescent="0.2">
      <c r="A655" s="6">
        <v>654</v>
      </c>
      <c r="B655" s="6" t="s">
        <v>1013</v>
      </c>
      <c r="C655" s="6" t="s">
        <v>1018</v>
      </c>
      <c r="D655" s="6" t="s">
        <v>2739</v>
      </c>
      <c r="E655" s="8">
        <v>70000</v>
      </c>
      <c r="F655" s="6"/>
      <c r="G655" s="9">
        <v>-82.439432144165039</v>
      </c>
      <c r="H655" s="9">
        <v>42.929530921376411</v>
      </c>
      <c r="I655" s="6" t="s">
        <v>2524</v>
      </c>
      <c r="J655" s="6" t="s">
        <v>2740</v>
      </c>
      <c r="K655" s="6" t="s">
        <v>56</v>
      </c>
      <c r="L655" s="6" t="s">
        <v>1620</v>
      </c>
      <c r="M655" s="10">
        <v>0</v>
      </c>
      <c r="N655" s="6" t="s">
        <v>1621</v>
      </c>
      <c r="O655" s="6">
        <v>1</v>
      </c>
    </row>
    <row r="656" spans="1:15" ht="30" customHeight="1" x14ac:dyDescent="0.2">
      <c r="A656" s="6">
        <v>655</v>
      </c>
      <c r="B656" s="6" t="s">
        <v>1013</v>
      </c>
      <c r="C656" s="6" t="s">
        <v>1018</v>
      </c>
      <c r="D656" s="6" t="s">
        <v>2741</v>
      </c>
      <c r="E656" s="8">
        <v>215000</v>
      </c>
      <c r="F656" s="6"/>
      <c r="G656" s="9">
        <v>-71.193637847900391</v>
      </c>
      <c r="H656" s="9">
        <v>46.759444365004434</v>
      </c>
      <c r="I656" s="6" t="s">
        <v>2453</v>
      </c>
      <c r="J656" s="6" t="s">
        <v>2742</v>
      </c>
      <c r="K656" s="6" t="s">
        <v>56</v>
      </c>
      <c r="L656" s="6" t="s">
        <v>1620</v>
      </c>
      <c r="M656" s="10">
        <v>0</v>
      </c>
      <c r="N656" s="6" t="s">
        <v>1621</v>
      </c>
      <c r="O656" s="6">
        <v>1</v>
      </c>
    </row>
    <row r="657" spans="1:15" ht="30" customHeight="1" x14ac:dyDescent="0.2">
      <c r="A657" s="6">
        <v>656</v>
      </c>
      <c r="B657" s="6" t="s">
        <v>1013</v>
      </c>
      <c r="C657" s="6" t="s">
        <v>1018</v>
      </c>
      <c r="D657" s="6" t="s">
        <v>2743</v>
      </c>
      <c r="E657" s="8">
        <v>130000</v>
      </c>
      <c r="F657" s="6"/>
      <c r="G657" s="9">
        <v>-73.522825241088867</v>
      </c>
      <c r="H657" s="9">
        <v>45.633006071327117</v>
      </c>
      <c r="I657" s="6"/>
      <c r="J657" s="6" t="s">
        <v>2744</v>
      </c>
      <c r="K657" s="6" t="s">
        <v>56</v>
      </c>
      <c r="L657" s="6" t="s">
        <v>1620</v>
      </c>
      <c r="M657" s="10">
        <v>0</v>
      </c>
      <c r="N657" s="6" t="s">
        <v>1621</v>
      </c>
      <c r="O657" s="6">
        <v>1</v>
      </c>
    </row>
    <row r="658" spans="1:15" ht="30" customHeight="1" x14ac:dyDescent="0.2">
      <c r="A658" s="6">
        <v>657</v>
      </c>
      <c r="B658" s="6" t="s">
        <v>1013</v>
      </c>
      <c r="C658" s="6" t="s">
        <v>1018</v>
      </c>
      <c r="D658" s="6" t="s">
        <v>2745</v>
      </c>
      <c r="E658" s="8">
        <v>130000</v>
      </c>
      <c r="F658" s="6"/>
      <c r="G658" s="9">
        <v>-73.527975082397461</v>
      </c>
      <c r="H658" s="9">
        <v>45.625923588377191</v>
      </c>
      <c r="I658" s="6" t="s">
        <v>2714</v>
      </c>
      <c r="J658" s="6" t="s">
        <v>2715</v>
      </c>
      <c r="K658" s="6" t="s">
        <v>56</v>
      </c>
      <c r="L658" s="6" t="s">
        <v>1620</v>
      </c>
      <c r="M658" s="10">
        <v>0</v>
      </c>
      <c r="N658" s="6" t="s">
        <v>1621</v>
      </c>
      <c r="O658" s="6">
        <v>1</v>
      </c>
    </row>
    <row r="659" spans="1:15" ht="30" customHeight="1" x14ac:dyDescent="0.2">
      <c r="A659" s="6">
        <v>658</v>
      </c>
      <c r="B659" s="6" t="s">
        <v>1013</v>
      </c>
      <c r="C659" s="6" t="s">
        <v>1018</v>
      </c>
      <c r="D659" s="6" t="s">
        <v>2746</v>
      </c>
      <c r="E659" s="8">
        <v>25000</v>
      </c>
      <c r="F659" s="6"/>
      <c r="G659" s="9">
        <v>-109.94610786437988</v>
      </c>
      <c r="H659" s="9">
        <v>53.263005411196637</v>
      </c>
      <c r="I659" s="6"/>
      <c r="J659" s="6" t="s">
        <v>2747</v>
      </c>
      <c r="K659" s="6" t="s">
        <v>56</v>
      </c>
      <c r="L659" s="6" t="s">
        <v>1620</v>
      </c>
      <c r="M659" s="10">
        <v>0</v>
      </c>
      <c r="N659" s="6" t="s">
        <v>1621</v>
      </c>
      <c r="O659" s="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4"/>
  <sheetViews>
    <sheetView showGridLines="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8" customWidth="1"/>
    <col min="2" max="2" width="40" customWidth="1"/>
    <col min="3" max="3" width="44" customWidth="1"/>
    <col min="4" max="4" width="24" customWidth="1"/>
    <col min="5" max="5" width="34" customWidth="1"/>
    <col min="6" max="6" width="22" customWidth="1"/>
    <col min="7" max="7" width="23" customWidth="1"/>
    <col min="8" max="8" width="25" customWidth="1"/>
    <col min="9" max="10" width="17" customWidth="1"/>
    <col min="11" max="11" width="30" customWidth="1"/>
    <col min="12" max="12" width="75" customWidth="1"/>
    <col min="13" max="13" width="95" customWidth="1"/>
  </cols>
  <sheetData>
    <row r="1" spans="1:13" ht="66" customHeight="1" x14ac:dyDescent="0.2">
      <c r="A1" s="7" t="s">
        <v>1573</v>
      </c>
      <c r="B1" s="7" t="s">
        <v>2748</v>
      </c>
      <c r="C1" s="7" t="s">
        <v>2749</v>
      </c>
      <c r="D1" s="7" t="s">
        <v>2750</v>
      </c>
      <c r="E1" s="7" t="s">
        <v>2751</v>
      </c>
      <c r="F1" s="7" t="s">
        <v>2752</v>
      </c>
      <c r="G1" s="7" t="s">
        <v>2753</v>
      </c>
      <c r="H1" s="7" t="s">
        <v>2754</v>
      </c>
      <c r="I1" s="7" t="s">
        <v>1611</v>
      </c>
      <c r="J1" s="7" t="s">
        <v>1612</v>
      </c>
      <c r="K1" s="7" t="s">
        <v>1506</v>
      </c>
      <c r="L1" s="7" t="s">
        <v>1507</v>
      </c>
      <c r="M1" s="7" t="s">
        <v>2755</v>
      </c>
    </row>
    <row r="2" spans="1:13" ht="45" customHeight="1" x14ac:dyDescent="0.2">
      <c r="A2" s="6" t="s">
        <v>512</v>
      </c>
      <c r="B2" s="6" t="s">
        <v>2756</v>
      </c>
      <c r="C2" s="6" t="s">
        <v>2757</v>
      </c>
      <c r="D2" s="6" t="s">
        <v>2758</v>
      </c>
      <c r="E2" s="6" t="s">
        <v>2759</v>
      </c>
      <c r="F2" s="8">
        <v>70500</v>
      </c>
      <c r="G2" s="10">
        <v>3.53</v>
      </c>
      <c r="H2" s="6" t="s">
        <v>1537</v>
      </c>
      <c r="I2" s="13">
        <v>9.7495170000000009</v>
      </c>
      <c r="J2" s="13">
        <v>55.568929799999999</v>
      </c>
      <c r="K2" s="6" t="s">
        <v>2760</v>
      </c>
      <c r="L2" s="6" t="s">
        <v>1595</v>
      </c>
      <c r="M2" s="12" t="s">
        <v>2761</v>
      </c>
    </row>
    <row r="3" spans="1:13" ht="45" customHeight="1" x14ac:dyDescent="0.2">
      <c r="A3" s="6" t="s">
        <v>512</v>
      </c>
      <c r="B3" s="6" t="s">
        <v>2762</v>
      </c>
      <c r="C3" s="6" t="s">
        <v>2763</v>
      </c>
      <c r="D3" s="6" t="s">
        <v>2758</v>
      </c>
      <c r="E3" s="6" t="s">
        <v>2759</v>
      </c>
      <c r="F3" s="8">
        <v>112000</v>
      </c>
      <c r="G3" s="10">
        <v>5.6</v>
      </c>
      <c r="H3" s="6" t="s">
        <v>1537</v>
      </c>
      <c r="I3" s="13">
        <v>11.089188</v>
      </c>
      <c r="J3" s="13">
        <v>55.686428999999997</v>
      </c>
      <c r="K3" s="6" t="s">
        <v>2760</v>
      </c>
      <c r="L3" s="6" t="s">
        <v>1595</v>
      </c>
      <c r="M3" s="12" t="s">
        <v>2761</v>
      </c>
    </row>
    <row r="4" spans="1:13" ht="45" customHeight="1" x14ac:dyDescent="0.2">
      <c r="A4" s="6" t="s">
        <v>407</v>
      </c>
      <c r="B4" s="6" t="s">
        <v>2764</v>
      </c>
      <c r="C4" s="6" t="s">
        <v>2765</v>
      </c>
      <c r="D4" s="6" t="s">
        <v>2758</v>
      </c>
      <c r="E4" s="6" t="s">
        <v>2766</v>
      </c>
      <c r="F4" s="8">
        <v>32000</v>
      </c>
      <c r="G4" s="10">
        <v>1.52</v>
      </c>
      <c r="H4" s="6" t="s">
        <v>1537</v>
      </c>
      <c r="I4" s="13">
        <v>17.946528799999999</v>
      </c>
      <c r="J4" s="13">
        <v>58.902926000000001</v>
      </c>
      <c r="K4" s="6" t="s">
        <v>2760</v>
      </c>
      <c r="L4" s="6" t="s">
        <v>1595</v>
      </c>
      <c r="M4" s="12" t="s">
        <v>2761</v>
      </c>
    </row>
    <row r="5" spans="1:13" ht="45" customHeight="1" x14ac:dyDescent="0.2">
      <c r="A5" s="6" t="s">
        <v>407</v>
      </c>
      <c r="B5" s="6" t="s">
        <v>2767</v>
      </c>
      <c r="C5" s="6" t="s">
        <v>2765</v>
      </c>
      <c r="D5" s="6" t="s">
        <v>2758</v>
      </c>
      <c r="E5" s="6" t="s">
        <v>2766</v>
      </c>
      <c r="F5" s="8">
        <v>14000</v>
      </c>
      <c r="G5" s="10">
        <v>0.65</v>
      </c>
      <c r="H5" s="6" t="s">
        <v>1537</v>
      </c>
      <c r="I5" s="13">
        <v>11.850479379639236</v>
      </c>
      <c r="J5" s="13">
        <v>57.6992375441504</v>
      </c>
      <c r="K5" s="6" t="s">
        <v>2760</v>
      </c>
      <c r="L5" s="6" t="s">
        <v>1595</v>
      </c>
      <c r="M5" s="12" t="s">
        <v>2761</v>
      </c>
    </row>
    <row r="6" spans="1:13" ht="45" customHeight="1" x14ac:dyDescent="0.2">
      <c r="A6" s="6" t="s">
        <v>407</v>
      </c>
      <c r="B6" s="6" t="s">
        <v>2767</v>
      </c>
      <c r="C6" s="6" t="s">
        <v>2768</v>
      </c>
      <c r="D6" s="6" t="s">
        <v>2758</v>
      </c>
      <c r="E6" s="6" t="s">
        <v>2759</v>
      </c>
      <c r="F6" s="8">
        <v>112000</v>
      </c>
      <c r="G6" s="10">
        <v>5.3</v>
      </c>
      <c r="H6" s="6" t="s">
        <v>1537</v>
      </c>
      <c r="I6" s="13">
        <v>11.97456</v>
      </c>
      <c r="J6" s="13">
        <v>57.708869999999997</v>
      </c>
      <c r="K6" s="6" t="s">
        <v>2760</v>
      </c>
      <c r="L6" s="6" t="s">
        <v>1595</v>
      </c>
      <c r="M6" s="12" t="s">
        <v>2761</v>
      </c>
    </row>
    <row r="7" spans="1:13" ht="45" customHeight="1" x14ac:dyDescent="0.2">
      <c r="A7" s="6" t="s">
        <v>407</v>
      </c>
      <c r="B7" s="6" t="s">
        <v>2769</v>
      </c>
      <c r="C7" s="6" t="s">
        <v>2768</v>
      </c>
      <c r="D7" s="6" t="s">
        <v>2758</v>
      </c>
      <c r="E7" s="6" t="s">
        <v>2759</v>
      </c>
      <c r="F7" s="8">
        <v>221000</v>
      </c>
      <c r="G7" s="10">
        <v>10.5</v>
      </c>
      <c r="H7" s="6" t="s">
        <v>1537</v>
      </c>
      <c r="I7" s="13">
        <v>11.435558</v>
      </c>
      <c r="J7" s="13">
        <v>58.275573000000001</v>
      </c>
      <c r="K7" s="6" t="s">
        <v>2760</v>
      </c>
      <c r="L7" s="6" t="s">
        <v>1595</v>
      </c>
      <c r="M7" s="12" t="s">
        <v>2761</v>
      </c>
    </row>
    <row r="8" spans="1:13" ht="45" customHeight="1" x14ac:dyDescent="0.2">
      <c r="A8" s="6" t="s">
        <v>407</v>
      </c>
      <c r="B8" s="6" t="s">
        <v>2767</v>
      </c>
      <c r="C8" s="6" t="s">
        <v>2770</v>
      </c>
      <c r="D8" s="6" t="s">
        <v>2758</v>
      </c>
      <c r="E8" s="6" t="s">
        <v>2759</v>
      </c>
      <c r="F8" s="8">
        <v>84000</v>
      </c>
      <c r="G8" s="10">
        <v>4</v>
      </c>
      <c r="H8" s="6" t="s">
        <v>1537</v>
      </c>
      <c r="I8" s="13">
        <v>11.97456</v>
      </c>
      <c r="J8" s="13">
        <v>57.708869999999997</v>
      </c>
      <c r="K8" s="6" t="s">
        <v>2760</v>
      </c>
      <c r="L8" s="6" t="s">
        <v>1595</v>
      </c>
      <c r="M8" s="12" t="s">
        <v>2761</v>
      </c>
    </row>
    <row r="9" spans="1:13" ht="45" customHeight="1" x14ac:dyDescent="0.2">
      <c r="A9" s="6" t="s">
        <v>413</v>
      </c>
      <c r="B9" s="6" t="s">
        <v>2771</v>
      </c>
      <c r="C9" s="6" t="s">
        <v>2772</v>
      </c>
      <c r="D9" s="6" t="s">
        <v>2773</v>
      </c>
      <c r="E9" s="6" t="s">
        <v>2759</v>
      </c>
      <c r="F9" s="8">
        <v>0</v>
      </c>
      <c r="G9" s="10">
        <v>0</v>
      </c>
      <c r="H9" s="6" t="s">
        <v>1537</v>
      </c>
      <c r="I9" s="13">
        <v>22.0250874</v>
      </c>
      <c r="J9" s="13">
        <v>60.466087600000002</v>
      </c>
      <c r="K9" s="6" t="s">
        <v>2760</v>
      </c>
      <c r="L9" s="6" t="s">
        <v>1595</v>
      </c>
      <c r="M9" s="12" t="s">
        <v>2761</v>
      </c>
    </row>
    <row r="10" spans="1:13" ht="45" customHeight="1" x14ac:dyDescent="0.2">
      <c r="A10" s="6" t="s">
        <v>561</v>
      </c>
      <c r="B10" s="6" t="s">
        <v>2774</v>
      </c>
      <c r="C10" s="6" t="s">
        <v>2775</v>
      </c>
      <c r="D10" s="6" t="s">
        <v>2773</v>
      </c>
      <c r="E10" s="6" t="s">
        <v>2759</v>
      </c>
      <c r="F10" s="8">
        <v>0</v>
      </c>
      <c r="G10" s="10">
        <v>0</v>
      </c>
      <c r="H10" s="6" t="s">
        <v>1537</v>
      </c>
      <c r="I10" s="13">
        <v>-4.1749309999999999</v>
      </c>
      <c r="J10" s="13">
        <v>50.63261</v>
      </c>
      <c r="K10" s="6" t="s">
        <v>2760</v>
      </c>
      <c r="L10" s="6" t="s">
        <v>1595</v>
      </c>
      <c r="M10" s="12" t="s">
        <v>2761</v>
      </c>
    </row>
    <row r="11" spans="1:13" ht="45" customHeight="1" x14ac:dyDescent="0.2">
      <c r="A11" s="6" t="s">
        <v>561</v>
      </c>
      <c r="B11" s="6" t="s">
        <v>2776</v>
      </c>
      <c r="C11" s="6" t="s">
        <v>2777</v>
      </c>
      <c r="D11" s="6" t="s">
        <v>2773</v>
      </c>
      <c r="E11" s="6" t="s">
        <v>2759</v>
      </c>
      <c r="F11" s="8">
        <v>158000</v>
      </c>
      <c r="G11" s="10">
        <v>7.5</v>
      </c>
      <c r="H11" s="6" t="s">
        <v>1537</v>
      </c>
      <c r="I11" s="13">
        <v>-3.7227698</v>
      </c>
      <c r="J11" s="13">
        <v>56.009715200000002</v>
      </c>
      <c r="K11" s="6" t="s">
        <v>2760</v>
      </c>
      <c r="L11" s="6" t="s">
        <v>1595</v>
      </c>
      <c r="M11" s="12" t="s">
        <v>2761</v>
      </c>
    </row>
    <row r="12" spans="1:13" ht="45" customHeight="1" x14ac:dyDescent="0.2">
      <c r="A12" s="6" t="s">
        <v>561</v>
      </c>
      <c r="B12" s="6" t="s">
        <v>2778</v>
      </c>
      <c r="C12" s="6" t="s">
        <v>2779</v>
      </c>
      <c r="D12" s="6" t="s">
        <v>2758</v>
      </c>
      <c r="E12" s="6" t="s">
        <v>2759</v>
      </c>
      <c r="F12" s="8">
        <v>232600</v>
      </c>
      <c r="G12" s="10">
        <v>11.63</v>
      </c>
      <c r="H12" s="6" t="s">
        <v>1537</v>
      </c>
      <c r="I12" s="13">
        <v>-0.27423389999999997</v>
      </c>
      <c r="J12" s="13">
        <v>53.639527000000001</v>
      </c>
      <c r="K12" s="6" t="s">
        <v>2760</v>
      </c>
      <c r="L12" s="6" t="s">
        <v>1595</v>
      </c>
      <c r="M12" s="12" t="s">
        <v>2761</v>
      </c>
    </row>
    <row r="13" spans="1:13" ht="45" customHeight="1" x14ac:dyDescent="0.2">
      <c r="A13" s="6" t="s">
        <v>561</v>
      </c>
      <c r="B13" s="6" t="s">
        <v>2780</v>
      </c>
      <c r="C13" s="6" t="s">
        <v>2781</v>
      </c>
      <c r="D13" s="6" t="s">
        <v>2758</v>
      </c>
      <c r="E13" s="6" t="s">
        <v>2759</v>
      </c>
      <c r="F13" s="8">
        <v>273700</v>
      </c>
      <c r="G13" s="10">
        <v>13.69</v>
      </c>
      <c r="H13" s="6" t="s">
        <v>1537</v>
      </c>
      <c r="I13" s="13">
        <v>-1.3502269</v>
      </c>
      <c r="J13" s="13">
        <v>50.826813899999998</v>
      </c>
      <c r="K13" s="6" t="s">
        <v>2760</v>
      </c>
      <c r="L13" s="6" t="s">
        <v>1595</v>
      </c>
      <c r="M13" s="12" t="s">
        <v>2761</v>
      </c>
    </row>
    <row r="14" spans="1:13" ht="45" customHeight="1" x14ac:dyDescent="0.2">
      <c r="A14" s="6" t="s">
        <v>561</v>
      </c>
      <c r="B14" s="6" t="s">
        <v>2782</v>
      </c>
      <c r="C14" s="6" t="s">
        <v>2783</v>
      </c>
      <c r="D14" s="6" t="s">
        <v>2773</v>
      </c>
      <c r="E14" s="6" t="s">
        <v>2759</v>
      </c>
      <c r="F14" s="8">
        <v>0</v>
      </c>
      <c r="G14" s="10">
        <v>0</v>
      </c>
      <c r="H14" s="6" t="s">
        <v>1537</v>
      </c>
      <c r="I14" s="13">
        <v>-0.35020519999999999</v>
      </c>
      <c r="J14" s="13">
        <v>53.575542900000002</v>
      </c>
      <c r="K14" s="6" t="s">
        <v>2760</v>
      </c>
      <c r="L14" s="6" t="s">
        <v>1595</v>
      </c>
      <c r="M14" s="12" t="s">
        <v>2761</v>
      </c>
    </row>
    <row r="15" spans="1:13" ht="45" customHeight="1" x14ac:dyDescent="0.2">
      <c r="A15" s="6" t="s">
        <v>561</v>
      </c>
      <c r="B15" s="6" t="s">
        <v>2784</v>
      </c>
      <c r="C15" s="6" t="s">
        <v>2785</v>
      </c>
      <c r="D15" s="6" t="s">
        <v>2758</v>
      </c>
      <c r="E15" s="6" t="s">
        <v>2766</v>
      </c>
      <c r="F15" s="8">
        <v>22800</v>
      </c>
      <c r="G15" s="10">
        <v>1.1399999999999999</v>
      </c>
      <c r="H15" s="6" t="s">
        <v>1537</v>
      </c>
      <c r="I15" s="13">
        <v>-2.9710146000000002</v>
      </c>
      <c r="J15" s="13">
        <v>53.3132144</v>
      </c>
      <c r="K15" s="6" t="s">
        <v>2760</v>
      </c>
      <c r="L15" s="6" t="s">
        <v>1595</v>
      </c>
      <c r="M15" s="12" t="s">
        <v>2761</v>
      </c>
    </row>
    <row r="16" spans="1:13" ht="45" customHeight="1" x14ac:dyDescent="0.2">
      <c r="A16" s="6" t="s">
        <v>561</v>
      </c>
      <c r="B16" s="6" t="s">
        <v>2786</v>
      </c>
      <c r="C16" s="6" t="s">
        <v>2765</v>
      </c>
      <c r="D16" s="6" t="s">
        <v>2773</v>
      </c>
      <c r="E16" s="6" t="s">
        <v>2759</v>
      </c>
      <c r="F16" s="8">
        <v>0</v>
      </c>
      <c r="G16" s="10">
        <v>0</v>
      </c>
      <c r="H16" s="6" t="s">
        <v>1537</v>
      </c>
      <c r="I16" s="13">
        <v>-2.9707210000000002</v>
      </c>
      <c r="J16" s="13">
        <v>56.462018</v>
      </c>
      <c r="K16" s="6" t="s">
        <v>2760</v>
      </c>
      <c r="L16" s="6" t="s">
        <v>1595</v>
      </c>
      <c r="M16" s="12" t="s">
        <v>2761</v>
      </c>
    </row>
    <row r="17" spans="1:13" ht="45" customHeight="1" x14ac:dyDescent="0.2">
      <c r="A17" s="6" t="s">
        <v>561</v>
      </c>
      <c r="B17" s="6" t="s">
        <v>2787</v>
      </c>
      <c r="C17" s="6" t="s">
        <v>2788</v>
      </c>
      <c r="D17" s="6" t="s">
        <v>2773</v>
      </c>
      <c r="E17" s="6" t="s">
        <v>2759</v>
      </c>
      <c r="F17" s="8">
        <v>0</v>
      </c>
      <c r="G17" s="10">
        <v>0</v>
      </c>
      <c r="H17" s="6" t="s">
        <v>1537</v>
      </c>
      <c r="I17" s="13">
        <v>-1.2349559999999999</v>
      </c>
      <c r="J17" s="13">
        <v>54.574227</v>
      </c>
      <c r="K17" s="6" t="s">
        <v>2760</v>
      </c>
      <c r="L17" s="6" t="s">
        <v>1595</v>
      </c>
      <c r="M17" s="12" t="s">
        <v>2761</v>
      </c>
    </row>
    <row r="18" spans="1:13" ht="45" customHeight="1" x14ac:dyDescent="0.2">
      <c r="A18" s="6" t="s">
        <v>561</v>
      </c>
      <c r="B18" s="6" t="s">
        <v>2789</v>
      </c>
      <c r="C18" s="6" t="s">
        <v>2790</v>
      </c>
      <c r="D18" s="6" t="s">
        <v>2758</v>
      </c>
      <c r="E18" s="6" t="s">
        <v>2759</v>
      </c>
      <c r="F18" s="8">
        <v>205300</v>
      </c>
      <c r="G18" s="10">
        <v>10.27</v>
      </c>
      <c r="H18" s="6" t="s">
        <v>1537</v>
      </c>
      <c r="I18" s="13">
        <v>-2.8457490000000001</v>
      </c>
      <c r="J18" s="13">
        <v>53.274629699999998</v>
      </c>
      <c r="K18" s="6" t="s">
        <v>2760</v>
      </c>
      <c r="L18" s="6" t="s">
        <v>1595</v>
      </c>
      <c r="M18" s="12" t="s">
        <v>2761</v>
      </c>
    </row>
    <row r="19" spans="1:13" ht="45" customHeight="1" x14ac:dyDescent="0.2">
      <c r="A19" s="6" t="s">
        <v>561</v>
      </c>
      <c r="B19" s="6" t="s">
        <v>2791</v>
      </c>
      <c r="C19" s="6" t="s">
        <v>2792</v>
      </c>
      <c r="D19" s="6" t="s">
        <v>2758</v>
      </c>
      <c r="E19" s="6" t="s">
        <v>2759</v>
      </c>
      <c r="F19" s="8">
        <v>221000</v>
      </c>
      <c r="G19" s="10">
        <v>10.5</v>
      </c>
      <c r="H19" s="6" t="s">
        <v>1537</v>
      </c>
      <c r="I19" s="13">
        <v>-4.9086369999999997</v>
      </c>
      <c r="J19" s="13">
        <v>51.674042999999998</v>
      </c>
      <c r="K19" s="6" t="s">
        <v>2760</v>
      </c>
      <c r="L19" s="6" t="s">
        <v>1595</v>
      </c>
      <c r="M19" s="12" t="s">
        <v>2761</v>
      </c>
    </row>
    <row r="20" spans="1:13" ht="45" customHeight="1" x14ac:dyDescent="0.2">
      <c r="A20" s="6" t="s">
        <v>561</v>
      </c>
      <c r="B20" s="6" t="s">
        <v>2793</v>
      </c>
      <c r="C20" s="6" t="s">
        <v>2794</v>
      </c>
      <c r="D20" s="6" t="s">
        <v>2773</v>
      </c>
      <c r="E20" s="6" t="s">
        <v>2759</v>
      </c>
      <c r="F20" s="8">
        <v>0</v>
      </c>
      <c r="G20" s="10">
        <v>0</v>
      </c>
      <c r="H20" s="6" t="s">
        <v>1537</v>
      </c>
      <c r="I20" s="13">
        <v>-5.0426970999999998</v>
      </c>
      <c r="J20" s="13">
        <v>51.714306000000001</v>
      </c>
      <c r="K20" s="6" t="s">
        <v>2760</v>
      </c>
      <c r="L20" s="6" t="s">
        <v>1595</v>
      </c>
      <c r="M20" s="12" t="s">
        <v>2761</v>
      </c>
    </row>
    <row r="21" spans="1:13" ht="45" customHeight="1" x14ac:dyDescent="0.2">
      <c r="A21" s="6" t="s">
        <v>555</v>
      </c>
      <c r="B21" s="6" t="s">
        <v>2795</v>
      </c>
      <c r="C21" s="6" t="s">
        <v>2796</v>
      </c>
      <c r="D21" s="6" t="s">
        <v>2758</v>
      </c>
      <c r="E21" s="6" t="s">
        <v>2759</v>
      </c>
      <c r="F21" s="8">
        <v>75000</v>
      </c>
      <c r="G21" s="10">
        <v>3.75</v>
      </c>
      <c r="H21" s="6" t="s">
        <v>1537</v>
      </c>
      <c r="I21" s="13">
        <v>-8.2321121000000002</v>
      </c>
      <c r="J21" s="13">
        <v>51.826784099999998</v>
      </c>
      <c r="K21" s="6" t="s">
        <v>2760</v>
      </c>
      <c r="L21" s="6" t="s">
        <v>1595</v>
      </c>
      <c r="M21" s="12" t="s">
        <v>2761</v>
      </c>
    </row>
    <row r="22" spans="1:13" ht="45" customHeight="1" x14ac:dyDescent="0.2">
      <c r="A22" s="6" t="s">
        <v>445</v>
      </c>
      <c r="B22" s="6" t="s">
        <v>2797</v>
      </c>
      <c r="C22" s="6" t="s">
        <v>2781</v>
      </c>
      <c r="D22" s="6" t="s">
        <v>2758</v>
      </c>
      <c r="E22" s="6" t="s">
        <v>2759</v>
      </c>
      <c r="F22" s="8">
        <v>323200</v>
      </c>
      <c r="G22" s="10">
        <v>16.16</v>
      </c>
      <c r="H22" s="6" t="s">
        <v>1537</v>
      </c>
      <c r="I22" s="13">
        <v>4.3374956283253363</v>
      </c>
      <c r="J22" s="13">
        <v>51.251415559691758</v>
      </c>
      <c r="K22" s="6" t="s">
        <v>2760</v>
      </c>
      <c r="L22" s="6" t="s">
        <v>1595</v>
      </c>
      <c r="M22" s="12" t="s">
        <v>2761</v>
      </c>
    </row>
    <row r="23" spans="1:13" ht="45" customHeight="1" x14ac:dyDescent="0.2">
      <c r="A23" s="6" t="s">
        <v>445</v>
      </c>
      <c r="B23" s="6" t="s">
        <v>2797</v>
      </c>
      <c r="C23" s="6" t="s">
        <v>2798</v>
      </c>
      <c r="D23" s="6" t="s">
        <v>2758</v>
      </c>
      <c r="E23" s="6" t="s">
        <v>2759</v>
      </c>
      <c r="F23" s="8">
        <v>350400</v>
      </c>
      <c r="G23" s="10">
        <v>17.52</v>
      </c>
      <c r="H23" s="6" t="s">
        <v>1537</v>
      </c>
      <c r="I23" s="13">
        <v>4.4453097273421971</v>
      </c>
      <c r="J23" s="13">
        <v>51.219511188836115</v>
      </c>
      <c r="K23" s="6" t="s">
        <v>2760</v>
      </c>
      <c r="L23" s="6" t="s">
        <v>1595</v>
      </c>
      <c r="M23" s="12" t="s">
        <v>2761</v>
      </c>
    </row>
    <row r="24" spans="1:13" ht="45" customHeight="1" x14ac:dyDescent="0.2">
      <c r="A24" s="6" t="s">
        <v>445</v>
      </c>
      <c r="B24" s="6" t="s">
        <v>2797</v>
      </c>
      <c r="C24" s="6" t="s">
        <v>2799</v>
      </c>
      <c r="D24" s="6" t="s">
        <v>2773</v>
      </c>
      <c r="E24" s="6" t="s">
        <v>2759</v>
      </c>
      <c r="F24" s="8">
        <v>0</v>
      </c>
      <c r="G24" s="10">
        <v>0</v>
      </c>
      <c r="H24" s="6" t="s">
        <v>1537</v>
      </c>
      <c r="I24" s="13">
        <v>4.5075238635133585</v>
      </c>
      <c r="J24" s="13">
        <v>51.230544284935696</v>
      </c>
      <c r="K24" s="6" t="s">
        <v>2760</v>
      </c>
      <c r="L24" s="6" t="s">
        <v>1595</v>
      </c>
      <c r="M24" s="12" t="s">
        <v>2761</v>
      </c>
    </row>
    <row r="25" spans="1:13" ht="45" customHeight="1" x14ac:dyDescent="0.2">
      <c r="A25" s="6" t="s">
        <v>445</v>
      </c>
      <c r="B25" s="6" t="s">
        <v>2797</v>
      </c>
      <c r="C25" s="6" t="s">
        <v>2800</v>
      </c>
      <c r="D25" s="6" t="s">
        <v>2773</v>
      </c>
      <c r="E25" s="6" t="s">
        <v>2766</v>
      </c>
      <c r="F25" s="8">
        <v>0</v>
      </c>
      <c r="G25" s="10">
        <v>0</v>
      </c>
      <c r="H25" s="6" t="s">
        <v>1537</v>
      </c>
      <c r="I25" s="13">
        <v>4.4024643000000001</v>
      </c>
      <c r="J25" s="13">
        <v>51.219447500000001</v>
      </c>
      <c r="K25" s="6" t="s">
        <v>2760</v>
      </c>
      <c r="L25" s="6" t="s">
        <v>1595</v>
      </c>
      <c r="M25" s="12" t="s">
        <v>2761</v>
      </c>
    </row>
    <row r="26" spans="1:13" ht="45" customHeight="1" x14ac:dyDescent="0.2">
      <c r="A26" s="6" t="s">
        <v>653</v>
      </c>
      <c r="B26" s="6" t="s">
        <v>2801</v>
      </c>
      <c r="C26" s="6" t="s">
        <v>2781</v>
      </c>
      <c r="D26" s="6" t="s">
        <v>2758</v>
      </c>
      <c r="E26" s="6" t="s">
        <v>2759</v>
      </c>
      <c r="F26" s="8">
        <v>201100</v>
      </c>
      <c r="G26" s="10">
        <v>10.06</v>
      </c>
      <c r="H26" s="6" t="s">
        <v>1537</v>
      </c>
      <c r="I26" s="13">
        <v>4.3028488747417448</v>
      </c>
      <c r="J26" s="13">
        <v>51.869307446770314</v>
      </c>
      <c r="K26" s="6" t="s">
        <v>2760</v>
      </c>
      <c r="L26" s="6" t="s">
        <v>1595</v>
      </c>
      <c r="M26" s="12" t="s">
        <v>2761</v>
      </c>
    </row>
    <row r="27" spans="1:13" ht="45" customHeight="1" x14ac:dyDescent="0.2">
      <c r="A27" s="6" t="s">
        <v>653</v>
      </c>
      <c r="B27" s="6" t="s">
        <v>2801</v>
      </c>
      <c r="C27" s="6" t="s">
        <v>2799</v>
      </c>
      <c r="D27" s="6" t="s">
        <v>2773</v>
      </c>
      <c r="E27" s="6" t="s">
        <v>2759</v>
      </c>
      <c r="F27" s="8">
        <v>0</v>
      </c>
      <c r="G27" s="10">
        <v>0</v>
      </c>
      <c r="H27" s="6" t="s">
        <v>1537</v>
      </c>
      <c r="I27" s="13">
        <v>4.1666967622475326</v>
      </c>
      <c r="J27" s="13">
        <v>51.93235061099174</v>
      </c>
      <c r="K27" s="6" t="s">
        <v>2760</v>
      </c>
      <c r="L27" s="6" t="s">
        <v>1595</v>
      </c>
      <c r="M27" s="12" t="s">
        <v>2761</v>
      </c>
    </row>
    <row r="28" spans="1:13" ht="45" customHeight="1" x14ac:dyDescent="0.2">
      <c r="A28" s="6" t="s">
        <v>653</v>
      </c>
      <c r="B28" s="6" t="s">
        <v>2802</v>
      </c>
      <c r="C28" s="6" t="s">
        <v>2803</v>
      </c>
      <c r="D28" s="6" t="s">
        <v>2758</v>
      </c>
      <c r="E28" s="6" t="s">
        <v>2759</v>
      </c>
      <c r="F28" s="8">
        <v>394000</v>
      </c>
      <c r="G28" s="10">
        <v>18.72</v>
      </c>
      <c r="H28" s="6" t="s">
        <v>1537</v>
      </c>
      <c r="I28" s="13">
        <v>4.1101332842911109</v>
      </c>
      <c r="J28" s="13">
        <v>51.939182406263541</v>
      </c>
      <c r="K28" s="6" t="s">
        <v>2760</v>
      </c>
      <c r="L28" s="6" t="s">
        <v>1595</v>
      </c>
      <c r="M28" s="12" t="s">
        <v>2761</v>
      </c>
    </row>
    <row r="29" spans="1:13" ht="45" customHeight="1" x14ac:dyDescent="0.2">
      <c r="A29" s="6" t="s">
        <v>653</v>
      </c>
      <c r="B29" s="6" t="s">
        <v>2801</v>
      </c>
      <c r="C29" s="6" t="s">
        <v>2804</v>
      </c>
      <c r="D29" s="6" t="s">
        <v>2758</v>
      </c>
      <c r="E29" s="6" t="s">
        <v>2759</v>
      </c>
      <c r="F29" s="8">
        <v>84000</v>
      </c>
      <c r="G29" s="10">
        <v>4.2</v>
      </c>
      <c r="H29" s="6" t="s">
        <v>1537</v>
      </c>
      <c r="I29" s="13">
        <v>4.4777326000000004</v>
      </c>
      <c r="J29" s="13">
        <v>51.924420099999999</v>
      </c>
      <c r="K29" s="6" t="s">
        <v>2760</v>
      </c>
      <c r="L29" s="6" t="s">
        <v>1595</v>
      </c>
      <c r="M29" s="12" t="s">
        <v>2761</v>
      </c>
    </row>
    <row r="30" spans="1:13" ht="45" customHeight="1" x14ac:dyDescent="0.2">
      <c r="A30" s="6" t="s">
        <v>653</v>
      </c>
      <c r="B30" s="6" t="s">
        <v>2805</v>
      </c>
      <c r="C30" s="6" t="s">
        <v>2806</v>
      </c>
      <c r="D30" s="6" t="s">
        <v>2758</v>
      </c>
      <c r="E30" s="6" t="s">
        <v>2759</v>
      </c>
      <c r="F30" s="8">
        <v>425000</v>
      </c>
      <c r="G30" s="10">
        <v>20.190000000000001</v>
      </c>
      <c r="H30" s="6" t="s">
        <v>1537</v>
      </c>
      <c r="I30" s="13">
        <v>4.3890747000000001</v>
      </c>
      <c r="J30" s="13">
        <v>51.888731900000003</v>
      </c>
      <c r="K30" s="6" t="s">
        <v>2760</v>
      </c>
      <c r="L30" s="6" t="s">
        <v>1595</v>
      </c>
      <c r="M30" s="12" t="s">
        <v>2761</v>
      </c>
    </row>
    <row r="31" spans="1:13" ht="45" customHeight="1" x14ac:dyDescent="0.2">
      <c r="A31" s="6" t="s">
        <v>653</v>
      </c>
      <c r="B31" s="6" t="s">
        <v>2807</v>
      </c>
      <c r="C31" s="6" t="s">
        <v>2808</v>
      </c>
      <c r="D31" s="6" t="s">
        <v>2758</v>
      </c>
      <c r="E31" s="6" t="s">
        <v>2759</v>
      </c>
      <c r="F31" s="8">
        <v>153000</v>
      </c>
      <c r="G31" s="10">
        <v>7.65</v>
      </c>
      <c r="H31" s="6" t="s">
        <v>1537</v>
      </c>
      <c r="I31" s="13">
        <v>3.5709124999999999</v>
      </c>
      <c r="J31" s="13">
        <v>51.453667199999998</v>
      </c>
      <c r="K31" s="6" t="s">
        <v>2760</v>
      </c>
      <c r="L31" s="6" t="s">
        <v>1595</v>
      </c>
      <c r="M31" s="12" t="s">
        <v>2761</v>
      </c>
    </row>
    <row r="32" spans="1:13" ht="45" customHeight="1" x14ac:dyDescent="0.2">
      <c r="A32" s="6" t="s">
        <v>381</v>
      </c>
      <c r="B32" s="6" t="s">
        <v>2809</v>
      </c>
      <c r="C32" s="6" t="s">
        <v>2810</v>
      </c>
      <c r="D32" s="6" t="s">
        <v>2758</v>
      </c>
      <c r="E32" s="6" t="s">
        <v>2759</v>
      </c>
      <c r="F32" s="8">
        <v>226300</v>
      </c>
      <c r="G32" s="10">
        <v>11.315</v>
      </c>
      <c r="H32" s="6" t="s">
        <v>1537</v>
      </c>
      <c r="I32" s="13">
        <v>11.767073399999999</v>
      </c>
      <c r="J32" s="13">
        <v>48.803006199999999</v>
      </c>
      <c r="K32" s="6" t="s">
        <v>2760</v>
      </c>
      <c r="L32" s="6" t="s">
        <v>1595</v>
      </c>
      <c r="M32" s="12" t="s">
        <v>2761</v>
      </c>
    </row>
    <row r="33" spans="1:13" ht="45" customHeight="1" x14ac:dyDescent="0.2">
      <c r="A33" s="6" t="s">
        <v>381</v>
      </c>
      <c r="B33" s="6" t="s">
        <v>2811</v>
      </c>
      <c r="C33" s="6" t="s">
        <v>2812</v>
      </c>
      <c r="D33" s="6" t="s">
        <v>2758</v>
      </c>
      <c r="E33" s="6" t="s">
        <v>2766</v>
      </c>
      <c r="F33" s="8">
        <v>7400</v>
      </c>
      <c r="G33" s="10">
        <v>0.37</v>
      </c>
      <c r="H33" s="6" t="s">
        <v>1537</v>
      </c>
      <c r="I33" s="13">
        <v>7.3436252</v>
      </c>
      <c r="J33" s="13">
        <v>52.321644499999998</v>
      </c>
      <c r="K33" s="6" t="s">
        <v>2760</v>
      </c>
      <c r="L33" s="6" t="s">
        <v>1595</v>
      </c>
      <c r="M33" s="12" t="s">
        <v>2761</v>
      </c>
    </row>
    <row r="34" spans="1:13" ht="45" customHeight="1" x14ac:dyDescent="0.2">
      <c r="A34" s="6" t="s">
        <v>381</v>
      </c>
      <c r="B34" s="6" t="s">
        <v>2813</v>
      </c>
      <c r="C34" s="6" t="s">
        <v>2814</v>
      </c>
      <c r="D34" s="6" t="s">
        <v>2758</v>
      </c>
      <c r="E34" s="6" t="s">
        <v>2766</v>
      </c>
      <c r="F34" s="8">
        <v>63000</v>
      </c>
      <c r="G34" s="10">
        <v>3</v>
      </c>
      <c r="H34" s="6" t="s">
        <v>1537</v>
      </c>
      <c r="I34" s="13">
        <v>8.1068721999999998</v>
      </c>
      <c r="J34" s="13">
        <v>53.532340300000001</v>
      </c>
      <c r="K34" s="6" t="s">
        <v>2760</v>
      </c>
      <c r="L34" s="6" t="s">
        <v>1595</v>
      </c>
      <c r="M34" s="12" t="s">
        <v>2761</v>
      </c>
    </row>
    <row r="35" spans="1:13" ht="45" customHeight="1" x14ac:dyDescent="0.2">
      <c r="A35" s="6" t="s">
        <v>381</v>
      </c>
      <c r="B35" s="6" t="s">
        <v>2815</v>
      </c>
      <c r="C35" s="6" t="s">
        <v>2816</v>
      </c>
      <c r="D35" s="6" t="s">
        <v>2758</v>
      </c>
      <c r="E35" s="6" t="s">
        <v>2759</v>
      </c>
      <c r="F35" s="8">
        <v>90400</v>
      </c>
      <c r="G35" s="10">
        <v>4.5199999999999996</v>
      </c>
      <c r="H35" s="6" t="s">
        <v>1537</v>
      </c>
      <c r="I35" s="13">
        <v>9.1019015000000003</v>
      </c>
      <c r="J35" s="13">
        <v>54.195176400000001</v>
      </c>
      <c r="K35" s="6" t="s">
        <v>2760</v>
      </c>
      <c r="L35" s="6" t="s">
        <v>1595</v>
      </c>
      <c r="M35" s="12" t="s">
        <v>2761</v>
      </c>
    </row>
    <row r="36" spans="1:13" ht="45" customHeight="1" x14ac:dyDescent="0.2">
      <c r="A36" s="6" t="s">
        <v>381</v>
      </c>
      <c r="B36" s="6" t="s">
        <v>2817</v>
      </c>
      <c r="C36" s="6" t="s">
        <v>2818</v>
      </c>
      <c r="D36" s="6" t="s">
        <v>2758</v>
      </c>
      <c r="E36" s="6" t="s">
        <v>2759</v>
      </c>
      <c r="F36" s="8">
        <v>342100</v>
      </c>
      <c r="G36" s="10">
        <v>17.11</v>
      </c>
      <c r="H36" s="6" t="s">
        <v>1537</v>
      </c>
      <c r="I36" s="13">
        <v>7.3089526999999999</v>
      </c>
      <c r="J36" s="13">
        <v>50.118346000000003</v>
      </c>
      <c r="K36" s="6" t="s">
        <v>2760</v>
      </c>
      <c r="L36" s="6" t="s">
        <v>1595</v>
      </c>
      <c r="M36" s="12" t="s">
        <v>2761</v>
      </c>
    </row>
    <row r="37" spans="1:13" ht="45" customHeight="1" x14ac:dyDescent="0.2">
      <c r="A37" s="6" t="s">
        <v>381</v>
      </c>
      <c r="B37" s="6" t="s">
        <v>2819</v>
      </c>
      <c r="C37" s="6" t="s">
        <v>2799</v>
      </c>
      <c r="D37" s="6" t="s">
        <v>2758</v>
      </c>
      <c r="E37" s="6" t="s">
        <v>2759</v>
      </c>
      <c r="F37" s="8">
        <v>110000</v>
      </c>
      <c r="G37" s="10">
        <v>5.5</v>
      </c>
      <c r="H37" s="6" t="s">
        <v>1537</v>
      </c>
      <c r="I37" s="13">
        <v>11.425754100000001</v>
      </c>
      <c r="J37" s="13">
        <v>48.766535099999999</v>
      </c>
      <c r="K37" s="6" t="s">
        <v>2760</v>
      </c>
      <c r="L37" s="6" t="s">
        <v>1595</v>
      </c>
      <c r="M37" s="12" t="s">
        <v>2761</v>
      </c>
    </row>
    <row r="38" spans="1:13" ht="45" customHeight="1" x14ac:dyDescent="0.2">
      <c r="A38" s="6" t="s">
        <v>381</v>
      </c>
      <c r="B38" s="6" t="s">
        <v>2820</v>
      </c>
      <c r="C38" s="6" t="s">
        <v>2798</v>
      </c>
      <c r="D38" s="6" t="s">
        <v>2758</v>
      </c>
      <c r="E38" s="6" t="s">
        <v>2759</v>
      </c>
      <c r="F38" s="8">
        <v>236000</v>
      </c>
      <c r="G38" s="10">
        <v>11.2</v>
      </c>
      <c r="H38" s="6" t="s">
        <v>1537</v>
      </c>
      <c r="I38" s="13">
        <v>12.0242284</v>
      </c>
      <c r="J38" s="13">
        <v>51.323265900000003</v>
      </c>
      <c r="K38" s="6" t="s">
        <v>2760</v>
      </c>
      <c r="L38" s="6" t="s">
        <v>1595</v>
      </c>
      <c r="M38" s="12" t="s">
        <v>2761</v>
      </c>
    </row>
    <row r="39" spans="1:13" ht="45" customHeight="1" x14ac:dyDescent="0.2">
      <c r="A39" s="6" t="s">
        <v>381</v>
      </c>
      <c r="B39" s="6" t="s">
        <v>2821</v>
      </c>
      <c r="C39" s="6" t="s">
        <v>2822</v>
      </c>
      <c r="D39" s="6" t="s">
        <v>2758</v>
      </c>
      <c r="E39" s="6" t="s">
        <v>2759</v>
      </c>
      <c r="F39" s="8">
        <v>302000</v>
      </c>
      <c r="G39" s="10">
        <v>14.35</v>
      </c>
      <c r="H39" s="6" t="s">
        <v>1537</v>
      </c>
      <c r="I39" s="13">
        <v>8.4036527000000003</v>
      </c>
      <c r="J39" s="13">
        <v>49.0068901</v>
      </c>
      <c r="K39" s="6" t="s">
        <v>2760</v>
      </c>
      <c r="L39" s="6" t="s">
        <v>1595</v>
      </c>
      <c r="M39" s="12" t="s">
        <v>2761</v>
      </c>
    </row>
    <row r="40" spans="1:13" ht="45" customHeight="1" x14ac:dyDescent="0.2">
      <c r="A40" s="6" t="s">
        <v>381</v>
      </c>
      <c r="B40" s="6" t="s">
        <v>2823</v>
      </c>
      <c r="C40" s="6" t="s">
        <v>2824</v>
      </c>
      <c r="D40" s="6" t="s">
        <v>2758</v>
      </c>
      <c r="E40" s="6" t="s">
        <v>2759</v>
      </c>
      <c r="F40" s="8">
        <v>79100</v>
      </c>
      <c r="G40" s="10">
        <v>3.9550000000000001</v>
      </c>
      <c r="H40" s="6" t="s">
        <v>1537</v>
      </c>
      <c r="I40" s="13">
        <v>12.8310753</v>
      </c>
      <c r="J40" s="13">
        <v>48.172561299999998</v>
      </c>
      <c r="K40" s="6" t="s">
        <v>2760</v>
      </c>
      <c r="L40" s="6" t="s">
        <v>1595</v>
      </c>
      <c r="M40" s="12" t="s">
        <v>2761</v>
      </c>
    </row>
    <row r="41" spans="1:13" ht="45" customHeight="1" x14ac:dyDescent="0.2">
      <c r="A41" s="6" t="s">
        <v>381</v>
      </c>
      <c r="B41" s="6" t="s">
        <v>2825</v>
      </c>
      <c r="C41" s="6" t="s">
        <v>2826</v>
      </c>
      <c r="D41" s="6" t="s">
        <v>2758</v>
      </c>
      <c r="E41" s="6" t="s">
        <v>2759</v>
      </c>
      <c r="F41" s="8">
        <v>225000</v>
      </c>
      <c r="G41" s="10">
        <v>10.71</v>
      </c>
      <c r="H41" s="6" t="s">
        <v>1537</v>
      </c>
      <c r="I41" s="13">
        <v>14.273463899999999</v>
      </c>
      <c r="J41" s="13">
        <v>53.062469499999999</v>
      </c>
      <c r="K41" s="6" t="s">
        <v>2760</v>
      </c>
      <c r="L41" s="6" t="s">
        <v>1595</v>
      </c>
      <c r="M41" s="12" t="s">
        <v>2761</v>
      </c>
    </row>
    <row r="42" spans="1:13" ht="45" customHeight="1" x14ac:dyDescent="0.2">
      <c r="A42" s="6" t="s">
        <v>381</v>
      </c>
      <c r="B42" s="6" t="s">
        <v>2827</v>
      </c>
      <c r="C42" s="6" t="s">
        <v>2765</v>
      </c>
      <c r="D42" s="6" t="s">
        <v>2773</v>
      </c>
      <c r="E42" s="6" t="s">
        <v>2766</v>
      </c>
      <c r="F42" s="8">
        <v>0</v>
      </c>
      <c r="G42" s="10">
        <v>0</v>
      </c>
      <c r="H42" s="6" t="s">
        <v>1537</v>
      </c>
      <c r="I42" s="13">
        <v>10.721584709403386</v>
      </c>
      <c r="J42" s="13">
        <v>48.755537695777001</v>
      </c>
      <c r="K42" s="6" t="s">
        <v>2760</v>
      </c>
      <c r="L42" s="6" t="s">
        <v>1595</v>
      </c>
      <c r="M42" s="12" t="s">
        <v>2761</v>
      </c>
    </row>
    <row r="43" spans="1:13" ht="45" customHeight="1" x14ac:dyDescent="0.2">
      <c r="A43" s="6" t="s">
        <v>381</v>
      </c>
      <c r="B43" s="6" t="s">
        <v>2828</v>
      </c>
      <c r="C43" s="6" t="s">
        <v>2803</v>
      </c>
      <c r="D43" s="6" t="s">
        <v>2758</v>
      </c>
      <c r="E43" s="6" t="s">
        <v>2759</v>
      </c>
      <c r="F43" s="8">
        <v>265000</v>
      </c>
      <c r="G43" s="10">
        <v>12.59</v>
      </c>
      <c r="H43" s="6" t="s">
        <v>1537</v>
      </c>
      <c r="I43" s="13">
        <v>7.0857172000000004</v>
      </c>
      <c r="J43" s="13">
        <v>51.517744</v>
      </c>
      <c r="K43" s="6" t="s">
        <v>2760</v>
      </c>
      <c r="L43" s="6" t="s">
        <v>1595</v>
      </c>
      <c r="M43" s="12" t="s">
        <v>2761</v>
      </c>
    </row>
    <row r="44" spans="1:13" ht="45" customHeight="1" x14ac:dyDescent="0.2">
      <c r="A44" s="6" t="s">
        <v>381</v>
      </c>
      <c r="B44" s="6" t="s">
        <v>2829</v>
      </c>
      <c r="C44" s="6" t="s">
        <v>2803</v>
      </c>
      <c r="D44" s="6" t="s">
        <v>2758</v>
      </c>
      <c r="E44" s="6" t="s">
        <v>2759</v>
      </c>
      <c r="F44" s="8">
        <v>97000</v>
      </c>
      <c r="G44" s="10">
        <v>4.6100000000000003</v>
      </c>
      <c r="H44" s="6" t="s">
        <v>1537</v>
      </c>
      <c r="I44" s="13">
        <v>7.3292862000000003</v>
      </c>
      <c r="J44" s="13">
        <v>52.540307900000002</v>
      </c>
      <c r="K44" s="6" t="s">
        <v>2760</v>
      </c>
      <c r="L44" s="6" t="s">
        <v>1595</v>
      </c>
      <c r="M44" s="12" t="s">
        <v>2761</v>
      </c>
    </row>
    <row r="45" spans="1:13" ht="45" customHeight="1" x14ac:dyDescent="0.2">
      <c r="A45" s="6" t="s">
        <v>381</v>
      </c>
      <c r="B45" s="6" t="s">
        <v>2830</v>
      </c>
      <c r="C45" s="6" t="s">
        <v>2798</v>
      </c>
      <c r="D45" s="6" t="s">
        <v>2758</v>
      </c>
      <c r="E45" s="6" t="s">
        <v>2766</v>
      </c>
      <c r="F45" s="8">
        <v>16000</v>
      </c>
      <c r="G45" s="10">
        <v>0.8</v>
      </c>
      <c r="H45" s="6" t="s">
        <v>1537</v>
      </c>
      <c r="I45" s="13">
        <v>9.1338852999999993</v>
      </c>
      <c r="J45" s="13">
        <v>53.898890199999997</v>
      </c>
      <c r="K45" s="6" t="s">
        <v>2760</v>
      </c>
      <c r="L45" s="6" t="s">
        <v>1595</v>
      </c>
      <c r="M45" s="12" t="s">
        <v>2761</v>
      </c>
    </row>
    <row r="46" spans="1:13" ht="45" customHeight="1" x14ac:dyDescent="0.2">
      <c r="A46" s="6" t="s">
        <v>619</v>
      </c>
      <c r="B46" s="6" t="s">
        <v>2831</v>
      </c>
      <c r="C46" s="6" t="s">
        <v>2824</v>
      </c>
      <c r="D46" s="6" t="s">
        <v>2758</v>
      </c>
      <c r="E46" s="6" t="s">
        <v>2759</v>
      </c>
      <c r="F46" s="8">
        <v>203900</v>
      </c>
      <c r="G46" s="10">
        <v>10.199999999999999</v>
      </c>
      <c r="H46" s="6" t="s">
        <v>1537</v>
      </c>
      <c r="I46" s="13">
        <v>16.476377800000002</v>
      </c>
      <c r="J46" s="13">
        <v>48.140926800000003</v>
      </c>
      <c r="K46" s="6" t="s">
        <v>2760</v>
      </c>
      <c r="L46" s="6" t="s">
        <v>1595</v>
      </c>
      <c r="M46" s="12" t="s">
        <v>2761</v>
      </c>
    </row>
    <row r="47" spans="1:13" ht="45" customHeight="1" x14ac:dyDescent="0.2">
      <c r="A47" s="6" t="s">
        <v>199</v>
      </c>
      <c r="B47" s="6" t="s">
        <v>2832</v>
      </c>
      <c r="C47" s="6" t="s">
        <v>2777</v>
      </c>
      <c r="D47" s="6" t="s">
        <v>2758</v>
      </c>
      <c r="E47" s="6" t="s">
        <v>2759</v>
      </c>
      <c r="F47" s="8">
        <v>218000</v>
      </c>
      <c r="G47" s="10">
        <v>10.36</v>
      </c>
      <c r="H47" s="6" t="s">
        <v>1537</v>
      </c>
      <c r="I47" s="13">
        <v>5.0305689999999998</v>
      </c>
      <c r="J47" s="13">
        <v>43.388072999999999</v>
      </c>
      <c r="K47" s="6" t="s">
        <v>2760</v>
      </c>
      <c r="L47" s="6" t="s">
        <v>1595</v>
      </c>
      <c r="M47" s="12" t="s">
        <v>2761</v>
      </c>
    </row>
    <row r="48" spans="1:13" ht="45" customHeight="1" x14ac:dyDescent="0.2">
      <c r="A48" s="6" t="s">
        <v>199</v>
      </c>
      <c r="B48" s="6" t="s">
        <v>2833</v>
      </c>
      <c r="C48" s="6" t="s">
        <v>2788</v>
      </c>
      <c r="D48" s="6" t="s">
        <v>2773</v>
      </c>
      <c r="E48" s="6" t="s">
        <v>2759</v>
      </c>
      <c r="F48" s="8">
        <v>0</v>
      </c>
      <c r="G48" s="10">
        <v>0</v>
      </c>
      <c r="H48" s="6" t="s">
        <v>1537</v>
      </c>
      <c r="I48" s="13">
        <v>7.7535150000000002</v>
      </c>
      <c r="J48" s="13">
        <v>48.648262000000003</v>
      </c>
      <c r="K48" s="6" t="s">
        <v>2760</v>
      </c>
      <c r="L48" s="6" t="s">
        <v>1595</v>
      </c>
      <c r="M48" s="12" t="s">
        <v>2761</v>
      </c>
    </row>
    <row r="49" spans="1:13" ht="45" customHeight="1" x14ac:dyDescent="0.2">
      <c r="A49" s="6" t="s">
        <v>199</v>
      </c>
      <c r="B49" s="6" t="s">
        <v>2834</v>
      </c>
      <c r="C49" s="6" t="s">
        <v>2835</v>
      </c>
      <c r="D49" s="6" t="s">
        <v>2773</v>
      </c>
      <c r="E49" s="6" t="s">
        <v>2759</v>
      </c>
      <c r="F49" s="8">
        <v>0</v>
      </c>
      <c r="G49" s="10">
        <v>0</v>
      </c>
      <c r="H49" s="6" t="s">
        <v>1537</v>
      </c>
      <c r="I49" s="13">
        <v>2.3363459817682308</v>
      </c>
      <c r="J49" s="13">
        <v>51.00492512415574</v>
      </c>
      <c r="K49" s="6" t="s">
        <v>2760</v>
      </c>
      <c r="L49" s="6" t="s">
        <v>1595</v>
      </c>
      <c r="M49" s="12" t="s">
        <v>2761</v>
      </c>
    </row>
    <row r="50" spans="1:13" ht="45" customHeight="1" x14ac:dyDescent="0.2">
      <c r="A50" s="6" t="s">
        <v>199</v>
      </c>
      <c r="B50" s="6" t="s">
        <v>2836</v>
      </c>
      <c r="C50" s="6" t="s">
        <v>2837</v>
      </c>
      <c r="D50" s="6" t="s">
        <v>2758</v>
      </c>
      <c r="E50" s="6" t="s">
        <v>2759</v>
      </c>
      <c r="F50" s="8">
        <v>140000</v>
      </c>
      <c r="G50" s="10">
        <v>7</v>
      </c>
      <c r="H50" s="6" t="s">
        <v>1537</v>
      </c>
      <c r="I50" s="13">
        <v>4.9457110000000002</v>
      </c>
      <c r="J50" s="13">
        <v>43.437882000000002</v>
      </c>
      <c r="K50" s="6" t="s">
        <v>2760</v>
      </c>
      <c r="L50" s="6" t="s">
        <v>1595</v>
      </c>
      <c r="M50" s="12" t="s">
        <v>2761</v>
      </c>
    </row>
    <row r="51" spans="1:13" ht="45" customHeight="1" x14ac:dyDescent="0.2">
      <c r="A51" s="6" t="s">
        <v>199</v>
      </c>
      <c r="B51" s="6" t="s">
        <v>2838</v>
      </c>
      <c r="C51" s="6" t="s">
        <v>2839</v>
      </c>
      <c r="D51" s="6" t="s">
        <v>2758</v>
      </c>
      <c r="E51" s="6" t="s">
        <v>2759</v>
      </c>
      <c r="F51" s="8">
        <v>247900</v>
      </c>
      <c r="G51" s="10">
        <v>12.4</v>
      </c>
      <c r="H51" s="6" t="s">
        <v>1537</v>
      </c>
      <c r="I51" s="13">
        <v>0.5676293</v>
      </c>
      <c r="J51" s="13">
        <v>49.489014599999997</v>
      </c>
      <c r="K51" s="6" t="s">
        <v>2760</v>
      </c>
      <c r="L51" s="6" t="s">
        <v>1595</v>
      </c>
      <c r="M51" s="12" t="s">
        <v>2761</v>
      </c>
    </row>
    <row r="52" spans="1:13" ht="45" customHeight="1" x14ac:dyDescent="0.2">
      <c r="A52" s="6" t="s">
        <v>199</v>
      </c>
      <c r="B52" s="6" t="s">
        <v>2840</v>
      </c>
      <c r="C52" s="6" t="s">
        <v>2841</v>
      </c>
      <c r="D52" s="6" t="s">
        <v>2773</v>
      </c>
      <c r="E52" s="6" t="s">
        <v>2759</v>
      </c>
      <c r="F52" s="8">
        <v>0</v>
      </c>
      <c r="G52" s="10">
        <v>0</v>
      </c>
      <c r="H52" s="6" t="s">
        <v>1537</v>
      </c>
      <c r="I52" s="13">
        <v>5.1673090000000004</v>
      </c>
      <c r="J52" s="13">
        <v>43.475772900000003</v>
      </c>
      <c r="K52" s="6" t="s">
        <v>2760</v>
      </c>
      <c r="L52" s="6" t="s">
        <v>1595</v>
      </c>
      <c r="M52" s="12" t="s">
        <v>2761</v>
      </c>
    </row>
    <row r="53" spans="1:13" ht="45" customHeight="1" x14ac:dyDescent="0.2">
      <c r="A53" s="6" t="s">
        <v>199</v>
      </c>
      <c r="B53" s="6" t="s">
        <v>2842</v>
      </c>
      <c r="C53" s="6" t="s">
        <v>2788</v>
      </c>
      <c r="D53" s="6" t="s">
        <v>2773</v>
      </c>
      <c r="E53" s="6" t="s">
        <v>2759</v>
      </c>
      <c r="F53" s="8">
        <v>0</v>
      </c>
      <c r="G53" s="10">
        <v>0</v>
      </c>
      <c r="H53" s="6" t="s">
        <v>1537</v>
      </c>
      <c r="I53" s="13">
        <v>1.020078</v>
      </c>
      <c r="J53" s="13">
        <v>49.385601999999999</v>
      </c>
      <c r="K53" s="6" t="s">
        <v>2760</v>
      </c>
      <c r="L53" s="6" t="s">
        <v>1595</v>
      </c>
      <c r="M53" s="12" t="s">
        <v>2761</v>
      </c>
    </row>
    <row r="54" spans="1:13" ht="45" customHeight="1" x14ac:dyDescent="0.2">
      <c r="A54" s="6" t="s">
        <v>199</v>
      </c>
      <c r="B54" s="6" t="s">
        <v>2843</v>
      </c>
      <c r="C54" s="6" t="s">
        <v>2798</v>
      </c>
      <c r="D54" s="6" t="s">
        <v>2758</v>
      </c>
      <c r="E54" s="6" t="s">
        <v>2759</v>
      </c>
      <c r="F54" s="8">
        <v>227300</v>
      </c>
      <c r="G54" s="10">
        <v>11.37</v>
      </c>
      <c r="H54" s="6" t="s">
        <v>1537</v>
      </c>
      <c r="I54" s="13">
        <v>-2.074694</v>
      </c>
      <c r="J54" s="13">
        <v>47.318789000000002</v>
      </c>
      <c r="K54" s="6" t="s">
        <v>2760</v>
      </c>
      <c r="L54" s="6" t="s">
        <v>1595</v>
      </c>
      <c r="M54" s="12" t="s">
        <v>2761</v>
      </c>
    </row>
    <row r="55" spans="1:13" ht="45" customHeight="1" x14ac:dyDescent="0.2">
      <c r="A55" s="6" t="s">
        <v>199</v>
      </c>
      <c r="B55" s="6" t="s">
        <v>2844</v>
      </c>
      <c r="C55" s="6" t="s">
        <v>2798</v>
      </c>
      <c r="D55" s="6" t="s">
        <v>2758</v>
      </c>
      <c r="E55" s="6" t="s">
        <v>2759</v>
      </c>
      <c r="F55" s="8">
        <v>113400</v>
      </c>
      <c r="G55" s="10">
        <v>5.67</v>
      </c>
      <c r="H55" s="6" t="s">
        <v>1537</v>
      </c>
      <c r="I55" s="13">
        <v>4.8602463</v>
      </c>
      <c r="J55" s="13">
        <v>45.673025899999999</v>
      </c>
      <c r="K55" s="6" t="s">
        <v>2760</v>
      </c>
      <c r="L55" s="6" t="s">
        <v>1595</v>
      </c>
      <c r="M55" s="12" t="s">
        <v>2761</v>
      </c>
    </row>
    <row r="56" spans="1:13" ht="45" customHeight="1" x14ac:dyDescent="0.2">
      <c r="A56" s="6" t="s">
        <v>199</v>
      </c>
      <c r="B56" s="6" t="s">
        <v>2845</v>
      </c>
      <c r="C56" s="6" t="s">
        <v>2798</v>
      </c>
      <c r="D56" s="6" t="s">
        <v>2773</v>
      </c>
      <c r="E56" s="6" t="s">
        <v>2759</v>
      </c>
      <c r="F56" s="8">
        <v>0</v>
      </c>
      <c r="G56" s="10">
        <v>0</v>
      </c>
      <c r="H56" s="6" t="s">
        <v>1537</v>
      </c>
      <c r="I56" s="13">
        <v>2.9781165999999999</v>
      </c>
      <c r="J56" s="13">
        <v>48.5854426</v>
      </c>
      <c r="K56" s="6" t="s">
        <v>2760</v>
      </c>
      <c r="L56" s="6" t="s">
        <v>1595</v>
      </c>
      <c r="M56" s="12" t="s">
        <v>2761</v>
      </c>
    </row>
    <row r="57" spans="1:13" ht="45" customHeight="1" x14ac:dyDescent="0.2">
      <c r="A57" s="6" t="s">
        <v>199</v>
      </c>
      <c r="B57" s="6" t="s">
        <v>2834</v>
      </c>
      <c r="C57" s="6" t="s">
        <v>2798</v>
      </c>
      <c r="D57" s="6" t="s">
        <v>2773</v>
      </c>
      <c r="E57" s="6" t="s">
        <v>2759</v>
      </c>
      <c r="F57" s="8">
        <v>0</v>
      </c>
      <c r="G57" s="10">
        <v>0</v>
      </c>
      <c r="H57" s="6" t="s">
        <v>1537</v>
      </c>
      <c r="I57" s="13">
        <v>2.3767763</v>
      </c>
      <c r="J57" s="13">
        <v>51.034368399999998</v>
      </c>
      <c r="K57" s="6" t="s">
        <v>2760</v>
      </c>
      <c r="L57" s="6" t="s">
        <v>1595</v>
      </c>
      <c r="M57" s="12" t="s">
        <v>2761</v>
      </c>
    </row>
    <row r="58" spans="1:13" ht="45" customHeight="1" x14ac:dyDescent="0.2">
      <c r="A58" s="6" t="s">
        <v>199</v>
      </c>
      <c r="B58" s="6" t="s">
        <v>2846</v>
      </c>
      <c r="C58" s="6" t="s">
        <v>2798</v>
      </c>
      <c r="D58" s="6" t="s">
        <v>2758</v>
      </c>
      <c r="E58" s="6" t="s">
        <v>2759</v>
      </c>
      <c r="F58" s="8">
        <v>262000</v>
      </c>
      <c r="G58" s="10">
        <v>12.45</v>
      </c>
      <c r="H58" s="6" t="s">
        <v>1537</v>
      </c>
      <c r="I58" s="13">
        <v>0.23307900000000001</v>
      </c>
      <c r="J58" s="13">
        <v>49.502578999999997</v>
      </c>
      <c r="K58" s="6" t="s">
        <v>2760</v>
      </c>
      <c r="L58" s="6" t="s">
        <v>1595</v>
      </c>
      <c r="M58" s="12" t="s">
        <v>2761</v>
      </c>
    </row>
    <row r="59" spans="1:13" ht="45" customHeight="1" x14ac:dyDescent="0.2">
      <c r="A59" s="6" t="s">
        <v>199</v>
      </c>
      <c r="B59" s="6" t="s">
        <v>2847</v>
      </c>
      <c r="C59" s="6" t="s">
        <v>2847</v>
      </c>
      <c r="D59" s="6" t="s">
        <v>2758</v>
      </c>
      <c r="E59" s="6" t="s">
        <v>2759</v>
      </c>
      <c r="F59" s="8">
        <v>18200</v>
      </c>
      <c r="G59" s="10">
        <v>0.91</v>
      </c>
      <c r="H59" s="6" t="s">
        <v>1537</v>
      </c>
      <c r="I59" s="13">
        <v>-61.058780400000003</v>
      </c>
      <c r="J59" s="13">
        <v>14.616064700000001</v>
      </c>
      <c r="K59" s="6" t="s">
        <v>2760</v>
      </c>
      <c r="L59" s="6" t="s">
        <v>1595</v>
      </c>
      <c r="M59" s="12" t="s">
        <v>2761</v>
      </c>
    </row>
    <row r="60" spans="1:13" ht="45" customHeight="1" x14ac:dyDescent="0.2">
      <c r="A60" s="6" t="s">
        <v>488</v>
      </c>
      <c r="B60" s="6" t="s">
        <v>2848</v>
      </c>
      <c r="C60" s="6" t="s">
        <v>2803</v>
      </c>
      <c r="D60" s="6" t="s">
        <v>2758</v>
      </c>
      <c r="E60" s="6" t="s">
        <v>2759</v>
      </c>
      <c r="F60" s="8">
        <v>110000</v>
      </c>
      <c r="G60" s="10">
        <v>5.5</v>
      </c>
      <c r="H60" s="6" t="s">
        <v>1537</v>
      </c>
      <c r="I60" s="13">
        <v>2.0988099999999999E-2</v>
      </c>
      <c r="J60" s="13">
        <v>39.983799300000001</v>
      </c>
      <c r="K60" s="6" t="s">
        <v>2760</v>
      </c>
      <c r="L60" s="6" t="s">
        <v>1595</v>
      </c>
      <c r="M60" s="12" t="s">
        <v>2761</v>
      </c>
    </row>
    <row r="61" spans="1:13" ht="45" customHeight="1" x14ac:dyDescent="0.2">
      <c r="A61" s="6" t="s">
        <v>488</v>
      </c>
      <c r="B61" s="6" t="s">
        <v>2849</v>
      </c>
      <c r="C61" s="6" t="s">
        <v>2850</v>
      </c>
      <c r="D61" s="6" t="s">
        <v>2773</v>
      </c>
      <c r="E61" s="6" t="s">
        <v>2759</v>
      </c>
      <c r="F61" s="8">
        <v>0</v>
      </c>
      <c r="G61" s="10">
        <v>0</v>
      </c>
      <c r="H61" s="6" t="s">
        <v>1537</v>
      </c>
      <c r="I61" s="13">
        <v>-16.629130400000001</v>
      </c>
      <c r="J61" s="13">
        <v>28.291563700000001</v>
      </c>
      <c r="K61" s="6" t="s">
        <v>2760</v>
      </c>
      <c r="L61" s="6" t="s">
        <v>1595</v>
      </c>
      <c r="M61" s="12" t="s">
        <v>2761</v>
      </c>
    </row>
    <row r="62" spans="1:13" ht="45" customHeight="1" x14ac:dyDescent="0.2">
      <c r="A62" s="6" t="s">
        <v>488</v>
      </c>
      <c r="B62" s="6" t="s">
        <v>2851</v>
      </c>
      <c r="C62" s="6" t="s">
        <v>2850</v>
      </c>
      <c r="D62" s="6" t="s">
        <v>2758</v>
      </c>
      <c r="E62" s="6" t="s">
        <v>2759</v>
      </c>
      <c r="F62" s="8">
        <v>190000</v>
      </c>
      <c r="G62" s="10">
        <v>9.5</v>
      </c>
      <c r="H62" s="6" t="s">
        <v>1537</v>
      </c>
      <c r="I62" s="13">
        <v>-6.9447223999999999</v>
      </c>
      <c r="J62" s="13">
        <v>37.261420999999999</v>
      </c>
      <c r="K62" s="6" t="s">
        <v>2760</v>
      </c>
      <c r="L62" s="6" t="s">
        <v>1595</v>
      </c>
      <c r="M62" s="12" t="s">
        <v>2761</v>
      </c>
    </row>
    <row r="63" spans="1:13" ht="45" customHeight="1" x14ac:dyDescent="0.2">
      <c r="A63" s="6" t="s">
        <v>488</v>
      </c>
      <c r="B63" s="6" t="s">
        <v>2852</v>
      </c>
      <c r="C63" s="6" t="s">
        <v>2850</v>
      </c>
      <c r="D63" s="6" t="s">
        <v>2758</v>
      </c>
      <c r="E63" s="6" t="s">
        <v>2759</v>
      </c>
      <c r="F63" s="8">
        <v>250000</v>
      </c>
      <c r="G63" s="10">
        <v>12.5</v>
      </c>
      <c r="H63" s="6" t="s">
        <v>1537</v>
      </c>
      <c r="I63" s="13">
        <v>-5.389004158936368</v>
      </c>
      <c r="J63" s="13">
        <v>36.189717355882863</v>
      </c>
      <c r="K63" s="6" t="s">
        <v>2760</v>
      </c>
      <c r="L63" s="6" t="s">
        <v>1595</v>
      </c>
      <c r="M63" s="12" t="s">
        <v>2761</v>
      </c>
    </row>
    <row r="64" spans="1:13" ht="45" customHeight="1" x14ac:dyDescent="0.2">
      <c r="A64" s="6" t="s">
        <v>488</v>
      </c>
      <c r="B64" s="6" t="s">
        <v>2853</v>
      </c>
      <c r="C64" s="6" t="s">
        <v>2850</v>
      </c>
      <c r="D64" s="6" t="s">
        <v>2773</v>
      </c>
      <c r="E64" s="6" t="s">
        <v>2759</v>
      </c>
      <c r="F64" s="8">
        <v>0</v>
      </c>
      <c r="G64" s="10">
        <v>0</v>
      </c>
      <c r="H64" s="6" t="s">
        <v>1537</v>
      </c>
      <c r="I64" s="13">
        <v>-5.3844317000000004</v>
      </c>
      <c r="J64" s="13">
        <v>36.210461500000001</v>
      </c>
      <c r="K64" s="6" t="s">
        <v>2760</v>
      </c>
      <c r="L64" s="6" t="s">
        <v>1595</v>
      </c>
      <c r="M64" s="12" t="s">
        <v>2761</v>
      </c>
    </row>
    <row r="65" spans="1:13" ht="45" customHeight="1" x14ac:dyDescent="0.2">
      <c r="A65" s="6" t="s">
        <v>488</v>
      </c>
      <c r="B65" s="6" t="s">
        <v>2854</v>
      </c>
      <c r="C65" s="6" t="s">
        <v>2855</v>
      </c>
      <c r="D65" s="6" t="s">
        <v>2758</v>
      </c>
      <c r="E65" s="6" t="s">
        <v>2759</v>
      </c>
      <c r="F65" s="8">
        <v>232000</v>
      </c>
      <c r="G65" s="10">
        <v>11</v>
      </c>
      <c r="H65" s="6" t="s">
        <v>1537</v>
      </c>
      <c r="I65" s="13">
        <v>-2.9349851999999998</v>
      </c>
      <c r="J65" s="13">
        <v>43.263012600000003</v>
      </c>
      <c r="K65" s="6" t="s">
        <v>2760</v>
      </c>
      <c r="L65" s="6" t="s">
        <v>1595</v>
      </c>
      <c r="M65" s="12" t="s">
        <v>2761</v>
      </c>
    </row>
    <row r="66" spans="1:13" ht="45" customHeight="1" x14ac:dyDescent="0.2">
      <c r="A66" s="6" t="s">
        <v>488</v>
      </c>
      <c r="B66" s="6" t="s">
        <v>2856</v>
      </c>
      <c r="C66" s="6" t="s">
        <v>2855</v>
      </c>
      <c r="D66" s="6" t="s">
        <v>2758</v>
      </c>
      <c r="E66" s="6" t="s">
        <v>2759</v>
      </c>
      <c r="F66" s="8">
        <v>231580</v>
      </c>
      <c r="G66" s="10">
        <v>11.58</v>
      </c>
      <c r="H66" s="6" t="s">
        <v>1537</v>
      </c>
      <c r="I66" s="13">
        <v>-0.99658389999999997</v>
      </c>
      <c r="J66" s="13">
        <v>37.625682699999999</v>
      </c>
      <c r="K66" s="6" t="s">
        <v>2760</v>
      </c>
      <c r="L66" s="6" t="s">
        <v>1595</v>
      </c>
      <c r="M66" s="12" t="s">
        <v>2761</v>
      </c>
    </row>
    <row r="67" spans="1:13" ht="45" customHeight="1" x14ac:dyDescent="0.2">
      <c r="A67" s="6" t="s">
        <v>488</v>
      </c>
      <c r="B67" s="6" t="s">
        <v>2857</v>
      </c>
      <c r="C67" s="6" t="s">
        <v>2855</v>
      </c>
      <c r="D67" s="6" t="s">
        <v>2758</v>
      </c>
      <c r="E67" s="6" t="s">
        <v>2759</v>
      </c>
      <c r="F67" s="8">
        <v>126000</v>
      </c>
      <c r="G67" s="10">
        <v>6</v>
      </c>
      <c r="H67" s="6" t="s">
        <v>1537</v>
      </c>
      <c r="I67" s="13">
        <v>-8.4115400999999999</v>
      </c>
      <c r="J67" s="13">
        <v>43.362343600000003</v>
      </c>
      <c r="K67" s="6" t="s">
        <v>2760</v>
      </c>
      <c r="L67" s="6" t="s">
        <v>1595</v>
      </c>
      <c r="M67" s="12" t="s">
        <v>2761</v>
      </c>
    </row>
    <row r="68" spans="1:13" ht="45" customHeight="1" x14ac:dyDescent="0.2">
      <c r="A68" s="6" t="s">
        <v>488</v>
      </c>
      <c r="B68" s="6" t="s">
        <v>2858</v>
      </c>
      <c r="C68" s="6" t="s">
        <v>2855</v>
      </c>
      <c r="D68" s="6" t="s">
        <v>2758</v>
      </c>
      <c r="E68" s="6" t="s">
        <v>2759</v>
      </c>
      <c r="F68" s="8">
        <v>157890</v>
      </c>
      <c r="G68" s="10">
        <v>7.89</v>
      </c>
      <c r="H68" s="6" t="s">
        <v>1537</v>
      </c>
      <c r="I68" s="13">
        <v>-4.1078877</v>
      </c>
      <c r="J68" s="13">
        <v>38.688445799999997</v>
      </c>
      <c r="K68" s="6" t="s">
        <v>2760</v>
      </c>
      <c r="L68" s="6" t="s">
        <v>1595</v>
      </c>
      <c r="M68" s="12" t="s">
        <v>2761</v>
      </c>
    </row>
    <row r="69" spans="1:13" ht="45" customHeight="1" x14ac:dyDescent="0.2">
      <c r="A69" s="6" t="s">
        <v>488</v>
      </c>
      <c r="B69" s="6" t="s">
        <v>2859</v>
      </c>
      <c r="C69" s="6" t="s">
        <v>2855</v>
      </c>
      <c r="D69" s="6" t="s">
        <v>2758</v>
      </c>
      <c r="E69" s="6" t="s">
        <v>2759</v>
      </c>
      <c r="F69" s="8">
        <v>189470</v>
      </c>
      <c r="G69" s="10">
        <v>9.4700000000000006</v>
      </c>
      <c r="H69" s="6" t="s">
        <v>1537</v>
      </c>
      <c r="I69" s="13">
        <v>1.2452462823280539</v>
      </c>
      <c r="J69" s="13">
        <v>41.119086597573208</v>
      </c>
      <c r="K69" s="6" t="s">
        <v>2760</v>
      </c>
      <c r="L69" s="6" t="s">
        <v>1595</v>
      </c>
      <c r="M69" s="12" t="s">
        <v>2761</v>
      </c>
    </row>
    <row r="70" spans="1:13" ht="45" customHeight="1" x14ac:dyDescent="0.2">
      <c r="A70" s="6" t="s">
        <v>488</v>
      </c>
      <c r="B70" s="6" t="s">
        <v>2860</v>
      </c>
      <c r="C70" s="6" t="s">
        <v>2861</v>
      </c>
      <c r="D70" s="6" t="s">
        <v>2758</v>
      </c>
      <c r="E70" s="6" t="s">
        <v>2766</v>
      </c>
      <c r="F70" s="8">
        <v>20000</v>
      </c>
      <c r="G70" s="10">
        <v>1</v>
      </c>
      <c r="H70" s="6" t="s">
        <v>1537</v>
      </c>
      <c r="I70" s="13">
        <v>1.2444909</v>
      </c>
      <c r="J70" s="13">
        <v>41.1188827</v>
      </c>
      <c r="K70" s="6" t="s">
        <v>2760</v>
      </c>
      <c r="L70" s="6" t="s">
        <v>1595</v>
      </c>
      <c r="M70" s="12" t="s">
        <v>2761</v>
      </c>
    </row>
    <row r="71" spans="1:13" ht="45" customHeight="1" x14ac:dyDescent="0.2">
      <c r="A71" s="6" t="s">
        <v>925</v>
      </c>
      <c r="B71" s="6" t="s">
        <v>2862</v>
      </c>
      <c r="C71" s="6" t="s">
        <v>2863</v>
      </c>
      <c r="D71" s="6" t="s">
        <v>2773</v>
      </c>
      <c r="E71" s="6" t="s">
        <v>2759</v>
      </c>
      <c r="F71" s="8">
        <v>0</v>
      </c>
      <c r="G71" s="10">
        <v>0</v>
      </c>
      <c r="H71" s="6" t="s">
        <v>1537</v>
      </c>
      <c r="I71" s="13">
        <v>-8.6962732999999997</v>
      </c>
      <c r="J71" s="13">
        <v>41.201486500000001</v>
      </c>
      <c r="K71" s="6" t="s">
        <v>2760</v>
      </c>
      <c r="L71" s="6" t="s">
        <v>1595</v>
      </c>
      <c r="M71" s="12" t="s">
        <v>2761</v>
      </c>
    </row>
    <row r="72" spans="1:13" ht="45" customHeight="1" x14ac:dyDescent="0.2">
      <c r="A72" s="6" t="s">
        <v>925</v>
      </c>
      <c r="B72" s="6" t="s">
        <v>2864</v>
      </c>
      <c r="C72" s="6" t="s">
        <v>2863</v>
      </c>
      <c r="D72" s="6" t="s">
        <v>2758</v>
      </c>
      <c r="E72" s="6" t="s">
        <v>2759</v>
      </c>
      <c r="F72" s="8">
        <v>237900</v>
      </c>
      <c r="G72" s="10">
        <v>11.9</v>
      </c>
      <c r="H72" s="6" t="s">
        <v>1537</v>
      </c>
      <c r="I72" s="13">
        <v>-8.8608907000000006</v>
      </c>
      <c r="J72" s="13">
        <v>37.957155499999999</v>
      </c>
      <c r="K72" s="6" t="s">
        <v>2760</v>
      </c>
      <c r="L72" s="6" t="s">
        <v>1595</v>
      </c>
      <c r="M72" s="12" t="s">
        <v>2761</v>
      </c>
    </row>
    <row r="73" spans="1:13" ht="45" customHeight="1" x14ac:dyDescent="0.2">
      <c r="A73" s="6" t="s">
        <v>634</v>
      </c>
      <c r="B73" s="6" t="s">
        <v>2865</v>
      </c>
      <c r="C73" s="6" t="s">
        <v>2866</v>
      </c>
      <c r="D73" s="6" t="s">
        <v>2773</v>
      </c>
      <c r="E73" s="6" t="s">
        <v>2759</v>
      </c>
      <c r="F73" s="8">
        <v>0</v>
      </c>
      <c r="G73" s="10">
        <v>0</v>
      </c>
      <c r="H73" s="6" t="s">
        <v>1537</v>
      </c>
      <c r="I73" s="13">
        <v>10.3105674</v>
      </c>
      <c r="J73" s="13">
        <v>43.548473000000001</v>
      </c>
      <c r="K73" s="6" t="s">
        <v>2760</v>
      </c>
      <c r="L73" s="6" t="s">
        <v>1595</v>
      </c>
      <c r="M73" s="12" t="s">
        <v>2761</v>
      </c>
    </row>
    <row r="74" spans="1:13" ht="45" customHeight="1" x14ac:dyDescent="0.2">
      <c r="A74" s="6" t="s">
        <v>634</v>
      </c>
      <c r="B74" s="6" t="s">
        <v>2867</v>
      </c>
      <c r="C74" s="6" t="s">
        <v>2866</v>
      </c>
      <c r="D74" s="6" t="s">
        <v>2758</v>
      </c>
      <c r="E74" s="6" t="s">
        <v>2759</v>
      </c>
      <c r="F74" s="8">
        <v>210530</v>
      </c>
      <c r="G74" s="10">
        <v>10.53</v>
      </c>
      <c r="H74" s="6" t="s">
        <v>1537</v>
      </c>
      <c r="I74" s="13">
        <v>8.9075209999999991</v>
      </c>
      <c r="J74" s="13">
        <v>45.101976800000003</v>
      </c>
      <c r="K74" s="6" t="s">
        <v>2760</v>
      </c>
      <c r="L74" s="6" t="s">
        <v>1595</v>
      </c>
      <c r="M74" s="12" t="s">
        <v>2761</v>
      </c>
    </row>
    <row r="75" spans="1:13" ht="45" customHeight="1" x14ac:dyDescent="0.2">
      <c r="A75" s="6" t="s">
        <v>634</v>
      </c>
      <c r="B75" s="6" t="s">
        <v>2868</v>
      </c>
      <c r="C75" s="6" t="s">
        <v>2866</v>
      </c>
      <c r="D75" s="6" t="s">
        <v>2758</v>
      </c>
      <c r="E75" s="6" t="s">
        <v>2759</v>
      </c>
      <c r="F75" s="8">
        <v>88420</v>
      </c>
      <c r="G75" s="10">
        <v>4.42</v>
      </c>
      <c r="H75" s="6" t="s">
        <v>1537</v>
      </c>
      <c r="I75" s="13">
        <v>17.247030299999999</v>
      </c>
      <c r="J75" s="13">
        <v>40.464360599999999</v>
      </c>
      <c r="K75" s="6" t="s">
        <v>2760</v>
      </c>
      <c r="L75" s="6" t="s">
        <v>1595</v>
      </c>
      <c r="M75" s="12" t="s">
        <v>2761</v>
      </c>
    </row>
    <row r="76" spans="1:13" ht="45" customHeight="1" x14ac:dyDescent="0.2">
      <c r="A76" s="6" t="s">
        <v>634</v>
      </c>
      <c r="B76" s="6" t="s">
        <v>2869</v>
      </c>
      <c r="C76" s="6" t="s">
        <v>2870</v>
      </c>
      <c r="D76" s="6" t="s">
        <v>2758</v>
      </c>
      <c r="E76" s="6" t="s">
        <v>2759</v>
      </c>
      <c r="F76" s="8">
        <v>87300</v>
      </c>
      <c r="G76" s="10">
        <v>4.3650000000000002</v>
      </c>
      <c r="H76" s="6" t="s">
        <v>1537</v>
      </c>
      <c r="I76" s="13">
        <v>13.3702811</v>
      </c>
      <c r="J76" s="13">
        <v>43.622033899999998</v>
      </c>
      <c r="K76" s="6" t="s">
        <v>2760</v>
      </c>
      <c r="L76" s="6" t="s">
        <v>1595</v>
      </c>
      <c r="M76" s="12" t="s">
        <v>2761</v>
      </c>
    </row>
    <row r="77" spans="1:13" ht="45" customHeight="1" x14ac:dyDescent="0.2">
      <c r="A77" s="6" t="s">
        <v>634</v>
      </c>
      <c r="B77" s="6" t="s">
        <v>2871</v>
      </c>
      <c r="C77" s="6" t="s">
        <v>2872</v>
      </c>
      <c r="D77" s="6" t="s">
        <v>2773</v>
      </c>
      <c r="E77" s="6" t="s">
        <v>2759</v>
      </c>
      <c r="F77" s="8">
        <v>0</v>
      </c>
      <c r="G77" s="10">
        <v>0</v>
      </c>
      <c r="H77" s="6" t="s">
        <v>1537</v>
      </c>
      <c r="I77" s="13">
        <v>10.7913751</v>
      </c>
      <c r="J77" s="13">
        <v>45.156416800000002</v>
      </c>
      <c r="K77" s="6" t="s">
        <v>2760</v>
      </c>
      <c r="L77" s="6" t="s">
        <v>1595</v>
      </c>
      <c r="M77" s="12" t="s">
        <v>2761</v>
      </c>
    </row>
    <row r="78" spans="1:13" ht="45" customHeight="1" x14ac:dyDescent="0.2">
      <c r="A78" s="6" t="s">
        <v>634</v>
      </c>
      <c r="B78" s="6" t="s">
        <v>2873</v>
      </c>
      <c r="C78" s="6" t="s">
        <v>2874</v>
      </c>
      <c r="D78" s="6" t="s">
        <v>2758</v>
      </c>
      <c r="E78" s="6" t="s">
        <v>2759</v>
      </c>
      <c r="F78" s="8">
        <v>320000</v>
      </c>
      <c r="G78" s="10">
        <v>16</v>
      </c>
      <c r="H78" s="6" t="s">
        <v>1537</v>
      </c>
      <c r="I78" s="13">
        <v>15.1837006</v>
      </c>
      <c r="J78" s="13">
        <v>37.157858400000002</v>
      </c>
      <c r="K78" s="6" t="s">
        <v>2760</v>
      </c>
      <c r="L78" s="6" t="s">
        <v>1595</v>
      </c>
      <c r="M78" s="12" t="s">
        <v>2761</v>
      </c>
    </row>
    <row r="79" spans="1:13" ht="45" customHeight="1" x14ac:dyDescent="0.2">
      <c r="A79" s="6" t="s">
        <v>634</v>
      </c>
      <c r="B79" s="6" t="s">
        <v>2875</v>
      </c>
      <c r="C79" s="6" t="s">
        <v>2876</v>
      </c>
      <c r="D79" s="6" t="s">
        <v>2758</v>
      </c>
      <c r="E79" s="6" t="s">
        <v>2759</v>
      </c>
      <c r="F79" s="8">
        <v>254000</v>
      </c>
      <c r="G79" s="10">
        <v>12.07</v>
      </c>
      <c r="H79" s="6" t="s">
        <v>1537</v>
      </c>
      <c r="I79" s="13">
        <v>15.2419327</v>
      </c>
      <c r="J79" s="13">
        <v>38.220710199999999</v>
      </c>
      <c r="K79" s="6" t="s">
        <v>2760</v>
      </c>
      <c r="L79" s="6" t="s">
        <v>1595</v>
      </c>
      <c r="M79" s="12" t="s">
        <v>2761</v>
      </c>
    </row>
    <row r="80" spans="1:13" ht="45" customHeight="1" x14ac:dyDescent="0.2">
      <c r="A80" s="6" t="s">
        <v>634</v>
      </c>
      <c r="B80" s="6" t="s">
        <v>2877</v>
      </c>
      <c r="C80" s="6" t="s">
        <v>2878</v>
      </c>
      <c r="D80" s="6" t="s">
        <v>2773</v>
      </c>
      <c r="E80" s="6" t="s">
        <v>2766</v>
      </c>
      <c r="F80" s="8">
        <v>0</v>
      </c>
      <c r="G80" s="10">
        <v>0</v>
      </c>
      <c r="H80" s="6" t="s">
        <v>1537</v>
      </c>
      <c r="I80" s="13">
        <v>12.4963655</v>
      </c>
      <c r="J80" s="13">
        <v>41.902783499999998</v>
      </c>
      <c r="K80" s="6" t="s">
        <v>2760</v>
      </c>
      <c r="L80" s="6" t="s">
        <v>1595</v>
      </c>
      <c r="M80" s="12" t="s">
        <v>2761</v>
      </c>
    </row>
    <row r="81" spans="1:13" ht="45" customHeight="1" x14ac:dyDescent="0.2">
      <c r="A81" s="6" t="s">
        <v>634</v>
      </c>
      <c r="B81" s="6" t="s">
        <v>2879</v>
      </c>
      <c r="C81" s="6" t="s">
        <v>2870</v>
      </c>
      <c r="D81" s="6" t="s">
        <v>2758</v>
      </c>
      <c r="E81" s="6" t="s">
        <v>2759</v>
      </c>
      <c r="F81" s="8">
        <v>133200</v>
      </c>
      <c r="G81" s="10">
        <v>6.66</v>
      </c>
      <c r="H81" s="6" t="s">
        <v>1537</v>
      </c>
      <c r="I81" s="13">
        <v>8.7380125</v>
      </c>
      <c r="J81" s="13">
        <v>45.432744100000001</v>
      </c>
      <c r="K81" s="6" t="s">
        <v>2760</v>
      </c>
      <c r="L81" s="6" t="s">
        <v>1595</v>
      </c>
      <c r="M81" s="12" t="s">
        <v>2761</v>
      </c>
    </row>
    <row r="82" spans="1:13" ht="45" customHeight="1" x14ac:dyDescent="0.2">
      <c r="A82" s="6" t="s">
        <v>634</v>
      </c>
      <c r="B82" s="6" t="s">
        <v>2880</v>
      </c>
      <c r="C82" s="6" t="s">
        <v>2881</v>
      </c>
      <c r="D82" s="6" t="s">
        <v>2758</v>
      </c>
      <c r="E82" s="6" t="s">
        <v>2759</v>
      </c>
      <c r="F82" s="8">
        <v>36000</v>
      </c>
      <c r="G82" s="10">
        <v>1.8</v>
      </c>
      <c r="H82" s="6" t="s">
        <v>1537</v>
      </c>
      <c r="I82" s="13">
        <v>8.9461496999999994</v>
      </c>
      <c r="J82" s="13">
        <v>44.569243100000001</v>
      </c>
      <c r="K82" s="6" t="s">
        <v>2760</v>
      </c>
      <c r="L82" s="6" t="s">
        <v>1595</v>
      </c>
      <c r="M82" s="12" t="s">
        <v>2761</v>
      </c>
    </row>
    <row r="83" spans="1:13" ht="45" customHeight="1" x14ac:dyDescent="0.2">
      <c r="A83" s="6" t="s">
        <v>634</v>
      </c>
      <c r="B83" s="6" t="s">
        <v>2882</v>
      </c>
      <c r="C83" s="6" t="s">
        <v>2883</v>
      </c>
      <c r="D83" s="6" t="s">
        <v>2758</v>
      </c>
      <c r="E83" s="6" t="s">
        <v>2759</v>
      </c>
      <c r="F83" s="8">
        <v>315800</v>
      </c>
      <c r="G83" s="10">
        <v>15.79</v>
      </c>
      <c r="H83" s="6" t="s">
        <v>1537</v>
      </c>
      <c r="I83" s="13">
        <v>9.0108376999999997</v>
      </c>
      <c r="J83" s="13">
        <v>39.065497399999998</v>
      </c>
      <c r="K83" s="6" t="s">
        <v>2760</v>
      </c>
      <c r="L83" s="6" t="s">
        <v>1595</v>
      </c>
      <c r="M83" s="12" t="s">
        <v>2761</v>
      </c>
    </row>
    <row r="84" spans="1:13" ht="45" customHeight="1" x14ac:dyDescent="0.2">
      <c r="A84" s="6" t="s">
        <v>634</v>
      </c>
      <c r="B84" s="6" t="s">
        <v>2884</v>
      </c>
      <c r="C84" s="6" t="s">
        <v>2885</v>
      </c>
      <c r="D84" s="6" t="s">
        <v>2773</v>
      </c>
      <c r="E84" s="6" t="s">
        <v>2759</v>
      </c>
      <c r="F84" s="8">
        <v>0</v>
      </c>
      <c r="G84" s="10">
        <v>0</v>
      </c>
      <c r="H84" s="6" t="s">
        <v>1537</v>
      </c>
      <c r="I84" s="13">
        <v>10.022651099999999</v>
      </c>
      <c r="J84" s="13">
        <v>45.133248999999999</v>
      </c>
      <c r="K84" s="6" t="s">
        <v>2760</v>
      </c>
      <c r="L84" s="6" t="s">
        <v>1595</v>
      </c>
      <c r="M84" s="12" t="s">
        <v>2761</v>
      </c>
    </row>
    <row r="85" spans="1:13" ht="45" customHeight="1" x14ac:dyDescent="0.2">
      <c r="A85" s="6" t="s">
        <v>567</v>
      </c>
      <c r="B85" s="6" t="s">
        <v>2886</v>
      </c>
      <c r="C85" s="6" t="s">
        <v>2887</v>
      </c>
      <c r="D85" s="6" t="s">
        <v>2758</v>
      </c>
      <c r="E85" s="6" t="s">
        <v>2759</v>
      </c>
      <c r="F85" s="8">
        <v>90000</v>
      </c>
      <c r="G85" s="10">
        <v>4.5</v>
      </c>
      <c r="H85" s="6" t="s">
        <v>1537</v>
      </c>
      <c r="I85" s="13">
        <v>22.944419100000001</v>
      </c>
      <c r="J85" s="13">
        <v>40.640062899999997</v>
      </c>
      <c r="K85" s="6" t="s">
        <v>2760</v>
      </c>
      <c r="L85" s="6" t="s">
        <v>1595</v>
      </c>
      <c r="M85" s="12" t="s">
        <v>2761</v>
      </c>
    </row>
    <row r="86" spans="1:13" ht="45" customHeight="1" x14ac:dyDescent="0.2">
      <c r="A86" s="6" t="s">
        <v>567</v>
      </c>
      <c r="B86" s="6" t="s">
        <v>2888</v>
      </c>
      <c r="C86" s="6" t="s">
        <v>2887</v>
      </c>
      <c r="D86" s="6" t="s">
        <v>2758</v>
      </c>
      <c r="E86" s="6" t="s">
        <v>2759</v>
      </c>
      <c r="F86" s="8">
        <v>148000</v>
      </c>
      <c r="G86" s="10">
        <v>7.4</v>
      </c>
      <c r="H86" s="6" t="s">
        <v>1537</v>
      </c>
      <c r="I86" s="13">
        <v>23.591060299999999</v>
      </c>
      <c r="J86" s="13">
        <v>38.060906299999999</v>
      </c>
      <c r="K86" s="6" t="s">
        <v>2760</v>
      </c>
      <c r="L86" s="6" t="s">
        <v>1595</v>
      </c>
      <c r="M86" s="12" t="s">
        <v>2761</v>
      </c>
    </row>
    <row r="87" spans="1:13" ht="45" customHeight="1" x14ac:dyDescent="0.2">
      <c r="A87" s="6" t="s">
        <v>567</v>
      </c>
      <c r="B87" s="6" t="s">
        <v>2889</v>
      </c>
      <c r="C87" s="6" t="s">
        <v>2887</v>
      </c>
      <c r="D87" s="6" t="s">
        <v>2758</v>
      </c>
      <c r="E87" s="6" t="s">
        <v>2759</v>
      </c>
      <c r="F87" s="8">
        <v>106000</v>
      </c>
      <c r="G87" s="10">
        <v>5.3</v>
      </c>
      <c r="H87" s="6" t="s">
        <v>1537</v>
      </c>
      <c r="I87" s="13">
        <v>23.541812499999999</v>
      </c>
      <c r="J87" s="13">
        <v>38.041274899999998</v>
      </c>
      <c r="K87" s="6" t="s">
        <v>2760</v>
      </c>
      <c r="L87" s="6" t="s">
        <v>1595</v>
      </c>
      <c r="M87" s="12" t="s">
        <v>2761</v>
      </c>
    </row>
    <row r="88" spans="1:13" ht="45" customHeight="1" x14ac:dyDescent="0.2">
      <c r="A88" s="6" t="s">
        <v>567</v>
      </c>
      <c r="B88" s="6" t="s">
        <v>2890</v>
      </c>
      <c r="C88" s="6" t="s">
        <v>2891</v>
      </c>
      <c r="D88" s="6" t="s">
        <v>2758</v>
      </c>
      <c r="E88" s="6" t="s">
        <v>2759</v>
      </c>
      <c r="F88" s="8">
        <v>180000</v>
      </c>
      <c r="G88" s="10">
        <v>9</v>
      </c>
      <c r="H88" s="6" t="s">
        <v>1537</v>
      </c>
      <c r="I88" s="13">
        <v>23.143331100000001</v>
      </c>
      <c r="J88" s="13">
        <v>37.9282447</v>
      </c>
      <c r="K88" s="6" t="s">
        <v>2760</v>
      </c>
      <c r="L88" s="6" t="s">
        <v>1595</v>
      </c>
      <c r="M88" s="12" t="s">
        <v>2761</v>
      </c>
    </row>
    <row r="89" spans="1:13" ht="45" customHeight="1" x14ac:dyDescent="0.2">
      <c r="A89" s="6" t="s">
        <v>374</v>
      </c>
      <c r="B89" s="6" t="s">
        <v>2892</v>
      </c>
      <c r="C89" s="6" t="s">
        <v>2893</v>
      </c>
      <c r="D89" s="6" t="s">
        <v>2758</v>
      </c>
      <c r="E89" s="6" t="s">
        <v>2759</v>
      </c>
      <c r="F89" s="8">
        <v>63000</v>
      </c>
      <c r="G89" s="10">
        <v>3.15</v>
      </c>
      <c r="H89" s="6" t="s">
        <v>1537</v>
      </c>
      <c r="I89" s="13">
        <v>14.310644999999999</v>
      </c>
      <c r="J89" s="13">
        <v>50.241645300000002</v>
      </c>
      <c r="K89" s="6" t="s">
        <v>2760</v>
      </c>
      <c r="L89" s="6" t="s">
        <v>1595</v>
      </c>
      <c r="M89" s="12" t="s">
        <v>2761</v>
      </c>
    </row>
    <row r="90" spans="1:13" ht="45" customHeight="1" x14ac:dyDescent="0.2">
      <c r="A90" s="6" t="s">
        <v>374</v>
      </c>
      <c r="B90" s="6" t="s">
        <v>2894</v>
      </c>
      <c r="C90" s="6" t="s">
        <v>2893</v>
      </c>
      <c r="D90" s="6" t="s">
        <v>2758</v>
      </c>
      <c r="E90" s="6" t="s">
        <v>2759</v>
      </c>
      <c r="F90" s="8">
        <v>103000</v>
      </c>
      <c r="G90" s="10">
        <v>5.15</v>
      </c>
      <c r="H90" s="6" t="s">
        <v>1537</v>
      </c>
      <c r="I90" s="13">
        <v>13.610242100000001</v>
      </c>
      <c r="J90" s="13">
        <v>50.598426199999999</v>
      </c>
      <c r="K90" s="6" t="s">
        <v>2760</v>
      </c>
      <c r="L90" s="6" t="s">
        <v>1595</v>
      </c>
      <c r="M90" s="12" t="s">
        <v>2761</v>
      </c>
    </row>
    <row r="91" spans="1:13" ht="45" customHeight="1" x14ac:dyDescent="0.2">
      <c r="A91" s="6" t="s">
        <v>374</v>
      </c>
      <c r="B91" s="6" t="s">
        <v>2895</v>
      </c>
      <c r="C91" s="6" t="s">
        <v>2896</v>
      </c>
      <c r="D91" s="6" t="s">
        <v>2773</v>
      </c>
      <c r="E91" s="6" t="s">
        <v>2759</v>
      </c>
      <c r="F91" s="8">
        <v>0</v>
      </c>
      <c r="G91" s="10">
        <v>0</v>
      </c>
      <c r="H91" s="6" t="s">
        <v>1537</v>
      </c>
      <c r="I91" s="13">
        <v>15.768667199999999</v>
      </c>
      <c r="J91" s="13">
        <v>50.037844399999997</v>
      </c>
      <c r="K91" s="6" t="s">
        <v>2760</v>
      </c>
      <c r="L91" s="6" t="s">
        <v>1595</v>
      </c>
      <c r="M91" s="12" t="s">
        <v>2761</v>
      </c>
    </row>
    <row r="92" spans="1:13" ht="45" customHeight="1" x14ac:dyDescent="0.2">
      <c r="A92" s="6" t="s">
        <v>374</v>
      </c>
      <c r="B92" s="6" t="s">
        <v>2897</v>
      </c>
      <c r="C92" s="6" t="s">
        <v>2898</v>
      </c>
      <c r="D92" s="6" t="s">
        <v>2773</v>
      </c>
      <c r="E92" s="6" t="s">
        <v>2766</v>
      </c>
      <c r="F92" s="8">
        <v>0</v>
      </c>
      <c r="G92" s="10">
        <v>0</v>
      </c>
      <c r="H92" s="6" t="s">
        <v>1537</v>
      </c>
      <c r="I92" s="13">
        <v>15.202727700000001</v>
      </c>
      <c r="J92" s="13">
        <v>50.027329000000002</v>
      </c>
      <c r="K92" s="6" t="s">
        <v>2760</v>
      </c>
      <c r="L92" s="6" t="s">
        <v>1595</v>
      </c>
      <c r="M92" s="12" t="s">
        <v>2761</v>
      </c>
    </row>
    <row r="93" spans="1:13" ht="45" customHeight="1" x14ac:dyDescent="0.2">
      <c r="A93" s="6" t="s">
        <v>537</v>
      </c>
      <c r="B93" s="6" t="s">
        <v>2899</v>
      </c>
      <c r="C93" s="6" t="s">
        <v>2872</v>
      </c>
      <c r="D93" s="6" t="s">
        <v>2758</v>
      </c>
      <c r="E93" s="6" t="s">
        <v>2759</v>
      </c>
      <c r="F93" s="8">
        <v>162000</v>
      </c>
      <c r="G93" s="10">
        <v>8.1</v>
      </c>
      <c r="H93" s="6" t="s">
        <v>1537</v>
      </c>
      <c r="I93" s="13">
        <v>18.909670899999998</v>
      </c>
      <c r="J93" s="13">
        <v>47.308332499999999</v>
      </c>
      <c r="K93" s="6" t="s">
        <v>2760</v>
      </c>
      <c r="L93" s="6" t="s">
        <v>1595</v>
      </c>
      <c r="M93" s="12" t="s">
        <v>2761</v>
      </c>
    </row>
    <row r="94" spans="1:13" ht="45" customHeight="1" x14ac:dyDescent="0.2">
      <c r="A94" s="6" t="s">
        <v>537</v>
      </c>
      <c r="B94" s="6" t="s">
        <v>2900</v>
      </c>
      <c r="C94" s="6" t="s">
        <v>2872</v>
      </c>
      <c r="D94" s="6" t="s">
        <v>2773</v>
      </c>
      <c r="E94" s="6" t="s">
        <v>2759</v>
      </c>
      <c r="F94" s="8">
        <v>0</v>
      </c>
      <c r="G94" s="10">
        <v>0</v>
      </c>
      <c r="H94" s="6" t="s">
        <v>1537</v>
      </c>
      <c r="I94" s="13">
        <v>20.936602499999999</v>
      </c>
      <c r="J94" s="13">
        <v>47.6977683</v>
      </c>
      <c r="K94" s="6" t="s">
        <v>2760</v>
      </c>
      <c r="L94" s="6" t="s">
        <v>1595</v>
      </c>
      <c r="M94" s="12" t="s">
        <v>2761</v>
      </c>
    </row>
    <row r="95" spans="1:13" ht="45" customHeight="1" x14ac:dyDescent="0.2">
      <c r="A95" s="6" t="s">
        <v>537</v>
      </c>
      <c r="B95" s="6" t="s">
        <v>2901</v>
      </c>
      <c r="C95" s="6" t="s">
        <v>2872</v>
      </c>
      <c r="D95" s="6" t="s">
        <v>2773</v>
      </c>
      <c r="E95" s="6" t="s">
        <v>2766</v>
      </c>
      <c r="F95" s="8">
        <v>0</v>
      </c>
      <c r="G95" s="10">
        <v>0</v>
      </c>
      <c r="H95" s="6" t="s">
        <v>1537</v>
      </c>
      <c r="I95" s="13">
        <v>16.915225199999998</v>
      </c>
      <c r="J95" s="13">
        <v>46.738440400000002</v>
      </c>
      <c r="K95" s="6" t="s">
        <v>2760</v>
      </c>
      <c r="L95" s="6" t="s">
        <v>1595</v>
      </c>
      <c r="M95" s="12" t="s">
        <v>2761</v>
      </c>
    </row>
    <row r="96" spans="1:13" ht="45" customHeight="1" x14ac:dyDescent="0.2">
      <c r="A96" s="6" t="s">
        <v>549</v>
      </c>
      <c r="B96" s="6" t="s">
        <v>2902</v>
      </c>
      <c r="C96" s="6" t="s">
        <v>2893</v>
      </c>
      <c r="D96" s="6" t="s">
        <v>2758</v>
      </c>
      <c r="E96" s="6" t="s">
        <v>2759</v>
      </c>
      <c r="F96" s="8">
        <v>215000</v>
      </c>
      <c r="G96" s="10">
        <v>10.210000000000001</v>
      </c>
      <c r="H96" s="6" t="s">
        <v>1537</v>
      </c>
      <c r="I96" s="13">
        <v>18.646638400000001</v>
      </c>
      <c r="J96" s="13">
        <v>54.3520252</v>
      </c>
      <c r="K96" s="6" t="s">
        <v>2760</v>
      </c>
      <c r="L96" s="6" t="s">
        <v>1595</v>
      </c>
      <c r="M96" s="12" t="s">
        <v>2761</v>
      </c>
    </row>
    <row r="97" spans="1:13" ht="45" customHeight="1" x14ac:dyDescent="0.2">
      <c r="A97" s="6" t="s">
        <v>549</v>
      </c>
      <c r="B97" s="6" t="s">
        <v>2903</v>
      </c>
      <c r="C97" s="6" t="s">
        <v>2904</v>
      </c>
      <c r="D97" s="6" t="s">
        <v>2773</v>
      </c>
      <c r="E97" s="6" t="s">
        <v>2759</v>
      </c>
      <c r="F97" s="8">
        <v>0</v>
      </c>
      <c r="G97" s="10">
        <v>0</v>
      </c>
      <c r="H97" s="6" t="s">
        <v>1537</v>
      </c>
      <c r="I97" s="13">
        <v>21.4722875</v>
      </c>
      <c r="J97" s="13">
        <v>49.744566300000002</v>
      </c>
      <c r="K97" s="6" t="s">
        <v>2760</v>
      </c>
      <c r="L97" s="6" t="s">
        <v>1595</v>
      </c>
      <c r="M97" s="12" t="s">
        <v>2761</v>
      </c>
    </row>
    <row r="98" spans="1:13" ht="45" customHeight="1" x14ac:dyDescent="0.2">
      <c r="A98" s="6" t="s">
        <v>549</v>
      </c>
      <c r="B98" s="6" t="s">
        <v>2905</v>
      </c>
      <c r="C98" s="6" t="s">
        <v>2893</v>
      </c>
      <c r="D98" s="6" t="s">
        <v>2773</v>
      </c>
      <c r="E98" s="6" t="s">
        <v>2766</v>
      </c>
      <c r="F98" s="8">
        <v>0</v>
      </c>
      <c r="G98" s="10">
        <v>0</v>
      </c>
      <c r="H98" s="6" t="s">
        <v>1537</v>
      </c>
      <c r="I98" s="13">
        <v>21.648959999999999</v>
      </c>
      <c r="J98" s="13">
        <v>49.717489999999998</v>
      </c>
      <c r="K98" s="6" t="s">
        <v>2760</v>
      </c>
      <c r="L98" s="6" t="s">
        <v>1595</v>
      </c>
      <c r="M98" s="12" t="s">
        <v>2761</v>
      </c>
    </row>
    <row r="99" spans="1:13" ht="45" customHeight="1" x14ac:dyDescent="0.2">
      <c r="A99" s="6" t="s">
        <v>549</v>
      </c>
      <c r="B99" s="6" t="s">
        <v>2906</v>
      </c>
      <c r="C99" s="6" t="s">
        <v>2893</v>
      </c>
      <c r="D99" s="6" t="s">
        <v>2758</v>
      </c>
      <c r="E99" s="6" t="s">
        <v>2759</v>
      </c>
      <c r="F99" s="8">
        <v>399300</v>
      </c>
      <c r="G99" s="10">
        <v>19.97</v>
      </c>
      <c r="H99" s="6" t="s">
        <v>1537</v>
      </c>
      <c r="I99" s="13">
        <v>19.706536400000001</v>
      </c>
      <c r="J99" s="13">
        <v>52.546344599999998</v>
      </c>
      <c r="K99" s="6" t="s">
        <v>2760</v>
      </c>
      <c r="L99" s="6" t="s">
        <v>1595</v>
      </c>
      <c r="M99" s="12" t="s">
        <v>2761</v>
      </c>
    </row>
    <row r="100" spans="1:13" ht="45" customHeight="1" x14ac:dyDescent="0.2">
      <c r="A100" s="6" t="s">
        <v>549</v>
      </c>
      <c r="B100" s="6" t="s">
        <v>2907</v>
      </c>
      <c r="C100" s="6" t="s">
        <v>2893</v>
      </c>
      <c r="D100" s="6" t="s">
        <v>2758</v>
      </c>
      <c r="E100" s="6" t="s">
        <v>2766</v>
      </c>
      <c r="F100" s="8">
        <v>7700</v>
      </c>
      <c r="G100" s="10">
        <v>0.39</v>
      </c>
      <c r="H100" s="6" t="s">
        <v>1537</v>
      </c>
      <c r="I100" s="13">
        <v>19.4694</v>
      </c>
      <c r="J100" s="13">
        <v>50.158470000000001</v>
      </c>
      <c r="K100" s="6" t="s">
        <v>2760</v>
      </c>
      <c r="L100" s="6" t="s">
        <v>1595</v>
      </c>
      <c r="M100" s="12" t="s">
        <v>2761</v>
      </c>
    </row>
    <row r="101" spans="1:13" ht="45" customHeight="1" x14ac:dyDescent="0.2">
      <c r="A101" s="6" t="s">
        <v>543</v>
      </c>
      <c r="B101" s="6" t="s">
        <v>2908</v>
      </c>
      <c r="C101" s="6" t="s">
        <v>2872</v>
      </c>
      <c r="D101" s="6" t="s">
        <v>2758</v>
      </c>
      <c r="E101" s="6" t="s">
        <v>2759</v>
      </c>
      <c r="F101" s="8">
        <v>112000</v>
      </c>
      <c r="G101" s="10">
        <v>5.6</v>
      </c>
      <c r="H101" s="6" t="s">
        <v>1537</v>
      </c>
      <c r="I101" s="13">
        <v>17.107747799999999</v>
      </c>
      <c r="J101" s="13">
        <v>48.148596499999996</v>
      </c>
      <c r="K101" s="6" t="s">
        <v>2760</v>
      </c>
      <c r="L101" s="6" t="s">
        <v>1595</v>
      </c>
      <c r="M101" s="12" t="s">
        <v>2761</v>
      </c>
    </row>
    <row r="102" spans="1:13" ht="45" customHeight="1" x14ac:dyDescent="0.2">
      <c r="A102" s="6" t="s">
        <v>342</v>
      </c>
      <c r="B102" s="6" t="s">
        <v>2909</v>
      </c>
      <c r="C102" s="6" t="s">
        <v>2893</v>
      </c>
      <c r="D102" s="6" t="s">
        <v>2758</v>
      </c>
      <c r="E102" s="6" t="s">
        <v>2759</v>
      </c>
      <c r="F102" s="8">
        <v>204000</v>
      </c>
      <c r="G102" s="10">
        <v>9.69</v>
      </c>
      <c r="H102" s="6" t="s">
        <v>1537</v>
      </c>
      <c r="I102" s="13">
        <v>22.341467999999999</v>
      </c>
      <c r="J102" s="13">
        <v>56.309243899999998</v>
      </c>
      <c r="K102" s="6" t="s">
        <v>2760</v>
      </c>
      <c r="L102" s="6" t="s">
        <v>1595</v>
      </c>
      <c r="M102" s="12" t="s">
        <v>2761</v>
      </c>
    </row>
    <row r="103" spans="1:13" ht="45" customHeight="1" x14ac:dyDescent="0.2">
      <c r="A103" s="6" t="s">
        <v>750</v>
      </c>
      <c r="B103" s="6" t="s">
        <v>2910</v>
      </c>
      <c r="C103" s="6" t="s">
        <v>2911</v>
      </c>
      <c r="D103" s="6" t="s">
        <v>2758</v>
      </c>
      <c r="E103" s="6" t="s">
        <v>2759</v>
      </c>
      <c r="F103" s="8">
        <v>121300</v>
      </c>
      <c r="G103" s="10">
        <v>6.0650000000000004</v>
      </c>
      <c r="H103" s="6" t="s">
        <v>1537</v>
      </c>
      <c r="I103" s="13">
        <v>27.462636100000001</v>
      </c>
      <c r="J103" s="13">
        <v>42.504792600000002</v>
      </c>
      <c r="K103" s="6" t="s">
        <v>2760</v>
      </c>
      <c r="L103" s="6" t="s">
        <v>1595</v>
      </c>
      <c r="M103" s="12" t="s">
        <v>2761</v>
      </c>
    </row>
    <row r="104" spans="1:13" ht="45" customHeight="1" x14ac:dyDescent="0.2">
      <c r="A104" s="6" t="s">
        <v>530</v>
      </c>
      <c r="B104" s="6" t="s">
        <v>2912</v>
      </c>
      <c r="C104" s="6" t="s">
        <v>2913</v>
      </c>
      <c r="D104" s="6" t="s">
        <v>2773</v>
      </c>
      <c r="E104" s="6" t="s">
        <v>2759</v>
      </c>
      <c r="F104" s="8">
        <v>0</v>
      </c>
      <c r="G104" s="10">
        <v>0</v>
      </c>
      <c r="H104" s="6" t="s">
        <v>1537</v>
      </c>
      <c r="I104" s="13">
        <v>24.8691824</v>
      </c>
      <c r="J104" s="13">
        <v>44.856479800000002</v>
      </c>
      <c r="K104" s="6" t="s">
        <v>2760</v>
      </c>
      <c r="L104" s="6" t="s">
        <v>1595</v>
      </c>
      <c r="M104" s="12" t="s">
        <v>2761</v>
      </c>
    </row>
    <row r="105" spans="1:13" ht="45" customHeight="1" x14ac:dyDescent="0.2">
      <c r="A105" s="6" t="s">
        <v>530</v>
      </c>
      <c r="B105" s="6" t="s">
        <v>2914</v>
      </c>
      <c r="C105" s="6" t="s">
        <v>2824</v>
      </c>
      <c r="D105" s="6" t="s">
        <v>2758</v>
      </c>
      <c r="E105" s="6" t="s">
        <v>2759</v>
      </c>
      <c r="F105" s="8">
        <v>86000</v>
      </c>
      <c r="G105" s="10">
        <v>4.09</v>
      </c>
      <c r="H105" s="6" t="s">
        <v>1537</v>
      </c>
      <c r="I105" s="13">
        <v>26.020262598007736</v>
      </c>
      <c r="J105" s="13">
        <v>44.880476331796359</v>
      </c>
      <c r="K105" s="6" t="s">
        <v>2760</v>
      </c>
      <c r="L105" s="6" t="s">
        <v>1595</v>
      </c>
      <c r="M105" s="12" t="s">
        <v>2761</v>
      </c>
    </row>
    <row r="106" spans="1:13" ht="45" customHeight="1" x14ac:dyDescent="0.2">
      <c r="A106" s="6" t="s">
        <v>530</v>
      </c>
      <c r="B106" s="6" t="s">
        <v>2915</v>
      </c>
      <c r="C106" s="6" t="s">
        <v>2916</v>
      </c>
      <c r="D106" s="6" t="s">
        <v>2758</v>
      </c>
      <c r="E106" s="6" t="s">
        <v>2759</v>
      </c>
      <c r="F106" s="8">
        <v>54300</v>
      </c>
      <c r="G106" s="10">
        <v>2.72</v>
      </c>
      <c r="H106" s="6" t="s">
        <v>1537</v>
      </c>
      <c r="I106" s="13">
        <v>26.012861600000001</v>
      </c>
      <c r="J106" s="13">
        <v>44.936664</v>
      </c>
      <c r="K106" s="6" t="s">
        <v>2760</v>
      </c>
      <c r="L106" s="6" t="s">
        <v>1595</v>
      </c>
      <c r="M106" s="12" t="s">
        <v>2761</v>
      </c>
    </row>
    <row r="107" spans="1:13" ht="45" customHeight="1" x14ac:dyDescent="0.2">
      <c r="A107" s="6" t="s">
        <v>530</v>
      </c>
      <c r="B107" s="6" t="s">
        <v>2917</v>
      </c>
      <c r="C107" s="6" t="s">
        <v>2918</v>
      </c>
      <c r="D107" s="6" t="s">
        <v>2758</v>
      </c>
      <c r="E107" s="6" t="s">
        <v>2759</v>
      </c>
      <c r="F107" s="8">
        <v>110000</v>
      </c>
      <c r="G107" s="10">
        <v>5.5</v>
      </c>
      <c r="H107" s="6" t="s">
        <v>1537</v>
      </c>
      <c r="I107" s="13">
        <v>28.645542800000001</v>
      </c>
      <c r="J107" s="13">
        <v>44.341051999999998</v>
      </c>
      <c r="K107" s="6" t="s">
        <v>2760</v>
      </c>
      <c r="L107" s="6" t="s">
        <v>1595</v>
      </c>
      <c r="M107" s="12" t="s">
        <v>2761</v>
      </c>
    </row>
    <row r="108" spans="1:13" ht="45" customHeight="1" x14ac:dyDescent="0.2">
      <c r="A108" s="6" t="s">
        <v>401</v>
      </c>
      <c r="B108" s="6" t="s">
        <v>2919</v>
      </c>
      <c r="C108" s="6" t="s">
        <v>2781</v>
      </c>
      <c r="D108" s="6" t="s">
        <v>2773</v>
      </c>
      <c r="E108" s="6" t="s">
        <v>2759</v>
      </c>
      <c r="F108" s="8">
        <v>0</v>
      </c>
      <c r="G108" s="10">
        <v>0</v>
      </c>
      <c r="H108" s="6" t="s">
        <v>1537</v>
      </c>
      <c r="I108" s="13">
        <v>10.4423548</v>
      </c>
      <c r="J108" s="13">
        <v>59.303134900000003</v>
      </c>
      <c r="K108" s="6" t="s">
        <v>2760</v>
      </c>
      <c r="L108" s="6" t="s">
        <v>1595</v>
      </c>
      <c r="M108" s="12" t="s">
        <v>2761</v>
      </c>
    </row>
    <row r="109" spans="1:13" ht="45" customHeight="1" x14ac:dyDescent="0.2">
      <c r="A109" s="6" t="s">
        <v>401</v>
      </c>
      <c r="B109" s="6" t="s">
        <v>2920</v>
      </c>
      <c r="C109" s="6" t="s">
        <v>2921</v>
      </c>
      <c r="D109" s="6" t="s">
        <v>2758</v>
      </c>
      <c r="E109" s="6" t="s">
        <v>2759</v>
      </c>
      <c r="F109" s="8">
        <v>219000</v>
      </c>
      <c r="G109" s="10">
        <v>10.39</v>
      </c>
      <c r="H109" s="6" t="s">
        <v>1537</v>
      </c>
      <c r="I109" s="13">
        <v>5.0106948999999998</v>
      </c>
      <c r="J109" s="13">
        <v>60.802413000000001</v>
      </c>
      <c r="K109" s="6" t="s">
        <v>2760</v>
      </c>
      <c r="L109" s="6" t="s">
        <v>1595</v>
      </c>
      <c r="M109" s="12" t="s">
        <v>2761</v>
      </c>
    </row>
    <row r="110" spans="1:13" ht="45" customHeight="1" x14ac:dyDescent="0.2">
      <c r="A110" s="6" t="s">
        <v>641</v>
      </c>
      <c r="B110" s="6" t="s">
        <v>2922</v>
      </c>
      <c r="C110" s="6" t="s">
        <v>2768</v>
      </c>
      <c r="D110" s="6" t="s">
        <v>2758</v>
      </c>
      <c r="E110" s="6" t="s">
        <v>2759</v>
      </c>
      <c r="F110" s="8">
        <v>68000</v>
      </c>
      <c r="G110" s="10">
        <v>3.4</v>
      </c>
      <c r="H110" s="6" t="s">
        <v>1537</v>
      </c>
      <c r="I110" s="13">
        <v>7.0373624000000001</v>
      </c>
      <c r="J110" s="13">
        <v>47.050860999999998</v>
      </c>
      <c r="K110" s="6" t="s">
        <v>2760</v>
      </c>
      <c r="L110" s="6" t="s">
        <v>1595</v>
      </c>
      <c r="M110" s="12" t="s">
        <v>2761</v>
      </c>
    </row>
    <row r="111" spans="1:13" ht="45" customHeight="1" x14ac:dyDescent="0.2">
      <c r="A111" s="6" t="s">
        <v>641</v>
      </c>
      <c r="B111" s="6" t="s">
        <v>2923</v>
      </c>
      <c r="C111" s="6" t="s">
        <v>2924</v>
      </c>
      <c r="D111" s="6" t="s">
        <v>2773</v>
      </c>
      <c r="E111" s="6" t="s">
        <v>2759</v>
      </c>
      <c r="F111" s="8">
        <v>0</v>
      </c>
      <c r="G111" s="10">
        <v>0</v>
      </c>
      <c r="H111" s="6" t="s">
        <v>1537</v>
      </c>
      <c r="I111" s="13">
        <v>6.9459483000000004</v>
      </c>
      <c r="J111" s="13">
        <v>46.271028200000003</v>
      </c>
      <c r="K111" s="6" t="s">
        <v>2760</v>
      </c>
      <c r="L111" s="6" t="s">
        <v>1595</v>
      </c>
      <c r="M111" s="12" t="s">
        <v>2761</v>
      </c>
    </row>
    <row r="112" spans="1:13" ht="45" customHeight="1" x14ac:dyDescent="0.2">
      <c r="A112" s="6" t="s">
        <v>708</v>
      </c>
      <c r="B112" s="6" t="s">
        <v>2925</v>
      </c>
      <c r="C112" s="6" t="s">
        <v>2926</v>
      </c>
      <c r="D112" s="6" t="s">
        <v>2773</v>
      </c>
      <c r="E112" s="6" t="s">
        <v>2766</v>
      </c>
      <c r="F112" s="8">
        <v>0</v>
      </c>
      <c r="G112" s="10">
        <v>0</v>
      </c>
      <c r="H112" s="6" t="s">
        <v>1537</v>
      </c>
      <c r="I112" s="13">
        <v>16.373115599999998</v>
      </c>
      <c r="J112" s="13">
        <v>45.4850767</v>
      </c>
      <c r="K112" s="6" t="s">
        <v>2760</v>
      </c>
      <c r="L112" s="6" t="s">
        <v>1595</v>
      </c>
      <c r="M112" s="12" t="s">
        <v>2761</v>
      </c>
    </row>
    <row r="113" spans="1:13" ht="45" customHeight="1" x14ac:dyDescent="0.2">
      <c r="A113" s="6" t="s">
        <v>708</v>
      </c>
      <c r="B113" s="6" t="s">
        <v>2927</v>
      </c>
      <c r="C113" s="6" t="s">
        <v>2926</v>
      </c>
      <c r="D113" s="6" t="s">
        <v>2758</v>
      </c>
      <c r="E113" s="6" t="s">
        <v>2759</v>
      </c>
      <c r="F113" s="8">
        <v>94900</v>
      </c>
      <c r="G113" s="10">
        <v>4.75</v>
      </c>
      <c r="H113" s="6" t="s">
        <v>1537</v>
      </c>
      <c r="I113" s="13">
        <v>14.442176</v>
      </c>
      <c r="J113" s="13">
        <v>45.327063099999997</v>
      </c>
      <c r="K113" s="6" t="s">
        <v>2760</v>
      </c>
      <c r="L113" s="6" t="s">
        <v>1595</v>
      </c>
      <c r="M113" s="12" t="s">
        <v>2761</v>
      </c>
    </row>
    <row r="114" spans="1:13" ht="45" customHeight="1" x14ac:dyDescent="0.2">
      <c r="A114" s="6" t="s">
        <v>381</v>
      </c>
      <c r="B114" s="6" t="s">
        <v>2827</v>
      </c>
      <c r="C114" s="6" t="s">
        <v>2818</v>
      </c>
      <c r="D114" s="6" t="s">
        <v>2773</v>
      </c>
      <c r="E114" s="6" t="s">
        <v>2759</v>
      </c>
      <c r="F114" s="8">
        <v>0</v>
      </c>
      <c r="G114" s="10">
        <v>0</v>
      </c>
      <c r="H114" s="6" t="s">
        <v>1537</v>
      </c>
      <c r="I114" s="13">
        <v>10.880193530867146</v>
      </c>
      <c r="J114" s="13">
        <v>48.666768120380908</v>
      </c>
      <c r="K114" s="6" t="s">
        <v>2760</v>
      </c>
      <c r="L114" s="6" t="s">
        <v>1595</v>
      </c>
      <c r="M114" s="12" t="s">
        <v>2761</v>
      </c>
    </row>
    <row r="115" spans="1:13" ht="45" customHeight="1" x14ac:dyDescent="0.2">
      <c r="A115" s="6" t="s">
        <v>708</v>
      </c>
      <c r="B115" s="6" t="s">
        <v>2925</v>
      </c>
      <c r="C115" s="6" t="s">
        <v>2926</v>
      </c>
      <c r="D115" s="6" t="s">
        <v>2773</v>
      </c>
      <c r="E115" s="6" t="s">
        <v>2759</v>
      </c>
      <c r="F115" s="8">
        <v>0</v>
      </c>
      <c r="G115" s="10">
        <v>0</v>
      </c>
      <c r="H115" s="6" t="s">
        <v>1537</v>
      </c>
      <c r="I115" s="13">
        <v>16.355649919307801</v>
      </c>
      <c r="J115" s="13">
        <v>45.482854307537991</v>
      </c>
      <c r="K115" s="6" t="s">
        <v>2760</v>
      </c>
      <c r="L115" s="6" t="s">
        <v>1595</v>
      </c>
      <c r="M115" s="12" t="s">
        <v>2761</v>
      </c>
    </row>
    <row r="116" spans="1:13" ht="45" customHeight="1" x14ac:dyDescent="0.2">
      <c r="A116" s="6" t="s">
        <v>381</v>
      </c>
      <c r="B116" s="6" t="s">
        <v>2928</v>
      </c>
      <c r="C116" s="6" t="s">
        <v>2924</v>
      </c>
      <c r="D116" s="6" t="s">
        <v>2758</v>
      </c>
      <c r="E116" s="6" t="s">
        <v>2759</v>
      </c>
      <c r="F116" s="8">
        <v>105000</v>
      </c>
      <c r="G116" s="10">
        <v>5.25</v>
      </c>
      <c r="H116" s="6" t="s">
        <v>1537</v>
      </c>
      <c r="I116" s="13">
        <v>9.9508941166020737</v>
      </c>
      <c r="J116" s="13">
        <v>53.478029447447561</v>
      </c>
      <c r="K116" s="6" t="s">
        <v>2760</v>
      </c>
      <c r="L116" s="6" t="s">
        <v>1595</v>
      </c>
      <c r="M116" s="12" t="s">
        <v>2761</v>
      </c>
    </row>
    <row r="117" spans="1:13" ht="45" customHeight="1" x14ac:dyDescent="0.2">
      <c r="A117" s="6" t="s">
        <v>530</v>
      </c>
      <c r="B117" s="6" t="s">
        <v>2929</v>
      </c>
      <c r="C117" s="6" t="s">
        <v>2930</v>
      </c>
      <c r="D117" s="6" t="s">
        <v>2773</v>
      </c>
      <c r="E117" s="6" t="s">
        <v>2766</v>
      </c>
      <c r="F117" s="8">
        <v>0</v>
      </c>
      <c r="G117" s="10">
        <v>0</v>
      </c>
      <c r="H117" s="6" t="s">
        <v>1537</v>
      </c>
      <c r="I117" s="13">
        <v>26.068674826655869</v>
      </c>
      <c r="J117" s="13">
        <v>44.953983589214701</v>
      </c>
      <c r="K117" s="6" t="s">
        <v>2760</v>
      </c>
      <c r="L117" s="6" t="s">
        <v>1595</v>
      </c>
      <c r="M117" s="12" t="s">
        <v>2761</v>
      </c>
    </row>
    <row r="118" spans="1:13" ht="45" customHeight="1" x14ac:dyDescent="0.2">
      <c r="A118" s="6" t="s">
        <v>634</v>
      </c>
      <c r="B118" s="6" t="s">
        <v>2931</v>
      </c>
      <c r="C118" s="6" t="s">
        <v>2932</v>
      </c>
      <c r="D118" s="6" t="s">
        <v>2758</v>
      </c>
      <c r="E118" s="6" t="s">
        <v>2759</v>
      </c>
      <c r="F118" s="8">
        <v>208420</v>
      </c>
      <c r="G118" s="10">
        <v>10.420999999999999</v>
      </c>
      <c r="H118" s="6" t="s">
        <v>1537</v>
      </c>
      <c r="I118" s="13">
        <v>15.298704475683088</v>
      </c>
      <c r="J118" s="13">
        <v>37.25337777774434</v>
      </c>
      <c r="K118" s="6" t="s">
        <v>2760</v>
      </c>
      <c r="L118" s="6" t="s">
        <v>1595</v>
      </c>
      <c r="M118" s="12" t="s">
        <v>2761</v>
      </c>
    </row>
    <row r="119" spans="1:13" ht="45" customHeight="1" x14ac:dyDescent="0.2">
      <c r="A119" s="6" t="s">
        <v>381</v>
      </c>
      <c r="B119" s="6" t="s">
        <v>2933</v>
      </c>
      <c r="C119" s="6" t="s">
        <v>2812</v>
      </c>
      <c r="D119" s="6" t="s">
        <v>2758</v>
      </c>
      <c r="E119" s="6" t="s">
        <v>2766</v>
      </c>
      <c r="F119" s="8">
        <v>16100.000000000002</v>
      </c>
      <c r="G119" s="10">
        <v>0.81</v>
      </c>
      <c r="H119" s="6" t="s">
        <v>1537</v>
      </c>
      <c r="I119" s="13">
        <v>9.9687193733937676</v>
      </c>
      <c r="J119" s="13">
        <v>53.477775442512474</v>
      </c>
      <c r="K119" s="6" t="s">
        <v>2760</v>
      </c>
      <c r="L119" s="6" t="s">
        <v>1595</v>
      </c>
      <c r="M119" s="12" t="s">
        <v>2761</v>
      </c>
    </row>
    <row r="120" spans="1:13" ht="45" customHeight="1" x14ac:dyDescent="0.2">
      <c r="A120" s="6" t="s">
        <v>413</v>
      </c>
      <c r="B120" s="6" t="s">
        <v>2934</v>
      </c>
      <c r="C120" s="6" t="s">
        <v>2772</v>
      </c>
      <c r="D120" s="6" t="s">
        <v>2758</v>
      </c>
      <c r="E120" s="6" t="s">
        <v>2759</v>
      </c>
      <c r="F120" s="8">
        <v>215800</v>
      </c>
      <c r="G120" s="10">
        <v>10.79</v>
      </c>
      <c r="H120" s="6" t="s">
        <v>1537</v>
      </c>
      <c r="I120" s="13">
        <v>25.669252459621863</v>
      </c>
      <c r="J120" s="13">
        <v>60.393662275683397</v>
      </c>
      <c r="K120" s="6" t="s">
        <v>2760</v>
      </c>
      <c r="L120" s="6" t="s">
        <v>1595</v>
      </c>
      <c r="M120" s="12" t="s">
        <v>2761</v>
      </c>
    </row>
    <row r="121" spans="1:13" ht="45" customHeight="1" x14ac:dyDescent="0.2">
      <c r="A121" s="6" t="s">
        <v>634</v>
      </c>
      <c r="B121" s="6" t="s">
        <v>2935</v>
      </c>
      <c r="C121" s="6" t="s">
        <v>2936</v>
      </c>
      <c r="D121" s="6" t="s">
        <v>2758</v>
      </c>
      <c r="E121" s="6" t="s">
        <v>2766</v>
      </c>
      <c r="F121" s="8">
        <v>10000</v>
      </c>
      <c r="G121" s="10">
        <v>0.5</v>
      </c>
      <c r="H121" s="6" t="s">
        <v>1537</v>
      </c>
      <c r="I121" s="13">
        <v>12.256564201737724</v>
      </c>
      <c r="J121" s="13">
        <v>44.479131028324574</v>
      </c>
      <c r="K121" s="6" t="s">
        <v>2760</v>
      </c>
      <c r="L121" s="6" t="s">
        <v>1595</v>
      </c>
      <c r="M121" s="12" t="s">
        <v>2761</v>
      </c>
    </row>
    <row r="122" spans="1:13" ht="45" customHeight="1" x14ac:dyDescent="0.2">
      <c r="A122" s="6" t="s">
        <v>1007</v>
      </c>
      <c r="B122" s="6" t="s">
        <v>2937</v>
      </c>
      <c r="C122" s="6" t="s">
        <v>2938</v>
      </c>
      <c r="D122" s="6" t="s">
        <v>2939</v>
      </c>
      <c r="E122" s="6" t="s">
        <v>2940</v>
      </c>
      <c r="F122" s="8">
        <v>11000</v>
      </c>
      <c r="G122" s="10"/>
      <c r="H122" s="6" t="s">
        <v>1598</v>
      </c>
      <c r="I122" s="13"/>
      <c r="J122" s="13"/>
      <c r="K122" s="6" t="s">
        <v>2941</v>
      </c>
      <c r="L122" s="6" t="s">
        <v>2942</v>
      </c>
      <c r="M122" s="12" t="s">
        <v>2943</v>
      </c>
    </row>
    <row r="123" spans="1:13" ht="45" customHeight="1" x14ac:dyDescent="0.2">
      <c r="A123" s="6" t="s">
        <v>1007</v>
      </c>
      <c r="B123" s="6" t="s">
        <v>2944</v>
      </c>
      <c r="C123" s="6" t="s">
        <v>2945</v>
      </c>
      <c r="D123" s="6" t="s">
        <v>2939</v>
      </c>
      <c r="E123" s="6" t="s">
        <v>2940</v>
      </c>
      <c r="F123" s="8">
        <v>25000</v>
      </c>
      <c r="G123" s="10"/>
      <c r="H123" s="6" t="s">
        <v>1598</v>
      </c>
      <c r="I123" s="13"/>
      <c r="J123" s="13"/>
      <c r="K123" s="6" t="s">
        <v>2941</v>
      </c>
      <c r="L123" s="6" t="s">
        <v>2942</v>
      </c>
      <c r="M123" s="12" t="s">
        <v>2946</v>
      </c>
    </row>
    <row r="124" spans="1:13" ht="45" customHeight="1" x14ac:dyDescent="0.2">
      <c r="A124" s="6" t="s">
        <v>1007</v>
      </c>
      <c r="B124" s="6" t="s">
        <v>2947</v>
      </c>
      <c r="C124" s="6" t="s">
        <v>2945</v>
      </c>
      <c r="D124" s="6" t="s">
        <v>2939</v>
      </c>
      <c r="E124" s="6" t="s">
        <v>2940</v>
      </c>
      <c r="F124" s="8">
        <v>62500</v>
      </c>
      <c r="G124" s="10"/>
      <c r="H124" s="6" t="s">
        <v>1598</v>
      </c>
      <c r="I124" s="13"/>
      <c r="J124" s="13"/>
      <c r="K124" s="6" t="s">
        <v>2941</v>
      </c>
      <c r="L124" s="6" t="s">
        <v>2942</v>
      </c>
      <c r="M124" s="12" t="s">
        <v>2946</v>
      </c>
    </row>
    <row r="125" spans="1:13" ht="45" customHeight="1" x14ac:dyDescent="0.2">
      <c r="A125" s="6" t="s">
        <v>1007</v>
      </c>
      <c r="B125" s="6" t="s">
        <v>2948</v>
      </c>
      <c r="C125" s="6" t="s">
        <v>2949</v>
      </c>
      <c r="D125" s="6" t="s">
        <v>2939</v>
      </c>
      <c r="E125" s="6" t="s">
        <v>2940</v>
      </c>
      <c r="F125" s="8">
        <v>14000</v>
      </c>
      <c r="G125" s="10"/>
      <c r="H125" s="6" t="s">
        <v>1598</v>
      </c>
      <c r="I125" s="13"/>
      <c r="J125" s="13"/>
      <c r="K125" s="6" t="s">
        <v>2941</v>
      </c>
      <c r="L125" s="6" t="s">
        <v>2942</v>
      </c>
      <c r="M125" s="12" t="s">
        <v>2950</v>
      </c>
    </row>
    <row r="126" spans="1:13" ht="45" customHeight="1" x14ac:dyDescent="0.2">
      <c r="A126" s="6" t="s">
        <v>1007</v>
      </c>
      <c r="B126" s="6" t="s">
        <v>2951</v>
      </c>
      <c r="C126" s="6" t="s">
        <v>2952</v>
      </c>
      <c r="D126" s="6" t="s">
        <v>2939</v>
      </c>
      <c r="E126" s="6" t="s">
        <v>2940</v>
      </c>
      <c r="F126" s="8">
        <v>435000</v>
      </c>
      <c r="G126" s="10"/>
      <c r="H126" s="6" t="s">
        <v>1598</v>
      </c>
      <c r="I126" s="13"/>
      <c r="J126" s="13"/>
      <c r="K126" s="6" t="s">
        <v>2941</v>
      </c>
      <c r="L126" s="6" t="s">
        <v>2942</v>
      </c>
      <c r="M126" s="12" t="s">
        <v>2953</v>
      </c>
    </row>
    <row r="127" spans="1:13" ht="45" customHeight="1" x14ac:dyDescent="0.2">
      <c r="A127" s="6" t="s">
        <v>1007</v>
      </c>
      <c r="B127" s="6" t="s">
        <v>2954</v>
      </c>
      <c r="C127" s="6" t="s">
        <v>2952</v>
      </c>
      <c r="D127" s="6" t="s">
        <v>2939</v>
      </c>
      <c r="E127" s="6" t="s">
        <v>2940</v>
      </c>
      <c r="F127" s="8">
        <v>238500</v>
      </c>
      <c r="G127" s="10"/>
      <c r="H127" s="6" t="s">
        <v>1598</v>
      </c>
      <c r="I127" s="13"/>
      <c r="J127" s="13"/>
      <c r="K127" s="6" t="s">
        <v>2941</v>
      </c>
      <c r="L127" s="6" t="s">
        <v>2942</v>
      </c>
      <c r="M127" s="12" t="s">
        <v>2955</v>
      </c>
    </row>
    <row r="128" spans="1:13" ht="45" customHeight="1" x14ac:dyDescent="0.2">
      <c r="A128" s="6" t="s">
        <v>1007</v>
      </c>
      <c r="B128" s="6" t="s">
        <v>2956</v>
      </c>
      <c r="C128" s="6" t="s">
        <v>2957</v>
      </c>
      <c r="D128" s="6" t="s">
        <v>2939</v>
      </c>
      <c r="E128" s="6" t="s">
        <v>2940</v>
      </c>
      <c r="F128" s="8">
        <v>60000</v>
      </c>
      <c r="G128" s="10"/>
      <c r="H128" s="6" t="s">
        <v>1598</v>
      </c>
      <c r="I128" s="13"/>
      <c r="J128" s="13"/>
      <c r="K128" s="6" t="s">
        <v>2941</v>
      </c>
      <c r="L128" s="6" t="s">
        <v>2942</v>
      </c>
      <c r="M128" s="12" t="s">
        <v>2950</v>
      </c>
    </row>
    <row r="129" spans="1:13" ht="45" customHeight="1" x14ac:dyDescent="0.2">
      <c r="A129" s="6" t="s">
        <v>1007</v>
      </c>
      <c r="B129" s="6" t="s">
        <v>2958</v>
      </c>
      <c r="C129" s="6" t="s">
        <v>2959</v>
      </c>
      <c r="D129" s="6" t="s">
        <v>2939</v>
      </c>
      <c r="E129" s="6" t="s">
        <v>2940</v>
      </c>
      <c r="F129" s="8">
        <v>13020</v>
      </c>
      <c r="G129" s="10"/>
      <c r="H129" s="6" t="s">
        <v>1598</v>
      </c>
      <c r="I129" s="13"/>
      <c r="J129" s="13"/>
      <c r="K129" s="6" t="s">
        <v>2941</v>
      </c>
      <c r="L129" s="6" t="s">
        <v>2942</v>
      </c>
      <c r="M129" s="12" t="s">
        <v>2960</v>
      </c>
    </row>
    <row r="130" spans="1:13" ht="45" customHeight="1" x14ac:dyDescent="0.2">
      <c r="A130" s="6" t="s">
        <v>1007</v>
      </c>
      <c r="B130" s="6" t="s">
        <v>2961</v>
      </c>
      <c r="C130" s="6" t="s">
        <v>2962</v>
      </c>
      <c r="D130" s="6" t="s">
        <v>2939</v>
      </c>
      <c r="E130" s="6" t="s">
        <v>2940</v>
      </c>
      <c r="F130" s="8">
        <v>15000</v>
      </c>
      <c r="G130" s="10"/>
      <c r="H130" s="6" t="s">
        <v>1598</v>
      </c>
      <c r="I130" s="13"/>
      <c r="J130" s="13"/>
      <c r="K130" s="6" t="s">
        <v>2941</v>
      </c>
      <c r="L130" s="6" t="s">
        <v>2942</v>
      </c>
      <c r="M130" s="12" t="s">
        <v>2963</v>
      </c>
    </row>
    <row r="131" spans="1:13" ht="45" customHeight="1" x14ac:dyDescent="0.2">
      <c r="A131" s="6" t="s">
        <v>1007</v>
      </c>
      <c r="B131" s="6" t="s">
        <v>2964</v>
      </c>
      <c r="C131" s="6" t="s">
        <v>2965</v>
      </c>
      <c r="D131" s="6" t="s">
        <v>2939</v>
      </c>
      <c r="E131" s="6" t="s">
        <v>2940</v>
      </c>
      <c r="F131" s="8">
        <v>8300</v>
      </c>
      <c r="G131" s="10"/>
      <c r="H131" s="6" t="s">
        <v>1598</v>
      </c>
      <c r="I131" s="13"/>
      <c r="J131" s="13"/>
      <c r="K131" s="6" t="s">
        <v>2941</v>
      </c>
      <c r="L131" s="6" t="s">
        <v>2942</v>
      </c>
      <c r="M131" s="12" t="s">
        <v>2960</v>
      </c>
    </row>
    <row r="132" spans="1:13" ht="45" customHeight="1" x14ac:dyDescent="0.2">
      <c r="A132" s="6" t="s">
        <v>1007</v>
      </c>
      <c r="B132" s="6" t="s">
        <v>2966</v>
      </c>
      <c r="C132" s="6" t="s">
        <v>2967</v>
      </c>
      <c r="D132" s="6" t="s">
        <v>2939</v>
      </c>
      <c r="E132" s="6" t="s">
        <v>2940</v>
      </c>
      <c r="F132" s="8">
        <v>57000</v>
      </c>
      <c r="G132" s="10"/>
      <c r="H132" s="6" t="s">
        <v>1598</v>
      </c>
      <c r="I132" s="13"/>
      <c r="J132" s="13"/>
      <c r="K132" s="6" t="s">
        <v>2941</v>
      </c>
      <c r="L132" s="6" t="s">
        <v>2942</v>
      </c>
      <c r="M132" s="12" t="s">
        <v>2960</v>
      </c>
    </row>
    <row r="133" spans="1:13" ht="45" customHeight="1" x14ac:dyDescent="0.2">
      <c r="A133" s="6" t="s">
        <v>1007</v>
      </c>
      <c r="B133" s="6" t="s">
        <v>2968</v>
      </c>
      <c r="C133" s="6" t="s">
        <v>2969</v>
      </c>
      <c r="D133" s="6" t="s">
        <v>2939</v>
      </c>
      <c r="E133" s="6" t="s">
        <v>2940</v>
      </c>
      <c r="F133" s="8">
        <v>183000</v>
      </c>
      <c r="G133" s="10"/>
      <c r="H133" s="6" t="s">
        <v>1598</v>
      </c>
      <c r="I133" s="13"/>
      <c r="J133" s="13"/>
      <c r="K133" s="6" t="s">
        <v>2941</v>
      </c>
      <c r="L133" s="6" t="s">
        <v>2942</v>
      </c>
      <c r="M133" s="12" t="s">
        <v>2970</v>
      </c>
    </row>
    <row r="134" spans="1:13" ht="45" customHeight="1" x14ac:dyDescent="0.2">
      <c r="A134" s="6" t="s">
        <v>1007</v>
      </c>
      <c r="B134" s="6" t="s">
        <v>2971</v>
      </c>
      <c r="C134" s="6" t="s">
        <v>2972</v>
      </c>
      <c r="D134" s="6" t="s">
        <v>2939</v>
      </c>
      <c r="E134" s="6" t="s">
        <v>2940</v>
      </c>
      <c r="F134" s="8">
        <v>150800</v>
      </c>
      <c r="G134" s="10"/>
      <c r="H134" s="6" t="s">
        <v>1598</v>
      </c>
      <c r="I134" s="13"/>
      <c r="J134" s="13"/>
      <c r="K134" s="6" t="s">
        <v>2941</v>
      </c>
      <c r="L134" s="6" t="s">
        <v>2942</v>
      </c>
      <c r="M134" s="12" t="s">
        <v>2970</v>
      </c>
    </row>
    <row r="135" spans="1:13" ht="45" customHeight="1" x14ac:dyDescent="0.2">
      <c r="A135" s="6" t="s">
        <v>1007</v>
      </c>
      <c r="B135" s="6" t="s">
        <v>2973</v>
      </c>
      <c r="C135" s="6" t="s">
        <v>2974</v>
      </c>
      <c r="D135" s="6" t="s">
        <v>2939</v>
      </c>
      <c r="E135" s="6" t="s">
        <v>2940</v>
      </c>
      <c r="F135" s="8">
        <v>49547</v>
      </c>
      <c r="G135" s="10"/>
      <c r="H135" s="6" t="s">
        <v>1598</v>
      </c>
      <c r="I135" s="13"/>
      <c r="J135" s="13"/>
      <c r="K135" s="6" t="s">
        <v>2941</v>
      </c>
      <c r="L135" s="6" t="s">
        <v>2942</v>
      </c>
      <c r="M135" s="12" t="s">
        <v>2975</v>
      </c>
    </row>
    <row r="136" spans="1:13" ht="45" customHeight="1" x14ac:dyDescent="0.2">
      <c r="A136" s="6" t="s">
        <v>1007</v>
      </c>
      <c r="B136" s="6" t="s">
        <v>2976</v>
      </c>
      <c r="C136" s="6" t="s">
        <v>2977</v>
      </c>
      <c r="D136" s="6" t="s">
        <v>2939</v>
      </c>
      <c r="E136" s="6" t="s">
        <v>2940</v>
      </c>
      <c r="F136" s="8">
        <v>285000</v>
      </c>
      <c r="G136" s="10"/>
      <c r="H136" s="6" t="s">
        <v>1598</v>
      </c>
      <c r="I136" s="13"/>
      <c r="J136" s="13"/>
      <c r="K136" s="6" t="s">
        <v>2941</v>
      </c>
      <c r="L136" s="6" t="s">
        <v>2942</v>
      </c>
      <c r="M136" s="12" t="s">
        <v>2978</v>
      </c>
    </row>
    <row r="137" spans="1:13" ht="45" customHeight="1" x14ac:dyDescent="0.2">
      <c r="A137" s="6" t="s">
        <v>1007</v>
      </c>
      <c r="B137" s="6" t="s">
        <v>2979</v>
      </c>
      <c r="C137" s="6" t="s">
        <v>2977</v>
      </c>
      <c r="D137" s="6" t="s">
        <v>2939</v>
      </c>
      <c r="E137" s="6" t="s">
        <v>2940</v>
      </c>
      <c r="F137" s="8">
        <v>245271</v>
      </c>
      <c r="G137" s="10"/>
      <c r="H137" s="6" t="s">
        <v>1598</v>
      </c>
      <c r="I137" s="13"/>
      <c r="J137" s="13"/>
      <c r="K137" s="6" t="s">
        <v>2941</v>
      </c>
      <c r="L137" s="6" t="s">
        <v>2942</v>
      </c>
      <c r="M137" s="12" t="s">
        <v>2978</v>
      </c>
    </row>
    <row r="138" spans="1:13" ht="45" customHeight="1" x14ac:dyDescent="0.2">
      <c r="A138" s="6" t="s">
        <v>1007</v>
      </c>
      <c r="B138" s="6" t="s">
        <v>2980</v>
      </c>
      <c r="C138" s="6" t="s">
        <v>2977</v>
      </c>
      <c r="D138" s="6" t="s">
        <v>2939</v>
      </c>
      <c r="E138" s="6" t="s">
        <v>2940</v>
      </c>
      <c r="F138" s="8">
        <v>356440</v>
      </c>
      <c r="G138" s="10"/>
      <c r="H138" s="6" t="s">
        <v>1598</v>
      </c>
      <c r="I138" s="13"/>
      <c r="J138" s="13"/>
      <c r="K138" s="6" t="s">
        <v>2941</v>
      </c>
      <c r="L138" s="6" t="s">
        <v>2942</v>
      </c>
      <c r="M138" s="12" t="s">
        <v>2981</v>
      </c>
    </row>
    <row r="139" spans="1:13" ht="45" customHeight="1" x14ac:dyDescent="0.2">
      <c r="A139" s="6" t="s">
        <v>1007</v>
      </c>
      <c r="B139" s="6" t="s">
        <v>2982</v>
      </c>
      <c r="C139" s="6" t="s">
        <v>2977</v>
      </c>
      <c r="D139" s="6" t="s">
        <v>2939</v>
      </c>
      <c r="E139" s="6" t="s">
        <v>2940</v>
      </c>
      <c r="F139" s="8">
        <v>54720</v>
      </c>
      <c r="G139" s="10"/>
      <c r="H139" s="6" t="s">
        <v>1598</v>
      </c>
      <c r="I139" s="13"/>
      <c r="J139" s="13"/>
      <c r="K139" s="6" t="s">
        <v>2941</v>
      </c>
      <c r="L139" s="6" t="s">
        <v>2942</v>
      </c>
      <c r="M139" s="12" t="s">
        <v>2983</v>
      </c>
    </row>
    <row r="140" spans="1:13" ht="45" customHeight="1" x14ac:dyDescent="0.2">
      <c r="A140" s="6" t="s">
        <v>1007</v>
      </c>
      <c r="B140" s="6" t="s">
        <v>2984</v>
      </c>
      <c r="C140" s="6" t="s">
        <v>2985</v>
      </c>
      <c r="D140" s="6" t="s">
        <v>2939</v>
      </c>
      <c r="E140" s="6" t="s">
        <v>2940</v>
      </c>
      <c r="F140" s="8">
        <v>118750</v>
      </c>
      <c r="G140" s="10"/>
      <c r="H140" s="6" t="s">
        <v>1598</v>
      </c>
      <c r="I140" s="13"/>
      <c r="J140" s="13"/>
      <c r="K140" s="6" t="s">
        <v>2941</v>
      </c>
      <c r="L140" s="6" t="s">
        <v>2942</v>
      </c>
      <c r="M140" s="12" t="s">
        <v>2950</v>
      </c>
    </row>
    <row r="141" spans="1:13" ht="45" customHeight="1" x14ac:dyDescent="0.2">
      <c r="A141" s="6" t="s">
        <v>1007</v>
      </c>
      <c r="B141" s="6" t="s">
        <v>2986</v>
      </c>
      <c r="C141" s="6" t="s">
        <v>2987</v>
      </c>
      <c r="D141" s="6" t="s">
        <v>2939</v>
      </c>
      <c r="E141" s="6" t="s">
        <v>2940</v>
      </c>
      <c r="F141" s="8">
        <v>62500</v>
      </c>
      <c r="G141" s="10"/>
      <c r="H141" s="6" t="s">
        <v>1598</v>
      </c>
      <c r="I141" s="13"/>
      <c r="J141" s="13"/>
      <c r="K141" s="6" t="s">
        <v>2941</v>
      </c>
      <c r="L141" s="6" t="s">
        <v>2942</v>
      </c>
      <c r="M141" s="12" t="s">
        <v>2963</v>
      </c>
    </row>
    <row r="142" spans="1:13" ht="45" customHeight="1" x14ac:dyDescent="0.2">
      <c r="A142" s="6" t="s">
        <v>1007</v>
      </c>
      <c r="B142" s="6" t="s">
        <v>2988</v>
      </c>
      <c r="C142" s="6" t="s">
        <v>2989</v>
      </c>
      <c r="D142" s="6" t="s">
        <v>2939</v>
      </c>
      <c r="E142" s="6" t="s">
        <v>2940</v>
      </c>
      <c r="F142" s="8">
        <v>119000</v>
      </c>
      <c r="G142" s="10"/>
      <c r="H142" s="6" t="s">
        <v>1598</v>
      </c>
      <c r="I142" s="13"/>
      <c r="J142" s="13"/>
      <c r="K142" s="6" t="s">
        <v>2941</v>
      </c>
      <c r="L142" s="6" t="s">
        <v>2942</v>
      </c>
      <c r="M142" s="12" t="s">
        <v>2990</v>
      </c>
    </row>
    <row r="143" spans="1:13" ht="45" customHeight="1" x14ac:dyDescent="0.2">
      <c r="A143" s="6" t="s">
        <v>1007</v>
      </c>
      <c r="B143" s="6" t="s">
        <v>2991</v>
      </c>
      <c r="C143" s="6" t="s">
        <v>2992</v>
      </c>
      <c r="D143" s="6" t="s">
        <v>2939</v>
      </c>
      <c r="E143" s="6" t="s">
        <v>2940</v>
      </c>
      <c r="F143" s="8">
        <v>15000</v>
      </c>
      <c r="G143" s="10"/>
      <c r="H143" s="6" t="s">
        <v>1598</v>
      </c>
      <c r="I143" s="13"/>
      <c r="J143" s="13"/>
      <c r="K143" s="6" t="s">
        <v>2941</v>
      </c>
      <c r="L143" s="6" t="s">
        <v>2942</v>
      </c>
      <c r="M143" s="12" t="s">
        <v>2946</v>
      </c>
    </row>
    <row r="144" spans="1:13" ht="45" customHeight="1" x14ac:dyDescent="0.2">
      <c r="A144" s="6" t="s">
        <v>1007</v>
      </c>
      <c r="B144" s="6" t="s">
        <v>2993</v>
      </c>
      <c r="C144" s="6" t="s">
        <v>2994</v>
      </c>
      <c r="D144" s="6" t="s">
        <v>2939</v>
      </c>
      <c r="E144" s="6" t="s">
        <v>2940</v>
      </c>
      <c r="F144" s="8">
        <v>36700</v>
      </c>
      <c r="G144" s="10"/>
      <c r="H144" s="6" t="s">
        <v>1598</v>
      </c>
      <c r="I144" s="13"/>
      <c r="J144" s="13"/>
      <c r="K144" s="6" t="s">
        <v>2941</v>
      </c>
      <c r="L144" s="6" t="s">
        <v>2942</v>
      </c>
      <c r="M144" s="12" t="s">
        <v>2953</v>
      </c>
    </row>
    <row r="145" spans="1:13" ht="45" customHeight="1" x14ac:dyDescent="0.2">
      <c r="A145" s="6" t="s">
        <v>1007</v>
      </c>
      <c r="B145" s="6" t="s">
        <v>2995</v>
      </c>
      <c r="C145" s="6" t="s">
        <v>2996</v>
      </c>
      <c r="D145" s="6" t="s">
        <v>2939</v>
      </c>
      <c r="E145" s="6" t="s">
        <v>2940</v>
      </c>
      <c r="F145" s="8">
        <v>132000</v>
      </c>
      <c r="G145" s="10"/>
      <c r="H145" s="6" t="s">
        <v>1598</v>
      </c>
      <c r="I145" s="13"/>
      <c r="J145" s="13"/>
      <c r="K145" s="6" t="s">
        <v>2941</v>
      </c>
      <c r="L145" s="6" t="s">
        <v>2942</v>
      </c>
      <c r="M145" s="12" t="s">
        <v>2990</v>
      </c>
    </row>
    <row r="146" spans="1:13" ht="45" customHeight="1" x14ac:dyDescent="0.2">
      <c r="A146" s="6" t="s">
        <v>1007</v>
      </c>
      <c r="B146" s="6" t="s">
        <v>2997</v>
      </c>
      <c r="C146" s="6" t="s">
        <v>2998</v>
      </c>
      <c r="D146" s="6" t="s">
        <v>2939</v>
      </c>
      <c r="E146" s="6" t="s">
        <v>2940</v>
      </c>
      <c r="F146" s="8">
        <v>74500</v>
      </c>
      <c r="G146" s="10"/>
      <c r="H146" s="6" t="s">
        <v>1598</v>
      </c>
      <c r="I146" s="13"/>
      <c r="J146" s="13"/>
      <c r="K146" s="6" t="s">
        <v>2941</v>
      </c>
      <c r="L146" s="6" t="s">
        <v>2942</v>
      </c>
      <c r="M146" s="12" t="s">
        <v>2999</v>
      </c>
    </row>
    <row r="147" spans="1:13" ht="45" customHeight="1" x14ac:dyDescent="0.2">
      <c r="A147" s="6" t="s">
        <v>1007</v>
      </c>
      <c r="B147" s="6" t="s">
        <v>3000</v>
      </c>
      <c r="C147" s="6" t="s">
        <v>3001</v>
      </c>
      <c r="D147" s="6" t="s">
        <v>2939</v>
      </c>
      <c r="E147" s="6" t="s">
        <v>2940</v>
      </c>
      <c r="F147" s="8">
        <v>80000</v>
      </c>
      <c r="G147" s="10"/>
      <c r="H147" s="6" t="s">
        <v>1598</v>
      </c>
      <c r="I147" s="13"/>
      <c r="J147" s="13"/>
      <c r="K147" s="6" t="s">
        <v>2941</v>
      </c>
      <c r="L147" s="6" t="s">
        <v>2942</v>
      </c>
      <c r="M147" s="12" t="s">
        <v>2960</v>
      </c>
    </row>
    <row r="148" spans="1:13" ht="45" customHeight="1" x14ac:dyDescent="0.2">
      <c r="A148" s="6" t="s">
        <v>1007</v>
      </c>
      <c r="B148" s="6" t="s">
        <v>3002</v>
      </c>
      <c r="C148" s="6" t="s">
        <v>3003</v>
      </c>
      <c r="D148" s="6" t="s">
        <v>2939</v>
      </c>
      <c r="E148" s="6" t="s">
        <v>2940</v>
      </c>
      <c r="F148" s="8">
        <v>73000</v>
      </c>
      <c r="G148" s="10"/>
      <c r="H148" s="6" t="s">
        <v>1598</v>
      </c>
      <c r="I148" s="13"/>
      <c r="J148" s="13"/>
      <c r="K148" s="6" t="s">
        <v>2941</v>
      </c>
      <c r="L148" s="6" t="s">
        <v>2942</v>
      </c>
      <c r="M148" s="12" t="s">
        <v>2950</v>
      </c>
    </row>
    <row r="149" spans="1:13" ht="45" customHeight="1" x14ac:dyDescent="0.2">
      <c r="A149" s="6" t="s">
        <v>1007</v>
      </c>
      <c r="B149" s="6" t="s">
        <v>3004</v>
      </c>
      <c r="C149" s="6" t="s">
        <v>3005</v>
      </c>
      <c r="D149" s="6" t="s">
        <v>2939</v>
      </c>
      <c r="E149" s="6" t="s">
        <v>2940</v>
      </c>
      <c r="F149" s="8">
        <v>74000</v>
      </c>
      <c r="G149" s="10"/>
      <c r="H149" s="6" t="s">
        <v>1598</v>
      </c>
      <c r="I149" s="13"/>
      <c r="J149" s="13"/>
      <c r="K149" s="6" t="s">
        <v>2941</v>
      </c>
      <c r="L149" s="6" t="s">
        <v>2942</v>
      </c>
      <c r="M149" s="12" t="s">
        <v>2950</v>
      </c>
    </row>
    <row r="150" spans="1:13" ht="45" customHeight="1" x14ac:dyDescent="0.2">
      <c r="A150" s="6" t="s">
        <v>1007</v>
      </c>
      <c r="B150" s="6" t="s">
        <v>3006</v>
      </c>
      <c r="C150" s="6" t="s">
        <v>3007</v>
      </c>
      <c r="D150" s="6" t="s">
        <v>2939</v>
      </c>
      <c r="E150" s="6" t="s">
        <v>2940</v>
      </c>
      <c r="F150" s="8">
        <v>83000</v>
      </c>
      <c r="G150" s="10"/>
      <c r="H150" s="6" t="s">
        <v>1598</v>
      </c>
      <c r="I150" s="13"/>
      <c r="J150" s="13"/>
      <c r="K150" s="6" t="s">
        <v>2941</v>
      </c>
      <c r="L150" s="6" t="s">
        <v>2942</v>
      </c>
      <c r="M150" s="12" t="s">
        <v>3008</v>
      </c>
    </row>
    <row r="151" spans="1:13" ht="45" customHeight="1" x14ac:dyDescent="0.2">
      <c r="A151" s="6" t="s">
        <v>1007</v>
      </c>
      <c r="B151" s="6" t="s">
        <v>3009</v>
      </c>
      <c r="C151" s="6" t="s">
        <v>3010</v>
      </c>
      <c r="D151" s="6" t="s">
        <v>2939</v>
      </c>
      <c r="E151" s="6" t="s">
        <v>2940</v>
      </c>
      <c r="F151" s="8">
        <v>190000</v>
      </c>
      <c r="G151" s="10"/>
      <c r="H151" s="6" t="s">
        <v>1598</v>
      </c>
      <c r="I151" s="13"/>
      <c r="J151" s="13"/>
      <c r="K151" s="6" t="s">
        <v>2941</v>
      </c>
      <c r="L151" s="6" t="s">
        <v>2942</v>
      </c>
      <c r="M151" s="12" t="s">
        <v>2943</v>
      </c>
    </row>
    <row r="152" spans="1:13" ht="45" customHeight="1" x14ac:dyDescent="0.2">
      <c r="A152" s="6" t="s">
        <v>1007</v>
      </c>
      <c r="B152" s="6" t="s">
        <v>3011</v>
      </c>
      <c r="C152" s="6" t="s">
        <v>3012</v>
      </c>
      <c r="D152" s="6" t="s">
        <v>2939</v>
      </c>
      <c r="E152" s="6" t="s">
        <v>2940</v>
      </c>
      <c r="F152" s="8">
        <v>26500</v>
      </c>
      <c r="G152" s="10"/>
      <c r="H152" s="6" t="s">
        <v>1598</v>
      </c>
      <c r="I152" s="13"/>
      <c r="J152" s="13"/>
      <c r="K152" s="6" t="s">
        <v>2941</v>
      </c>
      <c r="L152" s="6" t="s">
        <v>2942</v>
      </c>
      <c r="M152" s="12" t="s">
        <v>2981</v>
      </c>
    </row>
    <row r="153" spans="1:13" ht="45" customHeight="1" x14ac:dyDescent="0.2">
      <c r="A153" s="6" t="s">
        <v>1007</v>
      </c>
      <c r="B153" s="6" t="s">
        <v>3013</v>
      </c>
      <c r="C153" s="6" t="s">
        <v>3014</v>
      </c>
      <c r="D153" s="6" t="s">
        <v>2939</v>
      </c>
      <c r="E153" s="6" t="s">
        <v>2940</v>
      </c>
      <c r="F153" s="8">
        <v>22300</v>
      </c>
      <c r="G153" s="10"/>
      <c r="H153" s="6" t="s">
        <v>1598</v>
      </c>
      <c r="I153" s="13"/>
      <c r="J153" s="13"/>
      <c r="K153" s="6" t="s">
        <v>2941</v>
      </c>
      <c r="L153" s="6" t="s">
        <v>2942</v>
      </c>
      <c r="M153" s="12" t="s">
        <v>3015</v>
      </c>
    </row>
    <row r="154" spans="1:13" ht="45" customHeight="1" x14ac:dyDescent="0.2">
      <c r="A154" s="6" t="s">
        <v>1007</v>
      </c>
      <c r="B154" s="6" t="s">
        <v>3016</v>
      </c>
      <c r="C154" s="6" t="s">
        <v>3017</v>
      </c>
      <c r="D154" s="6" t="s">
        <v>2939</v>
      </c>
      <c r="E154" s="6" t="s">
        <v>2940</v>
      </c>
      <c r="F154" s="8">
        <v>267000</v>
      </c>
      <c r="G154" s="10"/>
      <c r="H154" s="6" t="s">
        <v>1598</v>
      </c>
      <c r="I154" s="13"/>
      <c r="J154" s="13"/>
      <c r="K154" s="6" t="s">
        <v>2941</v>
      </c>
      <c r="L154" s="6" t="s">
        <v>2942</v>
      </c>
      <c r="M154" s="12" t="s">
        <v>3018</v>
      </c>
    </row>
    <row r="155" spans="1:13" ht="45" customHeight="1" x14ac:dyDescent="0.2">
      <c r="A155" s="6" t="s">
        <v>1007</v>
      </c>
      <c r="B155" s="6" t="s">
        <v>3019</v>
      </c>
      <c r="C155" s="6" t="s">
        <v>3017</v>
      </c>
      <c r="D155" s="6" t="s">
        <v>2939</v>
      </c>
      <c r="E155" s="6" t="s">
        <v>2940</v>
      </c>
      <c r="F155" s="8">
        <v>523500</v>
      </c>
      <c r="G155" s="10"/>
      <c r="H155" s="6" t="s">
        <v>1598</v>
      </c>
      <c r="I155" s="13"/>
      <c r="J155" s="13"/>
      <c r="K155" s="6" t="s">
        <v>2941</v>
      </c>
      <c r="L155" s="6" t="s">
        <v>2942</v>
      </c>
      <c r="M155" s="12" t="s">
        <v>2960</v>
      </c>
    </row>
    <row r="156" spans="1:13" ht="45" customHeight="1" x14ac:dyDescent="0.2">
      <c r="A156" s="6" t="s">
        <v>1007</v>
      </c>
      <c r="B156" s="6" t="s">
        <v>3020</v>
      </c>
      <c r="C156" s="6" t="s">
        <v>3017</v>
      </c>
      <c r="D156" s="6" t="s">
        <v>2939</v>
      </c>
      <c r="E156" s="6" t="s">
        <v>2940</v>
      </c>
      <c r="F156" s="8">
        <v>564500</v>
      </c>
      <c r="G156" s="10"/>
      <c r="H156" s="6" t="s">
        <v>1598</v>
      </c>
      <c r="I156" s="13"/>
      <c r="J156" s="13"/>
      <c r="K156" s="6" t="s">
        <v>2941</v>
      </c>
      <c r="L156" s="6" t="s">
        <v>2942</v>
      </c>
      <c r="M156" s="12" t="s">
        <v>2950</v>
      </c>
    </row>
    <row r="157" spans="1:13" ht="45" customHeight="1" x14ac:dyDescent="0.2">
      <c r="A157" s="6" t="s">
        <v>1007</v>
      </c>
      <c r="B157" s="6" t="s">
        <v>3021</v>
      </c>
      <c r="C157" s="6" t="s">
        <v>3017</v>
      </c>
      <c r="D157" s="6" t="s">
        <v>2939</v>
      </c>
      <c r="E157" s="6" t="s">
        <v>2940</v>
      </c>
      <c r="F157" s="8">
        <v>612000</v>
      </c>
      <c r="G157" s="10"/>
      <c r="H157" s="6" t="s">
        <v>1598</v>
      </c>
      <c r="I157" s="13"/>
      <c r="J157" s="13"/>
      <c r="K157" s="6" t="s">
        <v>2941</v>
      </c>
      <c r="L157" s="6" t="s">
        <v>2942</v>
      </c>
      <c r="M157" s="12" t="s">
        <v>2950</v>
      </c>
    </row>
    <row r="158" spans="1:13" ht="45" customHeight="1" x14ac:dyDescent="0.2">
      <c r="A158" s="6" t="s">
        <v>1007</v>
      </c>
      <c r="B158" s="6" t="s">
        <v>3022</v>
      </c>
      <c r="C158" s="6" t="s">
        <v>3023</v>
      </c>
      <c r="D158" s="6" t="s">
        <v>2939</v>
      </c>
      <c r="E158" s="6" t="s">
        <v>2940</v>
      </c>
      <c r="F158" s="8">
        <v>31664</v>
      </c>
      <c r="G158" s="10"/>
      <c r="H158" s="6" t="s">
        <v>1598</v>
      </c>
      <c r="I158" s="13"/>
      <c r="J158" s="13"/>
      <c r="K158" s="6" t="s">
        <v>2941</v>
      </c>
      <c r="L158" s="6" t="s">
        <v>2942</v>
      </c>
      <c r="M158" s="12" t="s">
        <v>2983</v>
      </c>
    </row>
    <row r="159" spans="1:13" ht="45" customHeight="1" x14ac:dyDescent="0.2">
      <c r="A159" s="6" t="s">
        <v>1007</v>
      </c>
      <c r="B159" s="6" t="s">
        <v>3024</v>
      </c>
      <c r="C159" s="6" t="s">
        <v>3025</v>
      </c>
      <c r="D159" s="6" t="s">
        <v>2939</v>
      </c>
      <c r="E159" s="6" t="s">
        <v>2940</v>
      </c>
      <c r="F159" s="8">
        <v>2000</v>
      </c>
      <c r="G159" s="10"/>
      <c r="H159" s="6" t="s">
        <v>1598</v>
      </c>
      <c r="I159" s="13"/>
      <c r="J159" s="13"/>
      <c r="K159" s="6" t="s">
        <v>2941</v>
      </c>
      <c r="L159" s="6" t="s">
        <v>2942</v>
      </c>
      <c r="M159" s="12" t="s">
        <v>3026</v>
      </c>
    </row>
    <row r="160" spans="1:13" ht="45" customHeight="1" x14ac:dyDescent="0.2">
      <c r="A160" s="6" t="s">
        <v>1007</v>
      </c>
      <c r="B160" s="6" t="s">
        <v>3027</v>
      </c>
      <c r="C160" s="6" t="s">
        <v>3028</v>
      </c>
      <c r="D160" s="6" t="s">
        <v>2939</v>
      </c>
      <c r="E160" s="6" t="s">
        <v>2940</v>
      </c>
      <c r="F160" s="8">
        <v>4100</v>
      </c>
      <c r="G160" s="10"/>
      <c r="H160" s="6" t="s">
        <v>1598</v>
      </c>
      <c r="I160" s="13"/>
      <c r="J160" s="13"/>
      <c r="K160" s="6" t="s">
        <v>2941</v>
      </c>
      <c r="L160" s="6" t="s">
        <v>2942</v>
      </c>
      <c r="M160" s="12" t="s">
        <v>3029</v>
      </c>
    </row>
    <row r="161" spans="1:13" ht="45" customHeight="1" x14ac:dyDescent="0.2">
      <c r="A161" s="6" t="s">
        <v>1007</v>
      </c>
      <c r="B161" s="6" t="s">
        <v>3030</v>
      </c>
      <c r="C161" s="6" t="s">
        <v>3031</v>
      </c>
      <c r="D161" s="6" t="s">
        <v>2939</v>
      </c>
      <c r="E161" s="6" t="s">
        <v>2940</v>
      </c>
      <c r="F161" s="8">
        <v>45000</v>
      </c>
      <c r="G161" s="10"/>
      <c r="H161" s="6" t="s">
        <v>1598</v>
      </c>
      <c r="I161" s="13"/>
      <c r="J161" s="13"/>
      <c r="K161" s="6" t="s">
        <v>2941</v>
      </c>
      <c r="L161" s="6" t="s">
        <v>2942</v>
      </c>
      <c r="M161" s="12" t="s">
        <v>2950</v>
      </c>
    </row>
    <row r="162" spans="1:13" ht="45" customHeight="1" x14ac:dyDescent="0.2">
      <c r="A162" s="6" t="s">
        <v>1007</v>
      </c>
      <c r="B162" s="6" t="s">
        <v>3032</v>
      </c>
      <c r="C162" s="6" t="s">
        <v>3033</v>
      </c>
      <c r="D162" s="6" t="s">
        <v>2939</v>
      </c>
      <c r="E162" s="6" t="s">
        <v>2940</v>
      </c>
      <c r="F162" s="8">
        <v>31000</v>
      </c>
      <c r="G162" s="10"/>
      <c r="H162" s="6" t="s">
        <v>1598</v>
      </c>
      <c r="I162" s="13"/>
      <c r="J162" s="13"/>
      <c r="K162" s="6" t="s">
        <v>2941</v>
      </c>
      <c r="L162" s="6" t="s">
        <v>2942</v>
      </c>
      <c r="M162" s="12" t="s">
        <v>3034</v>
      </c>
    </row>
    <row r="163" spans="1:13" ht="45" customHeight="1" x14ac:dyDescent="0.2">
      <c r="A163" s="6" t="s">
        <v>1007</v>
      </c>
      <c r="B163" s="6" t="s">
        <v>3006</v>
      </c>
      <c r="C163" s="6" t="s">
        <v>3035</v>
      </c>
      <c r="D163" s="6" t="s">
        <v>2939</v>
      </c>
      <c r="E163" s="6" t="s">
        <v>2940</v>
      </c>
      <c r="F163" s="8">
        <v>162000</v>
      </c>
      <c r="G163" s="10"/>
      <c r="H163" s="6" t="s">
        <v>1598</v>
      </c>
      <c r="I163" s="13"/>
      <c r="J163" s="13"/>
      <c r="K163" s="6" t="s">
        <v>2941</v>
      </c>
      <c r="L163" s="6" t="s">
        <v>2942</v>
      </c>
      <c r="M163" s="12" t="s">
        <v>2990</v>
      </c>
    </row>
    <row r="164" spans="1:13" ht="45" customHeight="1" x14ac:dyDescent="0.2">
      <c r="A164" s="6" t="s">
        <v>1007</v>
      </c>
      <c r="B164" s="6" t="s">
        <v>3036</v>
      </c>
      <c r="C164" s="6" t="s">
        <v>3037</v>
      </c>
      <c r="D164" s="6" t="s">
        <v>2939</v>
      </c>
      <c r="E164" s="6" t="s">
        <v>2940</v>
      </c>
      <c r="F164" s="8">
        <v>110000</v>
      </c>
      <c r="G164" s="10"/>
      <c r="H164" s="6" t="s">
        <v>1598</v>
      </c>
      <c r="I164" s="13"/>
      <c r="J164" s="13"/>
      <c r="K164" s="6" t="s">
        <v>2941</v>
      </c>
      <c r="L164" s="6" t="s">
        <v>2942</v>
      </c>
      <c r="M164" s="12" t="s">
        <v>3038</v>
      </c>
    </row>
    <row r="165" spans="1:13" ht="45" customHeight="1" x14ac:dyDescent="0.2">
      <c r="A165" s="6" t="s">
        <v>1007</v>
      </c>
      <c r="B165" s="6" t="s">
        <v>3039</v>
      </c>
      <c r="C165" s="6" t="s">
        <v>3040</v>
      </c>
      <c r="D165" s="6" t="s">
        <v>2939</v>
      </c>
      <c r="E165" s="6" t="s">
        <v>2940</v>
      </c>
      <c r="F165" s="8">
        <v>145000</v>
      </c>
      <c r="G165" s="10"/>
      <c r="H165" s="6" t="s">
        <v>1598</v>
      </c>
      <c r="I165" s="13"/>
      <c r="J165" s="13"/>
      <c r="K165" s="6" t="s">
        <v>2941</v>
      </c>
      <c r="L165" s="6" t="s">
        <v>2942</v>
      </c>
      <c r="M165" s="12" t="s">
        <v>2955</v>
      </c>
    </row>
    <row r="166" spans="1:13" ht="45" customHeight="1" x14ac:dyDescent="0.2">
      <c r="A166" s="6" t="s">
        <v>1007</v>
      </c>
      <c r="B166" s="6" t="s">
        <v>3041</v>
      </c>
      <c r="C166" s="6" t="s">
        <v>3042</v>
      </c>
      <c r="D166" s="6" t="s">
        <v>2939</v>
      </c>
      <c r="E166" s="6" t="s">
        <v>2940</v>
      </c>
      <c r="F166" s="8">
        <v>70300</v>
      </c>
      <c r="G166" s="10"/>
      <c r="H166" s="6" t="s">
        <v>1598</v>
      </c>
      <c r="I166" s="13"/>
      <c r="J166" s="13"/>
      <c r="K166" s="6" t="s">
        <v>2941</v>
      </c>
      <c r="L166" s="6" t="s">
        <v>2942</v>
      </c>
      <c r="M166" s="12" t="s">
        <v>2999</v>
      </c>
    </row>
    <row r="167" spans="1:13" ht="45" customHeight="1" x14ac:dyDescent="0.2">
      <c r="A167" s="6" t="s">
        <v>1007</v>
      </c>
      <c r="B167" s="6" t="s">
        <v>3043</v>
      </c>
      <c r="C167" s="6" t="s">
        <v>3042</v>
      </c>
      <c r="D167" s="6" t="s">
        <v>2939</v>
      </c>
      <c r="E167" s="6" t="s">
        <v>2940</v>
      </c>
      <c r="F167" s="8">
        <v>85000</v>
      </c>
      <c r="G167" s="10"/>
      <c r="H167" s="6" t="s">
        <v>1598</v>
      </c>
      <c r="I167" s="13"/>
      <c r="J167" s="13"/>
      <c r="K167" s="6" t="s">
        <v>2941</v>
      </c>
      <c r="L167" s="6" t="s">
        <v>2942</v>
      </c>
      <c r="M167" s="12" t="s">
        <v>2999</v>
      </c>
    </row>
    <row r="168" spans="1:13" ht="45" customHeight="1" x14ac:dyDescent="0.2">
      <c r="A168" s="6" t="s">
        <v>1007</v>
      </c>
      <c r="B168" s="6" t="s">
        <v>3044</v>
      </c>
      <c r="C168" s="6" t="s">
        <v>3045</v>
      </c>
      <c r="D168" s="6" t="s">
        <v>2939</v>
      </c>
      <c r="E168" s="6" t="s">
        <v>2940</v>
      </c>
      <c r="F168" s="8">
        <v>41705</v>
      </c>
      <c r="G168" s="10"/>
      <c r="H168" s="6" t="s">
        <v>1598</v>
      </c>
      <c r="I168" s="13"/>
      <c r="J168" s="13"/>
      <c r="K168" s="6" t="s">
        <v>2941</v>
      </c>
      <c r="L168" s="6" t="s">
        <v>2942</v>
      </c>
      <c r="M168" s="12" t="s">
        <v>2983</v>
      </c>
    </row>
    <row r="169" spans="1:13" ht="45" customHeight="1" x14ac:dyDescent="0.2">
      <c r="A169" s="6" t="s">
        <v>1007</v>
      </c>
      <c r="B169" s="6" t="s">
        <v>3046</v>
      </c>
      <c r="C169" s="6" t="s">
        <v>3047</v>
      </c>
      <c r="D169" s="6" t="s">
        <v>2939</v>
      </c>
      <c r="E169" s="6" t="s">
        <v>2940</v>
      </c>
      <c r="F169" s="8">
        <v>75000</v>
      </c>
      <c r="G169" s="10"/>
      <c r="H169" s="6" t="s">
        <v>1598</v>
      </c>
      <c r="I169" s="13"/>
      <c r="J169" s="13"/>
      <c r="K169" s="6" t="s">
        <v>2941</v>
      </c>
      <c r="L169" s="6" t="s">
        <v>2942</v>
      </c>
      <c r="M169" s="12" t="s">
        <v>3034</v>
      </c>
    </row>
    <row r="170" spans="1:13" ht="45" customHeight="1" x14ac:dyDescent="0.2">
      <c r="A170" s="6" t="s">
        <v>1007</v>
      </c>
      <c r="B170" s="6" t="s">
        <v>2991</v>
      </c>
      <c r="C170" s="6" t="s">
        <v>3048</v>
      </c>
      <c r="D170" s="6" t="s">
        <v>2939</v>
      </c>
      <c r="E170" s="6" t="s">
        <v>2940</v>
      </c>
      <c r="F170" s="8">
        <v>6500</v>
      </c>
      <c r="G170" s="10"/>
      <c r="H170" s="6" t="s">
        <v>1598</v>
      </c>
      <c r="I170" s="13"/>
      <c r="J170" s="13"/>
      <c r="K170" s="6" t="s">
        <v>2941</v>
      </c>
      <c r="L170" s="6" t="s">
        <v>2942</v>
      </c>
      <c r="M170" s="12" t="s">
        <v>2946</v>
      </c>
    </row>
    <row r="171" spans="1:13" ht="45" customHeight="1" x14ac:dyDescent="0.2">
      <c r="A171" s="6" t="s">
        <v>1007</v>
      </c>
      <c r="B171" s="6" t="s">
        <v>3049</v>
      </c>
      <c r="C171" s="6" t="s">
        <v>3050</v>
      </c>
      <c r="D171" s="6" t="s">
        <v>2939</v>
      </c>
      <c r="E171" s="6" t="s">
        <v>2940</v>
      </c>
      <c r="F171" s="8">
        <v>50000</v>
      </c>
      <c r="G171" s="10"/>
      <c r="H171" s="6" t="s">
        <v>1598</v>
      </c>
      <c r="I171" s="13"/>
      <c r="J171" s="13"/>
      <c r="K171" s="6" t="s">
        <v>2941</v>
      </c>
      <c r="L171" s="6" t="s">
        <v>2942</v>
      </c>
      <c r="M171" s="12" t="s">
        <v>3029</v>
      </c>
    </row>
    <row r="172" spans="1:13" ht="45" customHeight="1" x14ac:dyDescent="0.2">
      <c r="A172" s="6" t="s">
        <v>1007</v>
      </c>
      <c r="B172" s="6" t="s">
        <v>3051</v>
      </c>
      <c r="C172" s="6" t="s">
        <v>3052</v>
      </c>
      <c r="D172" s="6" t="s">
        <v>2939</v>
      </c>
      <c r="E172" s="6" t="s">
        <v>2940</v>
      </c>
      <c r="F172" s="8">
        <v>11000</v>
      </c>
      <c r="G172" s="10"/>
      <c r="H172" s="6" t="s">
        <v>1598</v>
      </c>
      <c r="I172" s="13"/>
      <c r="J172" s="13"/>
      <c r="K172" s="6" t="s">
        <v>2941</v>
      </c>
      <c r="L172" s="6" t="s">
        <v>2942</v>
      </c>
      <c r="M172" s="12" t="s">
        <v>2981</v>
      </c>
    </row>
    <row r="173" spans="1:13" ht="45" customHeight="1" x14ac:dyDescent="0.2">
      <c r="A173" s="6" t="s">
        <v>1007</v>
      </c>
      <c r="B173" s="6" t="s">
        <v>3053</v>
      </c>
      <c r="C173" s="6" t="s">
        <v>3054</v>
      </c>
      <c r="D173" s="6" t="s">
        <v>2939</v>
      </c>
      <c r="E173" s="6" t="s">
        <v>2940</v>
      </c>
      <c r="F173" s="8">
        <v>26000</v>
      </c>
      <c r="G173" s="10"/>
      <c r="H173" s="6" t="s">
        <v>1598</v>
      </c>
      <c r="I173" s="13"/>
      <c r="J173" s="13"/>
      <c r="K173" s="6" t="s">
        <v>2941</v>
      </c>
      <c r="L173" s="6" t="s">
        <v>2942</v>
      </c>
      <c r="M173" s="12" t="s">
        <v>2978</v>
      </c>
    </row>
    <row r="174" spans="1:13" ht="45" customHeight="1" x14ac:dyDescent="0.2">
      <c r="A174" s="6" t="s">
        <v>1007</v>
      </c>
      <c r="B174" s="6" t="s">
        <v>3055</v>
      </c>
      <c r="C174" s="6" t="s">
        <v>3056</v>
      </c>
      <c r="D174" s="6" t="s">
        <v>2939</v>
      </c>
      <c r="E174" s="6" t="s">
        <v>2940</v>
      </c>
      <c r="F174" s="8">
        <v>105000</v>
      </c>
      <c r="G174" s="10"/>
      <c r="H174" s="6" t="s">
        <v>1598</v>
      </c>
      <c r="I174" s="13"/>
      <c r="J174" s="13"/>
      <c r="K174" s="6" t="s">
        <v>2941</v>
      </c>
      <c r="L174" s="6" t="s">
        <v>2942</v>
      </c>
      <c r="M174" s="12" t="s">
        <v>2950</v>
      </c>
    </row>
    <row r="175" spans="1:13" ht="45" customHeight="1" x14ac:dyDescent="0.2">
      <c r="A175" s="6" t="s">
        <v>1007</v>
      </c>
      <c r="B175" s="6" t="s">
        <v>3057</v>
      </c>
      <c r="C175" s="6" t="s">
        <v>3058</v>
      </c>
      <c r="D175" s="6" t="s">
        <v>2939</v>
      </c>
      <c r="E175" s="6" t="s">
        <v>2940</v>
      </c>
      <c r="F175" s="8">
        <v>335000</v>
      </c>
      <c r="G175" s="10"/>
      <c r="H175" s="6" t="s">
        <v>1598</v>
      </c>
      <c r="I175" s="13"/>
      <c r="J175" s="13"/>
      <c r="K175" s="6" t="s">
        <v>2941</v>
      </c>
      <c r="L175" s="6" t="s">
        <v>2942</v>
      </c>
      <c r="M175" s="12" t="s">
        <v>3059</v>
      </c>
    </row>
    <row r="176" spans="1:13" ht="45" customHeight="1" x14ac:dyDescent="0.2">
      <c r="A176" s="6" t="s">
        <v>1007</v>
      </c>
      <c r="B176" s="6" t="s">
        <v>3060</v>
      </c>
      <c r="C176" s="6" t="s">
        <v>3058</v>
      </c>
      <c r="D176" s="6" t="s">
        <v>2939</v>
      </c>
      <c r="E176" s="6" t="s">
        <v>2940</v>
      </c>
      <c r="F176" s="8">
        <v>87500</v>
      </c>
      <c r="G176" s="10"/>
      <c r="H176" s="6" t="s">
        <v>1598</v>
      </c>
      <c r="I176" s="13"/>
      <c r="J176" s="13"/>
      <c r="K176" s="6" t="s">
        <v>2941</v>
      </c>
      <c r="L176" s="6" t="s">
        <v>2942</v>
      </c>
      <c r="M176" s="12" t="s">
        <v>2950</v>
      </c>
    </row>
    <row r="177" spans="1:13" ht="45" customHeight="1" x14ac:dyDescent="0.2">
      <c r="A177" s="6" t="s">
        <v>1007</v>
      </c>
      <c r="B177" s="6" t="s">
        <v>3061</v>
      </c>
      <c r="C177" s="6" t="s">
        <v>3058</v>
      </c>
      <c r="D177" s="6" t="s">
        <v>2939</v>
      </c>
      <c r="E177" s="6" t="s">
        <v>2940</v>
      </c>
      <c r="F177" s="8">
        <v>290000</v>
      </c>
      <c r="G177" s="10"/>
      <c r="H177" s="6" t="s">
        <v>1598</v>
      </c>
      <c r="I177" s="13"/>
      <c r="J177" s="13"/>
      <c r="K177" s="6" t="s">
        <v>2941</v>
      </c>
      <c r="L177" s="6" t="s">
        <v>2942</v>
      </c>
      <c r="M177" s="12" t="s">
        <v>2950</v>
      </c>
    </row>
    <row r="178" spans="1:13" ht="45" customHeight="1" x14ac:dyDescent="0.2">
      <c r="A178" s="6" t="s">
        <v>1007</v>
      </c>
      <c r="B178" s="6" t="s">
        <v>3062</v>
      </c>
      <c r="C178" s="6" t="s">
        <v>3063</v>
      </c>
      <c r="D178" s="6" t="s">
        <v>2939</v>
      </c>
      <c r="E178" s="6" t="s">
        <v>2940</v>
      </c>
      <c r="F178" s="8">
        <v>253000</v>
      </c>
      <c r="G178" s="10"/>
      <c r="H178" s="6" t="s">
        <v>1598</v>
      </c>
      <c r="I178" s="13"/>
      <c r="J178" s="13"/>
      <c r="K178" s="6" t="s">
        <v>2941</v>
      </c>
      <c r="L178" s="6" t="s">
        <v>2942</v>
      </c>
      <c r="M178" s="12" t="s">
        <v>3018</v>
      </c>
    </row>
    <row r="179" spans="1:13" ht="45" customHeight="1" x14ac:dyDescent="0.2">
      <c r="A179" s="6" t="s">
        <v>1007</v>
      </c>
      <c r="B179" s="6" t="s">
        <v>3064</v>
      </c>
      <c r="C179" s="6" t="s">
        <v>3063</v>
      </c>
      <c r="D179" s="6" t="s">
        <v>2939</v>
      </c>
      <c r="E179" s="6" t="s">
        <v>2940</v>
      </c>
      <c r="F179" s="8">
        <v>307000</v>
      </c>
      <c r="G179" s="10"/>
      <c r="H179" s="6" t="s">
        <v>1598</v>
      </c>
      <c r="I179" s="13"/>
      <c r="J179" s="13"/>
      <c r="K179" s="6" t="s">
        <v>2941</v>
      </c>
      <c r="L179" s="6" t="s">
        <v>2942</v>
      </c>
      <c r="M179" s="12" t="s">
        <v>3065</v>
      </c>
    </row>
    <row r="180" spans="1:13" ht="45" customHeight="1" x14ac:dyDescent="0.2">
      <c r="A180" s="6" t="s">
        <v>1007</v>
      </c>
      <c r="B180" s="6" t="s">
        <v>3066</v>
      </c>
      <c r="C180" s="6" t="s">
        <v>3063</v>
      </c>
      <c r="D180" s="6" t="s">
        <v>2939</v>
      </c>
      <c r="E180" s="6" t="s">
        <v>2940</v>
      </c>
      <c r="F180" s="8">
        <v>617000</v>
      </c>
      <c r="G180" s="10"/>
      <c r="H180" s="6" t="s">
        <v>1598</v>
      </c>
      <c r="I180" s="13"/>
      <c r="J180" s="13"/>
      <c r="K180" s="6" t="s">
        <v>2941</v>
      </c>
      <c r="L180" s="6" t="s">
        <v>2942</v>
      </c>
      <c r="M180" s="12" t="s">
        <v>2960</v>
      </c>
    </row>
    <row r="181" spans="1:13" ht="45" customHeight="1" x14ac:dyDescent="0.2">
      <c r="A181" s="6" t="s">
        <v>1007</v>
      </c>
      <c r="B181" s="6" t="s">
        <v>3067</v>
      </c>
      <c r="C181" s="6" t="s">
        <v>3063</v>
      </c>
      <c r="D181" s="6" t="s">
        <v>2939</v>
      </c>
      <c r="E181" s="6" t="s">
        <v>2940</v>
      </c>
      <c r="F181" s="8">
        <v>146000</v>
      </c>
      <c r="G181" s="10"/>
      <c r="H181" s="6" t="s">
        <v>1598</v>
      </c>
      <c r="I181" s="13"/>
      <c r="J181" s="13"/>
      <c r="K181" s="6" t="s">
        <v>2941</v>
      </c>
      <c r="L181" s="6" t="s">
        <v>2942</v>
      </c>
      <c r="M181" s="12" t="s">
        <v>3068</v>
      </c>
    </row>
    <row r="182" spans="1:13" ht="45" customHeight="1" x14ac:dyDescent="0.2">
      <c r="A182" s="6" t="s">
        <v>1007</v>
      </c>
      <c r="B182" s="6" t="s">
        <v>3069</v>
      </c>
      <c r="C182" s="6" t="s">
        <v>3063</v>
      </c>
      <c r="D182" s="6" t="s">
        <v>2939</v>
      </c>
      <c r="E182" s="6" t="s">
        <v>2940</v>
      </c>
      <c r="F182" s="8">
        <v>100000</v>
      </c>
      <c r="G182" s="10"/>
      <c r="H182" s="6" t="s">
        <v>1598</v>
      </c>
      <c r="I182" s="13"/>
      <c r="J182" s="13"/>
      <c r="K182" s="6" t="s">
        <v>2941</v>
      </c>
      <c r="L182" s="6" t="s">
        <v>2942</v>
      </c>
      <c r="M182" s="12" t="s">
        <v>2970</v>
      </c>
    </row>
    <row r="183" spans="1:13" ht="45" customHeight="1" x14ac:dyDescent="0.2">
      <c r="A183" s="6" t="s">
        <v>1007</v>
      </c>
      <c r="B183" s="6" t="s">
        <v>3070</v>
      </c>
      <c r="C183" s="6" t="s">
        <v>3063</v>
      </c>
      <c r="D183" s="6" t="s">
        <v>2939</v>
      </c>
      <c r="E183" s="6" t="s">
        <v>2940</v>
      </c>
      <c r="F183" s="8">
        <v>631000</v>
      </c>
      <c r="G183" s="10"/>
      <c r="H183" s="6" t="s">
        <v>1598</v>
      </c>
      <c r="I183" s="13"/>
      <c r="J183" s="13"/>
      <c r="K183" s="6" t="s">
        <v>2941</v>
      </c>
      <c r="L183" s="6" t="s">
        <v>2942</v>
      </c>
      <c r="M183" s="12" t="s">
        <v>2950</v>
      </c>
    </row>
    <row r="184" spans="1:13" ht="45" customHeight="1" x14ac:dyDescent="0.2">
      <c r="A184" s="6" t="s">
        <v>1007</v>
      </c>
      <c r="B184" s="6" t="s">
        <v>3057</v>
      </c>
      <c r="C184" s="6" t="s">
        <v>3071</v>
      </c>
      <c r="D184" s="6" t="s">
        <v>2939</v>
      </c>
      <c r="E184" s="6" t="s">
        <v>2940</v>
      </c>
      <c r="F184" s="8">
        <v>105000</v>
      </c>
      <c r="G184" s="10"/>
      <c r="H184" s="6" t="s">
        <v>1598</v>
      </c>
      <c r="I184" s="13"/>
      <c r="J184" s="13"/>
      <c r="K184" s="6" t="s">
        <v>2941</v>
      </c>
      <c r="L184" s="6" t="s">
        <v>2942</v>
      </c>
      <c r="M184" s="12" t="s">
        <v>3059</v>
      </c>
    </row>
    <row r="185" spans="1:13" ht="45" customHeight="1" x14ac:dyDescent="0.2">
      <c r="A185" s="6" t="s">
        <v>1007</v>
      </c>
      <c r="B185" s="6" t="s">
        <v>3072</v>
      </c>
      <c r="C185" s="6" t="s">
        <v>3073</v>
      </c>
      <c r="D185" s="6" t="s">
        <v>2939</v>
      </c>
      <c r="E185" s="6" t="s">
        <v>2940</v>
      </c>
      <c r="F185" s="8">
        <v>68000</v>
      </c>
      <c r="G185" s="10"/>
      <c r="H185" s="6" t="s">
        <v>1598</v>
      </c>
      <c r="I185" s="13"/>
      <c r="J185" s="13"/>
      <c r="K185" s="6" t="s">
        <v>2941</v>
      </c>
      <c r="L185" s="6" t="s">
        <v>2942</v>
      </c>
      <c r="M185" s="12" t="s">
        <v>2946</v>
      </c>
    </row>
    <row r="186" spans="1:13" ht="45" customHeight="1" x14ac:dyDescent="0.2">
      <c r="A186" s="6" t="s">
        <v>1007</v>
      </c>
      <c r="B186" s="6" t="s">
        <v>3074</v>
      </c>
      <c r="C186" s="6" t="s">
        <v>3075</v>
      </c>
      <c r="D186" s="6" t="s">
        <v>2939</v>
      </c>
      <c r="E186" s="6" t="s">
        <v>2940</v>
      </c>
      <c r="F186" s="8">
        <v>365000</v>
      </c>
      <c r="G186" s="10"/>
      <c r="H186" s="6" t="s">
        <v>1598</v>
      </c>
      <c r="I186" s="13"/>
      <c r="J186" s="13"/>
      <c r="K186" s="6" t="s">
        <v>2941</v>
      </c>
      <c r="L186" s="6" t="s">
        <v>2942</v>
      </c>
      <c r="M186" s="12" t="s">
        <v>2978</v>
      </c>
    </row>
    <row r="187" spans="1:13" ht="45" customHeight="1" x14ac:dyDescent="0.2">
      <c r="A187" s="6" t="s">
        <v>1007</v>
      </c>
      <c r="B187" s="6" t="s">
        <v>3076</v>
      </c>
      <c r="C187" s="6" t="s">
        <v>3075</v>
      </c>
      <c r="D187" s="6" t="s">
        <v>2939</v>
      </c>
      <c r="E187" s="6" t="s">
        <v>2940</v>
      </c>
      <c r="F187" s="8">
        <v>72000</v>
      </c>
      <c r="G187" s="10"/>
      <c r="H187" s="6" t="s">
        <v>1598</v>
      </c>
      <c r="I187" s="13"/>
      <c r="J187" s="13"/>
      <c r="K187" s="6" t="s">
        <v>2941</v>
      </c>
      <c r="L187" s="6" t="s">
        <v>2942</v>
      </c>
      <c r="M187" s="12" t="s">
        <v>3077</v>
      </c>
    </row>
    <row r="188" spans="1:13" ht="45" customHeight="1" x14ac:dyDescent="0.2">
      <c r="A188" s="6" t="s">
        <v>1007</v>
      </c>
      <c r="B188" s="6" t="s">
        <v>2982</v>
      </c>
      <c r="C188" s="6" t="s">
        <v>3075</v>
      </c>
      <c r="D188" s="6" t="s">
        <v>2939</v>
      </c>
      <c r="E188" s="6" t="s">
        <v>2940</v>
      </c>
      <c r="F188" s="8">
        <v>70000</v>
      </c>
      <c r="G188" s="10"/>
      <c r="H188" s="6" t="s">
        <v>1598</v>
      </c>
      <c r="I188" s="13"/>
      <c r="J188" s="13"/>
      <c r="K188" s="6" t="s">
        <v>2941</v>
      </c>
      <c r="L188" s="6" t="s">
        <v>2942</v>
      </c>
      <c r="M188" s="12" t="s">
        <v>2983</v>
      </c>
    </row>
    <row r="189" spans="1:13" ht="45" customHeight="1" x14ac:dyDescent="0.2">
      <c r="A189" s="6" t="s">
        <v>1007</v>
      </c>
      <c r="B189" s="6" t="s">
        <v>3039</v>
      </c>
      <c r="C189" s="6" t="s">
        <v>3075</v>
      </c>
      <c r="D189" s="6" t="s">
        <v>2939</v>
      </c>
      <c r="E189" s="6" t="s">
        <v>2940</v>
      </c>
      <c r="F189" s="8">
        <v>119000</v>
      </c>
      <c r="G189" s="10"/>
      <c r="H189" s="6" t="s">
        <v>1598</v>
      </c>
      <c r="I189" s="13"/>
      <c r="J189" s="13"/>
      <c r="K189" s="6" t="s">
        <v>2941</v>
      </c>
      <c r="L189" s="6" t="s">
        <v>2942</v>
      </c>
      <c r="M189" s="12" t="s">
        <v>2955</v>
      </c>
    </row>
    <row r="190" spans="1:13" ht="45" customHeight="1" x14ac:dyDescent="0.2">
      <c r="A190" s="6" t="s">
        <v>1007</v>
      </c>
      <c r="B190" s="6" t="s">
        <v>3078</v>
      </c>
      <c r="C190" s="6" t="s">
        <v>3079</v>
      </c>
      <c r="D190" s="6" t="s">
        <v>2939</v>
      </c>
      <c r="E190" s="6" t="s">
        <v>2940</v>
      </c>
      <c r="F190" s="8">
        <v>133000</v>
      </c>
      <c r="G190" s="10"/>
      <c r="H190" s="6" t="s">
        <v>1598</v>
      </c>
      <c r="I190" s="13"/>
      <c r="J190" s="13"/>
      <c r="K190" s="6" t="s">
        <v>2941</v>
      </c>
      <c r="L190" s="6" t="s">
        <v>2942</v>
      </c>
      <c r="M190" s="12" t="s">
        <v>2950</v>
      </c>
    </row>
    <row r="191" spans="1:13" ht="45" customHeight="1" x14ac:dyDescent="0.2">
      <c r="A191" s="6" t="s">
        <v>1007</v>
      </c>
      <c r="B191" s="6" t="s">
        <v>3080</v>
      </c>
      <c r="C191" s="6" t="s">
        <v>3081</v>
      </c>
      <c r="D191" s="6" t="s">
        <v>2939</v>
      </c>
      <c r="E191" s="6" t="s">
        <v>2940</v>
      </c>
      <c r="F191" s="8">
        <v>7500</v>
      </c>
      <c r="G191" s="10"/>
      <c r="H191" s="6" t="s">
        <v>1598</v>
      </c>
      <c r="I191" s="13"/>
      <c r="J191" s="13"/>
      <c r="K191" s="6" t="s">
        <v>2941</v>
      </c>
      <c r="L191" s="6" t="s">
        <v>2942</v>
      </c>
      <c r="M191" s="12" t="s">
        <v>3008</v>
      </c>
    </row>
    <row r="192" spans="1:13" ht="45" customHeight="1" x14ac:dyDescent="0.2">
      <c r="A192" s="6" t="s">
        <v>1007</v>
      </c>
      <c r="B192" s="6" t="s">
        <v>2956</v>
      </c>
      <c r="C192" s="6" t="s">
        <v>3082</v>
      </c>
      <c r="D192" s="6" t="s">
        <v>2939</v>
      </c>
      <c r="E192" s="6" t="s">
        <v>2940</v>
      </c>
      <c r="F192" s="8">
        <v>50000</v>
      </c>
      <c r="G192" s="10"/>
      <c r="H192" s="6" t="s">
        <v>1598</v>
      </c>
      <c r="I192" s="13"/>
      <c r="J192" s="13"/>
      <c r="K192" s="6" t="s">
        <v>2941</v>
      </c>
      <c r="L192" s="6" t="s">
        <v>2942</v>
      </c>
      <c r="M192" s="12" t="s">
        <v>2950</v>
      </c>
    </row>
    <row r="193" spans="1:13" ht="45" customHeight="1" x14ac:dyDescent="0.2">
      <c r="A193" s="6" t="s">
        <v>1007</v>
      </c>
      <c r="B193" s="6" t="s">
        <v>3083</v>
      </c>
      <c r="C193" s="6" t="s">
        <v>3084</v>
      </c>
      <c r="D193" s="6" t="s">
        <v>2939</v>
      </c>
      <c r="E193" s="6" t="s">
        <v>2940</v>
      </c>
      <c r="F193" s="8">
        <v>93500</v>
      </c>
      <c r="G193" s="10"/>
      <c r="H193" s="6" t="s">
        <v>1598</v>
      </c>
      <c r="I193" s="13"/>
      <c r="J193" s="13"/>
      <c r="K193" s="6" t="s">
        <v>2941</v>
      </c>
      <c r="L193" s="6" t="s">
        <v>2942</v>
      </c>
      <c r="M193" s="12" t="s">
        <v>3085</v>
      </c>
    </row>
    <row r="194" spans="1:13" ht="45" customHeight="1" x14ac:dyDescent="0.2">
      <c r="A194" s="6" t="s">
        <v>1007</v>
      </c>
      <c r="B194" s="6" t="s">
        <v>3086</v>
      </c>
      <c r="C194" s="6" t="s">
        <v>3087</v>
      </c>
      <c r="D194" s="6" t="s">
        <v>2939</v>
      </c>
      <c r="E194" s="6" t="s">
        <v>2940</v>
      </c>
      <c r="F194" s="8">
        <v>61500</v>
      </c>
      <c r="G194" s="10"/>
      <c r="H194" s="6" t="s">
        <v>1598</v>
      </c>
      <c r="I194" s="13"/>
      <c r="J194" s="13"/>
      <c r="K194" s="6" t="s">
        <v>2941</v>
      </c>
      <c r="L194" s="6" t="s">
        <v>2942</v>
      </c>
      <c r="M194" s="12" t="s">
        <v>2963</v>
      </c>
    </row>
    <row r="195" spans="1:13" ht="45" customHeight="1" x14ac:dyDescent="0.2">
      <c r="A195" s="6" t="s">
        <v>1007</v>
      </c>
      <c r="B195" s="6" t="s">
        <v>3088</v>
      </c>
      <c r="C195" s="6" t="s">
        <v>3089</v>
      </c>
      <c r="D195" s="6" t="s">
        <v>2939</v>
      </c>
      <c r="E195" s="6" t="s">
        <v>2940</v>
      </c>
      <c r="F195" s="8">
        <v>40700</v>
      </c>
      <c r="G195" s="10"/>
      <c r="H195" s="6" t="s">
        <v>1598</v>
      </c>
      <c r="I195" s="13"/>
      <c r="J195" s="13"/>
      <c r="K195" s="6" t="s">
        <v>2941</v>
      </c>
      <c r="L195" s="6" t="s">
        <v>2942</v>
      </c>
      <c r="M195" s="12" t="s">
        <v>2955</v>
      </c>
    </row>
    <row r="196" spans="1:13" ht="45" customHeight="1" x14ac:dyDescent="0.2">
      <c r="A196" s="6" t="s">
        <v>1007</v>
      </c>
      <c r="B196" s="6" t="s">
        <v>3090</v>
      </c>
      <c r="C196" s="6" t="s">
        <v>3091</v>
      </c>
      <c r="D196" s="6" t="s">
        <v>2939</v>
      </c>
      <c r="E196" s="6" t="s">
        <v>2940</v>
      </c>
      <c r="F196" s="8">
        <v>18000</v>
      </c>
      <c r="G196" s="10"/>
      <c r="H196" s="6" t="s">
        <v>1598</v>
      </c>
      <c r="I196" s="13"/>
      <c r="J196" s="13"/>
      <c r="K196" s="6" t="s">
        <v>2941</v>
      </c>
      <c r="L196" s="6" t="s">
        <v>2942</v>
      </c>
      <c r="M196" s="12" t="s">
        <v>3034</v>
      </c>
    </row>
    <row r="197" spans="1:13" ht="45" customHeight="1" x14ac:dyDescent="0.2">
      <c r="A197" s="6" t="s">
        <v>1007</v>
      </c>
      <c r="B197" s="6" t="s">
        <v>3092</v>
      </c>
      <c r="C197" s="6" t="s">
        <v>3093</v>
      </c>
      <c r="D197" s="6" t="s">
        <v>2939</v>
      </c>
      <c r="E197" s="6" t="s">
        <v>2940</v>
      </c>
      <c r="F197" s="8">
        <v>190000</v>
      </c>
      <c r="G197" s="10"/>
      <c r="H197" s="6" t="s">
        <v>1598</v>
      </c>
      <c r="I197" s="13"/>
      <c r="J197" s="13"/>
      <c r="K197" s="6" t="s">
        <v>2941</v>
      </c>
      <c r="L197" s="6" t="s">
        <v>2942</v>
      </c>
      <c r="M197" s="12" t="s">
        <v>2960</v>
      </c>
    </row>
    <row r="198" spans="1:13" ht="45" customHeight="1" x14ac:dyDescent="0.2">
      <c r="A198" s="6" t="s">
        <v>1007</v>
      </c>
      <c r="B198" s="6" t="s">
        <v>3094</v>
      </c>
      <c r="C198" s="6" t="s">
        <v>3095</v>
      </c>
      <c r="D198" s="6" t="s">
        <v>2939</v>
      </c>
      <c r="E198" s="6" t="s">
        <v>2940</v>
      </c>
      <c r="F198" s="8">
        <v>32000</v>
      </c>
      <c r="G198" s="10"/>
      <c r="H198" s="6" t="s">
        <v>1598</v>
      </c>
      <c r="I198" s="13"/>
      <c r="J198" s="13"/>
      <c r="K198" s="6" t="s">
        <v>2941</v>
      </c>
      <c r="L198" s="6" t="s">
        <v>2942</v>
      </c>
      <c r="M198" s="12" t="s">
        <v>3096</v>
      </c>
    </row>
    <row r="199" spans="1:13" ht="45" customHeight="1" x14ac:dyDescent="0.2">
      <c r="A199" s="6" t="s">
        <v>1007</v>
      </c>
      <c r="B199" s="6" t="s">
        <v>3097</v>
      </c>
      <c r="C199" s="6" t="s">
        <v>3098</v>
      </c>
      <c r="D199" s="6" t="s">
        <v>2939</v>
      </c>
      <c r="E199" s="6" t="s">
        <v>2940</v>
      </c>
      <c r="F199" s="8">
        <v>171000</v>
      </c>
      <c r="G199" s="10"/>
      <c r="H199" s="6" t="s">
        <v>1598</v>
      </c>
      <c r="I199" s="13"/>
      <c r="J199" s="13"/>
      <c r="K199" s="6" t="s">
        <v>2941</v>
      </c>
      <c r="L199" s="6" t="s">
        <v>2942</v>
      </c>
      <c r="M199" s="12" t="s">
        <v>3099</v>
      </c>
    </row>
    <row r="200" spans="1:13" ht="45" customHeight="1" x14ac:dyDescent="0.2">
      <c r="A200" s="6" t="s">
        <v>1007</v>
      </c>
      <c r="B200" s="6" t="s">
        <v>3100</v>
      </c>
      <c r="C200" s="6" t="s">
        <v>3101</v>
      </c>
      <c r="D200" s="6" t="s">
        <v>2939</v>
      </c>
      <c r="E200" s="6" t="s">
        <v>2940</v>
      </c>
      <c r="F200" s="8">
        <v>156400</v>
      </c>
      <c r="G200" s="10"/>
      <c r="H200" s="6" t="s">
        <v>1598</v>
      </c>
      <c r="I200" s="13"/>
      <c r="J200" s="13"/>
      <c r="K200" s="6" t="s">
        <v>2941</v>
      </c>
      <c r="L200" s="6" t="s">
        <v>2942</v>
      </c>
      <c r="M200" s="12" t="s">
        <v>2978</v>
      </c>
    </row>
    <row r="201" spans="1:13" ht="45" customHeight="1" x14ac:dyDescent="0.2">
      <c r="A201" s="6" t="s">
        <v>1007</v>
      </c>
      <c r="B201" s="6" t="s">
        <v>3094</v>
      </c>
      <c r="C201" s="6" t="s">
        <v>3102</v>
      </c>
      <c r="D201" s="6" t="s">
        <v>2939</v>
      </c>
      <c r="E201" s="6" t="s">
        <v>2940</v>
      </c>
      <c r="F201" s="8">
        <v>160000</v>
      </c>
      <c r="G201" s="10"/>
      <c r="H201" s="6" t="s">
        <v>1598</v>
      </c>
      <c r="I201" s="13"/>
      <c r="J201" s="13"/>
      <c r="K201" s="6" t="s">
        <v>2941</v>
      </c>
      <c r="L201" s="6" t="s">
        <v>2942</v>
      </c>
      <c r="M201" s="12" t="s">
        <v>3096</v>
      </c>
    </row>
    <row r="202" spans="1:13" ht="45" customHeight="1" x14ac:dyDescent="0.2">
      <c r="A202" s="6" t="s">
        <v>1007</v>
      </c>
      <c r="B202" s="6" t="s">
        <v>2971</v>
      </c>
      <c r="C202" s="6" t="s">
        <v>3103</v>
      </c>
      <c r="D202" s="6" t="s">
        <v>2939</v>
      </c>
      <c r="E202" s="6" t="s">
        <v>2940</v>
      </c>
      <c r="F202" s="8">
        <v>172800</v>
      </c>
      <c r="G202" s="10"/>
      <c r="H202" s="6" t="s">
        <v>1598</v>
      </c>
      <c r="I202" s="13"/>
      <c r="J202" s="13"/>
      <c r="K202" s="6" t="s">
        <v>2941</v>
      </c>
      <c r="L202" s="6" t="s">
        <v>2942</v>
      </c>
      <c r="M202" s="12" t="s">
        <v>2970</v>
      </c>
    </row>
    <row r="203" spans="1:13" ht="45" customHeight="1" x14ac:dyDescent="0.2">
      <c r="A203" s="6" t="s">
        <v>1007</v>
      </c>
      <c r="B203" s="6" t="s">
        <v>3104</v>
      </c>
      <c r="C203" s="6" t="s">
        <v>3105</v>
      </c>
      <c r="D203" s="6" t="s">
        <v>2939</v>
      </c>
      <c r="E203" s="6" t="s">
        <v>2940</v>
      </c>
      <c r="F203" s="8">
        <v>160000</v>
      </c>
      <c r="G203" s="10"/>
      <c r="H203" s="6" t="s">
        <v>1598</v>
      </c>
      <c r="I203" s="13"/>
      <c r="J203" s="13"/>
      <c r="K203" s="6" t="s">
        <v>2941</v>
      </c>
      <c r="L203" s="6" t="s">
        <v>2942</v>
      </c>
      <c r="M203" s="12" t="s">
        <v>2978</v>
      </c>
    </row>
    <row r="204" spans="1:13" ht="45" customHeight="1" x14ac:dyDescent="0.2">
      <c r="A204" s="6" t="s">
        <v>1007</v>
      </c>
      <c r="B204" s="6" t="s">
        <v>3106</v>
      </c>
      <c r="C204" s="6" t="s">
        <v>3107</v>
      </c>
      <c r="D204" s="6" t="s">
        <v>2939</v>
      </c>
      <c r="E204" s="6" t="s">
        <v>2940</v>
      </c>
      <c r="F204" s="8">
        <v>471200</v>
      </c>
      <c r="G204" s="10"/>
      <c r="H204" s="6" t="s">
        <v>1598</v>
      </c>
      <c r="I204" s="13"/>
      <c r="J204" s="13"/>
      <c r="K204" s="6" t="s">
        <v>2941</v>
      </c>
      <c r="L204" s="6" t="s">
        <v>2942</v>
      </c>
      <c r="M204" s="12" t="s">
        <v>2960</v>
      </c>
    </row>
    <row r="205" spans="1:13" ht="45" customHeight="1" x14ac:dyDescent="0.2">
      <c r="A205" s="6" t="s">
        <v>1007</v>
      </c>
      <c r="B205" s="6" t="s">
        <v>2956</v>
      </c>
      <c r="C205" s="6" t="s">
        <v>3108</v>
      </c>
      <c r="D205" s="6" t="s">
        <v>2939</v>
      </c>
      <c r="E205" s="6" t="s">
        <v>2940</v>
      </c>
      <c r="F205" s="8">
        <v>165000</v>
      </c>
      <c r="G205" s="10"/>
      <c r="H205" s="6" t="s">
        <v>1598</v>
      </c>
      <c r="I205" s="13"/>
      <c r="J205" s="13"/>
      <c r="K205" s="6" t="s">
        <v>2941</v>
      </c>
      <c r="L205" s="6" t="s">
        <v>2942</v>
      </c>
      <c r="M205" s="12" t="s">
        <v>2950</v>
      </c>
    </row>
    <row r="206" spans="1:13" ht="45" customHeight="1" x14ac:dyDescent="0.2">
      <c r="A206" s="6" t="s">
        <v>1007</v>
      </c>
      <c r="B206" s="6" t="s">
        <v>3109</v>
      </c>
      <c r="C206" s="6" t="s">
        <v>3110</v>
      </c>
      <c r="D206" s="6" t="s">
        <v>2939</v>
      </c>
      <c r="E206" s="6" t="s">
        <v>2940</v>
      </c>
      <c r="F206" s="8">
        <v>188023</v>
      </c>
      <c r="G206" s="10"/>
      <c r="H206" s="6" t="s">
        <v>1598</v>
      </c>
      <c r="I206" s="13"/>
      <c r="J206" s="13"/>
      <c r="K206" s="6" t="s">
        <v>2941</v>
      </c>
      <c r="L206" s="6" t="s">
        <v>2942</v>
      </c>
      <c r="M206" s="12" t="s">
        <v>3018</v>
      </c>
    </row>
    <row r="207" spans="1:13" ht="45" customHeight="1" x14ac:dyDescent="0.2">
      <c r="A207" s="6" t="s">
        <v>1007</v>
      </c>
      <c r="B207" s="6" t="s">
        <v>3111</v>
      </c>
      <c r="C207" s="6" t="s">
        <v>3112</v>
      </c>
      <c r="D207" s="6" t="s">
        <v>2939</v>
      </c>
      <c r="E207" s="6" t="s">
        <v>2940</v>
      </c>
      <c r="F207" s="8">
        <v>312500</v>
      </c>
      <c r="G207" s="10"/>
      <c r="H207" s="6" t="s">
        <v>1598</v>
      </c>
      <c r="I207" s="13"/>
      <c r="J207" s="13"/>
      <c r="K207" s="6" t="s">
        <v>2941</v>
      </c>
      <c r="L207" s="6" t="s">
        <v>2942</v>
      </c>
      <c r="M207" s="12" t="s">
        <v>2950</v>
      </c>
    </row>
    <row r="208" spans="1:13" ht="45" customHeight="1" x14ac:dyDescent="0.2">
      <c r="A208" s="6" t="s">
        <v>1007</v>
      </c>
      <c r="B208" s="6" t="s">
        <v>3113</v>
      </c>
      <c r="C208" s="6" t="s">
        <v>3114</v>
      </c>
      <c r="D208" s="6" t="s">
        <v>2939</v>
      </c>
      <c r="E208" s="6" t="s">
        <v>2940</v>
      </c>
      <c r="F208" s="8">
        <v>25000</v>
      </c>
      <c r="G208" s="10"/>
      <c r="H208" s="6" t="s">
        <v>1598</v>
      </c>
      <c r="I208" s="13"/>
      <c r="J208" s="13"/>
      <c r="K208" s="6" t="s">
        <v>2941</v>
      </c>
      <c r="L208" s="6" t="s">
        <v>2942</v>
      </c>
      <c r="M208" s="12" t="s">
        <v>2950</v>
      </c>
    </row>
    <row r="209" spans="1:13" ht="45" customHeight="1" x14ac:dyDescent="0.2">
      <c r="A209" s="6" t="s">
        <v>1007</v>
      </c>
      <c r="B209" s="6" t="s">
        <v>3115</v>
      </c>
      <c r="C209" s="6" t="s">
        <v>3116</v>
      </c>
      <c r="D209" s="6" t="s">
        <v>2939</v>
      </c>
      <c r="E209" s="6" t="s">
        <v>2940</v>
      </c>
      <c r="F209" s="8">
        <v>263700</v>
      </c>
      <c r="G209" s="10"/>
      <c r="H209" s="6" t="s">
        <v>1598</v>
      </c>
      <c r="I209" s="13"/>
      <c r="J209" s="13"/>
      <c r="K209" s="6" t="s">
        <v>2941</v>
      </c>
      <c r="L209" s="6" t="s">
        <v>2942</v>
      </c>
      <c r="M209" s="12" t="s">
        <v>2960</v>
      </c>
    </row>
    <row r="210" spans="1:13" ht="45" customHeight="1" x14ac:dyDescent="0.2">
      <c r="A210" s="6" t="s">
        <v>1007</v>
      </c>
      <c r="B210" s="6" t="s">
        <v>3086</v>
      </c>
      <c r="C210" s="6" t="s">
        <v>3116</v>
      </c>
      <c r="D210" s="6" t="s">
        <v>2939</v>
      </c>
      <c r="E210" s="6" t="s">
        <v>2940</v>
      </c>
      <c r="F210" s="8">
        <v>71000</v>
      </c>
      <c r="G210" s="10"/>
      <c r="H210" s="6" t="s">
        <v>1598</v>
      </c>
      <c r="I210" s="13"/>
      <c r="J210" s="13"/>
      <c r="K210" s="6" t="s">
        <v>2941</v>
      </c>
      <c r="L210" s="6" t="s">
        <v>2942</v>
      </c>
      <c r="M210" s="12" t="s">
        <v>2963</v>
      </c>
    </row>
    <row r="211" spans="1:13" ht="45" customHeight="1" x14ac:dyDescent="0.2">
      <c r="A211" s="6" t="s">
        <v>1007</v>
      </c>
      <c r="B211" s="6" t="s">
        <v>3117</v>
      </c>
      <c r="C211" s="6" t="s">
        <v>3116</v>
      </c>
      <c r="D211" s="6" t="s">
        <v>2939</v>
      </c>
      <c r="E211" s="6" t="s">
        <v>2940</v>
      </c>
      <c r="F211" s="8">
        <v>275000</v>
      </c>
      <c r="G211" s="10"/>
      <c r="H211" s="6" t="s">
        <v>1598</v>
      </c>
      <c r="I211" s="13"/>
      <c r="J211" s="13"/>
      <c r="K211" s="6" t="s">
        <v>2941</v>
      </c>
      <c r="L211" s="6" t="s">
        <v>2942</v>
      </c>
      <c r="M211" s="12" t="s">
        <v>3096</v>
      </c>
    </row>
    <row r="212" spans="1:13" ht="45" customHeight="1" x14ac:dyDescent="0.2">
      <c r="A212" s="6" t="s">
        <v>1007</v>
      </c>
      <c r="B212" s="6" t="s">
        <v>3118</v>
      </c>
      <c r="C212" s="6" t="s">
        <v>3116</v>
      </c>
      <c r="D212" s="6" t="s">
        <v>2939</v>
      </c>
      <c r="E212" s="6" t="s">
        <v>2940</v>
      </c>
      <c r="F212" s="8">
        <v>228000</v>
      </c>
      <c r="G212" s="10"/>
      <c r="H212" s="6" t="s">
        <v>1598</v>
      </c>
      <c r="I212" s="13"/>
      <c r="J212" s="13"/>
      <c r="K212" s="6" t="s">
        <v>2941</v>
      </c>
      <c r="L212" s="6" t="s">
        <v>2942</v>
      </c>
      <c r="M212" s="12" t="s">
        <v>2999</v>
      </c>
    </row>
    <row r="213" spans="1:13" ht="45" customHeight="1" x14ac:dyDescent="0.2">
      <c r="A213" s="6" t="s">
        <v>1007</v>
      </c>
      <c r="B213" s="6" t="s">
        <v>3119</v>
      </c>
      <c r="C213" s="6" t="s">
        <v>3116</v>
      </c>
      <c r="D213" s="6" t="s">
        <v>2939</v>
      </c>
      <c r="E213" s="6" t="s">
        <v>2940</v>
      </c>
      <c r="F213" s="8">
        <v>277000</v>
      </c>
      <c r="G213" s="10"/>
      <c r="H213" s="6" t="s">
        <v>1598</v>
      </c>
      <c r="I213" s="13"/>
      <c r="J213" s="13"/>
      <c r="K213" s="6" t="s">
        <v>2941</v>
      </c>
      <c r="L213" s="6" t="s">
        <v>2942</v>
      </c>
      <c r="M213" s="12" t="s">
        <v>2950</v>
      </c>
    </row>
    <row r="214" spans="1:13" ht="45" customHeight="1" x14ac:dyDescent="0.2">
      <c r="A214" s="6" t="s">
        <v>1007</v>
      </c>
      <c r="B214" s="6" t="s">
        <v>2954</v>
      </c>
      <c r="C214" s="6" t="s">
        <v>3116</v>
      </c>
      <c r="D214" s="6" t="s">
        <v>2939</v>
      </c>
      <c r="E214" s="6" t="s">
        <v>2940</v>
      </c>
      <c r="F214" s="8">
        <v>105000</v>
      </c>
      <c r="G214" s="10"/>
      <c r="H214" s="6" t="s">
        <v>1598</v>
      </c>
      <c r="I214" s="13"/>
      <c r="J214" s="13"/>
      <c r="K214" s="6" t="s">
        <v>2941</v>
      </c>
      <c r="L214" s="6" t="s">
        <v>2942</v>
      </c>
      <c r="M214" s="12" t="s">
        <v>2955</v>
      </c>
    </row>
    <row r="215" spans="1:13" ht="45" customHeight="1" x14ac:dyDescent="0.2">
      <c r="A215" s="6" t="s">
        <v>1007</v>
      </c>
      <c r="B215" s="6" t="s">
        <v>3120</v>
      </c>
      <c r="C215" s="6" t="s">
        <v>3121</v>
      </c>
      <c r="D215" s="6" t="s">
        <v>2939</v>
      </c>
      <c r="E215" s="6" t="s">
        <v>2940</v>
      </c>
      <c r="F215" s="8">
        <v>75000</v>
      </c>
      <c r="G215" s="10"/>
      <c r="H215" s="6" t="s">
        <v>1598</v>
      </c>
      <c r="I215" s="13"/>
      <c r="J215" s="13"/>
      <c r="K215" s="6" t="s">
        <v>2941</v>
      </c>
      <c r="L215" s="6" t="s">
        <v>2942</v>
      </c>
      <c r="M215" s="12" t="s">
        <v>2960</v>
      </c>
    </row>
    <row r="216" spans="1:13" ht="45" customHeight="1" x14ac:dyDescent="0.2">
      <c r="A216" s="6" t="s">
        <v>1007</v>
      </c>
      <c r="B216" s="6" t="s">
        <v>3122</v>
      </c>
      <c r="C216" s="6" t="s">
        <v>3123</v>
      </c>
      <c r="D216" s="6" t="s">
        <v>2939</v>
      </c>
      <c r="E216" s="6" t="s">
        <v>2940</v>
      </c>
      <c r="F216" s="8">
        <v>67000</v>
      </c>
      <c r="G216" s="10"/>
      <c r="H216" s="6" t="s">
        <v>1598</v>
      </c>
      <c r="I216" s="13"/>
      <c r="J216" s="13"/>
      <c r="K216" s="6" t="s">
        <v>2941</v>
      </c>
      <c r="L216" s="6" t="s">
        <v>2942</v>
      </c>
      <c r="M216" s="12" t="s">
        <v>2943</v>
      </c>
    </row>
    <row r="217" spans="1:13" ht="45" customHeight="1" x14ac:dyDescent="0.2">
      <c r="A217" s="6" t="s">
        <v>1007</v>
      </c>
      <c r="B217" s="6" t="s">
        <v>3053</v>
      </c>
      <c r="C217" s="6" t="s">
        <v>3124</v>
      </c>
      <c r="D217" s="6" t="s">
        <v>2939</v>
      </c>
      <c r="E217" s="6" t="s">
        <v>2940</v>
      </c>
      <c r="F217" s="8">
        <v>15000</v>
      </c>
      <c r="G217" s="10"/>
      <c r="H217" s="6" t="s">
        <v>1598</v>
      </c>
      <c r="I217" s="13"/>
      <c r="J217" s="13"/>
      <c r="K217" s="6" t="s">
        <v>2941</v>
      </c>
      <c r="L217" s="6" t="s">
        <v>2942</v>
      </c>
      <c r="M217" s="12" t="s">
        <v>2978</v>
      </c>
    </row>
    <row r="218" spans="1:13" ht="45" customHeight="1" x14ac:dyDescent="0.2">
      <c r="A218" s="6" t="s">
        <v>1007</v>
      </c>
      <c r="B218" s="6" t="s">
        <v>3125</v>
      </c>
      <c r="C218" s="6" t="s">
        <v>3126</v>
      </c>
      <c r="D218" s="6" t="s">
        <v>2939</v>
      </c>
      <c r="E218" s="6" t="s">
        <v>2940</v>
      </c>
      <c r="F218" s="8">
        <v>656400</v>
      </c>
      <c r="G218" s="10"/>
      <c r="H218" s="6" t="s">
        <v>1598</v>
      </c>
      <c r="I218" s="13"/>
      <c r="J218" s="13"/>
      <c r="K218" s="6" t="s">
        <v>2941</v>
      </c>
      <c r="L218" s="6" t="s">
        <v>2942</v>
      </c>
      <c r="M218" s="12" t="s">
        <v>2950</v>
      </c>
    </row>
    <row r="219" spans="1:13" ht="45" customHeight="1" x14ac:dyDescent="0.2">
      <c r="A219" s="6" t="s">
        <v>1007</v>
      </c>
      <c r="B219" s="6" t="s">
        <v>3127</v>
      </c>
      <c r="C219" s="6" t="s">
        <v>3128</v>
      </c>
      <c r="D219" s="6" t="s">
        <v>2939</v>
      </c>
      <c r="E219" s="6" t="s">
        <v>2940</v>
      </c>
      <c r="F219" s="8">
        <v>231153</v>
      </c>
      <c r="G219" s="10"/>
      <c r="H219" s="6" t="s">
        <v>1598</v>
      </c>
      <c r="I219" s="13"/>
      <c r="J219" s="13"/>
      <c r="K219" s="6" t="s">
        <v>2941</v>
      </c>
      <c r="L219" s="6" t="s">
        <v>2942</v>
      </c>
      <c r="M219" s="12" t="s">
        <v>2960</v>
      </c>
    </row>
    <row r="220" spans="1:13" ht="45" customHeight="1" x14ac:dyDescent="0.2">
      <c r="A220" s="6" t="s">
        <v>1007</v>
      </c>
      <c r="B220" s="6" t="s">
        <v>3044</v>
      </c>
      <c r="C220" s="6" t="s">
        <v>3129</v>
      </c>
      <c r="D220" s="6" t="s">
        <v>2939</v>
      </c>
      <c r="E220" s="6" t="s">
        <v>2940</v>
      </c>
      <c r="F220" s="8">
        <v>15000</v>
      </c>
      <c r="G220" s="10"/>
      <c r="H220" s="6" t="s">
        <v>1598</v>
      </c>
      <c r="I220" s="13"/>
      <c r="J220" s="13"/>
      <c r="K220" s="6" t="s">
        <v>2941</v>
      </c>
      <c r="L220" s="6" t="s">
        <v>2942</v>
      </c>
      <c r="M220" s="12" t="s">
        <v>2983</v>
      </c>
    </row>
    <row r="221" spans="1:13" ht="45" customHeight="1" x14ac:dyDescent="0.2">
      <c r="A221" s="6" t="s">
        <v>1007</v>
      </c>
      <c r="B221" s="6" t="s">
        <v>3130</v>
      </c>
      <c r="C221" s="6" t="s">
        <v>3129</v>
      </c>
      <c r="D221" s="6" t="s">
        <v>2939</v>
      </c>
      <c r="E221" s="6" t="s">
        <v>2940</v>
      </c>
      <c r="F221" s="8">
        <v>3000</v>
      </c>
      <c r="G221" s="10"/>
      <c r="H221" s="6" t="s">
        <v>1598</v>
      </c>
      <c r="I221" s="13"/>
      <c r="J221" s="13"/>
      <c r="K221" s="6" t="s">
        <v>2941</v>
      </c>
      <c r="L221" s="6" t="s">
        <v>2942</v>
      </c>
      <c r="M221" s="12" t="s">
        <v>3034</v>
      </c>
    </row>
    <row r="222" spans="1:13" ht="45" customHeight="1" x14ac:dyDescent="0.2">
      <c r="A222" s="6" t="s">
        <v>1007</v>
      </c>
      <c r="B222" s="6" t="s">
        <v>3131</v>
      </c>
      <c r="C222" s="6" t="s">
        <v>3132</v>
      </c>
      <c r="D222" s="6" t="s">
        <v>2939</v>
      </c>
      <c r="E222" s="6" t="s">
        <v>2940</v>
      </c>
      <c r="F222" s="8">
        <v>20000</v>
      </c>
      <c r="G222" s="10"/>
      <c r="H222" s="6" t="s">
        <v>1598</v>
      </c>
      <c r="I222" s="13"/>
      <c r="J222" s="13"/>
      <c r="K222" s="6" t="s">
        <v>2941</v>
      </c>
      <c r="L222" s="6" t="s">
        <v>2942</v>
      </c>
      <c r="M222" s="12" t="s">
        <v>2950</v>
      </c>
    </row>
    <row r="223" spans="1:13" ht="45" customHeight="1" x14ac:dyDescent="0.2">
      <c r="A223" s="6" t="s">
        <v>1007</v>
      </c>
      <c r="B223" s="6" t="s">
        <v>3133</v>
      </c>
      <c r="C223" s="6" t="s">
        <v>3134</v>
      </c>
      <c r="D223" s="6" t="s">
        <v>2939</v>
      </c>
      <c r="E223" s="6" t="s">
        <v>2940</v>
      </c>
      <c r="F223" s="8">
        <v>36000</v>
      </c>
      <c r="G223" s="10"/>
      <c r="H223" s="6" t="s">
        <v>1598</v>
      </c>
      <c r="I223" s="13"/>
      <c r="J223" s="13"/>
      <c r="K223" s="6" t="s">
        <v>2941</v>
      </c>
      <c r="L223" s="6" t="s">
        <v>2942</v>
      </c>
      <c r="M223" s="12" t="s">
        <v>3135</v>
      </c>
    </row>
    <row r="224" spans="1:13" ht="45" customHeight="1" x14ac:dyDescent="0.2">
      <c r="A224" s="6" t="s">
        <v>1007</v>
      </c>
      <c r="B224" s="6" t="s">
        <v>3136</v>
      </c>
      <c r="C224" s="6" t="s">
        <v>3134</v>
      </c>
      <c r="D224" s="6" t="s">
        <v>2939</v>
      </c>
      <c r="E224" s="6" t="s">
        <v>2940</v>
      </c>
      <c r="F224" s="8">
        <v>67000</v>
      </c>
      <c r="G224" s="10"/>
      <c r="H224" s="6" t="s">
        <v>1598</v>
      </c>
      <c r="I224" s="13"/>
      <c r="J224" s="13"/>
      <c r="K224" s="6" t="s">
        <v>2941</v>
      </c>
      <c r="L224" s="6" t="s">
        <v>2942</v>
      </c>
      <c r="M224" s="12" t="s">
        <v>3135</v>
      </c>
    </row>
    <row r="225" spans="1:13" ht="45" customHeight="1" x14ac:dyDescent="0.2">
      <c r="A225" s="6" t="s">
        <v>1007</v>
      </c>
      <c r="B225" s="6" t="s">
        <v>3137</v>
      </c>
      <c r="C225" s="6" t="s">
        <v>3138</v>
      </c>
      <c r="D225" s="6" t="s">
        <v>2939</v>
      </c>
      <c r="E225" s="6" t="s">
        <v>2940</v>
      </c>
      <c r="F225" s="8">
        <v>1700</v>
      </c>
      <c r="G225" s="10"/>
      <c r="H225" s="6" t="s">
        <v>1598</v>
      </c>
      <c r="I225" s="13"/>
      <c r="J225" s="13"/>
      <c r="K225" s="6" t="s">
        <v>2941</v>
      </c>
      <c r="L225" s="6" t="s">
        <v>2942</v>
      </c>
      <c r="M225" s="12" t="s">
        <v>2978</v>
      </c>
    </row>
    <row r="226" spans="1:13" ht="45" customHeight="1" x14ac:dyDescent="0.2">
      <c r="A226" s="6" t="s">
        <v>1007</v>
      </c>
      <c r="B226" s="6" t="s">
        <v>3139</v>
      </c>
      <c r="C226" s="6" t="s">
        <v>3140</v>
      </c>
      <c r="D226" s="6" t="s">
        <v>2939</v>
      </c>
      <c r="E226" s="6" t="s">
        <v>2940</v>
      </c>
      <c r="F226" s="8">
        <v>45000</v>
      </c>
      <c r="G226" s="10"/>
      <c r="H226" s="6" t="s">
        <v>1598</v>
      </c>
      <c r="I226" s="13"/>
      <c r="J226" s="13"/>
      <c r="K226" s="6" t="s">
        <v>2941</v>
      </c>
      <c r="L226" s="6" t="s">
        <v>2942</v>
      </c>
      <c r="M226" s="12" t="s">
        <v>2950</v>
      </c>
    </row>
    <row r="227" spans="1:13" ht="45" customHeight="1" x14ac:dyDescent="0.2">
      <c r="A227" s="6" t="s">
        <v>1007</v>
      </c>
      <c r="B227" s="6" t="s">
        <v>3125</v>
      </c>
      <c r="C227" s="6" t="s">
        <v>3141</v>
      </c>
      <c r="D227" s="6" t="s">
        <v>2939</v>
      </c>
      <c r="E227" s="6" t="s">
        <v>2940</v>
      </c>
      <c r="F227" s="8">
        <v>238000</v>
      </c>
      <c r="G227" s="10"/>
      <c r="H227" s="6" t="s">
        <v>1598</v>
      </c>
      <c r="I227" s="13"/>
      <c r="J227" s="13"/>
      <c r="K227" s="6" t="s">
        <v>2941</v>
      </c>
      <c r="L227" s="6" t="s">
        <v>2942</v>
      </c>
      <c r="M227" s="12" t="s">
        <v>2950</v>
      </c>
    </row>
    <row r="228" spans="1:13" ht="45" customHeight="1" x14ac:dyDescent="0.2">
      <c r="A228" s="6" t="s">
        <v>1007</v>
      </c>
      <c r="B228" s="6" t="s">
        <v>3106</v>
      </c>
      <c r="C228" s="6" t="s">
        <v>3142</v>
      </c>
      <c r="D228" s="6" t="s">
        <v>2939</v>
      </c>
      <c r="E228" s="6" t="s">
        <v>2940</v>
      </c>
      <c r="F228" s="8">
        <v>135500</v>
      </c>
      <c r="G228" s="10"/>
      <c r="H228" s="6" t="s">
        <v>1598</v>
      </c>
      <c r="I228" s="13"/>
      <c r="J228" s="13"/>
      <c r="K228" s="6" t="s">
        <v>2941</v>
      </c>
      <c r="L228" s="6" t="s">
        <v>2942</v>
      </c>
      <c r="M228" s="12" t="s">
        <v>2960</v>
      </c>
    </row>
    <row r="229" spans="1:13" ht="45" customHeight="1" x14ac:dyDescent="0.2">
      <c r="A229" s="6" t="s">
        <v>1007</v>
      </c>
      <c r="B229" s="6" t="s">
        <v>3143</v>
      </c>
      <c r="C229" s="6" t="s">
        <v>3144</v>
      </c>
      <c r="D229" s="6" t="s">
        <v>2939</v>
      </c>
      <c r="E229" s="6" t="s">
        <v>2940</v>
      </c>
      <c r="F229" s="8">
        <v>195000</v>
      </c>
      <c r="G229" s="10"/>
      <c r="H229" s="6" t="s">
        <v>1598</v>
      </c>
      <c r="I229" s="13"/>
      <c r="J229" s="13"/>
      <c r="K229" s="6" t="s">
        <v>2941</v>
      </c>
      <c r="L229" s="6" t="s">
        <v>2942</v>
      </c>
      <c r="M229" s="12" t="s">
        <v>2950</v>
      </c>
    </row>
    <row r="230" spans="1:13" ht="45" customHeight="1" x14ac:dyDescent="0.2">
      <c r="A230" s="6" t="s">
        <v>1007</v>
      </c>
      <c r="B230" s="6" t="s">
        <v>3145</v>
      </c>
      <c r="C230" s="6" t="s">
        <v>3144</v>
      </c>
      <c r="D230" s="6" t="s">
        <v>2939</v>
      </c>
      <c r="E230" s="6" t="s">
        <v>2940</v>
      </c>
      <c r="F230" s="8">
        <v>89000</v>
      </c>
      <c r="G230" s="10"/>
      <c r="H230" s="6" t="s">
        <v>1598</v>
      </c>
      <c r="I230" s="13"/>
      <c r="J230" s="13"/>
      <c r="K230" s="6" t="s">
        <v>2941</v>
      </c>
      <c r="L230" s="6" t="s">
        <v>2942</v>
      </c>
      <c r="M230" s="12" t="s">
        <v>2950</v>
      </c>
    </row>
    <row r="231" spans="1:13" ht="45" customHeight="1" x14ac:dyDescent="0.2">
      <c r="A231" s="6" t="s">
        <v>1007</v>
      </c>
      <c r="B231" s="6" t="s">
        <v>3125</v>
      </c>
      <c r="C231" s="6" t="s">
        <v>3146</v>
      </c>
      <c r="D231" s="6" t="s">
        <v>2939</v>
      </c>
      <c r="E231" s="6" t="s">
        <v>2940</v>
      </c>
      <c r="F231" s="8">
        <v>385000</v>
      </c>
      <c r="G231" s="10"/>
      <c r="H231" s="6" t="s">
        <v>1598</v>
      </c>
      <c r="I231" s="13"/>
      <c r="J231" s="13"/>
      <c r="K231" s="6" t="s">
        <v>2941</v>
      </c>
      <c r="L231" s="6" t="s">
        <v>2942</v>
      </c>
      <c r="M231" s="12" t="s">
        <v>2950</v>
      </c>
    </row>
    <row r="232" spans="1:13" ht="45" customHeight="1" x14ac:dyDescent="0.2">
      <c r="A232" s="6" t="s">
        <v>1007</v>
      </c>
      <c r="B232" s="6" t="s">
        <v>3147</v>
      </c>
      <c r="C232" s="6" t="s">
        <v>3148</v>
      </c>
      <c r="D232" s="6" t="s">
        <v>2939</v>
      </c>
      <c r="E232" s="6" t="s">
        <v>2940</v>
      </c>
      <c r="F232" s="8">
        <v>85000</v>
      </c>
      <c r="G232" s="10"/>
      <c r="H232" s="6" t="s">
        <v>1598</v>
      </c>
      <c r="I232" s="13"/>
      <c r="J232" s="13"/>
      <c r="K232" s="6" t="s">
        <v>2941</v>
      </c>
      <c r="L232" s="6" t="s">
        <v>2942</v>
      </c>
      <c r="M232" s="12" t="s">
        <v>2978</v>
      </c>
    </row>
    <row r="233" spans="1:13" ht="45" customHeight="1" x14ac:dyDescent="0.2">
      <c r="A233" s="6" t="s">
        <v>1007</v>
      </c>
      <c r="B233" s="6" t="s">
        <v>3149</v>
      </c>
      <c r="C233" s="6" t="s">
        <v>3150</v>
      </c>
      <c r="D233" s="6" t="s">
        <v>2939</v>
      </c>
      <c r="E233" s="6" t="s">
        <v>2940</v>
      </c>
      <c r="F233" s="8">
        <v>180000</v>
      </c>
      <c r="G233" s="10"/>
      <c r="H233" s="6" t="s">
        <v>1598</v>
      </c>
      <c r="I233" s="13"/>
      <c r="J233" s="13"/>
      <c r="K233" s="6" t="s">
        <v>2941</v>
      </c>
      <c r="L233" s="6" t="s">
        <v>2942</v>
      </c>
      <c r="M233" s="12" t="s">
        <v>3151</v>
      </c>
    </row>
    <row r="234" spans="1:13" ht="45" customHeight="1" x14ac:dyDescent="0.2">
      <c r="A234" s="6" t="s">
        <v>1007</v>
      </c>
      <c r="B234" s="6" t="s">
        <v>3152</v>
      </c>
      <c r="C234" s="6" t="s">
        <v>3153</v>
      </c>
      <c r="D234" s="6" t="s">
        <v>2939</v>
      </c>
      <c r="E234" s="6" t="s">
        <v>2940</v>
      </c>
      <c r="F234" s="8">
        <v>125000</v>
      </c>
      <c r="G234" s="10"/>
      <c r="H234" s="6" t="s">
        <v>1598</v>
      </c>
      <c r="I234" s="13"/>
      <c r="J234" s="13"/>
      <c r="K234" s="6" t="s">
        <v>2941</v>
      </c>
      <c r="L234" s="6" t="s">
        <v>2942</v>
      </c>
      <c r="M234" s="12" t="s">
        <v>2960</v>
      </c>
    </row>
    <row r="235" spans="1:13" ht="45" customHeight="1" x14ac:dyDescent="0.2">
      <c r="A235" s="6" t="s">
        <v>1007</v>
      </c>
      <c r="B235" s="6" t="s">
        <v>3154</v>
      </c>
      <c r="C235" s="6" t="s">
        <v>3155</v>
      </c>
      <c r="D235" s="6" t="s">
        <v>2939</v>
      </c>
      <c r="E235" s="6" t="s">
        <v>2940</v>
      </c>
      <c r="F235" s="8">
        <v>145000</v>
      </c>
      <c r="G235" s="10"/>
      <c r="H235" s="6" t="s">
        <v>1598</v>
      </c>
      <c r="I235" s="13"/>
      <c r="J235" s="13"/>
      <c r="K235" s="6" t="s">
        <v>2941</v>
      </c>
      <c r="L235" s="6" t="s">
        <v>2942</v>
      </c>
      <c r="M235" s="12" t="s">
        <v>2978</v>
      </c>
    </row>
    <row r="236" spans="1:13" ht="45" customHeight="1" x14ac:dyDescent="0.2">
      <c r="A236" s="6" t="s">
        <v>1007</v>
      </c>
      <c r="B236" s="6" t="s">
        <v>3156</v>
      </c>
      <c r="C236" s="6" t="s">
        <v>3155</v>
      </c>
      <c r="D236" s="6" t="s">
        <v>2939</v>
      </c>
      <c r="E236" s="6" t="s">
        <v>2940</v>
      </c>
      <c r="F236" s="8">
        <v>6300</v>
      </c>
      <c r="G236" s="10"/>
      <c r="H236" s="6" t="s">
        <v>1598</v>
      </c>
      <c r="I236" s="13"/>
      <c r="J236" s="13"/>
      <c r="K236" s="6" t="s">
        <v>2941</v>
      </c>
      <c r="L236" s="6" t="s">
        <v>2942</v>
      </c>
      <c r="M236" s="12" t="s">
        <v>2978</v>
      </c>
    </row>
    <row r="237" spans="1:13" ht="45" customHeight="1" x14ac:dyDescent="0.2">
      <c r="A237" s="6" t="s">
        <v>1007</v>
      </c>
      <c r="B237" s="6" t="s">
        <v>3157</v>
      </c>
      <c r="C237" s="6" t="s">
        <v>3158</v>
      </c>
      <c r="D237" s="6" t="s">
        <v>2939</v>
      </c>
      <c r="E237" s="6" t="s">
        <v>2940</v>
      </c>
      <c r="F237" s="8">
        <v>86000</v>
      </c>
      <c r="G237" s="10"/>
      <c r="H237" s="6" t="s">
        <v>1598</v>
      </c>
      <c r="I237" s="13"/>
      <c r="J237" s="13"/>
      <c r="K237" s="6" t="s">
        <v>2941</v>
      </c>
      <c r="L237" s="6" t="s">
        <v>2942</v>
      </c>
      <c r="M237" s="12" t="s">
        <v>2999</v>
      </c>
    </row>
    <row r="238" spans="1:13" ht="45" customHeight="1" x14ac:dyDescent="0.2">
      <c r="A238" s="6" t="s">
        <v>1007</v>
      </c>
      <c r="B238" s="6" t="s">
        <v>2956</v>
      </c>
      <c r="C238" s="6" t="s">
        <v>3159</v>
      </c>
      <c r="D238" s="6" t="s">
        <v>2939</v>
      </c>
      <c r="E238" s="6" t="s">
        <v>2940</v>
      </c>
      <c r="F238" s="8">
        <v>290000</v>
      </c>
      <c r="G238" s="10"/>
      <c r="H238" s="6" t="s">
        <v>1598</v>
      </c>
      <c r="I238" s="13"/>
      <c r="J238" s="13"/>
      <c r="K238" s="6" t="s">
        <v>2941</v>
      </c>
      <c r="L238" s="6" t="s">
        <v>2942</v>
      </c>
      <c r="M238" s="12" t="s">
        <v>2950</v>
      </c>
    </row>
    <row r="239" spans="1:13" ht="45" customHeight="1" x14ac:dyDescent="0.2">
      <c r="A239" s="6" t="s">
        <v>1007</v>
      </c>
      <c r="B239" s="6" t="s">
        <v>3113</v>
      </c>
      <c r="C239" s="6" t="s">
        <v>3159</v>
      </c>
      <c r="D239" s="6" t="s">
        <v>2939</v>
      </c>
      <c r="E239" s="6" t="s">
        <v>2940</v>
      </c>
      <c r="F239" s="8">
        <v>205000</v>
      </c>
      <c r="G239" s="10"/>
      <c r="H239" s="6" t="s">
        <v>1598</v>
      </c>
      <c r="I239" s="13"/>
      <c r="J239" s="13"/>
      <c r="K239" s="6" t="s">
        <v>2941</v>
      </c>
      <c r="L239" s="6" t="s">
        <v>2942</v>
      </c>
      <c r="M239" s="12" t="s">
        <v>2950</v>
      </c>
    </row>
    <row r="240" spans="1:13" ht="45" customHeight="1" x14ac:dyDescent="0.2">
      <c r="A240" s="6" t="s">
        <v>1007</v>
      </c>
      <c r="B240" s="6" t="s">
        <v>3160</v>
      </c>
      <c r="C240" s="6" t="s">
        <v>3159</v>
      </c>
      <c r="D240" s="6" t="s">
        <v>2939</v>
      </c>
      <c r="E240" s="6" t="s">
        <v>2940</v>
      </c>
      <c r="F240" s="8">
        <v>225000</v>
      </c>
      <c r="G240" s="10"/>
      <c r="H240" s="6" t="s">
        <v>1598</v>
      </c>
      <c r="I240" s="13"/>
      <c r="J240" s="13"/>
      <c r="K240" s="6" t="s">
        <v>2941</v>
      </c>
      <c r="L240" s="6" t="s">
        <v>2942</v>
      </c>
      <c r="M240" s="12" t="s">
        <v>2950</v>
      </c>
    </row>
    <row r="241" spans="1:13" ht="45" customHeight="1" x14ac:dyDescent="0.2">
      <c r="A241" s="6" t="s">
        <v>1007</v>
      </c>
      <c r="B241" s="6" t="s">
        <v>3127</v>
      </c>
      <c r="C241" s="6" t="s">
        <v>3161</v>
      </c>
      <c r="D241" s="6" t="s">
        <v>2939</v>
      </c>
      <c r="E241" s="6" t="s">
        <v>2940</v>
      </c>
      <c r="F241" s="8">
        <v>215000</v>
      </c>
      <c r="G241" s="10"/>
      <c r="H241" s="6" t="s">
        <v>1598</v>
      </c>
      <c r="I241" s="13"/>
      <c r="J241" s="13"/>
      <c r="K241" s="6" t="s">
        <v>2941</v>
      </c>
      <c r="L241" s="6" t="s">
        <v>2942</v>
      </c>
      <c r="M241" s="12" t="s">
        <v>2960</v>
      </c>
    </row>
    <row r="242" spans="1:13" ht="45" customHeight="1" x14ac:dyDescent="0.2">
      <c r="A242" s="6" t="s">
        <v>1007</v>
      </c>
      <c r="B242" s="6" t="s">
        <v>3162</v>
      </c>
      <c r="C242" s="6" t="s">
        <v>3163</v>
      </c>
      <c r="D242" s="6" t="s">
        <v>2939</v>
      </c>
      <c r="E242" s="6" t="s">
        <v>2940</v>
      </c>
      <c r="F242" s="8">
        <v>88000</v>
      </c>
      <c r="G242" s="10"/>
      <c r="H242" s="6" t="s">
        <v>1598</v>
      </c>
      <c r="I242" s="13"/>
      <c r="J242" s="13"/>
      <c r="K242" s="6" t="s">
        <v>2941</v>
      </c>
      <c r="L242" s="6" t="s">
        <v>2942</v>
      </c>
      <c r="M242" s="12" t="s">
        <v>3029</v>
      </c>
    </row>
    <row r="243" spans="1:13" ht="45" customHeight="1" x14ac:dyDescent="0.2">
      <c r="A243" s="6" t="s">
        <v>1007</v>
      </c>
      <c r="B243" s="6" t="s">
        <v>3164</v>
      </c>
      <c r="C243" s="6" t="s">
        <v>3165</v>
      </c>
      <c r="D243" s="6" t="s">
        <v>2939</v>
      </c>
      <c r="E243" s="6" t="s">
        <v>2940</v>
      </c>
      <c r="F243" s="8">
        <v>8500</v>
      </c>
      <c r="G243" s="10"/>
      <c r="H243" s="6" t="s">
        <v>1598</v>
      </c>
      <c r="I243" s="13"/>
      <c r="J243" s="13"/>
      <c r="K243" s="6" t="s">
        <v>2941</v>
      </c>
      <c r="L243" s="6" t="s">
        <v>2942</v>
      </c>
      <c r="M243" s="12" t="s">
        <v>2978</v>
      </c>
    </row>
    <row r="244" spans="1:13" ht="45" customHeight="1" x14ac:dyDescent="0.2">
      <c r="A244" s="6" t="s">
        <v>1007</v>
      </c>
      <c r="B244" s="6" t="s">
        <v>3166</v>
      </c>
      <c r="C244" s="6" t="s">
        <v>3167</v>
      </c>
      <c r="D244" s="6" t="s">
        <v>2939</v>
      </c>
      <c r="E244" s="6" t="s">
        <v>2940</v>
      </c>
      <c r="F244" s="8">
        <v>345000</v>
      </c>
      <c r="G244" s="10"/>
      <c r="H244" s="6" t="s">
        <v>1598</v>
      </c>
      <c r="I244" s="13"/>
      <c r="J244" s="13"/>
      <c r="K244" s="6" t="s">
        <v>2941</v>
      </c>
      <c r="L244" s="6" t="s">
        <v>2942</v>
      </c>
      <c r="M244" s="12" t="s">
        <v>3018</v>
      </c>
    </row>
    <row r="245" spans="1:13" ht="45" customHeight="1" x14ac:dyDescent="0.2">
      <c r="A245" s="6" t="s">
        <v>1007</v>
      </c>
      <c r="B245" s="6" t="s">
        <v>3168</v>
      </c>
      <c r="C245" s="6" t="s">
        <v>3167</v>
      </c>
      <c r="D245" s="6" t="s">
        <v>2939</v>
      </c>
      <c r="E245" s="6" t="s">
        <v>2940</v>
      </c>
      <c r="F245" s="8">
        <v>149000</v>
      </c>
      <c r="G245" s="10"/>
      <c r="H245" s="6" t="s">
        <v>1598</v>
      </c>
      <c r="I245" s="13"/>
      <c r="J245" s="13"/>
      <c r="K245" s="6" t="s">
        <v>2941</v>
      </c>
      <c r="L245" s="6" t="s">
        <v>2942</v>
      </c>
      <c r="M245" s="12" t="s">
        <v>2950</v>
      </c>
    </row>
    <row r="246" spans="1:13" ht="45" customHeight="1" x14ac:dyDescent="0.2">
      <c r="A246" s="6" t="s">
        <v>114</v>
      </c>
      <c r="B246" s="6" t="s">
        <v>3169</v>
      </c>
      <c r="C246" s="6" t="s">
        <v>3170</v>
      </c>
      <c r="D246" s="6" t="s">
        <v>3171</v>
      </c>
      <c r="E246" s="6" t="s">
        <v>3172</v>
      </c>
      <c r="F246" s="8"/>
      <c r="G246" s="10">
        <v>0.65</v>
      </c>
      <c r="H246" s="6" t="s">
        <v>1590</v>
      </c>
      <c r="I246" s="13"/>
      <c r="J246" s="13"/>
      <c r="K246" s="6" t="s">
        <v>3173</v>
      </c>
      <c r="L246" s="6" t="s">
        <v>1592</v>
      </c>
      <c r="M246" s="12" t="s">
        <v>3174</v>
      </c>
    </row>
    <row r="247" spans="1:13" ht="45" customHeight="1" x14ac:dyDescent="0.2">
      <c r="A247" s="6" t="s">
        <v>114</v>
      </c>
      <c r="B247" s="6" t="s">
        <v>3175</v>
      </c>
      <c r="C247" s="6" t="s">
        <v>3170</v>
      </c>
      <c r="D247" s="6" t="s">
        <v>3171</v>
      </c>
      <c r="E247" s="6" t="s">
        <v>3172</v>
      </c>
      <c r="F247" s="8"/>
      <c r="G247" s="10">
        <v>1.2</v>
      </c>
      <c r="H247" s="6" t="s">
        <v>1590</v>
      </c>
      <c r="I247" s="13"/>
      <c r="J247" s="13"/>
      <c r="K247" s="6" t="s">
        <v>3173</v>
      </c>
      <c r="L247" s="6" t="s">
        <v>1592</v>
      </c>
      <c r="M247" s="12" t="s">
        <v>3174</v>
      </c>
    </row>
    <row r="248" spans="1:13" ht="45" customHeight="1" x14ac:dyDescent="0.2">
      <c r="A248" s="6" t="s">
        <v>114</v>
      </c>
      <c r="B248" s="6" t="s">
        <v>3176</v>
      </c>
      <c r="C248" s="6" t="s">
        <v>3170</v>
      </c>
      <c r="D248" s="6" t="s">
        <v>3171</v>
      </c>
      <c r="E248" s="6" t="s">
        <v>3172</v>
      </c>
      <c r="F248" s="8"/>
      <c r="G248" s="10">
        <v>13.7</v>
      </c>
      <c r="H248" s="6" t="s">
        <v>1590</v>
      </c>
      <c r="I248" s="13"/>
      <c r="J248" s="13"/>
      <c r="K248" s="6" t="s">
        <v>3173</v>
      </c>
      <c r="L248" s="6" t="s">
        <v>1592</v>
      </c>
      <c r="M248" s="12" t="s">
        <v>3177</v>
      </c>
    </row>
    <row r="249" spans="1:13" ht="45" customHeight="1" x14ac:dyDescent="0.2">
      <c r="A249" s="6" t="s">
        <v>114</v>
      </c>
      <c r="B249" s="6" t="s">
        <v>3178</v>
      </c>
      <c r="C249" s="6" t="s">
        <v>3170</v>
      </c>
      <c r="D249" s="6" t="s">
        <v>3171</v>
      </c>
      <c r="E249" s="6" t="s">
        <v>3172</v>
      </c>
      <c r="F249" s="8"/>
      <c r="G249" s="10">
        <v>6</v>
      </c>
      <c r="H249" s="6" t="s">
        <v>1590</v>
      </c>
      <c r="I249" s="13"/>
      <c r="J249" s="13"/>
      <c r="K249" s="6" t="s">
        <v>3173</v>
      </c>
      <c r="L249" s="6" t="s">
        <v>1592</v>
      </c>
      <c r="M249" s="12" t="s">
        <v>3179</v>
      </c>
    </row>
    <row r="250" spans="1:13" ht="45" customHeight="1" x14ac:dyDescent="0.2">
      <c r="A250" s="6" t="s">
        <v>114</v>
      </c>
      <c r="B250" s="6" t="s">
        <v>3180</v>
      </c>
      <c r="C250" s="6" t="s">
        <v>3170</v>
      </c>
      <c r="D250" s="6" t="s">
        <v>3171</v>
      </c>
      <c r="E250" s="6" t="s">
        <v>3172</v>
      </c>
      <c r="F250" s="8"/>
      <c r="G250" s="10">
        <v>8</v>
      </c>
      <c r="H250" s="6" t="s">
        <v>1590</v>
      </c>
      <c r="I250" s="13"/>
      <c r="J250" s="13"/>
      <c r="K250" s="6" t="s">
        <v>3173</v>
      </c>
      <c r="L250" s="6" t="s">
        <v>1592</v>
      </c>
      <c r="M250" s="12" t="s">
        <v>3181</v>
      </c>
    </row>
    <row r="251" spans="1:13" ht="45" customHeight="1" x14ac:dyDescent="0.2">
      <c r="A251" s="6" t="s">
        <v>114</v>
      </c>
      <c r="B251" s="6" t="s">
        <v>3182</v>
      </c>
      <c r="C251" s="6" t="s">
        <v>3170</v>
      </c>
      <c r="D251" s="6" t="s">
        <v>3171</v>
      </c>
      <c r="E251" s="6" t="s">
        <v>3172</v>
      </c>
      <c r="F251" s="8"/>
      <c r="G251" s="10">
        <v>8</v>
      </c>
      <c r="H251" s="6" t="s">
        <v>1590</v>
      </c>
      <c r="I251" s="13"/>
      <c r="J251" s="13"/>
      <c r="K251" s="6" t="s">
        <v>3173</v>
      </c>
      <c r="L251" s="6" t="s">
        <v>1592</v>
      </c>
      <c r="M251" s="12" t="s">
        <v>3183</v>
      </c>
    </row>
    <row r="252" spans="1:13" ht="45" customHeight="1" x14ac:dyDescent="0.2">
      <c r="A252" s="6" t="s">
        <v>114</v>
      </c>
      <c r="B252" s="6" t="s">
        <v>3184</v>
      </c>
      <c r="C252" s="6" t="s">
        <v>3170</v>
      </c>
      <c r="D252" s="6" t="s">
        <v>3171</v>
      </c>
      <c r="E252" s="6" t="s">
        <v>3172</v>
      </c>
      <c r="F252" s="8"/>
      <c r="G252" s="10">
        <v>15</v>
      </c>
      <c r="H252" s="6" t="s">
        <v>1590</v>
      </c>
      <c r="I252" s="13"/>
      <c r="J252" s="13"/>
      <c r="K252" s="6" t="s">
        <v>3173</v>
      </c>
      <c r="L252" s="6" t="s">
        <v>1592</v>
      </c>
      <c r="M252" s="12" t="s">
        <v>3185</v>
      </c>
    </row>
    <row r="253" spans="1:13" ht="45" customHeight="1" x14ac:dyDescent="0.2">
      <c r="A253" s="6" t="s">
        <v>114</v>
      </c>
      <c r="B253" s="6" t="s">
        <v>3186</v>
      </c>
      <c r="C253" s="6" t="s">
        <v>3170</v>
      </c>
      <c r="D253" s="6" t="s">
        <v>3171</v>
      </c>
      <c r="E253" s="6" t="s">
        <v>3172</v>
      </c>
      <c r="F253" s="8"/>
      <c r="G253" s="10">
        <v>2.7</v>
      </c>
      <c r="H253" s="6" t="s">
        <v>1590</v>
      </c>
      <c r="I253" s="13"/>
      <c r="J253" s="13"/>
      <c r="K253" s="6" t="s">
        <v>3173</v>
      </c>
      <c r="L253" s="6" t="s">
        <v>1592</v>
      </c>
      <c r="M253" s="12" t="s">
        <v>3174</v>
      </c>
    </row>
    <row r="254" spans="1:13" ht="45" customHeight="1" x14ac:dyDescent="0.2">
      <c r="A254" s="6" t="s">
        <v>114</v>
      </c>
      <c r="B254" s="6" t="s">
        <v>3187</v>
      </c>
      <c r="C254" s="6" t="s">
        <v>3170</v>
      </c>
      <c r="D254" s="6" t="s">
        <v>3171</v>
      </c>
      <c r="E254" s="6" t="s">
        <v>3172</v>
      </c>
      <c r="F254" s="8"/>
      <c r="G254" s="10">
        <v>15</v>
      </c>
      <c r="H254" s="6" t="s">
        <v>1590</v>
      </c>
      <c r="I254" s="13"/>
      <c r="J254" s="13"/>
      <c r="K254" s="6" t="s">
        <v>3173</v>
      </c>
      <c r="L254" s="6" t="s">
        <v>1592</v>
      </c>
      <c r="M254" s="12" t="s">
        <v>3188</v>
      </c>
    </row>
    <row r="255" spans="1:13" ht="45" customHeight="1" x14ac:dyDescent="0.2">
      <c r="A255" s="6" t="s">
        <v>114</v>
      </c>
      <c r="B255" s="6" t="s">
        <v>3189</v>
      </c>
      <c r="C255" s="6" t="s">
        <v>3190</v>
      </c>
      <c r="D255" s="6" t="s">
        <v>3171</v>
      </c>
      <c r="E255" s="6" t="s">
        <v>3172</v>
      </c>
      <c r="F255" s="8"/>
      <c r="G255" s="10">
        <v>9.5</v>
      </c>
      <c r="H255" s="6" t="s">
        <v>1590</v>
      </c>
      <c r="I255" s="13"/>
      <c r="J255" s="13"/>
      <c r="K255" s="6" t="s">
        <v>3173</v>
      </c>
      <c r="L255" s="6" t="s">
        <v>1592</v>
      </c>
      <c r="M255" s="12" t="s">
        <v>3191</v>
      </c>
    </row>
    <row r="256" spans="1:13" ht="45" customHeight="1" x14ac:dyDescent="0.2">
      <c r="A256" s="6" t="s">
        <v>114</v>
      </c>
      <c r="B256" s="6" t="s">
        <v>3192</v>
      </c>
      <c r="C256" s="6" t="s">
        <v>3190</v>
      </c>
      <c r="D256" s="6" t="s">
        <v>3171</v>
      </c>
      <c r="E256" s="6" t="s">
        <v>3172</v>
      </c>
      <c r="F256" s="8"/>
      <c r="G256" s="10">
        <v>15</v>
      </c>
      <c r="H256" s="6" t="s">
        <v>1590</v>
      </c>
      <c r="I256" s="13"/>
      <c r="J256" s="13"/>
      <c r="K256" s="6" t="s">
        <v>3173</v>
      </c>
      <c r="L256" s="6" t="s">
        <v>1592</v>
      </c>
      <c r="M256" s="12" t="s">
        <v>3193</v>
      </c>
    </row>
    <row r="257" spans="1:13" ht="45" customHeight="1" x14ac:dyDescent="0.2">
      <c r="A257" s="6" t="s">
        <v>114</v>
      </c>
      <c r="B257" s="6" t="s">
        <v>3194</v>
      </c>
      <c r="C257" s="6" t="s">
        <v>3195</v>
      </c>
      <c r="D257" s="6" t="s">
        <v>3171</v>
      </c>
      <c r="E257" s="6" t="s">
        <v>3172</v>
      </c>
      <c r="F257" s="8"/>
      <c r="G257" s="10">
        <v>12</v>
      </c>
      <c r="H257" s="6" t="s">
        <v>1590</v>
      </c>
      <c r="I257" s="13"/>
      <c r="J257" s="13"/>
      <c r="K257" s="6" t="s">
        <v>3173</v>
      </c>
      <c r="L257" s="6" t="s">
        <v>1592</v>
      </c>
      <c r="M257" s="12" t="s">
        <v>3191</v>
      </c>
    </row>
    <row r="258" spans="1:13" ht="45" customHeight="1" x14ac:dyDescent="0.2">
      <c r="A258" s="6" t="s">
        <v>114</v>
      </c>
      <c r="B258" s="6" t="s">
        <v>3196</v>
      </c>
      <c r="C258" s="6" t="s">
        <v>3195</v>
      </c>
      <c r="D258" s="6" t="s">
        <v>3171</v>
      </c>
      <c r="E258" s="6" t="s">
        <v>3172</v>
      </c>
      <c r="F258" s="8"/>
      <c r="G258" s="10">
        <v>15.5</v>
      </c>
      <c r="H258" s="6" t="s">
        <v>1590</v>
      </c>
      <c r="I258" s="13"/>
      <c r="J258" s="13"/>
      <c r="K258" s="6" t="s">
        <v>3173</v>
      </c>
      <c r="L258" s="6" t="s">
        <v>1592</v>
      </c>
      <c r="M258" s="12" t="s">
        <v>3197</v>
      </c>
    </row>
    <row r="259" spans="1:13" ht="45" customHeight="1" x14ac:dyDescent="0.2">
      <c r="A259" s="6" t="s">
        <v>114</v>
      </c>
      <c r="B259" s="6" t="s">
        <v>3198</v>
      </c>
      <c r="C259" s="6" t="s">
        <v>3195</v>
      </c>
      <c r="D259" s="6" t="s">
        <v>3171</v>
      </c>
      <c r="E259" s="6" t="s">
        <v>3172</v>
      </c>
      <c r="F259" s="8"/>
      <c r="G259" s="10">
        <v>7.8</v>
      </c>
      <c r="H259" s="6" t="s">
        <v>1590</v>
      </c>
      <c r="I259" s="13"/>
      <c r="J259" s="13"/>
      <c r="K259" s="6" t="s">
        <v>3173</v>
      </c>
      <c r="L259" s="6" t="s">
        <v>1592</v>
      </c>
      <c r="M259" s="12" t="s">
        <v>3199</v>
      </c>
    </row>
    <row r="260" spans="1:13" ht="45" customHeight="1" x14ac:dyDescent="0.2">
      <c r="A260" s="6" t="s">
        <v>114</v>
      </c>
      <c r="B260" s="6" t="s">
        <v>3200</v>
      </c>
      <c r="C260" s="6" t="s">
        <v>3201</v>
      </c>
      <c r="D260" s="6" t="s">
        <v>3171</v>
      </c>
      <c r="E260" s="6" t="s">
        <v>3172</v>
      </c>
      <c r="F260" s="8"/>
      <c r="G260" s="10">
        <v>10.5</v>
      </c>
      <c r="H260" s="6" t="s">
        <v>1590</v>
      </c>
      <c r="I260" s="13"/>
      <c r="J260" s="13"/>
      <c r="K260" s="6" t="s">
        <v>3173</v>
      </c>
      <c r="L260" s="6" t="s">
        <v>1592</v>
      </c>
      <c r="M260" s="12" t="s">
        <v>3202</v>
      </c>
    </row>
    <row r="261" spans="1:13" ht="45" customHeight="1" x14ac:dyDescent="0.2">
      <c r="A261" s="6" t="s">
        <v>114</v>
      </c>
      <c r="B261" s="6" t="s">
        <v>3203</v>
      </c>
      <c r="C261" s="6" t="s">
        <v>3201</v>
      </c>
      <c r="D261" s="6" t="s">
        <v>3204</v>
      </c>
      <c r="E261" s="6" t="s">
        <v>3172</v>
      </c>
      <c r="F261" s="8"/>
      <c r="G261" s="10">
        <v>0</v>
      </c>
      <c r="H261" s="6" t="s">
        <v>1590</v>
      </c>
      <c r="I261" s="13"/>
      <c r="J261" s="13"/>
      <c r="K261" s="6" t="s">
        <v>3173</v>
      </c>
      <c r="L261" s="6" t="s">
        <v>1592</v>
      </c>
      <c r="M261" s="12" t="s">
        <v>3202</v>
      </c>
    </row>
    <row r="262" spans="1:13" ht="45" customHeight="1" x14ac:dyDescent="0.2">
      <c r="A262" s="6" t="s">
        <v>114</v>
      </c>
      <c r="B262" s="6" t="s">
        <v>3205</v>
      </c>
      <c r="C262" s="6" t="s">
        <v>3206</v>
      </c>
      <c r="D262" s="6" t="s">
        <v>3171</v>
      </c>
      <c r="E262" s="6" t="s">
        <v>3172</v>
      </c>
      <c r="F262" s="8"/>
      <c r="G262" s="10">
        <v>3</v>
      </c>
      <c r="H262" s="6" t="s">
        <v>1590</v>
      </c>
      <c r="I262" s="13"/>
      <c r="J262" s="13"/>
      <c r="K262" s="6" t="s">
        <v>3173</v>
      </c>
      <c r="L262" s="6" t="s">
        <v>1592</v>
      </c>
      <c r="M262" s="12" t="s">
        <v>3174</v>
      </c>
    </row>
    <row r="263" spans="1:13" ht="45" customHeight="1" x14ac:dyDescent="0.2">
      <c r="A263" s="6" t="s">
        <v>114</v>
      </c>
      <c r="B263" s="6" t="s">
        <v>3207</v>
      </c>
      <c r="C263" s="6" t="s">
        <v>3208</v>
      </c>
      <c r="D263" s="6" t="s">
        <v>3171</v>
      </c>
      <c r="E263" s="6" t="s">
        <v>3172</v>
      </c>
      <c r="F263" s="8"/>
      <c r="G263" s="10">
        <v>6.6000000000000003E-2</v>
      </c>
      <c r="H263" s="6" t="s">
        <v>1590</v>
      </c>
      <c r="I263" s="13"/>
      <c r="J263" s="13"/>
      <c r="K263" s="6" t="s">
        <v>3173</v>
      </c>
      <c r="L263" s="6" t="s">
        <v>1592</v>
      </c>
      <c r="M263" s="12" t="s">
        <v>3193</v>
      </c>
    </row>
    <row r="264" spans="1:13" ht="45" customHeight="1" x14ac:dyDescent="0.2">
      <c r="A264" s="6" t="s">
        <v>114</v>
      </c>
      <c r="B264" s="6" t="s">
        <v>3209</v>
      </c>
      <c r="C264" s="6" t="s">
        <v>3210</v>
      </c>
      <c r="D264" s="6" t="s">
        <v>3171</v>
      </c>
      <c r="E264" s="6" t="s">
        <v>3172</v>
      </c>
      <c r="F264" s="8"/>
      <c r="G264" s="10">
        <v>15</v>
      </c>
      <c r="H264" s="6" t="s">
        <v>1590</v>
      </c>
      <c r="I264" s="13"/>
      <c r="J264" s="13"/>
      <c r="K264" s="6" t="s">
        <v>3173</v>
      </c>
      <c r="L264" s="6" t="s">
        <v>1592</v>
      </c>
      <c r="M264" s="12" t="s">
        <v>3211</v>
      </c>
    </row>
    <row r="265" spans="1:13" ht="45" customHeight="1" x14ac:dyDescent="0.2">
      <c r="A265" s="6" t="s">
        <v>114</v>
      </c>
      <c r="B265" s="6" t="s">
        <v>3212</v>
      </c>
      <c r="C265" s="6" t="s">
        <v>3213</v>
      </c>
      <c r="D265" s="6" t="s">
        <v>3171</v>
      </c>
      <c r="E265" s="6" t="s">
        <v>3172</v>
      </c>
      <c r="F265" s="8"/>
      <c r="G265" s="10">
        <v>11.3</v>
      </c>
      <c r="H265" s="6" t="s">
        <v>1590</v>
      </c>
      <c r="I265" s="13"/>
      <c r="J265" s="13"/>
      <c r="K265" s="6" t="s">
        <v>3173</v>
      </c>
      <c r="L265" s="6" t="s">
        <v>1592</v>
      </c>
      <c r="M265" s="12" t="s">
        <v>3214</v>
      </c>
    </row>
    <row r="266" spans="1:13" ht="45" customHeight="1" x14ac:dyDescent="0.2">
      <c r="A266" s="6" t="s">
        <v>114</v>
      </c>
      <c r="B266" s="6" t="s">
        <v>3215</v>
      </c>
      <c r="C266" s="6" t="s">
        <v>3216</v>
      </c>
      <c r="D266" s="6" t="s">
        <v>3171</v>
      </c>
      <c r="E266" s="6" t="s">
        <v>3172</v>
      </c>
      <c r="F266" s="8"/>
      <c r="G266" s="10">
        <v>9</v>
      </c>
      <c r="H266" s="6" t="s">
        <v>1590</v>
      </c>
      <c r="I266" s="13"/>
      <c r="J266" s="13"/>
      <c r="K266" s="6" t="s">
        <v>3173</v>
      </c>
      <c r="L266" s="6" t="s">
        <v>1592</v>
      </c>
      <c r="M266" s="12" t="s">
        <v>3217</v>
      </c>
    </row>
    <row r="267" spans="1:13" ht="45" customHeight="1" x14ac:dyDescent="0.2">
      <c r="A267" s="6" t="s">
        <v>114</v>
      </c>
      <c r="B267" s="6" t="s">
        <v>3218</v>
      </c>
      <c r="C267" s="6" t="s">
        <v>3219</v>
      </c>
      <c r="D267" s="6" t="s">
        <v>3171</v>
      </c>
      <c r="E267" s="6" t="s">
        <v>3172</v>
      </c>
      <c r="F267" s="8"/>
      <c r="G267" s="10">
        <v>33</v>
      </c>
      <c r="H267" s="6" t="s">
        <v>1590</v>
      </c>
      <c r="I267" s="13"/>
      <c r="J267" s="13"/>
      <c r="K267" s="6" t="s">
        <v>3173</v>
      </c>
      <c r="L267" s="6" t="s">
        <v>1592</v>
      </c>
      <c r="M267" s="12" t="s">
        <v>3177</v>
      </c>
    </row>
    <row r="268" spans="1:13" ht="45" customHeight="1" x14ac:dyDescent="0.2">
      <c r="A268" s="6" t="s">
        <v>114</v>
      </c>
      <c r="B268" s="6" t="s">
        <v>3220</v>
      </c>
      <c r="C268" s="6" t="s">
        <v>3219</v>
      </c>
      <c r="D268" s="6" t="s">
        <v>3171</v>
      </c>
      <c r="E268" s="6" t="s">
        <v>3172</v>
      </c>
      <c r="F268" s="8"/>
      <c r="G268" s="10">
        <v>35.200000000000003</v>
      </c>
      <c r="H268" s="6" t="s">
        <v>1590</v>
      </c>
      <c r="I268" s="13"/>
      <c r="J268" s="13"/>
      <c r="K268" s="6" t="s">
        <v>3173</v>
      </c>
      <c r="L268" s="6" t="s">
        <v>1592</v>
      </c>
      <c r="M268" s="12" t="s">
        <v>3177</v>
      </c>
    </row>
    <row r="269" spans="1:13" ht="45" customHeight="1" x14ac:dyDescent="0.2">
      <c r="A269" s="6" t="s">
        <v>114</v>
      </c>
      <c r="B269" s="6" t="s">
        <v>3221</v>
      </c>
      <c r="C269" s="6" t="s">
        <v>3222</v>
      </c>
      <c r="D269" s="6" t="s">
        <v>3171</v>
      </c>
      <c r="E269" s="6" t="s">
        <v>3172</v>
      </c>
      <c r="F269" s="8"/>
      <c r="G269" s="10">
        <v>20</v>
      </c>
      <c r="H269" s="6" t="s">
        <v>1590</v>
      </c>
      <c r="I269" s="13"/>
      <c r="J269" s="13"/>
      <c r="K269" s="6" t="s">
        <v>3173</v>
      </c>
      <c r="L269" s="6" t="s">
        <v>1592</v>
      </c>
      <c r="M269" s="12" t="s">
        <v>3177</v>
      </c>
    </row>
    <row r="270" spans="1:13" ht="45" customHeight="1" x14ac:dyDescent="0.2">
      <c r="A270" s="6" t="s">
        <v>329</v>
      </c>
      <c r="B270" s="6" t="s">
        <v>3223</v>
      </c>
      <c r="C270" s="6" t="s">
        <v>3224</v>
      </c>
      <c r="D270" s="6" t="s">
        <v>3225</v>
      </c>
      <c r="E270" s="6" t="s">
        <v>3226</v>
      </c>
      <c r="F270" s="8"/>
      <c r="G270" s="10">
        <v>5.5</v>
      </c>
      <c r="H270" s="6" t="s">
        <v>1537</v>
      </c>
      <c r="I270" s="13"/>
      <c r="J270" s="13"/>
      <c r="K270" s="6" t="s">
        <v>3227</v>
      </c>
      <c r="L270" s="6" t="s">
        <v>1597</v>
      </c>
      <c r="M270" s="12" t="s">
        <v>3228</v>
      </c>
    </row>
    <row r="271" spans="1:13" ht="45" customHeight="1" x14ac:dyDescent="0.2">
      <c r="A271" s="6" t="s">
        <v>329</v>
      </c>
      <c r="B271" s="6" t="s">
        <v>3229</v>
      </c>
      <c r="C271" s="6" t="s">
        <v>3224</v>
      </c>
      <c r="D271" s="6" t="s">
        <v>3225</v>
      </c>
      <c r="E271" s="6" t="s">
        <v>3226</v>
      </c>
      <c r="F271" s="8"/>
      <c r="G271" s="10">
        <v>6</v>
      </c>
      <c r="H271" s="6" t="s">
        <v>1537</v>
      </c>
      <c r="I271" s="13"/>
      <c r="J271" s="13"/>
      <c r="K271" s="6" t="s">
        <v>3227</v>
      </c>
      <c r="L271" s="6" t="s">
        <v>1597</v>
      </c>
      <c r="M271" s="12" t="s">
        <v>3228</v>
      </c>
    </row>
    <row r="272" spans="1:13" ht="45" customHeight="1" x14ac:dyDescent="0.2">
      <c r="A272" s="6" t="s">
        <v>329</v>
      </c>
      <c r="B272" s="6" t="s">
        <v>3230</v>
      </c>
      <c r="C272" s="6" t="s">
        <v>3224</v>
      </c>
      <c r="D272" s="6" t="s">
        <v>3225</v>
      </c>
      <c r="E272" s="6" t="s">
        <v>3226</v>
      </c>
      <c r="F272" s="8"/>
      <c r="G272" s="10">
        <v>6</v>
      </c>
      <c r="H272" s="6" t="s">
        <v>1537</v>
      </c>
      <c r="I272" s="13"/>
      <c r="J272" s="13"/>
      <c r="K272" s="6" t="s">
        <v>3227</v>
      </c>
      <c r="L272" s="6" t="s">
        <v>1597</v>
      </c>
      <c r="M272" s="12" t="s">
        <v>3228</v>
      </c>
    </row>
    <row r="273" spans="1:13" ht="45" customHeight="1" x14ac:dyDescent="0.2">
      <c r="A273" s="6" t="s">
        <v>329</v>
      </c>
      <c r="B273" s="6" t="s">
        <v>3231</v>
      </c>
      <c r="C273" s="6" t="s">
        <v>3224</v>
      </c>
      <c r="D273" s="6" t="s">
        <v>3225</v>
      </c>
      <c r="E273" s="6" t="s">
        <v>3226</v>
      </c>
      <c r="F273" s="8"/>
      <c r="G273" s="10">
        <v>1.5</v>
      </c>
      <c r="H273" s="6" t="s">
        <v>1537</v>
      </c>
      <c r="I273" s="13"/>
      <c r="J273" s="13"/>
      <c r="K273" s="6" t="s">
        <v>3227</v>
      </c>
      <c r="L273" s="6" t="s">
        <v>1597</v>
      </c>
      <c r="M273" s="12" t="s">
        <v>3228</v>
      </c>
    </row>
    <row r="274" spans="1:13" ht="45" customHeight="1" x14ac:dyDescent="0.2">
      <c r="A274" s="6" t="s">
        <v>1123</v>
      </c>
      <c r="B274" s="6" t="s">
        <v>3232</v>
      </c>
      <c r="C274" s="6" t="s">
        <v>3233</v>
      </c>
      <c r="D274" s="6" t="s">
        <v>2773</v>
      </c>
      <c r="E274" s="6" t="s">
        <v>3234</v>
      </c>
      <c r="F274" s="8">
        <v>0</v>
      </c>
      <c r="G274" s="10"/>
      <c r="H274" s="6" t="s">
        <v>1604</v>
      </c>
      <c r="I274" s="13"/>
      <c r="J274" s="13"/>
      <c r="K274" s="6" t="s">
        <v>3235</v>
      </c>
      <c r="L274" s="6" t="s">
        <v>1606</v>
      </c>
      <c r="M274" s="12" t="s">
        <v>3236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74"/>
  <sheetViews>
    <sheetView showGridLines="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5" customWidth="1"/>
    <col min="2" max="2" width="95" customWidth="1"/>
    <col min="3" max="3" width="30" customWidth="1"/>
    <col min="4" max="4" width="40" customWidth="1"/>
    <col min="5" max="5" width="22" customWidth="1"/>
    <col min="6" max="6" width="95" customWidth="1"/>
    <col min="7" max="7" width="100" customWidth="1"/>
    <col min="8" max="8" width="17" customWidth="1"/>
  </cols>
  <sheetData>
    <row r="1" spans="1:8" ht="30" customHeight="1" x14ac:dyDescent="0.2">
      <c r="A1" s="22" t="s">
        <v>3237</v>
      </c>
      <c r="B1" s="22" t="s">
        <v>3238</v>
      </c>
      <c r="C1" s="23"/>
      <c r="D1" s="23"/>
      <c r="E1" s="23"/>
      <c r="F1" s="23"/>
      <c r="G1" s="23"/>
      <c r="H1" s="23"/>
    </row>
    <row r="2" spans="1:8" x14ac:dyDescent="0.2">
      <c r="A2" s="23"/>
      <c r="B2" s="23"/>
      <c r="C2" s="23"/>
      <c r="D2" s="23"/>
      <c r="E2" s="23"/>
      <c r="F2" s="23"/>
      <c r="G2" s="23"/>
      <c r="H2" s="23"/>
    </row>
    <row r="3" spans="1:8" ht="75" customHeight="1" x14ac:dyDescent="0.2">
      <c r="A3" s="23" t="s">
        <v>3239</v>
      </c>
      <c r="B3" s="15" t="s">
        <v>3240</v>
      </c>
      <c r="C3" s="23"/>
      <c r="D3" s="15" t="s">
        <v>3241</v>
      </c>
      <c r="E3" s="23">
        <v>212</v>
      </c>
      <c r="F3" s="23"/>
      <c r="G3" s="23"/>
      <c r="H3" s="23"/>
    </row>
    <row r="4" spans="1:8" ht="75" customHeight="1" x14ac:dyDescent="0.2">
      <c r="A4" s="23" t="s">
        <v>3242</v>
      </c>
      <c r="B4" s="15" t="s">
        <v>3243</v>
      </c>
      <c r="C4" s="23"/>
      <c r="D4" s="15" t="s">
        <v>3244</v>
      </c>
      <c r="E4" s="23">
        <v>212</v>
      </c>
      <c r="F4" s="23"/>
      <c r="G4" s="23"/>
      <c r="H4" s="23"/>
    </row>
    <row r="5" spans="1:8" ht="75" customHeight="1" x14ac:dyDescent="0.2">
      <c r="A5" s="23" t="s">
        <v>3245</v>
      </c>
      <c r="B5" s="15" t="s">
        <v>3246</v>
      </c>
      <c r="C5" s="23"/>
      <c r="D5" s="15" t="s">
        <v>3247</v>
      </c>
      <c r="E5" s="23">
        <v>212</v>
      </c>
      <c r="F5" s="23"/>
      <c r="G5" s="23"/>
      <c r="H5" s="23"/>
    </row>
    <row r="6" spans="1:8" ht="75" customHeight="1" x14ac:dyDescent="0.2">
      <c r="A6" s="23" t="s">
        <v>3248</v>
      </c>
      <c r="B6" s="15" t="s">
        <v>3249</v>
      </c>
      <c r="C6" s="23"/>
      <c r="D6" s="15" t="s">
        <v>3250</v>
      </c>
      <c r="E6" s="23">
        <v>1075</v>
      </c>
      <c r="F6" s="23"/>
      <c r="G6" s="23"/>
      <c r="H6" s="23"/>
    </row>
    <row r="7" spans="1:8" ht="75" customHeight="1" x14ac:dyDescent="0.2">
      <c r="A7" s="23" t="s">
        <v>3251</v>
      </c>
      <c r="B7" s="15" t="s">
        <v>3252</v>
      </c>
      <c r="C7" s="23"/>
      <c r="D7" s="15" t="s">
        <v>3253</v>
      </c>
      <c r="E7" s="23">
        <v>218</v>
      </c>
      <c r="F7" s="23"/>
      <c r="G7" s="23"/>
      <c r="H7" s="23"/>
    </row>
    <row r="8" spans="1:8" ht="75" customHeight="1" x14ac:dyDescent="0.2">
      <c r="A8" s="23" t="s">
        <v>3254</v>
      </c>
      <c r="B8" s="15" t="s">
        <v>3255</v>
      </c>
      <c r="C8" s="23"/>
      <c r="D8" s="15" t="s">
        <v>3256</v>
      </c>
      <c r="E8" s="23">
        <v>206</v>
      </c>
      <c r="F8" s="23"/>
      <c r="G8" s="23"/>
      <c r="H8" s="23"/>
    </row>
    <row r="9" spans="1:8" ht="75" customHeight="1" x14ac:dyDescent="0.2">
      <c r="A9" s="23" t="s">
        <v>3257</v>
      </c>
      <c r="B9" s="15" t="s">
        <v>3258</v>
      </c>
      <c r="C9" s="23"/>
      <c r="D9" s="15" t="s">
        <v>3259</v>
      </c>
      <c r="E9" s="23">
        <v>206</v>
      </c>
      <c r="F9" s="23"/>
      <c r="G9" s="23"/>
      <c r="H9" s="23"/>
    </row>
    <row r="10" spans="1:8" ht="75" customHeight="1" x14ac:dyDescent="0.2">
      <c r="A10" s="23" t="s">
        <v>3260</v>
      </c>
      <c r="B10" s="15" t="s">
        <v>3261</v>
      </c>
      <c r="C10" s="23"/>
      <c r="D10" s="15" t="s">
        <v>3262</v>
      </c>
      <c r="E10" s="23">
        <v>180</v>
      </c>
      <c r="F10" s="23"/>
      <c r="G10" s="23"/>
      <c r="H10" s="23"/>
    </row>
    <row r="11" spans="1:8" ht="75" customHeight="1" x14ac:dyDescent="0.2">
      <c r="A11" s="23" t="s">
        <v>3263</v>
      </c>
      <c r="B11" s="15" t="s">
        <v>3264</v>
      </c>
      <c r="C11" s="23"/>
      <c r="D11" s="15" t="s">
        <v>3265</v>
      </c>
      <c r="E11" s="23">
        <v>169</v>
      </c>
      <c r="F11" s="23"/>
      <c r="G11" s="23"/>
      <c r="H11" s="23"/>
    </row>
    <row r="12" spans="1:8" ht="75" customHeight="1" x14ac:dyDescent="0.2">
      <c r="A12" s="23" t="s">
        <v>3266</v>
      </c>
      <c r="B12" s="15" t="s">
        <v>3267</v>
      </c>
      <c r="C12" s="23"/>
      <c r="D12" s="15" t="s">
        <v>3268</v>
      </c>
      <c r="E12" s="23">
        <v>168</v>
      </c>
      <c r="F12" s="23"/>
      <c r="G12" s="23"/>
      <c r="H12" s="23"/>
    </row>
    <row r="13" spans="1:8" ht="75" customHeight="1" x14ac:dyDescent="0.2">
      <c r="A13" s="23" t="s">
        <v>3269</v>
      </c>
      <c r="B13" s="15" t="s">
        <v>3270</v>
      </c>
      <c r="C13" s="23"/>
      <c r="D13" s="15" t="s">
        <v>3271</v>
      </c>
      <c r="E13" s="23">
        <v>56</v>
      </c>
      <c r="F13" s="23"/>
      <c r="G13" s="23"/>
      <c r="H13" s="23"/>
    </row>
    <row r="14" spans="1:8" ht="75" customHeight="1" x14ac:dyDescent="0.2">
      <c r="A14" s="23" t="s">
        <v>3272</v>
      </c>
      <c r="B14" s="15" t="s">
        <v>3273</v>
      </c>
      <c r="C14" s="23"/>
      <c r="D14" s="15" t="s">
        <v>3274</v>
      </c>
      <c r="E14" s="23">
        <v>658</v>
      </c>
      <c r="F14" s="23"/>
      <c r="G14" s="23"/>
      <c r="H14" s="23"/>
    </row>
    <row r="15" spans="1:8" ht="75" customHeight="1" x14ac:dyDescent="0.2">
      <c r="A15" s="23" t="s">
        <v>3275</v>
      </c>
      <c r="B15" s="15" t="s">
        <v>3276</v>
      </c>
      <c r="C15" s="23"/>
      <c r="D15" s="15" t="s">
        <v>3277</v>
      </c>
      <c r="E15" s="23">
        <v>114</v>
      </c>
      <c r="F15" s="23"/>
      <c r="G15" s="23"/>
      <c r="H15" s="23"/>
    </row>
    <row r="16" spans="1:8" ht="75" customHeight="1" x14ac:dyDescent="0.2">
      <c r="A16" s="23" t="s">
        <v>3278</v>
      </c>
      <c r="B16" s="15" t="s">
        <v>3279</v>
      </c>
      <c r="C16" s="23"/>
      <c r="D16" s="15" t="s">
        <v>3280</v>
      </c>
      <c r="E16" s="23">
        <v>29</v>
      </c>
      <c r="F16" s="23"/>
      <c r="G16" s="23"/>
      <c r="H16" s="23"/>
    </row>
    <row r="17" spans="1:8" ht="75" customHeight="1" x14ac:dyDescent="0.2">
      <c r="A17" s="23" t="s">
        <v>3281</v>
      </c>
      <c r="B17" s="15" t="s">
        <v>3282</v>
      </c>
      <c r="C17" s="23"/>
      <c r="D17" s="15" t="s">
        <v>3283</v>
      </c>
      <c r="E17" s="23">
        <v>69</v>
      </c>
      <c r="F17" s="23"/>
      <c r="G17" s="23"/>
      <c r="H17" s="23"/>
    </row>
    <row r="18" spans="1:8" ht="75" customHeight="1" x14ac:dyDescent="0.2">
      <c r="A18" s="23" t="s">
        <v>3284</v>
      </c>
      <c r="B18" s="15" t="s">
        <v>3285</v>
      </c>
      <c r="C18" s="23"/>
      <c r="D18" s="15" t="s">
        <v>3286</v>
      </c>
      <c r="E18" s="23">
        <v>273</v>
      </c>
      <c r="F18" s="23"/>
      <c r="G18" s="23"/>
      <c r="H18" s="23"/>
    </row>
    <row r="19" spans="1:8" ht="75" customHeight="1" x14ac:dyDescent="0.2">
      <c r="A19" s="23" t="s">
        <v>1124</v>
      </c>
      <c r="B19" s="15" t="s">
        <v>3287</v>
      </c>
      <c r="C19" s="23"/>
      <c r="D19" s="23"/>
      <c r="E19" s="23"/>
      <c r="F19" s="23"/>
      <c r="G19" s="23"/>
      <c r="H19" s="23"/>
    </row>
    <row r="20" spans="1:8" ht="75" customHeight="1" x14ac:dyDescent="0.2">
      <c r="A20" s="23" t="s">
        <v>3288</v>
      </c>
      <c r="B20" s="15" t="s">
        <v>3289</v>
      </c>
      <c r="C20" s="23"/>
      <c r="D20" s="23"/>
      <c r="E20" s="23"/>
      <c r="F20" s="23"/>
      <c r="G20" s="23"/>
      <c r="H20" s="23"/>
    </row>
    <row r="21" spans="1:8" ht="75" customHeight="1" x14ac:dyDescent="0.2">
      <c r="A21" s="23" t="s">
        <v>3290</v>
      </c>
      <c r="B21" s="15" t="s">
        <v>3291</v>
      </c>
      <c r="C21" s="23"/>
      <c r="D21" s="23"/>
      <c r="E21" s="23"/>
      <c r="F21" s="23"/>
      <c r="G21" s="23"/>
      <c r="H21" s="23"/>
    </row>
    <row r="22" spans="1:8" x14ac:dyDescent="0.2">
      <c r="A22" s="23"/>
      <c r="B22" s="23"/>
      <c r="C22" s="23"/>
      <c r="D22" s="23"/>
      <c r="E22" s="23"/>
      <c r="F22" s="23"/>
      <c r="G22" s="23"/>
      <c r="H22" s="23"/>
    </row>
    <row r="23" spans="1:8" x14ac:dyDescent="0.2">
      <c r="A23" s="23"/>
      <c r="B23" s="23"/>
      <c r="C23" s="23"/>
      <c r="D23" s="23"/>
      <c r="E23" s="23"/>
      <c r="F23" s="23"/>
      <c r="G23" s="23"/>
      <c r="H23" s="23"/>
    </row>
    <row r="24" spans="1:8" x14ac:dyDescent="0.2">
      <c r="A24" s="23"/>
      <c r="B24" s="23"/>
      <c r="C24" s="23"/>
      <c r="D24" s="23"/>
      <c r="E24" s="23"/>
      <c r="F24" s="23"/>
      <c r="G24" s="23"/>
      <c r="H24" s="23"/>
    </row>
    <row r="25" spans="1:8" x14ac:dyDescent="0.2">
      <c r="A25" s="23"/>
      <c r="B25" s="23"/>
      <c r="C25" s="23"/>
      <c r="D25" s="23"/>
      <c r="E25" s="23"/>
      <c r="F25" s="23"/>
      <c r="G25" s="23"/>
      <c r="H25" s="23"/>
    </row>
    <row r="26" spans="1:8" ht="39.950000000000003" customHeight="1" x14ac:dyDescent="0.2">
      <c r="A26" s="22" t="s">
        <v>1573</v>
      </c>
      <c r="B26" s="22" t="s">
        <v>1550</v>
      </c>
      <c r="C26" s="22" t="s">
        <v>3292</v>
      </c>
      <c r="D26" s="22" t="s">
        <v>3293</v>
      </c>
      <c r="E26" s="22" t="s">
        <v>2754</v>
      </c>
      <c r="F26" s="22" t="s">
        <v>3294</v>
      </c>
      <c r="G26" s="22" t="s">
        <v>3295</v>
      </c>
      <c r="H26" s="22" t="s">
        <v>43</v>
      </c>
    </row>
    <row r="27" spans="1:8" ht="54.95" customHeight="1" x14ac:dyDescent="0.2">
      <c r="A27" s="23" t="s">
        <v>264</v>
      </c>
      <c r="B27" s="23" t="s">
        <v>33</v>
      </c>
      <c r="C27" s="23" t="s">
        <v>46</v>
      </c>
      <c r="D27" s="23" t="s">
        <v>269</v>
      </c>
      <c r="E27" s="23" t="s">
        <v>58</v>
      </c>
      <c r="F27" s="15" t="s">
        <v>3296</v>
      </c>
      <c r="G27" s="15" t="s">
        <v>3297</v>
      </c>
      <c r="H27" s="23" t="s">
        <v>58</v>
      </c>
    </row>
    <row r="28" spans="1:8" ht="54.95" customHeight="1" x14ac:dyDescent="0.2">
      <c r="A28" s="23" t="s">
        <v>264</v>
      </c>
      <c r="B28" s="23" t="s">
        <v>34</v>
      </c>
      <c r="C28" s="23" t="s">
        <v>46</v>
      </c>
      <c r="D28" s="23" t="s">
        <v>270</v>
      </c>
      <c r="E28" s="23" t="s">
        <v>58</v>
      </c>
      <c r="F28" s="15" t="s">
        <v>3296</v>
      </c>
      <c r="G28" s="15" t="s">
        <v>3297</v>
      </c>
      <c r="H28" s="23" t="s">
        <v>58</v>
      </c>
    </row>
    <row r="29" spans="1:8" ht="54.95" customHeight="1" x14ac:dyDescent="0.2">
      <c r="A29" s="23" t="s">
        <v>306</v>
      </c>
      <c r="B29" s="23" t="s">
        <v>33</v>
      </c>
      <c r="C29" s="23" t="s">
        <v>46</v>
      </c>
      <c r="D29" s="23" t="s">
        <v>308</v>
      </c>
      <c r="E29" s="23" t="s">
        <v>58</v>
      </c>
      <c r="F29" s="15" t="s">
        <v>3296</v>
      </c>
      <c r="G29" s="15" t="s">
        <v>3297</v>
      </c>
      <c r="H29" s="23" t="s">
        <v>58</v>
      </c>
    </row>
    <row r="30" spans="1:8" ht="54.95" customHeight="1" x14ac:dyDescent="0.2">
      <c r="A30" s="23" t="s">
        <v>306</v>
      </c>
      <c r="B30" s="23" t="s">
        <v>34</v>
      </c>
      <c r="C30" s="23" t="s">
        <v>46</v>
      </c>
      <c r="D30" s="23" t="s">
        <v>309</v>
      </c>
      <c r="E30" s="23" t="s">
        <v>58</v>
      </c>
      <c r="F30" s="15" t="s">
        <v>3296</v>
      </c>
      <c r="G30" s="15" t="s">
        <v>3297</v>
      </c>
      <c r="H30" s="23" t="s">
        <v>58</v>
      </c>
    </row>
    <row r="31" spans="1:8" ht="54.95" customHeight="1" x14ac:dyDescent="0.2">
      <c r="A31" s="23" t="s">
        <v>310</v>
      </c>
      <c r="B31" s="23" t="s">
        <v>33</v>
      </c>
      <c r="C31" s="23" t="s">
        <v>46</v>
      </c>
      <c r="D31" s="23" t="s">
        <v>313</v>
      </c>
      <c r="E31" s="23" t="s">
        <v>58</v>
      </c>
      <c r="F31" s="15" t="s">
        <v>3296</v>
      </c>
      <c r="G31" s="15" t="s">
        <v>3297</v>
      </c>
      <c r="H31" s="23" t="s">
        <v>58</v>
      </c>
    </row>
    <row r="32" spans="1:8" ht="54.95" customHeight="1" x14ac:dyDescent="0.2">
      <c r="A32" s="23" t="s">
        <v>310</v>
      </c>
      <c r="B32" s="23" t="s">
        <v>34</v>
      </c>
      <c r="C32" s="23" t="s">
        <v>46</v>
      </c>
      <c r="D32" s="23" t="s">
        <v>314</v>
      </c>
      <c r="E32" s="23" t="s">
        <v>58</v>
      </c>
      <c r="F32" s="15" t="s">
        <v>3296</v>
      </c>
      <c r="G32" s="15" t="s">
        <v>3297</v>
      </c>
      <c r="H32" s="23" t="s">
        <v>58</v>
      </c>
    </row>
    <row r="33" spans="1:8" ht="54.95" customHeight="1" x14ac:dyDescent="0.2">
      <c r="A33" s="23" t="s">
        <v>482</v>
      </c>
      <c r="B33" s="23" t="s">
        <v>33</v>
      </c>
      <c r="C33" s="23" t="s">
        <v>46</v>
      </c>
      <c r="D33" s="23" t="s">
        <v>486</v>
      </c>
      <c r="E33" s="23" t="s">
        <v>58</v>
      </c>
      <c r="F33" s="15" t="s">
        <v>3296</v>
      </c>
      <c r="G33" s="15" t="s">
        <v>3297</v>
      </c>
      <c r="H33" s="23" t="s">
        <v>58</v>
      </c>
    </row>
    <row r="34" spans="1:8" ht="54.95" customHeight="1" x14ac:dyDescent="0.2">
      <c r="A34" s="23" t="s">
        <v>482</v>
      </c>
      <c r="B34" s="23" t="s">
        <v>34</v>
      </c>
      <c r="C34" s="23" t="s">
        <v>46</v>
      </c>
      <c r="D34" s="23" t="s">
        <v>487</v>
      </c>
      <c r="E34" s="23" t="s">
        <v>58</v>
      </c>
      <c r="F34" s="15" t="s">
        <v>3296</v>
      </c>
      <c r="G34" s="15" t="s">
        <v>3297</v>
      </c>
      <c r="H34" s="23" t="s">
        <v>58</v>
      </c>
    </row>
    <row r="35" spans="1:8" ht="54.95" customHeight="1" x14ac:dyDescent="0.2">
      <c r="A35" s="23" t="s">
        <v>803</v>
      </c>
      <c r="B35" s="23" t="s">
        <v>33</v>
      </c>
      <c r="C35" s="23" t="s">
        <v>46</v>
      </c>
      <c r="D35" s="23" t="s">
        <v>806</v>
      </c>
      <c r="E35" s="23" t="s">
        <v>58</v>
      </c>
      <c r="F35" s="15" t="s">
        <v>3296</v>
      </c>
      <c r="G35" s="15" t="s">
        <v>3297</v>
      </c>
      <c r="H35" s="23" t="s">
        <v>58</v>
      </c>
    </row>
    <row r="36" spans="1:8" ht="54.95" customHeight="1" x14ac:dyDescent="0.2">
      <c r="A36" s="23" t="s">
        <v>803</v>
      </c>
      <c r="B36" s="23" t="s">
        <v>34</v>
      </c>
      <c r="C36" s="23" t="s">
        <v>46</v>
      </c>
      <c r="D36" s="23" t="s">
        <v>807</v>
      </c>
      <c r="E36" s="23" t="s">
        <v>58</v>
      </c>
      <c r="F36" s="15" t="s">
        <v>3296</v>
      </c>
      <c r="G36" s="15" t="s">
        <v>3297</v>
      </c>
      <c r="H36" s="23" t="s">
        <v>58</v>
      </c>
    </row>
    <row r="37" spans="1:8" ht="54.95" customHeight="1" x14ac:dyDescent="0.2">
      <c r="A37" s="23" t="s">
        <v>923</v>
      </c>
      <c r="B37" s="23" t="s">
        <v>33</v>
      </c>
      <c r="C37" s="23" t="s">
        <v>46</v>
      </c>
      <c r="D37" s="23" t="s">
        <v>354</v>
      </c>
      <c r="E37" s="23" t="s">
        <v>58</v>
      </c>
      <c r="F37" s="15" t="s">
        <v>3296</v>
      </c>
      <c r="G37" s="15" t="s">
        <v>3297</v>
      </c>
      <c r="H37" s="23" t="s">
        <v>58</v>
      </c>
    </row>
    <row r="38" spans="1:8" ht="54.95" customHeight="1" x14ac:dyDescent="0.2">
      <c r="A38" s="23" t="s">
        <v>923</v>
      </c>
      <c r="B38" s="23" t="s">
        <v>34</v>
      </c>
      <c r="C38" s="23" t="s">
        <v>46</v>
      </c>
      <c r="D38" s="23" t="s">
        <v>355</v>
      </c>
      <c r="E38" s="23" t="s">
        <v>58</v>
      </c>
      <c r="F38" s="15" t="s">
        <v>3296</v>
      </c>
      <c r="G38" s="15" t="s">
        <v>3297</v>
      </c>
      <c r="H38" s="23" t="s">
        <v>58</v>
      </c>
    </row>
    <row r="39" spans="1:8" ht="54.95" customHeight="1" x14ac:dyDescent="0.2">
      <c r="A39" s="23" t="s">
        <v>1072</v>
      </c>
      <c r="B39" s="23" t="s">
        <v>33</v>
      </c>
      <c r="C39" s="23" t="s">
        <v>46</v>
      </c>
      <c r="D39" s="23" t="s">
        <v>1076</v>
      </c>
      <c r="E39" s="23" t="s">
        <v>58</v>
      </c>
      <c r="F39" s="15" t="s">
        <v>3296</v>
      </c>
      <c r="G39" s="15" t="s">
        <v>3297</v>
      </c>
      <c r="H39" s="23" t="s">
        <v>58</v>
      </c>
    </row>
    <row r="40" spans="1:8" ht="54.95" customHeight="1" x14ac:dyDescent="0.2">
      <c r="A40" s="23" t="s">
        <v>1072</v>
      </c>
      <c r="B40" s="23" t="s">
        <v>34</v>
      </c>
      <c r="C40" s="23" t="s">
        <v>46</v>
      </c>
      <c r="D40" s="23" t="s">
        <v>1077</v>
      </c>
      <c r="E40" s="23" t="s">
        <v>58</v>
      </c>
      <c r="F40" s="15" t="s">
        <v>3296</v>
      </c>
      <c r="G40" s="15" t="s">
        <v>3297</v>
      </c>
      <c r="H40" s="23" t="s">
        <v>58</v>
      </c>
    </row>
    <row r="41" spans="1:8" ht="54.95" customHeight="1" x14ac:dyDescent="0.2">
      <c r="A41" s="23" t="s">
        <v>1085</v>
      </c>
      <c r="B41" s="23" t="s">
        <v>33</v>
      </c>
      <c r="C41" s="23" t="s">
        <v>46</v>
      </c>
      <c r="D41" s="23" t="s">
        <v>1087</v>
      </c>
      <c r="E41" s="23" t="s">
        <v>58</v>
      </c>
      <c r="F41" s="15" t="s">
        <v>3296</v>
      </c>
      <c r="G41" s="15" t="s">
        <v>3297</v>
      </c>
      <c r="H41" s="23" t="s">
        <v>58</v>
      </c>
    </row>
    <row r="42" spans="1:8" ht="54.95" customHeight="1" x14ac:dyDescent="0.2">
      <c r="A42" s="23" t="s">
        <v>1085</v>
      </c>
      <c r="B42" s="23" t="s">
        <v>34</v>
      </c>
      <c r="C42" s="23" t="s">
        <v>46</v>
      </c>
      <c r="D42" s="23" t="s">
        <v>1088</v>
      </c>
      <c r="E42" s="23" t="s">
        <v>58</v>
      </c>
      <c r="F42" s="15" t="s">
        <v>3296</v>
      </c>
      <c r="G42" s="15" t="s">
        <v>3297</v>
      </c>
      <c r="H42" s="23" t="s">
        <v>58</v>
      </c>
    </row>
    <row r="43" spans="1:8" ht="54.95" customHeight="1" x14ac:dyDescent="0.2">
      <c r="A43" s="23" t="s">
        <v>1095</v>
      </c>
      <c r="B43" s="23" t="s">
        <v>33</v>
      </c>
      <c r="C43" s="23" t="s">
        <v>46</v>
      </c>
      <c r="D43" s="23" t="s">
        <v>334</v>
      </c>
      <c r="E43" s="23" t="s">
        <v>58</v>
      </c>
      <c r="F43" s="15" t="s">
        <v>3296</v>
      </c>
      <c r="G43" s="15" t="s">
        <v>3297</v>
      </c>
      <c r="H43" s="23" t="s">
        <v>58</v>
      </c>
    </row>
    <row r="44" spans="1:8" ht="54.95" customHeight="1" x14ac:dyDescent="0.2">
      <c r="A44" s="23" t="s">
        <v>1095</v>
      </c>
      <c r="B44" s="23" t="s">
        <v>34</v>
      </c>
      <c r="C44" s="23" t="s">
        <v>46</v>
      </c>
      <c r="D44" s="23" t="s">
        <v>335</v>
      </c>
      <c r="E44" s="23" t="s">
        <v>58</v>
      </c>
      <c r="F44" s="15" t="s">
        <v>3296</v>
      </c>
      <c r="G44" s="15" t="s">
        <v>3297</v>
      </c>
      <c r="H44" s="23" t="s">
        <v>58</v>
      </c>
    </row>
    <row r="45" spans="1:8" ht="54.95" customHeight="1" x14ac:dyDescent="0.2">
      <c r="A45" s="23" t="s">
        <v>1167</v>
      </c>
      <c r="B45" s="23" t="s">
        <v>33</v>
      </c>
      <c r="C45" s="23" t="s">
        <v>46</v>
      </c>
      <c r="D45" s="23" t="s">
        <v>1171</v>
      </c>
      <c r="E45" s="23" t="s">
        <v>58</v>
      </c>
      <c r="F45" s="15" t="s">
        <v>3296</v>
      </c>
      <c r="G45" s="15" t="s">
        <v>3297</v>
      </c>
      <c r="H45" s="23" t="s">
        <v>58</v>
      </c>
    </row>
    <row r="46" spans="1:8" ht="54.95" customHeight="1" x14ac:dyDescent="0.2">
      <c r="A46" s="23" t="s">
        <v>1167</v>
      </c>
      <c r="B46" s="23" t="s">
        <v>34</v>
      </c>
      <c r="C46" s="23" t="s">
        <v>46</v>
      </c>
      <c r="D46" s="23" t="s">
        <v>1172</v>
      </c>
      <c r="E46" s="23" t="s">
        <v>58</v>
      </c>
      <c r="F46" s="15" t="s">
        <v>3296</v>
      </c>
      <c r="G46" s="15" t="s">
        <v>3297</v>
      </c>
      <c r="H46" s="23" t="s">
        <v>58</v>
      </c>
    </row>
    <row r="47" spans="1:8" ht="54.95" customHeight="1" x14ac:dyDescent="0.2">
      <c r="A47" s="23" t="s">
        <v>1201</v>
      </c>
      <c r="B47" s="23" t="s">
        <v>33</v>
      </c>
      <c r="C47" s="23" t="s">
        <v>46</v>
      </c>
      <c r="D47" s="23" t="s">
        <v>1203</v>
      </c>
      <c r="E47" s="23" t="s">
        <v>58</v>
      </c>
      <c r="F47" s="15" t="s">
        <v>3296</v>
      </c>
      <c r="G47" s="15" t="s">
        <v>3297</v>
      </c>
      <c r="H47" s="23" t="s">
        <v>58</v>
      </c>
    </row>
    <row r="48" spans="1:8" ht="54.95" customHeight="1" x14ac:dyDescent="0.2">
      <c r="A48" s="23" t="s">
        <v>1201</v>
      </c>
      <c r="B48" s="23" t="s">
        <v>34</v>
      </c>
      <c r="C48" s="23" t="s">
        <v>46</v>
      </c>
      <c r="D48" s="23" t="s">
        <v>1204</v>
      </c>
      <c r="E48" s="23" t="s">
        <v>58</v>
      </c>
      <c r="F48" s="15" t="s">
        <v>3296</v>
      </c>
      <c r="G48" s="15" t="s">
        <v>3297</v>
      </c>
      <c r="H48" s="23" t="s">
        <v>58</v>
      </c>
    </row>
    <row r="49" spans="1:8" ht="54.95" customHeight="1" x14ac:dyDescent="0.2">
      <c r="A49" s="23" t="s">
        <v>1210</v>
      </c>
      <c r="B49" s="23" t="s">
        <v>33</v>
      </c>
      <c r="C49" s="23" t="s">
        <v>46</v>
      </c>
      <c r="D49" s="23" t="s">
        <v>1212</v>
      </c>
      <c r="E49" s="23" t="s">
        <v>58</v>
      </c>
      <c r="F49" s="15" t="s">
        <v>3296</v>
      </c>
      <c r="G49" s="15" t="s">
        <v>3297</v>
      </c>
      <c r="H49" s="23" t="s">
        <v>58</v>
      </c>
    </row>
    <row r="50" spans="1:8" ht="54.95" customHeight="1" x14ac:dyDescent="0.2">
      <c r="A50" s="23" t="s">
        <v>1210</v>
      </c>
      <c r="B50" s="23" t="s">
        <v>34</v>
      </c>
      <c r="C50" s="23" t="s">
        <v>46</v>
      </c>
      <c r="D50" s="23" t="s">
        <v>1213</v>
      </c>
      <c r="E50" s="23" t="s">
        <v>58</v>
      </c>
      <c r="F50" s="15" t="s">
        <v>3296</v>
      </c>
      <c r="G50" s="15" t="s">
        <v>3297</v>
      </c>
      <c r="H50" s="23" t="s">
        <v>58</v>
      </c>
    </row>
    <row r="51" spans="1:8" ht="54.95" customHeight="1" x14ac:dyDescent="0.2">
      <c r="A51" s="23" t="s">
        <v>1283</v>
      </c>
      <c r="B51" s="23" t="s">
        <v>33</v>
      </c>
      <c r="C51" s="23" t="s">
        <v>46</v>
      </c>
      <c r="D51" s="23" t="s">
        <v>1285</v>
      </c>
      <c r="E51" s="23" t="s">
        <v>58</v>
      </c>
      <c r="F51" s="15" t="s">
        <v>3296</v>
      </c>
      <c r="G51" s="15" t="s">
        <v>3297</v>
      </c>
      <c r="H51" s="23" t="s">
        <v>58</v>
      </c>
    </row>
    <row r="52" spans="1:8" ht="54.95" customHeight="1" x14ac:dyDescent="0.2">
      <c r="A52" s="23" t="s">
        <v>1283</v>
      </c>
      <c r="B52" s="23" t="s">
        <v>34</v>
      </c>
      <c r="C52" s="23" t="s">
        <v>46</v>
      </c>
      <c r="D52" s="23" t="s">
        <v>1286</v>
      </c>
      <c r="E52" s="23" t="s">
        <v>58</v>
      </c>
      <c r="F52" s="15" t="s">
        <v>3296</v>
      </c>
      <c r="G52" s="15" t="s">
        <v>3297</v>
      </c>
      <c r="H52" s="23" t="s">
        <v>58</v>
      </c>
    </row>
    <row r="53" spans="1:8" ht="54.95" customHeight="1" x14ac:dyDescent="0.2">
      <c r="A53" s="23" t="s">
        <v>1326</v>
      </c>
      <c r="B53" s="23" t="s">
        <v>33</v>
      </c>
      <c r="C53" s="23" t="s">
        <v>46</v>
      </c>
      <c r="D53" s="23" t="s">
        <v>1328</v>
      </c>
      <c r="E53" s="23" t="s">
        <v>58</v>
      </c>
      <c r="F53" s="15" t="s">
        <v>3296</v>
      </c>
      <c r="G53" s="15" t="s">
        <v>3297</v>
      </c>
      <c r="H53" s="23" t="s">
        <v>58</v>
      </c>
    </row>
    <row r="54" spans="1:8" ht="54.95" customHeight="1" x14ac:dyDescent="0.2">
      <c r="A54" s="23" t="s">
        <v>1326</v>
      </c>
      <c r="B54" s="23" t="s">
        <v>34</v>
      </c>
      <c r="C54" s="23" t="s">
        <v>46</v>
      </c>
      <c r="D54" s="23" t="s">
        <v>1329</v>
      </c>
      <c r="E54" s="23" t="s">
        <v>58</v>
      </c>
      <c r="F54" s="15" t="s">
        <v>3296</v>
      </c>
      <c r="G54" s="15" t="s">
        <v>3297</v>
      </c>
      <c r="H54" s="23" t="s">
        <v>58</v>
      </c>
    </row>
    <row r="55" spans="1:8" ht="54.95" customHeight="1" x14ac:dyDescent="0.2">
      <c r="A55" s="23" t="s">
        <v>1341</v>
      </c>
      <c r="B55" s="23" t="s">
        <v>33</v>
      </c>
      <c r="C55" s="23" t="s">
        <v>46</v>
      </c>
      <c r="D55" s="23" t="s">
        <v>1344</v>
      </c>
      <c r="E55" s="23" t="s">
        <v>58</v>
      </c>
      <c r="F55" s="15" t="s">
        <v>3296</v>
      </c>
      <c r="G55" s="15" t="s">
        <v>3297</v>
      </c>
      <c r="H55" s="23" t="s">
        <v>58</v>
      </c>
    </row>
    <row r="56" spans="1:8" ht="54.95" customHeight="1" x14ac:dyDescent="0.2">
      <c r="A56" s="23" t="s">
        <v>1341</v>
      </c>
      <c r="B56" s="23" t="s">
        <v>34</v>
      </c>
      <c r="C56" s="23" t="s">
        <v>46</v>
      </c>
      <c r="D56" s="23" t="s">
        <v>1345</v>
      </c>
      <c r="E56" s="23" t="s">
        <v>58</v>
      </c>
      <c r="F56" s="15" t="s">
        <v>3296</v>
      </c>
      <c r="G56" s="15" t="s">
        <v>3297</v>
      </c>
      <c r="H56" s="23" t="s">
        <v>58</v>
      </c>
    </row>
    <row r="57" spans="1:8" ht="54.95" customHeight="1" x14ac:dyDescent="0.2">
      <c r="A57" s="23" t="s">
        <v>1370</v>
      </c>
      <c r="B57" s="23" t="s">
        <v>33</v>
      </c>
      <c r="C57" s="23" t="s">
        <v>46</v>
      </c>
      <c r="D57" s="23" t="s">
        <v>1372</v>
      </c>
      <c r="E57" s="23" t="s">
        <v>58</v>
      </c>
      <c r="F57" s="15" t="s">
        <v>3296</v>
      </c>
      <c r="G57" s="15" t="s">
        <v>3297</v>
      </c>
      <c r="H57" s="23" t="s">
        <v>58</v>
      </c>
    </row>
    <row r="58" spans="1:8" ht="54.95" customHeight="1" x14ac:dyDescent="0.2">
      <c r="A58" s="23" t="s">
        <v>1370</v>
      </c>
      <c r="B58" s="23" t="s">
        <v>34</v>
      </c>
      <c r="C58" s="23" t="s">
        <v>46</v>
      </c>
      <c r="D58" s="23" t="s">
        <v>1373</v>
      </c>
      <c r="E58" s="23" t="s">
        <v>58</v>
      </c>
      <c r="F58" s="15" t="s">
        <v>3296</v>
      </c>
      <c r="G58" s="15" t="s">
        <v>3297</v>
      </c>
      <c r="H58" s="23" t="s">
        <v>58</v>
      </c>
    </row>
    <row r="59" spans="1:8" ht="54.95" customHeight="1" x14ac:dyDescent="0.2">
      <c r="A59" s="23" t="s">
        <v>1379</v>
      </c>
      <c r="B59" s="23" t="s">
        <v>33</v>
      </c>
      <c r="C59" s="23" t="s">
        <v>46</v>
      </c>
      <c r="D59" s="23" t="s">
        <v>1111</v>
      </c>
      <c r="E59" s="23" t="s">
        <v>58</v>
      </c>
      <c r="F59" s="15" t="s">
        <v>3296</v>
      </c>
      <c r="G59" s="15" t="s">
        <v>3297</v>
      </c>
      <c r="H59" s="23" t="s">
        <v>58</v>
      </c>
    </row>
    <row r="60" spans="1:8" ht="54.95" customHeight="1" x14ac:dyDescent="0.2">
      <c r="A60" s="23" t="s">
        <v>1379</v>
      </c>
      <c r="B60" s="23" t="s">
        <v>34</v>
      </c>
      <c r="C60" s="23" t="s">
        <v>46</v>
      </c>
      <c r="D60" s="23" t="s">
        <v>1112</v>
      </c>
      <c r="E60" s="23" t="s">
        <v>58</v>
      </c>
      <c r="F60" s="15" t="s">
        <v>3296</v>
      </c>
      <c r="G60" s="15" t="s">
        <v>3297</v>
      </c>
      <c r="H60" s="23" t="s">
        <v>58</v>
      </c>
    </row>
    <row r="61" spans="1:8" ht="54.95" customHeight="1" x14ac:dyDescent="0.2">
      <c r="A61" s="23" t="s">
        <v>1445</v>
      </c>
      <c r="B61" s="23" t="s">
        <v>33</v>
      </c>
      <c r="C61" s="23" t="s">
        <v>46</v>
      </c>
      <c r="D61" s="23" t="s">
        <v>1447</v>
      </c>
      <c r="E61" s="23" t="s">
        <v>58</v>
      </c>
      <c r="F61" s="15" t="s">
        <v>3296</v>
      </c>
      <c r="G61" s="15" t="s">
        <v>3297</v>
      </c>
      <c r="H61" s="23" t="s">
        <v>58</v>
      </c>
    </row>
    <row r="62" spans="1:8" ht="54.95" customHeight="1" x14ac:dyDescent="0.2">
      <c r="A62" s="23" t="s">
        <v>1445</v>
      </c>
      <c r="B62" s="23" t="s">
        <v>34</v>
      </c>
      <c r="C62" s="23" t="s">
        <v>46</v>
      </c>
      <c r="D62" s="23" t="s">
        <v>1448</v>
      </c>
      <c r="E62" s="23" t="s">
        <v>58</v>
      </c>
      <c r="F62" s="15" t="s">
        <v>3296</v>
      </c>
      <c r="G62" s="15" t="s">
        <v>3297</v>
      </c>
      <c r="H62" s="23" t="s">
        <v>58</v>
      </c>
    </row>
    <row r="63" spans="1:8" ht="54.95" customHeight="1" x14ac:dyDescent="0.2">
      <c r="A63" s="23" t="s">
        <v>1481</v>
      </c>
      <c r="B63" s="23" t="s">
        <v>33</v>
      </c>
      <c r="C63" s="23" t="s">
        <v>46</v>
      </c>
      <c r="D63" s="23" t="s">
        <v>1111</v>
      </c>
      <c r="E63" s="23" t="s">
        <v>58</v>
      </c>
      <c r="F63" s="15" t="s">
        <v>3296</v>
      </c>
      <c r="G63" s="15" t="s">
        <v>3297</v>
      </c>
      <c r="H63" s="23" t="s">
        <v>58</v>
      </c>
    </row>
    <row r="64" spans="1:8" ht="54.95" customHeight="1" x14ac:dyDescent="0.2">
      <c r="A64" s="23" t="s">
        <v>1481</v>
      </c>
      <c r="B64" s="23" t="s">
        <v>34</v>
      </c>
      <c r="C64" s="23" t="s">
        <v>46</v>
      </c>
      <c r="D64" s="23" t="s">
        <v>1112</v>
      </c>
      <c r="E64" s="23" t="s">
        <v>58</v>
      </c>
      <c r="F64" s="15" t="s">
        <v>3296</v>
      </c>
      <c r="G64" s="15" t="s">
        <v>3297</v>
      </c>
      <c r="H64" s="23" t="s">
        <v>58</v>
      </c>
    </row>
    <row r="65" spans="1:8" ht="54.95" customHeight="1" x14ac:dyDescent="0.2">
      <c r="A65" s="23" t="s">
        <v>1485</v>
      </c>
      <c r="B65" s="23" t="s">
        <v>33</v>
      </c>
      <c r="C65" s="23" t="s">
        <v>46</v>
      </c>
      <c r="D65" s="23" t="s">
        <v>204</v>
      </c>
      <c r="E65" s="23" t="s">
        <v>58</v>
      </c>
      <c r="F65" s="15" t="s">
        <v>3296</v>
      </c>
      <c r="G65" s="15" t="s">
        <v>3297</v>
      </c>
      <c r="H65" s="23" t="s">
        <v>58</v>
      </c>
    </row>
    <row r="66" spans="1:8" ht="54.95" customHeight="1" x14ac:dyDescent="0.2">
      <c r="A66" s="23" t="s">
        <v>1485</v>
      </c>
      <c r="B66" s="23" t="s">
        <v>34</v>
      </c>
      <c r="C66" s="23" t="s">
        <v>46</v>
      </c>
      <c r="D66" s="23" t="s">
        <v>205</v>
      </c>
      <c r="E66" s="23" t="s">
        <v>58</v>
      </c>
      <c r="F66" s="15" t="s">
        <v>3296</v>
      </c>
      <c r="G66" s="15" t="s">
        <v>3297</v>
      </c>
      <c r="H66" s="23" t="s">
        <v>58</v>
      </c>
    </row>
    <row r="67" spans="1:8" ht="54.95" customHeight="1" x14ac:dyDescent="0.2">
      <c r="A67" s="23" t="s">
        <v>1487</v>
      </c>
      <c r="B67" s="23" t="s">
        <v>33</v>
      </c>
      <c r="C67" s="23" t="s">
        <v>46</v>
      </c>
      <c r="D67" s="23" t="s">
        <v>1490</v>
      </c>
      <c r="E67" s="23" t="s">
        <v>58</v>
      </c>
      <c r="F67" s="15" t="s">
        <v>3296</v>
      </c>
      <c r="G67" s="15" t="s">
        <v>3297</v>
      </c>
      <c r="H67" s="23" t="s">
        <v>58</v>
      </c>
    </row>
    <row r="68" spans="1:8" ht="54.95" customHeight="1" x14ac:dyDescent="0.2">
      <c r="A68" s="23" t="s">
        <v>1487</v>
      </c>
      <c r="B68" s="23" t="s">
        <v>34</v>
      </c>
      <c r="C68" s="23" t="s">
        <v>46</v>
      </c>
      <c r="D68" s="23" t="s">
        <v>1491</v>
      </c>
      <c r="E68" s="23" t="s">
        <v>58</v>
      </c>
      <c r="F68" s="15" t="s">
        <v>3296</v>
      </c>
      <c r="G68" s="15" t="s">
        <v>3297</v>
      </c>
      <c r="H68" s="23" t="s">
        <v>58</v>
      </c>
    </row>
    <row r="69" spans="1:8" ht="54.95" customHeight="1" x14ac:dyDescent="0.2">
      <c r="A69" s="23" t="s">
        <v>1492</v>
      </c>
      <c r="B69" s="23" t="s">
        <v>33</v>
      </c>
      <c r="C69" s="23" t="s">
        <v>46</v>
      </c>
      <c r="D69" s="23" t="s">
        <v>1111</v>
      </c>
      <c r="E69" s="23" t="s">
        <v>58</v>
      </c>
      <c r="F69" s="15" t="s">
        <v>3296</v>
      </c>
      <c r="G69" s="15" t="s">
        <v>3297</v>
      </c>
      <c r="H69" s="23" t="s">
        <v>58</v>
      </c>
    </row>
    <row r="70" spans="1:8" ht="54.95" customHeight="1" x14ac:dyDescent="0.2">
      <c r="A70" s="23" t="s">
        <v>1492</v>
      </c>
      <c r="B70" s="23" t="s">
        <v>34</v>
      </c>
      <c r="C70" s="23" t="s">
        <v>46</v>
      </c>
      <c r="D70" s="23" t="s">
        <v>1112</v>
      </c>
      <c r="E70" s="23" t="s">
        <v>58</v>
      </c>
      <c r="F70" s="15" t="s">
        <v>3296</v>
      </c>
      <c r="G70" s="15" t="s">
        <v>3297</v>
      </c>
      <c r="H70" s="23" t="s">
        <v>58</v>
      </c>
    </row>
    <row r="71" spans="1:8" ht="54.95" customHeight="1" x14ac:dyDescent="0.2">
      <c r="A71" s="23" t="s">
        <v>44</v>
      </c>
      <c r="B71" s="23" t="s">
        <v>11</v>
      </c>
      <c r="C71" s="23" t="s">
        <v>3298</v>
      </c>
      <c r="D71" s="23">
        <v>852688.86769507127</v>
      </c>
      <c r="E71" s="23">
        <v>2025</v>
      </c>
      <c r="F71" s="15" t="s">
        <v>3299</v>
      </c>
      <c r="G71" s="15" t="s">
        <v>3300</v>
      </c>
      <c r="H71" s="23" t="s">
        <v>58</v>
      </c>
    </row>
    <row r="72" spans="1:8" ht="54.95" customHeight="1" x14ac:dyDescent="0.2">
      <c r="A72" s="23" t="s">
        <v>44</v>
      </c>
      <c r="B72" s="23" t="s">
        <v>13</v>
      </c>
      <c r="C72" s="23" t="s">
        <v>3301</v>
      </c>
      <c r="D72" s="23">
        <v>581668.49315068498</v>
      </c>
      <c r="E72" s="23">
        <v>2025</v>
      </c>
      <c r="F72" s="15" t="s">
        <v>3302</v>
      </c>
      <c r="G72" s="15" t="s">
        <v>3300</v>
      </c>
      <c r="H72" s="23" t="s">
        <v>58</v>
      </c>
    </row>
    <row r="73" spans="1:8" ht="54.95" customHeight="1" x14ac:dyDescent="0.2">
      <c r="A73" s="23" t="s">
        <v>44</v>
      </c>
      <c r="B73" s="23" t="s">
        <v>14</v>
      </c>
      <c r="C73" s="23" t="s">
        <v>3303</v>
      </c>
      <c r="D73" s="23">
        <v>20000</v>
      </c>
      <c r="E73" s="23">
        <v>2025</v>
      </c>
      <c r="F73" s="15" t="s">
        <v>3304</v>
      </c>
      <c r="G73" s="15" t="s">
        <v>3300</v>
      </c>
      <c r="H73" s="23" t="s">
        <v>58</v>
      </c>
    </row>
    <row r="74" spans="1:8" ht="54.95" customHeight="1" x14ac:dyDescent="0.2">
      <c r="A74" s="23" t="s">
        <v>44</v>
      </c>
      <c r="B74" s="23" t="s">
        <v>3</v>
      </c>
      <c r="C74" s="23" t="s">
        <v>1519</v>
      </c>
      <c r="D74" s="23">
        <v>2153449.3150684931</v>
      </c>
      <c r="E74" s="23">
        <v>2025</v>
      </c>
      <c r="F74" s="15" t="s">
        <v>3305</v>
      </c>
      <c r="G74" s="15" t="s">
        <v>3306</v>
      </c>
      <c r="H74" s="23" t="s">
        <v>58</v>
      </c>
    </row>
    <row r="75" spans="1:8" ht="54.95" customHeight="1" x14ac:dyDescent="0.2">
      <c r="A75" s="23" t="s">
        <v>44</v>
      </c>
      <c r="B75" s="23" t="s">
        <v>6</v>
      </c>
      <c r="C75" s="23" t="s">
        <v>3307</v>
      </c>
      <c r="D75" s="23">
        <v>31.704726027310119</v>
      </c>
      <c r="E75" s="23">
        <v>2025</v>
      </c>
      <c r="F75" s="15" t="s">
        <v>3305</v>
      </c>
      <c r="G75" s="15" t="s">
        <v>3308</v>
      </c>
      <c r="H75" s="23" t="s">
        <v>58</v>
      </c>
    </row>
    <row r="76" spans="1:8" ht="54.95" customHeight="1" x14ac:dyDescent="0.2">
      <c r="A76" s="23" t="s">
        <v>44</v>
      </c>
      <c r="B76" s="23" t="s">
        <v>7</v>
      </c>
      <c r="C76" s="23" t="s">
        <v>3309</v>
      </c>
      <c r="D76" s="23">
        <v>30.451941389984082</v>
      </c>
      <c r="E76" s="23">
        <v>2025</v>
      </c>
      <c r="F76" s="15" t="s">
        <v>3305</v>
      </c>
      <c r="G76" s="15" t="s">
        <v>3308</v>
      </c>
      <c r="H76" s="23" t="s">
        <v>58</v>
      </c>
    </row>
    <row r="77" spans="1:8" ht="54.95" customHeight="1" x14ac:dyDescent="0.2">
      <c r="A77" s="23" t="s">
        <v>44</v>
      </c>
      <c r="B77" s="23" t="s">
        <v>8</v>
      </c>
      <c r="C77" s="23" t="s">
        <v>3310</v>
      </c>
      <c r="D77" s="23">
        <v>14.642962103487363</v>
      </c>
      <c r="E77" s="23">
        <v>2025</v>
      </c>
      <c r="F77" s="15" t="s">
        <v>3305</v>
      </c>
      <c r="G77" s="15" t="s">
        <v>3308</v>
      </c>
      <c r="H77" s="23" t="s">
        <v>58</v>
      </c>
    </row>
    <row r="78" spans="1:8" ht="54.95" customHeight="1" x14ac:dyDescent="0.2">
      <c r="A78" s="23" t="s">
        <v>44</v>
      </c>
      <c r="B78" s="23" t="s">
        <v>9</v>
      </c>
      <c r="C78" s="23" t="s">
        <v>46</v>
      </c>
      <c r="D78" s="23">
        <v>7.830444689564624</v>
      </c>
      <c r="E78" s="23">
        <v>2025</v>
      </c>
      <c r="F78" s="15" t="s">
        <v>3305</v>
      </c>
      <c r="G78" s="15" t="s">
        <v>3308</v>
      </c>
      <c r="H78" s="23" t="s">
        <v>58</v>
      </c>
    </row>
    <row r="79" spans="1:8" ht="54.95" customHeight="1" x14ac:dyDescent="0.2">
      <c r="A79" s="23" t="s">
        <v>44</v>
      </c>
      <c r="B79" s="23" t="s">
        <v>10</v>
      </c>
      <c r="C79" s="23" t="s">
        <v>46</v>
      </c>
      <c r="D79" s="23">
        <v>1.5610508276622788</v>
      </c>
      <c r="E79" s="23">
        <v>2025</v>
      </c>
      <c r="F79" s="15" t="s">
        <v>3305</v>
      </c>
      <c r="G79" s="15" t="s">
        <v>3308</v>
      </c>
      <c r="H79" s="23" t="s">
        <v>58</v>
      </c>
    </row>
    <row r="80" spans="1:8" ht="54.95" customHeight="1" x14ac:dyDescent="0.2">
      <c r="A80" s="23" t="s">
        <v>44</v>
      </c>
      <c r="B80" s="23" t="s">
        <v>5</v>
      </c>
      <c r="C80" s="23" t="s">
        <v>1526</v>
      </c>
      <c r="D80" s="23">
        <v>786.00900000000001</v>
      </c>
      <c r="E80" s="23">
        <v>2025</v>
      </c>
      <c r="F80" s="15" t="s">
        <v>3305</v>
      </c>
      <c r="G80" s="15" t="s">
        <v>3311</v>
      </c>
      <c r="H80" s="23" t="s">
        <v>58</v>
      </c>
    </row>
    <row r="81" spans="1:8" ht="54.95" customHeight="1" x14ac:dyDescent="0.2">
      <c r="A81" s="23" t="s">
        <v>59</v>
      </c>
      <c r="B81" s="23" t="s">
        <v>11</v>
      </c>
      <c r="C81" s="23" t="s">
        <v>3312</v>
      </c>
      <c r="D81" s="23">
        <v>604170.89593203389</v>
      </c>
      <c r="E81" s="23">
        <v>2025</v>
      </c>
      <c r="F81" s="15" t="s">
        <v>3299</v>
      </c>
      <c r="G81" s="15" t="s">
        <v>3300</v>
      </c>
      <c r="H81" s="23" t="s">
        <v>58</v>
      </c>
    </row>
    <row r="82" spans="1:8" ht="54.95" customHeight="1" x14ac:dyDescent="0.2">
      <c r="A82" s="23" t="s">
        <v>59</v>
      </c>
      <c r="B82" s="23" t="s">
        <v>13</v>
      </c>
      <c r="C82" s="23" t="s">
        <v>3313</v>
      </c>
      <c r="D82" s="23">
        <v>512670.1369863014</v>
      </c>
      <c r="E82" s="23">
        <v>2025</v>
      </c>
      <c r="F82" s="15" t="s">
        <v>3302</v>
      </c>
      <c r="G82" s="15" t="s">
        <v>3300</v>
      </c>
      <c r="H82" s="23" t="s">
        <v>58</v>
      </c>
    </row>
    <row r="83" spans="1:8" ht="54.95" customHeight="1" x14ac:dyDescent="0.2">
      <c r="A83" s="23" t="s">
        <v>59</v>
      </c>
      <c r="B83" s="23" t="s">
        <v>14</v>
      </c>
      <c r="C83" s="23" t="s">
        <v>3314</v>
      </c>
      <c r="D83" s="23">
        <v>39578.995433790049</v>
      </c>
      <c r="E83" s="23">
        <v>2025</v>
      </c>
      <c r="F83" s="15" t="s">
        <v>3304</v>
      </c>
      <c r="G83" s="15" t="s">
        <v>3300</v>
      </c>
      <c r="H83" s="23" t="s">
        <v>58</v>
      </c>
    </row>
    <row r="84" spans="1:8" ht="54.95" customHeight="1" x14ac:dyDescent="0.2">
      <c r="A84" s="23" t="s">
        <v>59</v>
      </c>
      <c r="B84" s="23" t="s">
        <v>3</v>
      </c>
      <c r="C84" s="23" t="s">
        <v>3315</v>
      </c>
      <c r="D84" s="23">
        <v>747111.56570599996</v>
      </c>
      <c r="E84" s="23">
        <v>2024</v>
      </c>
      <c r="F84" s="15" t="s">
        <v>3316</v>
      </c>
      <c r="G84" s="15" t="s">
        <v>3317</v>
      </c>
      <c r="H84" s="23" t="s">
        <v>58</v>
      </c>
    </row>
    <row r="85" spans="1:8" ht="54.95" customHeight="1" x14ac:dyDescent="0.2">
      <c r="A85" s="23" t="s">
        <v>59</v>
      </c>
      <c r="B85" s="23" t="s">
        <v>6</v>
      </c>
      <c r="C85" s="23" t="s">
        <v>3318</v>
      </c>
      <c r="D85" s="23">
        <v>26.813777418998285</v>
      </c>
      <c r="E85" s="23">
        <v>2024</v>
      </c>
      <c r="F85" s="15" t="s">
        <v>3319</v>
      </c>
      <c r="G85" s="15" t="s">
        <v>3320</v>
      </c>
      <c r="H85" s="23" t="s">
        <v>58</v>
      </c>
    </row>
    <row r="86" spans="1:8" ht="54.95" customHeight="1" x14ac:dyDescent="0.2">
      <c r="A86" s="23" t="s">
        <v>59</v>
      </c>
      <c r="B86" s="23" t="s">
        <v>7</v>
      </c>
      <c r="C86" s="23" t="s">
        <v>3321</v>
      </c>
      <c r="D86" s="23">
        <v>43.478960641311794</v>
      </c>
      <c r="E86" s="23">
        <v>2024</v>
      </c>
      <c r="F86" s="15" t="s">
        <v>3322</v>
      </c>
      <c r="G86" s="15" t="s">
        <v>3320</v>
      </c>
      <c r="H86" s="23" t="s">
        <v>58</v>
      </c>
    </row>
    <row r="87" spans="1:8" ht="54.95" customHeight="1" x14ac:dyDescent="0.2">
      <c r="A87" s="23" t="s">
        <v>59</v>
      </c>
      <c r="B87" s="23" t="s">
        <v>8</v>
      </c>
      <c r="C87" s="23" t="s">
        <v>3323</v>
      </c>
      <c r="D87" s="23">
        <v>11.01442343918718</v>
      </c>
      <c r="E87" s="23">
        <v>2024</v>
      </c>
      <c r="F87" s="15" t="s">
        <v>3324</v>
      </c>
      <c r="G87" s="15" t="s">
        <v>3320</v>
      </c>
      <c r="H87" s="23" t="s">
        <v>58</v>
      </c>
    </row>
    <row r="88" spans="1:8" ht="54.95" customHeight="1" x14ac:dyDescent="0.2">
      <c r="A88" s="23" t="s">
        <v>59</v>
      </c>
      <c r="B88" s="23" t="s">
        <v>9</v>
      </c>
      <c r="C88" s="23" t="s">
        <v>46</v>
      </c>
      <c r="D88" s="23">
        <v>7.1779446143794763</v>
      </c>
      <c r="E88" s="23">
        <v>2024</v>
      </c>
      <c r="F88" s="15" t="s">
        <v>3325</v>
      </c>
      <c r="G88" s="15" t="s">
        <v>3320</v>
      </c>
      <c r="H88" s="23" t="s">
        <v>58</v>
      </c>
    </row>
    <row r="89" spans="1:8" ht="54.95" customHeight="1" x14ac:dyDescent="0.2">
      <c r="A89" s="23" t="s">
        <v>59</v>
      </c>
      <c r="B89" s="23" t="s">
        <v>10</v>
      </c>
      <c r="C89" s="23" t="s">
        <v>46</v>
      </c>
      <c r="D89" s="23">
        <v>3.2695489162876208</v>
      </c>
      <c r="E89" s="23">
        <v>2024</v>
      </c>
      <c r="F89" s="15" t="s">
        <v>3326</v>
      </c>
      <c r="G89" s="15" t="s">
        <v>3320</v>
      </c>
      <c r="H89" s="23" t="s">
        <v>58</v>
      </c>
    </row>
    <row r="90" spans="1:8" ht="54.95" customHeight="1" x14ac:dyDescent="0.2">
      <c r="A90" s="23" t="s">
        <v>59</v>
      </c>
      <c r="B90" s="23" t="s">
        <v>5</v>
      </c>
      <c r="C90" s="23" t="s">
        <v>3327</v>
      </c>
      <c r="D90" s="23">
        <v>273.44283304839598</v>
      </c>
      <c r="E90" s="23">
        <v>2024</v>
      </c>
      <c r="F90" s="15" t="s">
        <v>3316</v>
      </c>
      <c r="G90" s="15" t="s">
        <v>3311</v>
      </c>
      <c r="H90" s="23" t="s">
        <v>58</v>
      </c>
    </row>
    <row r="91" spans="1:8" ht="54.95" customHeight="1" x14ac:dyDescent="0.2">
      <c r="A91" s="23" t="s">
        <v>67</v>
      </c>
      <c r="B91" s="23" t="s">
        <v>11</v>
      </c>
      <c r="C91" s="23" t="s">
        <v>3328</v>
      </c>
      <c r="D91" s="23">
        <v>21108.607859886764</v>
      </c>
      <c r="E91" s="23">
        <v>2025</v>
      </c>
      <c r="F91" s="15" t="s">
        <v>3299</v>
      </c>
      <c r="G91" s="15" t="s">
        <v>3300</v>
      </c>
      <c r="H91" s="23" t="s">
        <v>58</v>
      </c>
    </row>
    <row r="92" spans="1:8" ht="54.95" customHeight="1" x14ac:dyDescent="0.2">
      <c r="A92" s="23" t="s">
        <v>67</v>
      </c>
      <c r="B92" s="23" t="s">
        <v>13</v>
      </c>
      <c r="C92" s="23" t="s">
        <v>3329</v>
      </c>
      <c r="D92" s="23">
        <v>1968.3219693957576</v>
      </c>
      <c r="E92" s="23">
        <v>2025</v>
      </c>
      <c r="F92" s="15" t="s">
        <v>3302</v>
      </c>
      <c r="G92" s="15" t="s">
        <v>3300</v>
      </c>
      <c r="H92" s="23" t="s">
        <v>58</v>
      </c>
    </row>
    <row r="93" spans="1:8" ht="54.95" customHeight="1" x14ac:dyDescent="0.2">
      <c r="A93" s="23" t="s">
        <v>67</v>
      </c>
      <c r="B93" s="23" t="s">
        <v>14</v>
      </c>
      <c r="C93" s="23" t="s">
        <v>3330</v>
      </c>
      <c r="D93" s="23">
        <v>11828.373062463606</v>
      </c>
      <c r="E93" s="23">
        <v>2025</v>
      </c>
      <c r="F93" s="15" t="s">
        <v>3304</v>
      </c>
      <c r="G93" s="15" t="s">
        <v>3300</v>
      </c>
      <c r="H93" s="23" t="s">
        <v>58</v>
      </c>
    </row>
    <row r="94" spans="1:8" ht="54.95" customHeight="1" x14ac:dyDescent="0.2">
      <c r="A94" s="23" t="s">
        <v>67</v>
      </c>
      <c r="B94" s="23" t="s">
        <v>3</v>
      </c>
      <c r="C94" s="23" t="s">
        <v>3331</v>
      </c>
      <c r="D94" s="23">
        <v>374295.89041095891</v>
      </c>
      <c r="E94" s="23">
        <v>2025</v>
      </c>
      <c r="F94" s="15" t="s">
        <v>3305</v>
      </c>
      <c r="G94" s="15" t="s">
        <v>3306</v>
      </c>
      <c r="H94" s="23" t="s">
        <v>58</v>
      </c>
    </row>
    <row r="95" spans="1:8" ht="54.95" customHeight="1" x14ac:dyDescent="0.2">
      <c r="A95" s="23" t="s">
        <v>67</v>
      </c>
      <c r="B95" s="23" t="s">
        <v>6</v>
      </c>
      <c r="C95" s="23" t="s">
        <v>1528</v>
      </c>
      <c r="D95" s="23">
        <v>49.002049510313427</v>
      </c>
      <c r="E95" s="23">
        <v>2025</v>
      </c>
      <c r="F95" s="15" t="s">
        <v>3305</v>
      </c>
      <c r="G95" s="15" t="s">
        <v>3308</v>
      </c>
      <c r="H95" s="23" t="s">
        <v>58</v>
      </c>
    </row>
    <row r="96" spans="1:8" ht="54.95" customHeight="1" x14ac:dyDescent="0.2">
      <c r="A96" s="23" t="s">
        <v>67</v>
      </c>
      <c r="B96" s="23" t="s">
        <v>7</v>
      </c>
      <c r="C96" s="23" t="s">
        <v>3332</v>
      </c>
      <c r="D96" s="23">
        <v>24.575751365120261</v>
      </c>
      <c r="E96" s="23">
        <v>2025</v>
      </c>
      <c r="F96" s="15" t="s">
        <v>3305</v>
      </c>
      <c r="G96" s="15" t="s">
        <v>3308</v>
      </c>
      <c r="H96" s="23" t="s">
        <v>58</v>
      </c>
    </row>
    <row r="97" spans="1:8" ht="54.95" customHeight="1" x14ac:dyDescent="0.2">
      <c r="A97" s="23" t="s">
        <v>67</v>
      </c>
      <c r="B97" s="23" t="s">
        <v>8</v>
      </c>
      <c r="C97" s="23" t="s">
        <v>1532</v>
      </c>
      <c r="D97" s="23">
        <v>11.836068453644469</v>
      </c>
      <c r="E97" s="23">
        <v>2025</v>
      </c>
      <c r="F97" s="15" t="s">
        <v>3305</v>
      </c>
      <c r="G97" s="15" t="s">
        <v>3308</v>
      </c>
      <c r="H97" s="23" t="s">
        <v>58</v>
      </c>
    </row>
    <row r="98" spans="1:8" ht="54.95" customHeight="1" x14ac:dyDescent="0.2">
      <c r="A98" s="23" t="s">
        <v>67</v>
      </c>
      <c r="B98" s="23" t="s">
        <v>9</v>
      </c>
      <c r="C98" s="23" t="s">
        <v>46</v>
      </c>
      <c r="D98" s="23">
        <v>14.142433647103603</v>
      </c>
      <c r="E98" s="23">
        <v>2025</v>
      </c>
      <c r="F98" s="15" t="s">
        <v>3305</v>
      </c>
      <c r="G98" s="15" t="s">
        <v>3308</v>
      </c>
      <c r="H98" s="23" t="s">
        <v>58</v>
      </c>
    </row>
    <row r="99" spans="1:8" ht="54.95" customHeight="1" x14ac:dyDescent="0.2">
      <c r="A99" s="23" t="s">
        <v>67</v>
      </c>
      <c r="B99" s="23" t="s">
        <v>10</v>
      </c>
      <c r="C99" s="23" t="s">
        <v>46</v>
      </c>
      <c r="D99" s="23">
        <v>1.8786836288044033</v>
      </c>
      <c r="E99" s="23">
        <v>2025</v>
      </c>
      <c r="F99" s="15" t="s">
        <v>3305</v>
      </c>
      <c r="G99" s="15" t="s">
        <v>3308</v>
      </c>
      <c r="H99" s="23" t="s">
        <v>58</v>
      </c>
    </row>
    <row r="100" spans="1:8" ht="54.95" customHeight="1" x14ac:dyDescent="0.2">
      <c r="A100" s="23" t="s">
        <v>67</v>
      </c>
      <c r="B100" s="23" t="s">
        <v>5</v>
      </c>
      <c r="C100" s="23" t="s">
        <v>3333</v>
      </c>
      <c r="D100" s="23">
        <v>136.61799999999999</v>
      </c>
      <c r="E100" s="23">
        <v>2025</v>
      </c>
      <c r="F100" s="15" t="s">
        <v>3305</v>
      </c>
      <c r="G100" s="15" t="s">
        <v>3311</v>
      </c>
      <c r="H100" s="23" t="s">
        <v>58</v>
      </c>
    </row>
    <row r="101" spans="1:8" ht="54.95" customHeight="1" x14ac:dyDescent="0.2">
      <c r="A101" s="23" t="s">
        <v>76</v>
      </c>
      <c r="B101" s="23" t="s">
        <v>11</v>
      </c>
      <c r="C101" s="23" t="s">
        <v>3334</v>
      </c>
      <c r="D101" s="23">
        <v>51865.890019876715</v>
      </c>
      <c r="E101" s="23">
        <v>2025</v>
      </c>
      <c r="F101" s="15" t="s">
        <v>3299</v>
      </c>
      <c r="G101" s="15" t="s">
        <v>3300</v>
      </c>
      <c r="H101" s="23" t="s">
        <v>58</v>
      </c>
    </row>
    <row r="102" spans="1:8" ht="54.95" customHeight="1" x14ac:dyDescent="0.2">
      <c r="A102" s="23" t="s">
        <v>76</v>
      </c>
      <c r="B102" s="23" t="s">
        <v>13</v>
      </c>
      <c r="C102" s="23" t="s">
        <v>3335</v>
      </c>
      <c r="D102" s="23">
        <v>17660.805479452054</v>
      </c>
      <c r="E102" s="23">
        <v>2025</v>
      </c>
      <c r="F102" s="15" t="s">
        <v>3302</v>
      </c>
      <c r="G102" s="15" t="s">
        <v>3300</v>
      </c>
      <c r="H102" s="23" t="s">
        <v>58</v>
      </c>
    </row>
    <row r="103" spans="1:8" ht="54.95" customHeight="1" x14ac:dyDescent="0.2">
      <c r="A103" s="23" t="s">
        <v>76</v>
      </c>
      <c r="B103" s="23" t="s">
        <v>14</v>
      </c>
      <c r="C103" s="23" t="s">
        <v>3336</v>
      </c>
      <c r="D103" s="23">
        <v>32000</v>
      </c>
      <c r="E103" s="23">
        <v>2025</v>
      </c>
      <c r="F103" s="15" t="s">
        <v>3304</v>
      </c>
      <c r="G103" s="15" t="s">
        <v>3300</v>
      </c>
      <c r="H103" s="23" t="s">
        <v>58</v>
      </c>
    </row>
    <row r="104" spans="1:8" ht="54.95" customHeight="1" x14ac:dyDescent="0.2">
      <c r="A104" s="23" t="s">
        <v>76</v>
      </c>
      <c r="B104" s="23" t="s">
        <v>3</v>
      </c>
      <c r="C104" s="23" t="s">
        <v>3337</v>
      </c>
      <c r="D104" s="23">
        <v>103844.96705600001</v>
      </c>
      <c r="E104" s="23">
        <v>2024</v>
      </c>
      <c r="F104" s="15" t="s">
        <v>3316</v>
      </c>
      <c r="G104" s="15" t="s">
        <v>3317</v>
      </c>
      <c r="H104" s="23" t="s">
        <v>58</v>
      </c>
    </row>
    <row r="105" spans="1:8" ht="54.95" customHeight="1" x14ac:dyDescent="0.2">
      <c r="A105" s="23" t="s">
        <v>76</v>
      </c>
      <c r="B105" s="23" t="s">
        <v>6</v>
      </c>
      <c r="C105" s="23" t="s">
        <v>3338</v>
      </c>
      <c r="D105" s="23">
        <v>41.252248697713718</v>
      </c>
      <c r="E105" s="23">
        <v>2024</v>
      </c>
      <c r="F105" s="15" t="s">
        <v>3319</v>
      </c>
      <c r="G105" s="15" t="s">
        <v>3320</v>
      </c>
      <c r="H105" s="23" t="s">
        <v>58</v>
      </c>
    </row>
    <row r="106" spans="1:8" ht="54.95" customHeight="1" x14ac:dyDescent="0.2">
      <c r="A106" s="23" t="s">
        <v>76</v>
      </c>
      <c r="B106" s="23" t="s">
        <v>7</v>
      </c>
      <c r="C106" s="23" t="s">
        <v>3339</v>
      </c>
      <c r="D106" s="23">
        <v>38.801498659315044</v>
      </c>
      <c r="E106" s="23">
        <v>2024</v>
      </c>
      <c r="F106" s="15" t="s">
        <v>3322</v>
      </c>
      <c r="G106" s="15" t="s">
        <v>3320</v>
      </c>
      <c r="H106" s="23" t="s">
        <v>58</v>
      </c>
    </row>
    <row r="107" spans="1:8" ht="54.95" customHeight="1" x14ac:dyDescent="0.2">
      <c r="A107" s="23" t="s">
        <v>76</v>
      </c>
      <c r="B107" s="23" t="s">
        <v>8</v>
      </c>
      <c r="C107" s="23" t="s">
        <v>3340</v>
      </c>
      <c r="D107" s="23">
        <v>14.438110372662216</v>
      </c>
      <c r="E107" s="23">
        <v>2024</v>
      </c>
      <c r="F107" s="15" t="s">
        <v>3324</v>
      </c>
      <c r="G107" s="15" t="s">
        <v>3320</v>
      </c>
      <c r="H107" s="23" t="s">
        <v>58</v>
      </c>
    </row>
    <row r="108" spans="1:8" ht="54.95" customHeight="1" x14ac:dyDescent="0.2">
      <c r="A108" s="23" t="s">
        <v>76</v>
      </c>
      <c r="B108" s="23" t="s">
        <v>9</v>
      </c>
      <c r="C108" s="23" t="s">
        <v>46</v>
      </c>
      <c r="D108" s="23">
        <v>3.7013216123678481</v>
      </c>
      <c r="E108" s="23">
        <v>2024</v>
      </c>
      <c r="F108" s="15" t="s">
        <v>3325</v>
      </c>
      <c r="G108" s="15" t="s">
        <v>3320</v>
      </c>
      <c r="H108" s="23" t="s">
        <v>58</v>
      </c>
    </row>
    <row r="109" spans="1:8" ht="54.95" customHeight="1" x14ac:dyDescent="0.2">
      <c r="A109" s="23" t="s">
        <v>76</v>
      </c>
      <c r="B109" s="23" t="s">
        <v>10</v>
      </c>
      <c r="C109" s="23" t="s">
        <v>46</v>
      </c>
      <c r="D109" s="23">
        <v>0</v>
      </c>
      <c r="E109" s="23">
        <v>2024</v>
      </c>
      <c r="F109" s="15" t="s">
        <v>3326</v>
      </c>
      <c r="G109" s="15" t="s">
        <v>3320</v>
      </c>
      <c r="H109" s="23" t="s">
        <v>58</v>
      </c>
    </row>
    <row r="110" spans="1:8" ht="54.95" customHeight="1" x14ac:dyDescent="0.2">
      <c r="A110" s="23" t="s">
        <v>76</v>
      </c>
      <c r="B110" s="23" t="s">
        <v>5</v>
      </c>
      <c r="C110" s="23" t="s">
        <v>3341</v>
      </c>
      <c r="D110" s="23">
        <v>38.007257942496004</v>
      </c>
      <c r="E110" s="23">
        <v>2024</v>
      </c>
      <c r="F110" s="15" t="s">
        <v>3316</v>
      </c>
      <c r="G110" s="15" t="s">
        <v>3311</v>
      </c>
      <c r="H110" s="23" t="s">
        <v>58</v>
      </c>
    </row>
    <row r="111" spans="1:8" ht="54.95" customHeight="1" x14ac:dyDescent="0.2">
      <c r="A111" s="23" t="s">
        <v>84</v>
      </c>
      <c r="B111" s="23" t="s">
        <v>11</v>
      </c>
      <c r="C111" s="23" t="s">
        <v>3342</v>
      </c>
      <c r="D111" s="23">
        <v>123301.73268469315</v>
      </c>
      <c r="E111" s="23">
        <v>2025</v>
      </c>
      <c r="F111" s="15" t="s">
        <v>3299</v>
      </c>
      <c r="G111" s="15" t="s">
        <v>3300</v>
      </c>
      <c r="H111" s="23" t="s">
        <v>58</v>
      </c>
    </row>
    <row r="112" spans="1:8" ht="54.95" customHeight="1" x14ac:dyDescent="0.2">
      <c r="A112" s="23" t="s">
        <v>84</v>
      </c>
      <c r="B112" s="23" t="s">
        <v>13</v>
      </c>
      <c r="C112" s="23" t="s">
        <v>3343</v>
      </c>
      <c r="D112" s="23">
        <v>44152.745205479456</v>
      </c>
      <c r="E112" s="23">
        <v>2025</v>
      </c>
      <c r="F112" s="15" t="s">
        <v>3302</v>
      </c>
      <c r="G112" s="15" t="s">
        <v>3300</v>
      </c>
      <c r="H112" s="23" t="s">
        <v>58</v>
      </c>
    </row>
    <row r="113" spans="1:8" ht="54.95" customHeight="1" x14ac:dyDescent="0.2">
      <c r="A113" s="23" t="s">
        <v>84</v>
      </c>
      <c r="B113" s="23" t="s">
        <v>14</v>
      </c>
      <c r="C113" s="23" t="s">
        <v>3344</v>
      </c>
      <c r="D113" s="23">
        <v>73325.764383561647</v>
      </c>
      <c r="E113" s="23">
        <v>2025</v>
      </c>
      <c r="F113" s="15" t="s">
        <v>3304</v>
      </c>
      <c r="G113" s="15" t="s">
        <v>3300</v>
      </c>
      <c r="H113" s="23" t="s">
        <v>58</v>
      </c>
    </row>
    <row r="114" spans="1:8" ht="54.95" customHeight="1" x14ac:dyDescent="0.2">
      <c r="A114" s="23" t="s">
        <v>84</v>
      </c>
      <c r="B114" s="23" t="s">
        <v>3</v>
      </c>
      <c r="C114" s="23" t="s">
        <v>3345</v>
      </c>
      <c r="D114" s="23">
        <v>264380.44998800004</v>
      </c>
      <c r="E114" s="23">
        <v>2024</v>
      </c>
      <c r="F114" s="15" t="s">
        <v>3316</v>
      </c>
      <c r="G114" s="15" t="s">
        <v>3317</v>
      </c>
      <c r="H114" s="23" t="s">
        <v>58</v>
      </c>
    </row>
    <row r="115" spans="1:8" ht="54.95" customHeight="1" x14ac:dyDescent="0.2">
      <c r="A115" s="23" t="s">
        <v>84</v>
      </c>
      <c r="B115" s="23" t="s">
        <v>6</v>
      </c>
      <c r="C115" s="23" t="s">
        <v>3346</v>
      </c>
      <c r="D115" s="23">
        <v>41.462547781038836</v>
      </c>
      <c r="E115" s="23">
        <v>2024</v>
      </c>
      <c r="F115" s="15" t="s">
        <v>3319</v>
      </c>
      <c r="G115" s="15" t="s">
        <v>3320</v>
      </c>
      <c r="H115" s="23" t="s">
        <v>58</v>
      </c>
    </row>
    <row r="116" spans="1:8" ht="54.95" customHeight="1" x14ac:dyDescent="0.2">
      <c r="A116" s="23" t="s">
        <v>84</v>
      </c>
      <c r="B116" s="23" t="s">
        <v>7</v>
      </c>
      <c r="C116" s="23" t="s">
        <v>3347</v>
      </c>
      <c r="D116" s="23">
        <v>19.301276604346558</v>
      </c>
      <c r="E116" s="23">
        <v>2024</v>
      </c>
      <c r="F116" s="15" t="s">
        <v>3322</v>
      </c>
      <c r="G116" s="15" t="s">
        <v>3320</v>
      </c>
      <c r="H116" s="23" t="s">
        <v>58</v>
      </c>
    </row>
    <row r="117" spans="1:8" ht="54.95" customHeight="1" x14ac:dyDescent="0.2">
      <c r="A117" s="23" t="s">
        <v>84</v>
      </c>
      <c r="B117" s="23" t="s">
        <v>8</v>
      </c>
      <c r="C117" s="23" t="s">
        <v>3348</v>
      </c>
      <c r="D117" s="23">
        <v>27.160897321741945</v>
      </c>
      <c r="E117" s="23">
        <v>2024</v>
      </c>
      <c r="F117" s="15" t="s">
        <v>3324</v>
      </c>
      <c r="G117" s="15" t="s">
        <v>3320</v>
      </c>
      <c r="H117" s="23" t="s">
        <v>58</v>
      </c>
    </row>
    <row r="118" spans="1:8" ht="54.95" customHeight="1" x14ac:dyDescent="0.2">
      <c r="A118" s="23" t="s">
        <v>84</v>
      </c>
      <c r="B118" s="23" t="s">
        <v>9</v>
      </c>
      <c r="C118" s="23" t="s">
        <v>46</v>
      </c>
      <c r="D118" s="23">
        <v>5.806015129597033</v>
      </c>
      <c r="E118" s="23">
        <v>2024</v>
      </c>
      <c r="F118" s="15" t="s">
        <v>3325</v>
      </c>
      <c r="G118" s="15" t="s">
        <v>3320</v>
      </c>
      <c r="H118" s="23" t="s">
        <v>58</v>
      </c>
    </row>
    <row r="119" spans="1:8" ht="54.95" customHeight="1" x14ac:dyDescent="0.2">
      <c r="A119" s="23" t="s">
        <v>84</v>
      </c>
      <c r="B119" s="23" t="s">
        <v>10</v>
      </c>
      <c r="C119" s="23" t="s">
        <v>46</v>
      </c>
      <c r="D119" s="23">
        <v>5.2555087377416365</v>
      </c>
      <c r="E119" s="23">
        <v>2024</v>
      </c>
      <c r="F119" s="15" t="s">
        <v>3326</v>
      </c>
      <c r="G119" s="15" t="s">
        <v>3320</v>
      </c>
      <c r="H119" s="23" t="s">
        <v>58</v>
      </c>
    </row>
    <row r="120" spans="1:8" ht="54.95" customHeight="1" x14ac:dyDescent="0.2">
      <c r="A120" s="23" t="s">
        <v>84</v>
      </c>
      <c r="B120" s="23" t="s">
        <v>5</v>
      </c>
      <c r="C120" s="23" t="s">
        <v>3349</v>
      </c>
      <c r="D120" s="23">
        <v>96.763244695608023</v>
      </c>
      <c r="E120" s="23">
        <v>2024</v>
      </c>
      <c r="F120" s="15" t="s">
        <v>3316</v>
      </c>
      <c r="G120" s="15" t="s">
        <v>3311</v>
      </c>
      <c r="H120" s="23" t="s">
        <v>58</v>
      </c>
    </row>
    <row r="121" spans="1:8" ht="54.95" customHeight="1" x14ac:dyDescent="0.2">
      <c r="A121" s="23" t="s">
        <v>91</v>
      </c>
      <c r="B121" s="23" t="s">
        <v>11</v>
      </c>
      <c r="C121" s="23" t="s">
        <v>3350</v>
      </c>
      <c r="D121" s="23">
        <v>983537.16616227594</v>
      </c>
      <c r="E121" s="23">
        <v>2025</v>
      </c>
      <c r="F121" s="15" t="s">
        <v>3299</v>
      </c>
      <c r="G121" s="15" t="s">
        <v>3300</v>
      </c>
      <c r="H121" s="23" t="s">
        <v>58</v>
      </c>
    </row>
    <row r="122" spans="1:8" ht="54.95" customHeight="1" x14ac:dyDescent="0.2">
      <c r="A122" s="23" t="s">
        <v>91</v>
      </c>
      <c r="B122" s="23" t="s">
        <v>13</v>
      </c>
      <c r="C122" s="23" t="s">
        <v>3351</v>
      </c>
      <c r="D122" s="23">
        <v>794004.44691526226</v>
      </c>
      <c r="E122" s="23">
        <v>2025</v>
      </c>
      <c r="F122" s="15" t="s">
        <v>3302</v>
      </c>
      <c r="G122" s="15" t="s">
        <v>3300</v>
      </c>
      <c r="H122" s="23" t="s">
        <v>58</v>
      </c>
    </row>
    <row r="123" spans="1:8" ht="54.95" customHeight="1" x14ac:dyDescent="0.2">
      <c r="A123" s="23" t="s">
        <v>91</v>
      </c>
      <c r="B123" s="23" t="s">
        <v>14</v>
      </c>
      <c r="C123" s="23" t="s">
        <v>3352</v>
      </c>
      <c r="D123" s="23">
        <v>130000</v>
      </c>
      <c r="E123" s="23">
        <v>2025</v>
      </c>
      <c r="F123" s="15" t="s">
        <v>3304</v>
      </c>
      <c r="G123" s="15" t="s">
        <v>3300</v>
      </c>
      <c r="H123" s="23" t="s">
        <v>58</v>
      </c>
    </row>
    <row r="124" spans="1:8" ht="54.95" customHeight="1" x14ac:dyDescent="0.2">
      <c r="A124" s="23" t="s">
        <v>91</v>
      </c>
      <c r="B124" s="23" t="s">
        <v>3</v>
      </c>
      <c r="C124" s="23" t="s">
        <v>3353</v>
      </c>
      <c r="D124" s="23">
        <v>734572.71244000003</v>
      </c>
      <c r="E124" s="23">
        <v>2024</v>
      </c>
      <c r="F124" s="15" t="s">
        <v>3316</v>
      </c>
      <c r="G124" s="15" t="s">
        <v>3317</v>
      </c>
      <c r="H124" s="23" t="s">
        <v>58</v>
      </c>
    </row>
    <row r="125" spans="1:8" ht="54.95" customHeight="1" x14ac:dyDescent="0.2">
      <c r="A125" s="23" t="s">
        <v>91</v>
      </c>
      <c r="B125" s="23" t="s">
        <v>6</v>
      </c>
      <c r="C125" s="23" t="s">
        <v>3354</v>
      </c>
      <c r="D125" s="23">
        <v>29.76553996591036</v>
      </c>
      <c r="E125" s="23">
        <v>2024</v>
      </c>
      <c r="F125" s="15" t="s">
        <v>3319</v>
      </c>
      <c r="G125" s="15" t="s">
        <v>3320</v>
      </c>
      <c r="H125" s="23" t="s">
        <v>58</v>
      </c>
    </row>
    <row r="126" spans="1:8" ht="54.95" customHeight="1" x14ac:dyDescent="0.2">
      <c r="A126" s="23" t="s">
        <v>91</v>
      </c>
      <c r="B126" s="23" t="s">
        <v>7</v>
      </c>
      <c r="C126" s="23" t="s">
        <v>1530</v>
      </c>
      <c r="D126" s="23">
        <v>26.230830159749296</v>
      </c>
      <c r="E126" s="23">
        <v>2024</v>
      </c>
      <c r="F126" s="15" t="s">
        <v>3322</v>
      </c>
      <c r="G126" s="15" t="s">
        <v>3320</v>
      </c>
      <c r="H126" s="23" t="s">
        <v>58</v>
      </c>
    </row>
    <row r="127" spans="1:8" ht="54.95" customHeight="1" x14ac:dyDescent="0.2">
      <c r="A127" s="23" t="s">
        <v>91</v>
      </c>
      <c r="B127" s="23" t="s">
        <v>8</v>
      </c>
      <c r="C127" s="23" t="s">
        <v>46</v>
      </c>
      <c r="D127" s="23">
        <v>7.3289834237338871</v>
      </c>
      <c r="E127" s="23">
        <v>2024</v>
      </c>
      <c r="F127" s="15" t="s">
        <v>3324</v>
      </c>
      <c r="G127" s="15" t="s">
        <v>3320</v>
      </c>
      <c r="H127" s="23" t="s">
        <v>58</v>
      </c>
    </row>
    <row r="128" spans="1:8" ht="54.95" customHeight="1" x14ac:dyDescent="0.2">
      <c r="A128" s="23" t="s">
        <v>91</v>
      </c>
      <c r="B128" s="23" t="s">
        <v>9</v>
      </c>
      <c r="C128" s="23" t="s">
        <v>46</v>
      </c>
      <c r="D128" s="23">
        <v>4.560683193460771</v>
      </c>
      <c r="E128" s="23">
        <v>2024</v>
      </c>
      <c r="F128" s="15" t="s">
        <v>3325</v>
      </c>
      <c r="G128" s="15" t="s">
        <v>3320</v>
      </c>
      <c r="H128" s="23" t="s">
        <v>58</v>
      </c>
    </row>
    <row r="129" spans="1:8" ht="54.95" customHeight="1" x14ac:dyDescent="0.2">
      <c r="A129" s="23" t="s">
        <v>91</v>
      </c>
      <c r="B129" s="23" t="s">
        <v>10</v>
      </c>
      <c r="C129" s="23" t="s">
        <v>46</v>
      </c>
      <c r="D129" s="23">
        <v>1.9697892400518315</v>
      </c>
      <c r="E129" s="23">
        <v>2024</v>
      </c>
      <c r="F129" s="15" t="s">
        <v>3326</v>
      </c>
      <c r="G129" s="15" t="s">
        <v>3320</v>
      </c>
      <c r="H129" s="23" t="s">
        <v>58</v>
      </c>
    </row>
    <row r="130" spans="1:8" ht="54.95" customHeight="1" x14ac:dyDescent="0.2">
      <c r="A130" s="23" t="s">
        <v>91</v>
      </c>
      <c r="B130" s="23" t="s">
        <v>5</v>
      </c>
      <c r="C130" s="23" t="s">
        <v>3355</v>
      </c>
      <c r="D130" s="23">
        <v>268.85361275304001</v>
      </c>
      <c r="E130" s="23">
        <v>2024</v>
      </c>
      <c r="F130" s="15" t="s">
        <v>3316</v>
      </c>
      <c r="G130" s="15" t="s">
        <v>3311</v>
      </c>
      <c r="H130" s="23" t="s">
        <v>58</v>
      </c>
    </row>
    <row r="131" spans="1:8" ht="54.95" customHeight="1" x14ac:dyDescent="0.2">
      <c r="A131" s="23" t="s">
        <v>107</v>
      </c>
      <c r="B131" s="23" t="s">
        <v>11</v>
      </c>
      <c r="C131" s="23" t="s">
        <v>1536</v>
      </c>
      <c r="D131" s="23">
        <v>0</v>
      </c>
      <c r="E131" s="23">
        <v>2025</v>
      </c>
      <c r="F131" s="15" t="s">
        <v>3299</v>
      </c>
      <c r="G131" s="15" t="s">
        <v>3300</v>
      </c>
      <c r="H131" s="23" t="s">
        <v>58</v>
      </c>
    </row>
    <row r="132" spans="1:8" ht="54.95" customHeight="1" x14ac:dyDescent="0.2">
      <c r="A132" s="23" t="s">
        <v>107</v>
      </c>
      <c r="B132" s="23" t="s">
        <v>13</v>
      </c>
      <c r="C132" s="23" t="s">
        <v>46</v>
      </c>
      <c r="D132" s="23">
        <v>0</v>
      </c>
      <c r="E132" s="23">
        <v>2025</v>
      </c>
      <c r="F132" s="15" t="s">
        <v>3302</v>
      </c>
      <c r="G132" s="15" t="s">
        <v>3300</v>
      </c>
      <c r="H132" s="23" t="s">
        <v>58</v>
      </c>
    </row>
    <row r="133" spans="1:8" ht="54.95" customHeight="1" x14ac:dyDescent="0.2">
      <c r="A133" s="23" t="s">
        <v>107</v>
      </c>
      <c r="B133" s="23" t="s">
        <v>14</v>
      </c>
      <c r="C133" s="23" t="s">
        <v>46</v>
      </c>
      <c r="D133" s="23">
        <v>0</v>
      </c>
      <c r="E133" s="23">
        <v>2025</v>
      </c>
      <c r="F133" s="15" t="s">
        <v>3304</v>
      </c>
      <c r="G133" s="15" t="s">
        <v>3300</v>
      </c>
      <c r="H133" s="23" t="s">
        <v>58</v>
      </c>
    </row>
    <row r="134" spans="1:8" ht="54.95" customHeight="1" x14ac:dyDescent="0.2">
      <c r="A134" s="23" t="s">
        <v>107</v>
      </c>
      <c r="B134" s="23" t="s">
        <v>3</v>
      </c>
      <c r="C134" s="23" t="s">
        <v>3356</v>
      </c>
      <c r="D134" s="23">
        <v>48869.04109589041</v>
      </c>
      <c r="E134" s="23">
        <v>2025</v>
      </c>
      <c r="F134" s="15" t="s">
        <v>3305</v>
      </c>
      <c r="G134" s="15" t="s">
        <v>3306</v>
      </c>
      <c r="H134" s="23" t="s">
        <v>58</v>
      </c>
    </row>
    <row r="135" spans="1:8" ht="54.95" customHeight="1" x14ac:dyDescent="0.2">
      <c r="A135" s="23" t="s">
        <v>107</v>
      </c>
      <c r="B135" s="23" t="s">
        <v>6</v>
      </c>
      <c r="C135" s="23" t="s">
        <v>46</v>
      </c>
      <c r="D135" s="23">
        <v>32.566770569371869</v>
      </c>
      <c r="E135" s="23">
        <v>2025</v>
      </c>
      <c r="F135" s="15" t="s">
        <v>3305</v>
      </c>
      <c r="G135" s="15" t="s">
        <v>3308</v>
      </c>
      <c r="H135" s="23" t="s">
        <v>58</v>
      </c>
    </row>
    <row r="136" spans="1:8" ht="54.95" customHeight="1" x14ac:dyDescent="0.2">
      <c r="A136" s="23" t="s">
        <v>107</v>
      </c>
      <c r="B136" s="23" t="s">
        <v>7</v>
      </c>
      <c r="C136" s="23" t="s">
        <v>46</v>
      </c>
      <c r="D136" s="23">
        <v>16.440360594712175</v>
      </c>
      <c r="E136" s="23">
        <v>2025</v>
      </c>
      <c r="F136" s="15" t="s">
        <v>3305</v>
      </c>
      <c r="G136" s="15" t="s">
        <v>3308</v>
      </c>
      <c r="H136" s="23" t="s">
        <v>58</v>
      </c>
    </row>
    <row r="137" spans="1:8" ht="54.95" customHeight="1" x14ac:dyDescent="0.2">
      <c r="A137" s="23" t="s">
        <v>107</v>
      </c>
      <c r="B137" s="23" t="s">
        <v>8</v>
      </c>
      <c r="C137" s="23" t="s">
        <v>46</v>
      </c>
      <c r="D137" s="23">
        <v>3.7068598210481465</v>
      </c>
      <c r="E137" s="23">
        <v>2025</v>
      </c>
      <c r="F137" s="15" t="s">
        <v>3305</v>
      </c>
      <c r="G137" s="15" t="s">
        <v>3308</v>
      </c>
      <c r="H137" s="23" t="s">
        <v>58</v>
      </c>
    </row>
    <row r="138" spans="1:8" ht="54.95" customHeight="1" x14ac:dyDescent="0.2">
      <c r="A138" s="23" t="s">
        <v>107</v>
      </c>
      <c r="B138" s="23" t="s">
        <v>9</v>
      </c>
      <c r="C138" s="23" t="s">
        <v>46</v>
      </c>
      <c r="D138" s="23" t="s">
        <v>46</v>
      </c>
      <c r="E138" s="23">
        <v>2025</v>
      </c>
      <c r="F138" s="15" t="s">
        <v>3305</v>
      </c>
      <c r="G138" s="15" t="s">
        <v>3357</v>
      </c>
      <c r="H138" s="23" t="s">
        <v>58</v>
      </c>
    </row>
    <row r="139" spans="1:8" ht="54.95" customHeight="1" x14ac:dyDescent="0.2">
      <c r="A139" s="23" t="s">
        <v>107</v>
      </c>
      <c r="B139" s="23" t="s">
        <v>10</v>
      </c>
      <c r="C139" s="23" t="s">
        <v>46</v>
      </c>
      <c r="D139" s="23">
        <v>26.346623909582224</v>
      </c>
      <c r="E139" s="23">
        <v>2025</v>
      </c>
      <c r="F139" s="15" t="s">
        <v>3305</v>
      </c>
      <c r="G139" s="15" t="s">
        <v>3308</v>
      </c>
      <c r="H139" s="23" t="s">
        <v>58</v>
      </c>
    </row>
    <row r="140" spans="1:8" ht="54.95" customHeight="1" x14ac:dyDescent="0.2">
      <c r="A140" s="23" t="s">
        <v>107</v>
      </c>
      <c r="B140" s="23" t="s">
        <v>5</v>
      </c>
      <c r="C140" s="23" t="s">
        <v>3358</v>
      </c>
      <c r="D140" s="23">
        <v>17.837199999999999</v>
      </c>
      <c r="E140" s="23">
        <v>2025</v>
      </c>
      <c r="F140" s="15" t="s">
        <v>3305</v>
      </c>
      <c r="G140" s="15" t="s">
        <v>3311</v>
      </c>
      <c r="H140" s="23" t="s">
        <v>58</v>
      </c>
    </row>
    <row r="141" spans="1:8" ht="54.95" customHeight="1" x14ac:dyDescent="0.2">
      <c r="A141" s="23" t="s">
        <v>114</v>
      </c>
      <c r="B141" s="23" t="s">
        <v>11</v>
      </c>
      <c r="C141" s="23" t="s">
        <v>3359</v>
      </c>
      <c r="D141" s="23">
        <v>990278.10336983879</v>
      </c>
      <c r="E141" s="23">
        <v>2025</v>
      </c>
      <c r="F141" s="15" t="s">
        <v>3299</v>
      </c>
      <c r="G141" s="15" t="s">
        <v>3300</v>
      </c>
      <c r="H141" s="23" t="s">
        <v>58</v>
      </c>
    </row>
    <row r="142" spans="1:8" ht="54.95" customHeight="1" x14ac:dyDescent="0.2">
      <c r="A142" s="23" t="s">
        <v>114</v>
      </c>
      <c r="B142" s="23" t="s">
        <v>13</v>
      </c>
      <c r="C142" s="23" t="s">
        <v>3360</v>
      </c>
      <c r="D142" s="23">
        <v>580600.35005617037</v>
      </c>
      <c r="E142" s="23">
        <v>2025</v>
      </c>
      <c r="F142" s="15" t="s">
        <v>3302</v>
      </c>
      <c r="G142" s="15" t="s">
        <v>3300</v>
      </c>
      <c r="H142" s="23" t="s">
        <v>58</v>
      </c>
    </row>
    <row r="143" spans="1:8" ht="54.95" customHeight="1" x14ac:dyDescent="0.2">
      <c r="A143" s="23" t="s">
        <v>114</v>
      </c>
      <c r="B143" s="23" t="s">
        <v>14</v>
      </c>
      <c r="C143" s="23" t="s">
        <v>3361</v>
      </c>
      <c r="D143" s="23">
        <v>110560.12602739726</v>
      </c>
      <c r="E143" s="23">
        <v>2025</v>
      </c>
      <c r="F143" s="15" t="s">
        <v>3304</v>
      </c>
      <c r="G143" s="15" t="s">
        <v>3300</v>
      </c>
      <c r="H143" s="23" t="s">
        <v>58</v>
      </c>
    </row>
    <row r="144" spans="1:8" ht="54.95" customHeight="1" x14ac:dyDescent="0.2">
      <c r="A144" s="23" t="s">
        <v>114</v>
      </c>
      <c r="B144" s="23" t="s">
        <v>3</v>
      </c>
      <c r="C144" s="23" t="s">
        <v>3362</v>
      </c>
      <c r="D144" s="23">
        <v>5477539.7260273974</v>
      </c>
      <c r="E144" s="23">
        <v>2025</v>
      </c>
      <c r="F144" s="15" t="s">
        <v>3305</v>
      </c>
      <c r="G144" s="15" t="s">
        <v>3306</v>
      </c>
      <c r="H144" s="23" t="s">
        <v>58</v>
      </c>
    </row>
    <row r="145" spans="1:8" ht="54.95" customHeight="1" x14ac:dyDescent="0.2">
      <c r="A145" s="23" t="s">
        <v>114</v>
      </c>
      <c r="B145" s="23" t="s">
        <v>6</v>
      </c>
      <c r="C145" s="23" t="s">
        <v>3363</v>
      </c>
      <c r="D145" s="23">
        <v>35.242399997599158</v>
      </c>
      <c r="E145" s="23">
        <v>2025</v>
      </c>
      <c r="F145" s="15" t="s">
        <v>3305</v>
      </c>
      <c r="G145" s="15" t="s">
        <v>3308</v>
      </c>
      <c r="H145" s="23" t="s">
        <v>58</v>
      </c>
    </row>
    <row r="146" spans="1:8" ht="54.95" customHeight="1" x14ac:dyDescent="0.2">
      <c r="A146" s="23" t="s">
        <v>114</v>
      </c>
      <c r="B146" s="23" t="s">
        <v>7</v>
      </c>
      <c r="C146" s="23" t="s">
        <v>46</v>
      </c>
      <c r="D146" s="23">
        <v>17.732722820264271</v>
      </c>
      <c r="E146" s="23">
        <v>2025</v>
      </c>
      <c r="F146" s="15" t="s">
        <v>3305</v>
      </c>
      <c r="G146" s="15" t="s">
        <v>3308</v>
      </c>
      <c r="H146" s="23" t="s">
        <v>58</v>
      </c>
    </row>
    <row r="147" spans="1:8" ht="54.95" customHeight="1" x14ac:dyDescent="0.2">
      <c r="A147" s="23" t="s">
        <v>114</v>
      </c>
      <c r="B147" s="23" t="s">
        <v>8</v>
      </c>
      <c r="C147" s="23" t="s">
        <v>3364</v>
      </c>
      <c r="D147" s="23">
        <v>19.236856162800816</v>
      </c>
      <c r="E147" s="23">
        <v>2025</v>
      </c>
      <c r="F147" s="15" t="s">
        <v>3305</v>
      </c>
      <c r="G147" s="15" t="s">
        <v>3308</v>
      </c>
      <c r="H147" s="23" t="s">
        <v>58</v>
      </c>
    </row>
    <row r="148" spans="1:8" ht="54.95" customHeight="1" x14ac:dyDescent="0.2">
      <c r="A148" s="23" t="s">
        <v>114</v>
      </c>
      <c r="B148" s="23" t="s">
        <v>9</v>
      </c>
      <c r="C148" s="23" t="s">
        <v>46</v>
      </c>
      <c r="D148" s="23">
        <v>7.3199116491655589</v>
      </c>
      <c r="E148" s="23">
        <v>2025</v>
      </c>
      <c r="F148" s="15" t="s">
        <v>3305</v>
      </c>
      <c r="G148" s="15" t="s">
        <v>3308</v>
      </c>
      <c r="H148" s="23" t="s">
        <v>58</v>
      </c>
    </row>
    <row r="149" spans="1:8" ht="54.95" customHeight="1" x14ac:dyDescent="0.2">
      <c r="A149" s="23" t="s">
        <v>114</v>
      </c>
      <c r="B149" s="23" t="s">
        <v>10</v>
      </c>
      <c r="C149" s="23" t="s">
        <v>46</v>
      </c>
      <c r="D149" s="23">
        <v>2.0233017323045743</v>
      </c>
      <c r="E149" s="23">
        <v>2025</v>
      </c>
      <c r="F149" s="15" t="s">
        <v>3305</v>
      </c>
      <c r="G149" s="15" t="s">
        <v>3308</v>
      </c>
      <c r="H149" s="23" t="s">
        <v>58</v>
      </c>
    </row>
    <row r="150" spans="1:8" ht="54.95" customHeight="1" x14ac:dyDescent="0.2">
      <c r="A150" s="23" t="s">
        <v>114</v>
      </c>
      <c r="B150" s="23" t="s">
        <v>5</v>
      </c>
      <c r="C150" s="23" t="s">
        <v>3365</v>
      </c>
      <c r="D150" s="23">
        <v>1999.3019999999999</v>
      </c>
      <c r="E150" s="23">
        <v>2025</v>
      </c>
      <c r="F150" s="15" t="s">
        <v>3305</v>
      </c>
      <c r="G150" s="15" t="s">
        <v>3311</v>
      </c>
      <c r="H150" s="23" t="s">
        <v>58</v>
      </c>
    </row>
    <row r="151" spans="1:8" ht="54.95" customHeight="1" x14ac:dyDescent="0.2">
      <c r="A151" s="23" t="s">
        <v>122</v>
      </c>
      <c r="B151" s="23" t="s">
        <v>11</v>
      </c>
      <c r="C151" s="23" t="s">
        <v>3366</v>
      </c>
      <c r="D151" s="23">
        <v>5446188.7080698172</v>
      </c>
      <c r="E151" s="23">
        <v>2025</v>
      </c>
      <c r="F151" s="15" t="s">
        <v>3299</v>
      </c>
      <c r="G151" s="15" t="s">
        <v>3300</v>
      </c>
      <c r="H151" s="23" t="s">
        <v>58</v>
      </c>
    </row>
    <row r="152" spans="1:8" ht="54.95" customHeight="1" x14ac:dyDescent="0.2">
      <c r="A152" s="23" t="s">
        <v>122</v>
      </c>
      <c r="B152" s="23" t="s">
        <v>13</v>
      </c>
      <c r="C152" s="23" t="s">
        <v>3367</v>
      </c>
      <c r="D152" s="23">
        <v>4324684.9315068489</v>
      </c>
      <c r="E152" s="23">
        <v>2025</v>
      </c>
      <c r="F152" s="15" t="s">
        <v>3302</v>
      </c>
      <c r="G152" s="15" t="s">
        <v>3300</v>
      </c>
      <c r="H152" s="23" t="s">
        <v>58</v>
      </c>
    </row>
    <row r="153" spans="1:8" ht="54.95" customHeight="1" x14ac:dyDescent="0.2">
      <c r="A153" s="23" t="s">
        <v>122</v>
      </c>
      <c r="B153" s="23" t="s">
        <v>14</v>
      </c>
      <c r="C153" s="23" t="s">
        <v>3368</v>
      </c>
      <c r="D153" s="23">
        <v>10000</v>
      </c>
      <c r="E153" s="23">
        <v>2025</v>
      </c>
      <c r="F153" s="15" t="s">
        <v>3304</v>
      </c>
      <c r="G153" s="15" t="s">
        <v>3300</v>
      </c>
      <c r="H153" s="23" t="s">
        <v>58</v>
      </c>
    </row>
    <row r="154" spans="1:8" ht="54.95" customHeight="1" x14ac:dyDescent="0.2">
      <c r="A154" s="23" t="s">
        <v>122</v>
      </c>
      <c r="B154" s="23" t="s">
        <v>3</v>
      </c>
      <c r="C154" s="23" t="s">
        <v>3369</v>
      </c>
      <c r="D154" s="23">
        <v>16639724.526027398</v>
      </c>
      <c r="E154" s="23">
        <v>2025</v>
      </c>
      <c r="F154" s="15" t="s">
        <v>3305</v>
      </c>
      <c r="G154" s="15" t="s">
        <v>3306</v>
      </c>
      <c r="H154" s="23" t="s">
        <v>58</v>
      </c>
    </row>
    <row r="155" spans="1:8" ht="54.95" customHeight="1" x14ac:dyDescent="0.2">
      <c r="A155" s="23" t="s">
        <v>122</v>
      </c>
      <c r="B155" s="23" t="s">
        <v>6</v>
      </c>
      <c r="C155" s="23" t="s">
        <v>3370</v>
      </c>
      <c r="D155" s="23">
        <v>22.978390811255149</v>
      </c>
      <c r="E155" s="23">
        <v>2025</v>
      </c>
      <c r="F155" s="15" t="s">
        <v>3305</v>
      </c>
      <c r="G155" s="15" t="s">
        <v>3308</v>
      </c>
      <c r="H155" s="23" t="s">
        <v>58</v>
      </c>
    </row>
    <row r="156" spans="1:8" ht="54.95" customHeight="1" x14ac:dyDescent="0.2">
      <c r="A156" s="23" t="s">
        <v>122</v>
      </c>
      <c r="B156" s="23" t="s">
        <v>7</v>
      </c>
      <c r="C156" s="23" t="s">
        <v>3371</v>
      </c>
      <c r="D156" s="23">
        <v>20.525818926179102</v>
      </c>
      <c r="E156" s="23">
        <v>2025</v>
      </c>
      <c r="F156" s="15" t="s">
        <v>3305</v>
      </c>
      <c r="G156" s="15" t="s">
        <v>3308</v>
      </c>
      <c r="H156" s="23" t="s">
        <v>58</v>
      </c>
    </row>
    <row r="157" spans="1:8" ht="54.95" customHeight="1" x14ac:dyDescent="0.2">
      <c r="A157" s="23" t="s">
        <v>122</v>
      </c>
      <c r="B157" s="23" t="s">
        <v>8</v>
      </c>
      <c r="C157" s="23" t="s">
        <v>46</v>
      </c>
      <c r="D157" s="23">
        <v>16.657753771046195</v>
      </c>
      <c r="E157" s="23">
        <v>2025</v>
      </c>
      <c r="F157" s="15" t="s">
        <v>3305</v>
      </c>
      <c r="G157" s="15" t="s">
        <v>3308</v>
      </c>
      <c r="H157" s="23" t="s">
        <v>58</v>
      </c>
    </row>
    <row r="158" spans="1:8" ht="54.95" customHeight="1" x14ac:dyDescent="0.2">
      <c r="A158" s="23" t="s">
        <v>122</v>
      </c>
      <c r="B158" s="23" t="s">
        <v>9</v>
      </c>
      <c r="C158" s="23" t="s">
        <v>46</v>
      </c>
      <c r="D158" s="23" t="s">
        <v>46</v>
      </c>
      <c r="E158" s="23">
        <v>2025</v>
      </c>
      <c r="F158" s="15" t="s">
        <v>3305</v>
      </c>
      <c r="G158" s="15" t="s">
        <v>3357</v>
      </c>
      <c r="H158" s="23" t="s">
        <v>58</v>
      </c>
    </row>
    <row r="159" spans="1:8" ht="54.95" customHeight="1" x14ac:dyDescent="0.2">
      <c r="A159" s="23" t="s">
        <v>122</v>
      </c>
      <c r="B159" s="23" t="s">
        <v>10</v>
      </c>
      <c r="C159" s="23" t="s">
        <v>46</v>
      </c>
      <c r="D159" s="23">
        <v>4.8810398904766377</v>
      </c>
      <c r="E159" s="23">
        <v>2025</v>
      </c>
      <c r="F159" s="15" t="s">
        <v>3305</v>
      </c>
      <c r="G159" s="15" t="s">
        <v>3308</v>
      </c>
      <c r="H159" s="23" t="s">
        <v>58</v>
      </c>
    </row>
    <row r="160" spans="1:8" ht="54.95" customHeight="1" x14ac:dyDescent="0.2">
      <c r="A160" s="23" t="s">
        <v>122</v>
      </c>
      <c r="B160" s="23" t="s">
        <v>5</v>
      </c>
      <c r="C160" s="23" t="s">
        <v>3372</v>
      </c>
      <c r="D160" s="23">
        <v>6073.499452</v>
      </c>
      <c r="E160" s="23">
        <v>2025</v>
      </c>
      <c r="F160" s="15" t="s">
        <v>3305</v>
      </c>
      <c r="G160" s="15" t="s">
        <v>3311</v>
      </c>
      <c r="H160" s="23" t="s">
        <v>58</v>
      </c>
    </row>
    <row r="161" spans="1:8" ht="54.95" customHeight="1" x14ac:dyDescent="0.2">
      <c r="A161" s="23" t="s">
        <v>129</v>
      </c>
      <c r="B161" s="23" t="s">
        <v>11</v>
      </c>
      <c r="C161" s="23" t="s">
        <v>3373</v>
      </c>
      <c r="D161" s="23">
        <v>25214.807856150685</v>
      </c>
      <c r="E161" s="23">
        <v>2025</v>
      </c>
      <c r="F161" s="15" t="s">
        <v>3299</v>
      </c>
      <c r="G161" s="15" t="s">
        <v>3300</v>
      </c>
      <c r="H161" s="23" t="s">
        <v>58</v>
      </c>
    </row>
    <row r="162" spans="1:8" ht="54.95" customHeight="1" x14ac:dyDescent="0.2">
      <c r="A162" s="23" t="s">
        <v>129</v>
      </c>
      <c r="B162" s="23" t="s">
        <v>13</v>
      </c>
      <c r="C162" s="23" t="s">
        <v>46</v>
      </c>
      <c r="D162" s="23">
        <v>19520.547945205479</v>
      </c>
      <c r="E162" s="23">
        <v>2025</v>
      </c>
      <c r="F162" s="15" t="s">
        <v>3302</v>
      </c>
      <c r="G162" s="15" t="s">
        <v>3300</v>
      </c>
      <c r="H162" s="23" t="s">
        <v>58</v>
      </c>
    </row>
    <row r="163" spans="1:8" ht="54.95" customHeight="1" x14ac:dyDescent="0.2">
      <c r="A163" s="23" t="s">
        <v>129</v>
      </c>
      <c r="B163" s="23" t="s">
        <v>14</v>
      </c>
      <c r="C163" s="23" t="s">
        <v>46</v>
      </c>
      <c r="D163" s="23">
        <v>0</v>
      </c>
      <c r="E163" s="23">
        <v>2025</v>
      </c>
      <c r="F163" s="15" t="s">
        <v>3304</v>
      </c>
      <c r="G163" s="15" t="s">
        <v>3300</v>
      </c>
      <c r="H163" s="23" t="s">
        <v>58</v>
      </c>
    </row>
    <row r="164" spans="1:8" ht="54.95" customHeight="1" x14ac:dyDescent="0.2">
      <c r="A164" s="23" t="s">
        <v>129</v>
      </c>
      <c r="B164" s="23" t="s">
        <v>3</v>
      </c>
      <c r="C164" s="23" t="s">
        <v>3374</v>
      </c>
      <c r="D164" s="23">
        <v>221276.71299999999</v>
      </c>
      <c r="E164" s="23">
        <v>2025</v>
      </c>
      <c r="F164" s="15" t="s">
        <v>3316</v>
      </c>
      <c r="G164" s="15" t="s">
        <v>3317</v>
      </c>
      <c r="H164" s="23" t="s">
        <v>58</v>
      </c>
    </row>
    <row r="165" spans="1:8" ht="54.95" customHeight="1" x14ac:dyDescent="0.2">
      <c r="A165" s="23" t="s">
        <v>129</v>
      </c>
      <c r="B165" s="23" t="s">
        <v>6</v>
      </c>
      <c r="C165" s="23" t="s">
        <v>46</v>
      </c>
      <c r="D165" s="23">
        <v>27.973404503708444</v>
      </c>
      <c r="E165" s="23">
        <v>2025</v>
      </c>
      <c r="F165" s="15" t="s">
        <v>3319</v>
      </c>
      <c r="G165" s="15" t="s">
        <v>3320</v>
      </c>
      <c r="H165" s="23" t="s">
        <v>58</v>
      </c>
    </row>
    <row r="166" spans="1:8" ht="54.95" customHeight="1" x14ac:dyDescent="0.2">
      <c r="A166" s="23" t="s">
        <v>129</v>
      </c>
      <c r="B166" s="23" t="s">
        <v>7</v>
      </c>
      <c r="C166" s="23" t="s">
        <v>46</v>
      </c>
      <c r="D166" s="23">
        <v>33.947452934191041</v>
      </c>
      <c r="E166" s="23">
        <v>2025</v>
      </c>
      <c r="F166" s="15" t="s">
        <v>3322</v>
      </c>
      <c r="G166" s="15" t="s">
        <v>3320</v>
      </c>
      <c r="H166" s="23" t="s">
        <v>58</v>
      </c>
    </row>
    <row r="167" spans="1:8" ht="54.95" customHeight="1" x14ac:dyDescent="0.2">
      <c r="A167" s="23" t="s">
        <v>129</v>
      </c>
      <c r="B167" s="23" t="s">
        <v>8</v>
      </c>
      <c r="C167" s="23" t="s">
        <v>46</v>
      </c>
      <c r="D167" s="23">
        <v>6.3974938022511214</v>
      </c>
      <c r="E167" s="23">
        <v>2025</v>
      </c>
      <c r="F167" s="15" t="s">
        <v>3324</v>
      </c>
      <c r="G167" s="15" t="s">
        <v>3320</v>
      </c>
      <c r="H167" s="23" t="s">
        <v>58</v>
      </c>
    </row>
    <row r="168" spans="1:8" ht="54.95" customHeight="1" x14ac:dyDescent="0.2">
      <c r="A168" s="23" t="s">
        <v>129</v>
      </c>
      <c r="B168" s="23" t="s">
        <v>9</v>
      </c>
      <c r="C168" s="23" t="s">
        <v>46</v>
      </c>
      <c r="D168" s="23">
        <v>10.113166765994034</v>
      </c>
      <c r="E168" s="23">
        <v>2025</v>
      </c>
      <c r="F168" s="15" t="s">
        <v>3325</v>
      </c>
      <c r="G168" s="15" t="s">
        <v>3320</v>
      </c>
      <c r="H168" s="23" t="s">
        <v>58</v>
      </c>
    </row>
    <row r="169" spans="1:8" ht="54.95" customHeight="1" x14ac:dyDescent="0.2">
      <c r="A169" s="23" t="s">
        <v>129</v>
      </c>
      <c r="B169" s="23" t="s">
        <v>10</v>
      </c>
      <c r="C169" s="23" t="s">
        <v>46</v>
      </c>
      <c r="D169" s="23">
        <v>3.0978384065204367</v>
      </c>
      <c r="E169" s="23">
        <v>2025</v>
      </c>
      <c r="F169" s="15" t="s">
        <v>3326</v>
      </c>
      <c r="G169" s="15" t="s">
        <v>3320</v>
      </c>
      <c r="H169" s="23" t="s">
        <v>58</v>
      </c>
    </row>
    <row r="170" spans="1:8" ht="54.95" customHeight="1" x14ac:dyDescent="0.2">
      <c r="A170" s="23" t="s">
        <v>129</v>
      </c>
      <c r="B170" s="23" t="s">
        <v>5</v>
      </c>
      <c r="C170" s="23" t="s">
        <v>3375</v>
      </c>
      <c r="D170" s="23">
        <v>80.766000244999987</v>
      </c>
      <c r="E170" s="23">
        <v>2025</v>
      </c>
      <c r="F170" s="15" t="s">
        <v>3316</v>
      </c>
      <c r="G170" s="15" t="s">
        <v>3311</v>
      </c>
      <c r="H170" s="23" t="s">
        <v>58</v>
      </c>
    </row>
    <row r="171" spans="1:8" ht="54.95" customHeight="1" x14ac:dyDescent="0.2">
      <c r="A171" s="23" t="s">
        <v>137</v>
      </c>
      <c r="B171" s="23" t="s">
        <v>11</v>
      </c>
      <c r="C171" s="23" t="s">
        <v>1536</v>
      </c>
      <c r="D171" s="23">
        <v>0</v>
      </c>
      <c r="E171" s="23">
        <v>2025</v>
      </c>
      <c r="F171" s="15" t="s">
        <v>3299</v>
      </c>
      <c r="G171" s="15" t="s">
        <v>3300</v>
      </c>
      <c r="H171" s="23" t="s">
        <v>58</v>
      </c>
    </row>
    <row r="172" spans="1:8" ht="54.95" customHeight="1" x14ac:dyDescent="0.2">
      <c r="A172" s="23" t="s">
        <v>137</v>
      </c>
      <c r="B172" s="23" t="s">
        <v>13</v>
      </c>
      <c r="C172" s="23" t="s">
        <v>1536</v>
      </c>
      <c r="D172" s="23">
        <v>0</v>
      </c>
      <c r="E172" s="23">
        <v>2025</v>
      </c>
      <c r="F172" s="15" t="s">
        <v>3302</v>
      </c>
      <c r="G172" s="15" t="s">
        <v>3300</v>
      </c>
      <c r="H172" s="23" t="s">
        <v>58</v>
      </c>
    </row>
    <row r="173" spans="1:8" ht="54.95" customHeight="1" x14ac:dyDescent="0.2">
      <c r="A173" s="23" t="s">
        <v>137</v>
      </c>
      <c r="B173" s="23" t="s">
        <v>14</v>
      </c>
      <c r="C173" s="23" t="s">
        <v>1538</v>
      </c>
      <c r="D173" s="23">
        <v>0</v>
      </c>
      <c r="E173" s="23">
        <v>2025</v>
      </c>
      <c r="F173" s="15" t="s">
        <v>3304</v>
      </c>
      <c r="G173" s="15" t="s">
        <v>3300</v>
      </c>
      <c r="H173" s="23" t="s">
        <v>58</v>
      </c>
    </row>
    <row r="174" spans="1:8" ht="54.95" customHeight="1" x14ac:dyDescent="0.2">
      <c r="A174" s="23" t="s">
        <v>137</v>
      </c>
      <c r="B174" s="23" t="s">
        <v>3</v>
      </c>
      <c r="C174" s="23" t="s">
        <v>3376</v>
      </c>
      <c r="D174" s="23">
        <v>34404.856010999996</v>
      </c>
      <c r="E174" s="23">
        <v>2024</v>
      </c>
      <c r="F174" s="15" t="s">
        <v>3316</v>
      </c>
      <c r="G174" s="15" t="s">
        <v>3317</v>
      </c>
      <c r="H174" s="23" t="s">
        <v>58</v>
      </c>
    </row>
    <row r="175" spans="1:8" ht="54.95" customHeight="1" x14ac:dyDescent="0.2">
      <c r="A175" s="23" t="s">
        <v>137</v>
      </c>
      <c r="B175" s="23" t="s">
        <v>6</v>
      </c>
      <c r="C175" s="23" t="s">
        <v>3377</v>
      </c>
      <c r="D175" s="23">
        <v>55.684153317993101</v>
      </c>
      <c r="E175" s="23">
        <v>2024</v>
      </c>
      <c r="F175" s="15" t="s">
        <v>3319</v>
      </c>
      <c r="G175" s="15" t="s">
        <v>3320</v>
      </c>
      <c r="H175" s="23" t="s">
        <v>58</v>
      </c>
    </row>
    <row r="176" spans="1:8" ht="54.95" customHeight="1" x14ac:dyDescent="0.2">
      <c r="A176" s="23" t="s">
        <v>137</v>
      </c>
      <c r="B176" s="23" t="s">
        <v>7</v>
      </c>
      <c r="C176" s="23" t="s">
        <v>3378</v>
      </c>
      <c r="D176" s="23">
        <v>21.772048014399701</v>
      </c>
      <c r="E176" s="23">
        <v>2024</v>
      </c>
      <c r="F176" s="15" t="s">
        <v>3322</v>
      </c>
      <c r="G176" s="15" t="s">
        <v>3320</v>
      </c>
      <c r="H176" s="23" t="s">
        <v>58</v>
      </c>
    </row>
    <row r="177" spans="1:8" ht="54.95" customHeight="1" x14ac:dyDescent="0.2">
      <c r="A177" s="23" t="s">
        <v>137</v>
      </c>
      <c r="B177" s="23" t="s">
        <v>8</v>
      </c>
      <c r="C177" s="23" t="s">
        <v>3379</v>
      </c>
      <c r="D177" s="23">
        <v>21.623252978072173</v>
      </c>
      <c r="E177" s="23">
        <v>2024</v>
      </c>
      <c r="F177" s="15" t="s">
        <v>3324</v>
      </c>
      <c r="G177" s="15" t="s">
        <v>3320</v>
      </c>
      <c r="H177" s="23" t="s">
        <v>58</v>
      </c>
    </row>
    <row r="178" spans="1:8" ht="54.95" customHeight="1" x14ac:dyDescent="0.2">
      <c r="A178" s="23" t="s">
        <v>137</v>
      </c>
      <c r="B178" s="23" t="s">
        <v>9</v>
      </c>
      <c r="C178" s="23" t="s">
        <v>46</v>
      </c>
      <c r="D178" s="23">
        <v>0.11518521974726366</v>
      </c>
      <c r="E178" s="23">
        <v>2024</v>
      </c>
      <c r="F178" s="15" t="s">
        <v>3325</v>
      </c>
      <c r="G178" s="15" t="s">
        <v>3320</v>
      </c>
      <c r="H178" s="23" t="s">
        <v>58</v>
      </c>
    </row>
    <row r="179" spans="1:8" ht="54.95" customHeight="1" x14ac:dyDescent="0.2">
      <c r="A179" s="23" t="s">
        <v>137</v>
      </c>
      <c r="B179" s="23" t="s">
        <v>10</v>
      </c>
      <c r="C179" s="23" t="s">
        <v>46</v>
      </c>
      <c r="D179" s="23">
        <v>0.14510721970188806</v>
      </c>
      <c r="E179" s="23">
        <v>2024</v>
      </c>
      <c r="F179" s="15" t="s">
        <v>3326</v>
      </c>
      <c r="G179" s="15" t="s">
        <v>3320</v>
      </c>
      <c r="H179" s="23" t="s">
        <v>58</v>
      </c>
    </row>
    <row r="180" spans="1:8" ht="54.95" customHeight="1" x14ac:dyDescent="0.2">
      <c r="A180" s="23" t="s">
        <v>137</v>
      </c>
      <c r="B180" s="23" t="s">
        <v>5</v>
      </c>
      <c r="C180" s="23" t="s">
        <v>3380</v>
      </c>
      <c r="D180" s="23">
        <v>12.592177300026</v>
      </c>
      <c r="E180" s="23">
        <v>2024</v>
      </c>
      <c r="F180" s="15" t="s">
        <v>3316</v>
      </c>
      <c r="G180" s="15" t="s">
        <v>3311</v>
      </c>
      <c r="H180" s="23" t="s">
        <v>58</v>
      </c>
    </row>
    <row r="181" spans="1:8" ht="54.95" customHeight="1" x14ac:dyDescent="0.2">
      <c r="A181" s="23" t="s">
        <v>143</v>
      </c>
      <c r="B181" s="23" t="s">
        <v>11</v>
      </c>
      <c r="C181" s="23" t="s">
        <v>1536</v>
      </c>
      <c r="D181" s="23">
        <v>0</v>
      </c>
      <c r="E181" s="23">
        <v>2025</v>
      </c>
      <c r="F181" s="15" t="s">
        <v>3299</v>
      </c>
      <c r="G181" s="15" t="s">
        <v>3300</v>
      </c>
      <c r="H181" s="23" t="s">
        <v>58</v>
      </c>
    </row>
    <row r="182" spans="1:8" ht="54.95" customHeight="1" x14ac:dyDescent="0.2">
      <c r="A182" s="23" t="s">
        <v>143</v>
      </c>
      <c r="B182" s="23" t="s">
        <v>13</v>
      </c>
      <c r="C182" s="23" t="s">
        <v>1536</v>
      </c>
      <c r="D182" s="23">
        <v>0</v>
      </c>
      <c r="E182" s="23">
        <v>2025</v>
      </c>
      <c r="F182" s="15" t="s">
        <v>3302</v>
      </c>
      <c r="G182" s="15" t="s">
        <v>3300</v>
      </c>
      <c r="H182" s="23" t="s">
        <v>58</v>
      </c>
    </row>
    <row r="183" spans="1:8" ht="54.95" customHeight="1" x14ac:dyDescent="0.2">
      <c r="A183" s="23" t="s">
        <v>143</v>
      </c>
      <c r="B183" s="23" t="s">
        <v>14</v>
      </c>
      <c r="C183" s="23" t="s">
        <v>1538</v>
      </c>
      <c r="D183" s="23">
        <v>0</v>
      </c>
      <c r="E183" s="23">
        <v>2025</v>
      </c>
      <c r="F183" s="15" t="s">
        <v>3304</v>
      </c>
      <c r="G183" s="15" t="s">
        <v>3300</v>
      </c>
      <c r="H183" s="23" t="s">
        <v>58</v>
      </c>
    </row>
    <row r="184" spans="1:8" ht="54.95" customHeight="1" x14ac:dyDescent="0.2">
      <c r="A184" s="23" t="s">
        <v>143</v>
      </c>
      <c r="B184" s="23" t="s">
        <v>3</v>
      </c>
      <c r="C184" s="23" t="s">
        <v>3381</v>
      </c>
      <c r="D184" s="23">
        <v>114321.36649100001</v>
      </c>
      <c r="E184" s="23">
        <v>2024</v>
      </c>
      <c r="F184" s="15" t="s">
        <v>3316</v>
      </c>
      <c r="G184" s="15" t="s">
        <v>3317</v>
      </c>
      <c r="H184" s="23" t="s">
        <v>58</v>
      </c>
    </row>
    <row r="185" spans="1:8" ht="54.95" customHeight="1" x14ac:dyDescent="0.2">
      <c r="A185" s="23" t="s">
        <v>143</v>
      </c>
      <c r="B185" s="23" t="s">
        <v>6</v>
      </c>
      <c r="C185" s="23" t="s">
        <v>46</v>
      </c>
      <c r="D185" s="23">
        <v>52.187509912853315</v>
      </c>
      <c r="E185" s="23">
        <v>2024</v>
      </c>
      <c r="F185" s="15" t="s">
        <v>3319</v>
      </c>
      <c r="G185" s="15" t="s">
        <v>3320</v>
      </c>
      <c r="H185" s="23" t="s">
        <v>58</v>
      </c>
    </row>
    <row r="186" spans="1:8" ht="54.95" customHeight="1" x14ac:dyDescent="0.2">
      <c r="A186" s="23" t="s">
        <v>143</v>
      </c>
      <c r="B186" s="23" t="s">
        <v>7</v>
      </c>
      <c r="C186" s="23" t="s">
        <v>46</v>
      </c>
      <c r="D186" s="23">
        <v>34.559310155823184</v>
      </c>
      <c r="E186" s="23">
        <v>2024</v>
      </c>
      <c r="F186" s="15" t="s">
        <v>3322</v>
      </c>
      <c r="G186" s="15" t="s">
        <v>3320</v>
      </c>
      <c r="H186" s="23" t="s">
        <v>58</v>
      </c>
    </row>
    <row r="187" spans="1:8" ht="54.95" customHeight="1" x14ac:dyDescent="0.2">
      <c r="A187" s="23" t="s">
        <v>143</v>
      </c>
      <c r="B187" s="23" t="s">
        <v>8</v>
      </c>
      <c r="C187" s="23" t="s">
        <v>46</v>
      </c>
      <c r="D187" s="23">
        <v>6.233257779123023</v>
      </c>
      <c r="E187" s="23">
        <v>2024</v>
      </c>
      <c r="F187" s="15" t="s">
        <v>3324</v>
      </c>
      <c r="G187" s="15" t="s">
        <v>3320</v>
      </c>
      <c r="H187" s="23" t="s">
        <v>58</v>
      </c>
    </row>
    <row r="188" spans="1:8" ht="54.95" customHeight="1" x14ac:dyDescent="0.2">
      <c r="A188" s="23" t="s">
        <v>143</v>
      </c>
      <c r="B188" s="23" t="s">
        <v>9</v>
      </c>
      <c r="C188" s="23" t="s">
        <v>46</v>
      </c>
      <c r="D188" s="23">
        <v>3.644710525156313</v>
      </c>
      <c r="E188" s="23">
        <v>2024</v>
      </c>
      <c r="F188" s="15" t="s">
        <v>3325</v>
      </c>
      <c r="G188" s="15" t="s">
        <v>3320</v>
      </c>
      <c r="H188" s="23" t="s">
        <v>58</v>
      </c>
    </row>
    <row r="189" spans="1:8" ht="54.95" customHeight="1" x14ac:dyDescent="0.2">
      <c r="A189" s="23" t="s">
        <v>143</v>
      </c>
      <c r="B189" s="23" t="s">
        <v>10</v>
      </c>
      <c r="C189" s="23" t="s">
        <v>46</v>
      </c>
      <c r="D189" s="23">
        <v>3.0353294983341361</v>
      </c>
      <c r="E189" s="23">
        <v>2024</v>
      </c>
      <c r="F189" s="15" t="s">
        <v>3326</v>
      </c>
      <c r="G189" s="15" t="s">
        <v>3320</v>
      </c>
      <c r="H189" s="23" t="s">
        <v>58</v>
      </c>
    </row>
    <row r="190" spans="1:8" ht="54.95" customHeight="1" x14ac:dyDescent="0.2">
      <c r="A190" s="23" t="s">
        <v>143</v>
      </c>
      <c r="B190" s="23" t="s">
        <v>5</v>
      </c>
      <c r="C190" s="23" t="s">
        <v>3382</v>
      </c>
      <c r="D190" s="23">
        <v>41.841620135706002</v>
      </c>
      <c r="E190" s="23">
        <v>2024</v>
      </c>
      <c r="F190" s="15" t="s">
        <v>3316</v>
      </c>
      <c r="G190" s="15" t="s">
        <v>3311</v>
      </c>
      <c r="H190" s="23" t="s">
        <v>58</v>
      </c>
    </row>
    <row r="191" spans="1:8" ht="54.95" customHeight="1" x14ac:dyDescent="0.2">
      <c r="A191" s="23" t="s">
        <v>150</v>
      </c>
      <c r="B191" s="23" t="s">
        <v>11</v>
      </c>
      <c r="C191" s="23" t="s">
        <v>1536</v>
      </c>
      <c r="D191" s="23">
        <v>0</v>
      </c>
      <c r="E191" s="23">
        <v>2025</v>
      </c>
      <c r="F191" s="15" t="s">
        <v>3299</v>
      </c>
      <c r="G191" s="15" t="s">
        <v>3300</v>
      </c>
      <c r="H191" s="23" t="s">
        <v>58</v>
      </c>
    </row>
    <row r="192" spans="1:8" ht="54.95" customHeight="1" x14ac:dyDescent="0.2">
      <c r="A192" s="23" t="s">
        <v>150</v>
      </c>
      <c r="B192" s="23" t="s">
        <v>13</v>
      </c>
      <c r="C192" s="23" t="s">
        <v>1536</v>
      </c>
      <c r="D192" s="23">
        <v>0</v>
      </c>
      <c r="E192" s="23">
        <v>2025</v>
      </c>
      <c r="F192" s="15" t="s">
        <v>3302</v>
      </c>
      <c r="G192" s="15" t="s">
        <v>3300</v>
      </c>
      <c r="H192" s="23" t="s">
        <v>58</v>
      </c>
    </row>
    <row r="193" spans="1:8" ht="54.95" customHeight="1" x14ac:dyDescent="0.2">
      <c r="A193" s="23" t="s">
        <v>150</v>
      </c>
      <c r="B193" s="23" t="s">
        <v>14</v>
      </c>
      <c r="C193" s="23" t="s">
        <v>1538</v>
      </c>
      <c r="D193" s="23">
        <v>0</v>
      </c>
      <c r="E193" s="23">
        <v>2025</v>
      </c>
      <c r="F193" s="15" t="s">
        <v>3304</v>
      </c>
      <c r="G193" s="15" t="s">
        <v>3300</v>
      </c>
      <c r="H193" s="23" t="s">
        <v>58</v>
      </c>
    </row>
    <row r="194" spans="1:8" ht="54.95" customHeight="1" x14ac:dyDescent="0.2">
      <c r="A194" s="23" t="s">
        <v>150</v>
      </c>
      <c r="B194" s="23" t="s">
        <v>3</v>
      </c>
      <c r="C194" s="23" t="s">
        <v>3383</v>
      </c>
      <c r="D194" s="23">
        <v>103689.339574</v>
      </c>
      <c r="E194" s="23">
        <v>2024</v>
      </c>
      <c r="F194" s="15" t="s">
        <v>3316</v>
      </c>
      <c r="G194" s="15" t="s">
        <v>3317</v>
      </c>
      <c r="H194" s="23" t="s">
        <v>58</v>
      </c>
    </row>
    <row r="195" spans="1:8" ht="54.95" customHeight="1" x14ac:dyDescent="0.2">
      <c r="A195" s="23" t="s">
        <v>150</v>
      </c>
      <c r="B195" s="23" t="s">
        <v>6</v>
      </c>
      <c r="C195" s="23" t="s">
        <v>3384</v>
      </c>
      <c r="D195" s="23">
        <v>48.39651580979217</v>
      </c>
      <c r="E195" s="23">
        <v>2024</v>
      </c>
      <c r="F195" s="15" t="s">
        <v>3319</v>
      </c>
      <c r="G195" s="15" t="s">
        <v>3320</v>
      </c>
      <c r="H195" s="23" t="s">
        <v>58</v>
      </c>
    </row>
    <row r="196" spans="1:8" ht="54.95" customHeight="1" x14ac:dyDescent="0.2">
      <c r="A196" s="23" t="s">
        <v>150</v>
      </c>
      <c r="B196" s="23" t="s">
        <v>7</v>
      </c>
      <c r="C196" s="23" t="s">
        <v>3385</v>
      </c>
      <c r="D196" s="23">
        <v>16.638355004361483</v>
      </c>
      <c r="E196" s="23">
        <v>2024</v>
      </c>
      <c r="F196" s="15" t="s">
        <v>3322</v>
      </c>
      <c r="G196" s="15" t="s">
        <v>3320</v>
      </c>
      <c r="H196" s="23" t="s">
        <v>58</v>
      </c>
    </row>
    <row r="197" spans="1:8" ht="54.95" customHeight="1" x14ac:dyDescent="0.2">
      <c r="A197" s="23" t="s">
        <v>150</v>
      </c>
      <c r="B197" s="23" t="s">
        <v>8</v>
      </c>
      <c r="C197" s="23" t="s">
        <v>46</v>
      </c>
      <c r="D197" s="23">
        <v>0.3138225022330009</v>
      </c>
      <c r="E197" s="23">
        <v>2024</v>
      </c>
      <c r="F197" s="15" t="s">
        <v>3324</v>
      </c>
      <c r="G197" s="15" t="s">
        <v>3320</v>
      </c>
      <c r="H197" s="23" t="s">
        <v>58</v>
      </c>
    </row>
    <row r="198" spans="1:8" ht="54.95" customHeight="1" x14ac:dyDescent="0.2">
      <c r="A198" s="23" t="s">
        <v>150</v>
      </c>
      <c r="B198" s="23" t="s">
        <v>9</v>
      </c>
      <c r="C198" s="23" t="s">
        <v>1534</v>
      </c>
      <c r="D198" s="23">
        <v>26.344966139460002</v>
      </c>
      <c r="E198" s="23">
        <v>2024</v>
      </c>
      <c r="F198" s="15" t="s">
        <v>3325</v>
      </c>
      <c r="G198" s="15" t="s">
        <v>3320</v>
      </c>
      <c r="H198" s="23" t="s">
        <v>58</v>
      </c>
    </row>
    <row r="199" spans="1:8" ht="54.95" customHeight="1" x14ac:dyDescent="0.2">
      <c r="A199" s="23" t="s">
        <v>150</v>
      </c>
      <c r="B199" s="23" t="s">
        <v>10</v>
      </c>
      <c r="C199" s="23" t="s">
        <v>46</v>
      </c>
      <c r="D199" s="23">
        <v>1.2432240732713069</v>
      </c>
      <c r="E199" s="23">
        <v>2024</v>
      </c>
      <c r="F199" s="15" t="s">
        <v>3326</v>
      </c>
      <c r="G199" s="15" t="s">
        <v>3320</v>
      </c>
      <c r="H199" s="23" t="s">
        <v>58</v>
      </c>
    </row>
    <row r="200" spans="1:8" ht="54.95" customHeight="1" x14ac:dyDescent="0.2">
      <c r="A200" s="23" t="s">
        <v>150</v>
      </c>
      <c r="B200" s="23" t="s">
        <v>5</v>
      </c>
      <c r="C200" s="23" t="s">
        <v>3386</v>
      </c>
      <c r="D200" s="23">
        <v>37.950298284083999</v>
      </c>
      <c r="E200" s="23">
        <v>2024</v>
      </c>
      <c r="F200" s="15" t="s">
        <v>3316</v>
      </c>
      <c r="G200" s="15" t="s">
        <v>3311</v>
      </c>
      <c r="H200" s="23" t="s">
        <v>58</v>
      </c>
    </row>
    <row r="201" spans="1:8" ht="54.95" customHeight="1" x14ac:dyDescent="0.2">
      <c r="A201" s="23" t="s">
        <v>157</v>
      </c>
      <c r="B201" s="23" t="s">
        <v>11</v>
      </c>
      <c r="C201" s="23" t="s">
        <v>3387</v>
      </c>
      <c r="D201" s="23">
        <v>112657.53424657533</v>
      </c>
      <c r="E201" s="23">
        <v>2025</v>
      </c>
      <c r="F201" s="15" t="s">
        <v>3299</v>
      </c>
      <c r="G201" s="15" t="s">
        <v>3300</v>
      </c>
      <c r="H201" s="23" t="s">
        <v>58</v>
      </c>
    </row>
    <row r="202" spans="1:8" ht="54.95" customHeight="1" x14ac:dyDescent="0.2">
      <c r="A202" s="23" t="s">
        <v>157</v>
      </c>
      <c r="B202" s="23" t="s">
        <v>13</v>
      </c>
      <c r="C202" s="23" t="s">
        <v>3387</v>
      </c>
      <c r="D202" s="23">
        <v>112657.53424657533</v>
      </c>
      <c r="E202" s="23">
        <v>2025</v>
      </c>
      <c r="F202" s="15" t="s">
        <v>3302</v>
      </c>
      <c r="G202" s="15" t="s">
        <v>3300</v>
      </c>
      <c r="H202" s="23" t="s">
        <v>58</v>
      </c>
    </row>
    <row r="203" spans="1:8" ht="54.95" customHeight="1" x14ac:dyDescent="0.2">
      <c r="A203" s="23" t="s">
        <v>157</v>
      </c>
      <c r="B203" s="23" t="s">
        <v>14</v>
      </c>
      <c r="C203" s="23" t="s">
        <v>1538</v>
      </c>
      <c r="D203" s="23">
        <v>0</v>
      </c>
      <c r="E203" s="23">
        <v>2025</v>
      </c>
      <c r="F203" s="15" t="s">
        <v>3304</v>
      </c>
      <c r="G203" s="15" t="s">
        <v>3300</v>
      </c>
      <c r="H203" s="23" t="s">
        <v>58</v>
      </c>
    </row>
    <row r="204" spans="1:8" ht="54.95" customHeight="1" x14ac:dyDescent="0.2">
      <c r="A204" s="23" t="s">
        <v>157</v>
      </c>
      <c r="B204" s="23" t="s">
        <v>3</v>
      </c>
      <c r="C204" s="23" t="s">
        <v>3388</v>
      </c>
      <c r="D204" s="23">
        <v>11889.538179000001</v>
      </c>
      <c r="E204" s="23">
        <v>2024</v>
      </c>
      <c r="F204" s="15" t="s">
        <v>3316</v>
      </c>
      <c r="G204" s="15" t="s">
        <v>3317</v>
      </c>
      <c r="H204" s="23" t="s">
        <v>58</v>
      </c>
    </row>
    <row r="205" spans="1:8" ht="54.95" customHeight="1" x14ac:dyDescent="0.2">
      <c r="A205" s="23" t="s">
        <v>157</v>
      </c>
      <c r="B205" s="23" t="s">
        <v>6</v>
      </c>
      <c r="C205" s="23" t="s">
        <v>3389</v>
      </c>
      <c r="D205" s="23">
        <v>74.536212555779542</v>
      </c>
      <c r="E205" s="23">
        <v>2024</v>
      </c>
      <c r="F205" s="15" t="s">
        <v>3319</v>
      </c>
      <c r="G205" s="15" t="s">
        <v>3320</v>
      </c>
      <c r="H205" s="23" t="s">
        <v>58</v>
      </c>
    </row>
    <row r="206" spans="1:8" ht="54.95" customHeight="1" x14ac:dyDescent="0.2">
      <c r="A206" s="23" t="s">
        <v>157</v>
      </c>
      <c r="B206" s="23" t="s">
        <v>7</v>
      </c>
      <c r="C206" s="23" t="s">
        <v>3390</v>
      </c>
      <c r="D206" s="23">
        <v>9.4696737000990634</v>
      </c>
      <c r="E206" s="23">
        <v>2024</v>
      </c>
      <c r="F206" s="15" t="s">
        <v>3322</v>
      </c>
      <c r="G206" s="15" t="s">
        <v>3320</v>
      </c>
      <c r="H206" s="23" t="s">
        <v>58</v>
      </c>
    </row>
    <row r="207" spans="1:8" ht="54.95" customHeight="1" x14ac:dyDescent="0.2">
      <c r="A207" s="23" t="s">
        <v>157</v>
      </c>
      <c r="B207" s="23" t="s">
        <v>8</v>
      </c>
      <c r="C207" s="23" t="s">
        <v>46</v>
      </c>
      <c r="D207" s="23">
        <v>0.82199161589487313</v>
      </c>
      <c r="E207" s="23">
        <v>2024</v>
      </c>
      <c r="F207" s="15" t="s">
        <v>3324</v>
      </c>
      <c r="G207" s="15" t="s">
        <v>3320</v>
      </c>
      <c r="H207" s="23" t="s">
        <v>58</v>
      </c>
    </row>
    <row r="208" spans="1:8" ht="54.95" customHeight="1" x14ac:dyDescent="0.2">
      <c r="A208" s="23" t="s">
        <v>157</v>
      </c>
      <c r="B208" s="23" t="s">
        <v>9</v>
      </c>
      <c r="C208" s="23" t="s">
        <v>3391</v>
      </c>
      <c r="D208" s="23">
        <v>15.172122128226523</v>
      </c>
      <c r="E208" s="23">
        <v>2024</v>
      </c>
      <c r="F208" s="15" t="s">
        <v>3325</v>
      </c>
      <c r="G208" s="15" t="s">
        <v>3320</v>
      </c>
      <c r="H208" s="23" t="s">
        <v>58</v>
      </c>
    </row>
    <row r="209" spans="1:8" ht="54.95" customHeight="1" x14ac:dyDescent="0.2">
      <c r="A209" s="23" t="s">
        <v>157</v>
      </c>
      <c r="B209" s="23" t="s">
        <v>10</v>
      </c>
      <c r="C209" s="23" t="s">
        <v>46</v>
      </c>
      <c r="D209" s="23">
        <v>0</v>
      </c>
      <c r="E209" s="23">
        <v>2024</v>
      </c>
      <c r="F209" s="15" t="s">
        <v>3326</v>
      </c>
      <c r="G209" s="15" t="s">
        <v>3320</v>
      </c>
      <c r="H209" s="23" t="s">
        <v>58</v>
      </c>
    </row>
    <row r="210" spans="1:8" ht="54.95" customHeight="1" x14ac:dyDescent="0.2">
      <c r="A210" s="23" t="s">
        <v>157</v>
      </c>
      <c r="B210" s="23" t="s">
        <v>5</v>
      </c>
      <c r="C210" s="23" t="s">
        <v>3392</v>
      </c>
      <c r="D210" s="23">
        <v>4.3515709735139998</v>
      </c>
      <c r="E210" s="23">
        <v>2024</v>
      </c>
      <c r="F210" s="15" t="s">
        <v>3316</v>
      </c>
      <c r="G210" s="15" t="s">
        <v>3311</v>
      </c>
      <c r="H210" s="23" t="s">
        <v>58</v>
      </c>
    </row>
    <row r="211" spans="1:8" ht="54.95" customHeight="1" x14ac:dyDescent="0.2">
      <c r="A211" s="23" t="s">
        <v>163</v>
      </c>
      <c r="B211" s="23" t="s">
        <v>11</v>
      </c>
      <c r="C211" s="23" t="s">
        <v>1536</v>
      </c>
      <c r="D211" s="23">
        <v>0</v>
      </c>
      <c r="E211" s="23">
        <v>2025</v>
      </c>
      <c r="F211" s="15" t="s">
        <v>3299</v>
      </c>
      <c r="G211" s="15" t="s">
        <v>3300</v>
      </c>
      <c r="H211" s="23" t="s">
        <v>58</v>
      </c>
    </row>
    <row r="212" spans="1:8" ht="54.95" customHeight="1" x14ac:dyDescent="0.2">
      <c r="A212" s="23" t="s">
        <v>163</v>
      </c>
      <c r="B212" s="23" t="s">
        <v>13</v>
      </c>
      <c r="C212" s="23" t="s">
        <v>1536</v>
      </c>
      <c r="D212" s="23">
        <v>0</v>
      </c>
      <c r="E212" s="23">
        <v>2025</v>
      </c>
      <c r="F212" s="15" t="s">
        <v>3302</v>
      </c>
      <c r="G212" s="15" t="s">
        <v>3300</v>
      </c>
      <c r="H212" s="23" t="s">
        <v>58</v>
      </c>
    </row>
    <row r="213" spans="1:8" ht="54.95" customHeight="1" x14ac:dyDescent="0.2">
      <c r="A213" s="23" t="s">
        <v>163</v>
      </c>
      <c r="B213" s="23" t="s">
        <v>14</v>
      </c>
      <c r="C213" s="23" t="s">
        <v>1538</v>
      </c>
      <c r="D213" s="23">
        <v>0</v>
      </c>
      <c r="E213" s="23">
        <v>2025</v>
      </c>
      <c r="F213" s="15" t="s">
        <v>3304</v>
      </c>
      <c r="G213" s="15" t="s">
        <v>3300</v>
      </c>
      <c r="H213" s="23" t="s">
        <v>58</v>
      </c>
    </row>
    <row r="214" spans="1:8" ht="54.95" customHeight="1" x14ac:dyDescent="0.2">
      <c r="A214" s="23" t="s">
        <v>163</v>
      </c>
      <c r="B214" s="23" t="s">
        <v>3</v>
      </c>
      <c r="C214" s="23" t="s">
        <v>3393</v>
      </c>
      <c r="D214" s="23">
        <v>11150.204772000001</v>
      </c>
      <c r="E214" s="23">
        <v>2024</v>
      </c>
      <c r="F214" s="15" t="s">
        <v>3316</v>
      </c>
      <c r="G214" s="15" t="s">
        <v>3317</v>
      </c>
      <c r="H214" s="23" t="s">
        <v>58</v>
      </c>
    </row>
    <row r="215" spans="1:8" ht="54.95" customHeight="1" x14ac:dyDescent="0.2">
      <c r="A215" s="23" t="s">
        <v>163</v>
      </c>
      <c r="B215" s="23" t="s">
        <v>6</v>
      </c>
      <c r="C215" s="23" t="s">
        <v>3394</v>
      </c>
      <c r="D215" s="23">
        <v>34.962559528857405</v>
      </c>
      <c r="E215" s="23">
        <v>2024</v>
      </c>
      <c r="F215" s="15" t="s">
        <v>3319</v>
      </c>
      <c r="G215" s="15" t="s">
        <v>3320</v>
      </c>
      <c r="H215" s="23" t="s">
        <v>58</v>
      </c>
    </row>
    <row r="216" spans="1:8" ht="54.95" customHeight="1" x14ac:dyDescent="0.2">
      <c r="A216" s="23" t="s">
        <v>163</v>
      </c>
      <c r="B216" s="23" t="s">
        <v>7</v>
      </c>
      <c r="C216" s="23" t="s">
        <v>3395</v>
      </c>
      <c r="D216" s="23">
        <v>19.602186755247867</v>
      </c>
      <c r="E216" s="23">
        <v>2024</v>
      </c>
      <c r="F216" s="15" t="s">
        <v>3322</v>
      </c>
      <c r="G216" s="15" t="s">
        <v>3320</v>
      </c>
      <c r="H216" s="23" t="s">
        <v>58</v>
      </c>
    </row>
    <row r="217" spans="1:8" ht="54.95" customHeight="1" x14ac:dyDescent="0.2">
      <c r="A217" s="23" t="s">
        <v>163</v>
      </c>
      <c r="B217" s="23" t="s">
        <v>8</v>
      </c>
      <c r="C217" s="23" t="s">
        <v>46</v>
      </c>
      <c r="D217" s="23">
        <v>3.3576895730215925</v>
      </c>
      <c r="E217" s="23">
        <v>2024</v>
      </c>
      <c r="F217" s="15" t="s">
        <v>3324</v>
      </c>
      <c r="G217" s="15" t="s">
        <v>3320</v>
      </c>
      <c r="H217" s="23" t="s">
        <v>58</v>
      </c>
    </row>
    <row r="218" spans="1:8" ht="54.95" customHeight="1" x14ac:dyDescent="0.2">
      <c r="A218" s="23" t="s">
        <v>163</v>
      </c>
      <c r="B218" s="23" t="s">
        <v>9</v>
      </c>
      <c r="C218" s="23" t="s">
        <v>3395</v>
      </c>
      <c r="D218" s="23">
        <v>36.227180169315005</v>
      </c>
      <c r="E218" s="23">
        <v>2024</v>
      </c>
      <c r="F218" s="15" t="s">
        <v>3325</v>
      </c>
      <c r="G218" s="15" t="s">
        <v>3320</v>
      </c>
      <c r="H218" s="23" t="s">
        <v>58</v>
      </c>
    </row>
    <row r="219" spans="1:8" ht="54.95" customHeight="1" x14ac:dyDescent="0.2">
      <c r="A219" s="23" t="s">
        <v>163</v>
      </c>
      <c r="B219" s="23" t="s">
        <v>10</v>
      </c>
      <c r="C219" s="23" t="s">
        <v>46</v>
      </c>
      <c r="D219" s="23">
        <v>5.8503839735581131</v>
      </c>
      <c r="E219" s="23">
        <v>2024</v>
      </c>
      <c r="F219" s="15" t="s">
        <v>3326</v>
      </c>
      <c r="G219" s="15" t="s">
        <v>3320</v>
      </c>
      <c r="H219" s="23" t="s">
        <v>58</v>
      </c>
    </row>
    <row r="220" spans="1:8" ht="54.95" customHeight="1" x14ac:dyDescent="0.2">
      <c r="A220" s="23" t="s">
        <v>163</v>
      </c>
      <c r="B220" s="23" t="s">
        <v>5</v>
      </c>
      <c r="C220" s="23" t="s">
        <v>3396</v>
      </c>
      <c r="D220" s="23">
        <v>4.0809749465520007</v>
      </c>
      <c r="E220" s="23">
        <v>2024</v>
      </c>
      <c r="F220" s="15" t="s">
        <v>3316</v>
      </c>
      <c r="G220" s="15" t="s">
        <v>3311</v>
      </c>
      <c r="H220" s="23" t="s">
        <v>58</v>
      </c>
    </row>
    <row r="221" spans="1:8" ht="54.95" customHeight="1" x14ac:dyDescent="0.2">
      <c r="A221" s="23" t="s">
        <v>169</v>
      </c>
      <c r="B221" s="23" t="s">
        <v>11</v>
      </c>
      <c r="C221" s="23" t="s">
        <v>1536</v>
      </c>
      <c r="D221" s="23">
        <v>0</v>
      </c>
      <c r="E221" s="23">
        <v>2025</v>
      </c>
      <c r="F221" s="15" t="s">
        <v>3299</v>
      </c>
      <c r="G221" s="15" t="s">
        <v>3300</v>
      </c>
      <c r="H221" s="23" t="s">
        <v>58</v>
      </c>
    </row>
    <row r="222" spans="1:8" ht="54.95" customHeight="1" x14ac:dyDescent="0.2">
      <c r="A222" s="23" t="s">
        <v>169</v>
      </c>
      <c r="B222" s="23" t="s">
        <v>13</v>
      </c>
      <c r="C222" s="23" t="s">
        <v>46</v>
      </c>
      <c r="D222" s="23">
        <v>0</v>
      </c>
      <c r="E222" s="23">
        <v>2025</v>
      </c>
      <c r="F222" s="15" t="s">
        <v>3302</v>
      </c>
      <c r="G222" s="15" t="s">
        <v>3300</v>
      </c>
      <c r="H222" s="23" t="s">
        <v>58</v>
      </c>
    </row>
    <row r="223" spans="1:8" ht="54.95" customHeight="1" x14ac:dyDescent="0.2">
      <c r="A223" s="23" t="s">
        <v>169</v>
      </c>
      <c r="B223" s="23" t="s">
        <v>14</v>
      </c>
      <c r="C223" s="23" t="s">
        <v>46</v>
      </c>
      <c r="D223" s="23">
        <v>0</v>
      </c>
      <c r="E223" s="23">
        <v>2025</v>
      </c>
      <c r="F223" s="15" t="s">
        <v>3304</v>
      </c>
      <c r="G223" s="15" t="s">
        <v>3300</v>
      </c>
      <c r="H223" s="23" t="s">
        <v>58</v>
      </c>
    </row>
    <row r="224" spans="1:8" ht="54.95" customHeight="1" x14ac:dyDescent="0.2">
      <c r="A224" s="23" t="s">
        <v>169</v>
      </c>
      <c r="B224" s="23" t="s">
        <v>3</v>
      </c>
      <c r="C224" s="23" t="s">
        <v>3397</v>
      </c>
      <c r="D224" s="23">
        <v>116161.20548</v>
      </c>
      <c r="E224" s="23">
        <v>2024</v>
      </c>
      <c r="F224" s="15" t="s">
        <v>3316</v>
      </c>
      <c r="G224" s="15" t="s">
        <v>3317</v>
      </c>
      <c r="H224" s="23" t="s">
        <v>58</v>
      </c>
    </row>
    <row r="225" spans="1:8" ht="54.95" customHeight="1" x14ac:dyDescent="0.2">
      <c r="A225" s="23" t="s">
        <v>169</v>
      </c>
      <c r="B225" s="23" t="s">
        <v>6</v>
      </c>
      <c r="C225" s="23" t="s">
        <v>3398</v>
      </c>
      <c r="D225" s="23">
        <v>38.902149210030736</v>
      </c>
      <c r="E225" s="23">
        <v>2024</v>
      </c>
      <c r="F225" s="15" t="s">
        <v>3319</v>
      </c>
      <c r="G225" s="15" t="s">
        <v>3320</v>
      </c>
      <c r="H225" s="23" t="s">
        <v>58</v>
      </c>
    </row>
    <row r="226" spans="1:8" ht="54.95" customHeight="1" x14ac:dyDescent="0.2">
      <c r="A226" s="23" t="s">
        <v>169</v>
      </c>
      <c r="B226" s="23" t="s">
        <v>7</v>
      </c>
      <c r="C226" s="23" t="s">
        <v>3399</v>
      </c>
      <c r="D226" s="23">
        <v>29.855816807936929</v>
      </c>
      <c r="E226" s="23">
        <v>2024</v>
      </c>
      <c r="F226" s="15" t="s">
        <v>3322</v>
      </c>
      <c r="G226" s="15" t="s">
        <v>3320</v>
      </c>
      <c r="H226" s="23" t="s">
        <v>58</v>
      </c>
    </row>
    <row r="227" spans="1:8" ht="54.95" customHeight="1" x14ac:dyDescent="0.2">
      <c r="A227" s="23" t="s">
        <v>169</v>
      </c>
      <c r="B227" s="23" t="s">
        <v>8</v>
      </c>
      <c r="C227" s="23" t="s">
        <v>46</v>
      </c>
      <c r="D227" s="23">
        <v>11.35408421899583</v>
      </c>
      <c r="E227" s="23">
        <v>2024</v>
      </c>
      <c r="F227" s="15" t="s">
        <v>3324</v>
      </c>
      <c r="G227" s="15" t="s">
        <v>3320</v>
      </c>
      <c r="H227" s="23" t="s">
        <v>58</v>
      </c>
    </row>
    <row r="228" spans="1:8" ht="54.95" customHeight="1" x14ac:dyDescent="0.2">
      <c r="A228" s="23" t="s">
        <v>169</v>
      </c>
      <c r="B228" s="23" t="s">
        <v>9</v>
      </c>
      <c r="C228" s="23" t="s">
        <v>3400</v>
      </c>
      <c r="D228" s="23">
        <v>14.438979933698946</v>
      </c>
      <c r="E228" s="23">
        <v>2024</v>
      </c>
      <c r="F228" s="15" t="s">
        <v>3325</v>
      </c>
      <c r="G228" s="15" t="s">
        <v>3320</v>
      </c>
      <c r="H228" s="23" t="s">
        <v>58</v>
      </c>
    </row>
    <row r="229" spans="1:8" ht="54.95" customHeight="1" x14ac:dyDescent="0.2">
      <c r="A229" s="23" t="s">
        <v>169</v>
      </c>
      <c r="B229" s="23" t="s">
        <v>10</v>
      </c>
      <c r="C229" s="23" t="s">
        <v>46</v>
      </c>
      <c r="D229" s="23">
        <v>3.8170383921880076</v>
      </c>
      <c r="E229" s="23">
        <v>2024</v>
      </c>
      <c r="F229" s="15" t="s">
        <v>3326</v>
      </c>
      <c r="G229" s="15" t="s">
        <v>3320</v>
      </c>
      <c r="H229" s="23" t="s">
        <v>58</v>
      </c>
    </row>
    <row r="230" spans="1:8" ht="54.95" customHeight="1" x14ac:dyDescent="0.2">
      <c r="A230" s="23" t="s">
        <v>169</v>
      </c>
      <c r="B230" s="23" t="s">
        <v>5</v>
      </c>
      <c r="C230" s="23" t="s">
        <v>3401</v>
      </c>
      <c r="D230" s="23">
        <v>42.515001205680001</v>
      </c>
      <c r="E230" s="23">
        <v>2024</v>
      </c>
      <c r="F230" s="15" t="s">
        <v>3316</v>
      </c>
      <c r="G230" s="15" t="s">
        <v>3311</v>
      </c>
      <c r="H230" s="23" t="s">
        <v>58</v>
      </c>
    </row>
    <row r="231" spans="1:8" ht="54.95" customHeight="1" x14ac:dyDescent="0.2">
      <c r="A231" s="23" t="s">
        <v>176</v>
      </c>
      <c r="B231" s="23" t="s">
        <v>11</v>
      </c>
      <c r="C231" s="23" t="s">
        <v>1536</v>
      </c>
      <c r="D231" s="23">
        <v>0</v>
      </c>
      <c r="E231" s="23">
        <v>2025</v>
      </c>
      <c r="F231" s="15" t="s">
        <v>3299</v>
      </c>
      <c r="G231" s="15" t="s">
        <v>3300</v>
      </c>
      <c r="H231" s="23" t="s">
        <v>58</v>
      </c>
    </row>
    <row r="232" spans="1:8" ht="54.95" customHeight="1" x14ac:dyDescent="0.2">
      <c r="A232" s="23" t="s">
        <v>176</v>
      </c>
      <c r="B232" s="23" t="s">
        <v>13</v>
      </c>
      <c r="C232" s="23" t="s">
        <v>46</v>
      </c>
      <c r="D232" s="23">
        <v>0</v>
      </c>
      <c r="E232" s="23">
        <v>2025</v>
      </c>
      <c r="F232" s="15" t="s">
        <v>3302</v>
      </c>
      <c r="G232" s="15" t="s">
        <v>3300</v>
      </c>
      <c r="H232" s="23" t="s">
        <v>58</v>
      </c>
    </row>
    <row r="233" spans="1:8" ht="54.95" customHeight="1" x14ac:dyDescent="0.2">
      <c r="A233" s="23" t="s">
        <v>176</v>
      </c>
      <c r="B233" s="23" t="s">
        <v>14</v>
      </c>
      <c r="C233" s="23" t="s">
        <v>46</v>
      </c>
      <c r="D233" s="23">
        <v>0</v>
      </c>
      <c r="E233" s="23">
        <v>2025</v>
      </c>
      <c r="F233" s="15" t="s">
        <v>3304</v>
      </c>
      <c r="G233" s="15" t="s">
        <v>3300</v>
      </c>
      <c r="H233" s="23" t="s">
        <v>58</v>
      </c>
    </row>
    <row r="234" spans="1:8" ht="54.95" customHeight="1" x14ac:dyDescent="0.2">
      <c r="A234" s="23" t="s">
        <v>176</v>
      </c>
      <c r="B234" s="23" t="s">
        <v>3</v>
      </c>
      <c r="C234" s="23" t="s">
        <v>3402</v>
      </c>
      <c r="D234" s="23">
        <v>10525.094664999999</v>
      </c>
      <c r="E234" s="23">
        <v>2024</v>
      </c>
      <c r="F234" s="15" t="s">
        <v>3316</v>
      </c>
      <c r="G234" s="15" t="s">
        <v>3317</v>
      </c>
      <c r="H234" s="23" t="s">
        <v>58</v>
      </c>
    </row>
    <row r="235" spans="1:8" ht="54.95" customHeight="1" x14ac:dyDescent="0.2">
      <c r="A235" s="23" t="s">
        <v>176</v>
      </c>
      <c r="B235" s="23" t="s">
        <v>6</v>
      </c>
      <c r="C235" s="23" t="s">
        <v>46</v>
      </c>
      <c r="D235" s="23">
        <v>48.585007743490927</v>
      </c>
      <c r="E235" s="23">
        <v>2024</v>
      </c>
      <c r="F235" s="15" t="s">
        <v>3319</v>
      </c>
      <c r="G235" s="15" t="s">
        <v>3320</v>
      </c>
      <c r="H235" s="23" t="s">
        <v>58</v>
      </c>
    </row>
    <row r="236" spans="1:8" ht="54.95" customHeight="1" x14ac:dyDescent="0.2">
      <c r="A236" s="23" t="s">
        <v>176</v>
      </c>
      <c r="B236" s="23" t="s">
        <v>7</v>
      </c>
      <c r="C236" s="23" t="s">
        <v>46</v>
      </c>
      <c r="D236" s="23">
        <v>45.72315621068099</v>
      </c>
      <c r="E236" s="23">
        <v>2024</v>
      </c>
      <c r="F236" s="15" t="s">
        <v>3322</v>
      </c>
      <c r="G236" s="15" t="s">
        <v>3320</v>
      </c>
      <c r="H236" s="23" t="s">
        <v>58</v>
      </c>
    </row>
    <row r="237" spans="1:8" ht="54.95" customHeight="1" x14ac:dyDescent="0.2">
      <c r="A237" s="23" t="s">
        <v>176</v>
      </c>
      <c r="B237" s="23" t="s">
        <v>8</v>
      </c>
      <c r="C237" s="23" t="s">
        <v>46</v>
      </c>
      <c r="D237" s="23">
        <v>0.62179200361615006</v>
      </c>
      <c r="E237" s="23">
        <v>2024</v>
      </c>
      <c r="F237" s="15" t="s">
        <v>3324</v>
      </c>
      <c r="G237" s="15" t="s">
        <v>3320</v>
      </c>
      <c r="H237" s="23" t="s">
        <v>58</v>
      </c>
    </row>
    <row r="238" spans="1:8" ht="54.95" customHeight="1" x14ac:dyDescent="0.2">
      <c r="A238" s="23" t="s">
        <v>176</v>
      </c>
      <c r="B238" s="23" t="s">
        <v>9</v>
      </c>
      <c r="C238" s="23" t="s">
        <v>46</v>
      </c>
      <c r="D238" s="23">
        <v>1.0201677554222739</v>
      </c>
      <c r="E238" s="23">
        <v>2024</v>
      </c>
      <c r="F238" s="15" t="s">
        <v>3325</v>
      </c>
      <c r="G238" s="15" t="s">
        <v>3320</v>
      </c>
      <c r="H238" s="23" t="s">
        <v>58</v>
      </c>
    </row>
    <row r="239" spans="1:8" ht="54.95" customHeight="1" x14ac:dyDescent="0.2">
      <c r="A239" s="23" t="s">
        <v>176</v>
      </c>
      <c r="B239" s="23" t="s">
        <v>10</v>
      </c>
      <c r="C239" s="23" t="s">
        <v>46</v>
      </c>
      <c r="D239" s="23">
        <v>0.44624300773450581</v>
      </c>
      <c r="E239" s="23">
        <v>2024</v>
      </c>
      <c r="F239" s="15" t="s">
        <v>3326</v>
      </c>
      <c r="G239" s="15" t="s">
        <v>3320</v>
      </c>
      <c r="H239" s="23" t="s">
        <v>58</v>
      </c>
    </row>
    <row r="240" spans="1:8" ht="54.95" customHeight="1" x14ac:dyDescent="0.2">
      <c r="A240" s="23" t="s">
        <v>176</v>
      </c>
      <c r="B240" s="23" t="s">
        <v>5</v>
      </c>
      <c r="C240" s="23" t="s">
        <v>3403</v>
      </c>
      <c r="D240" s="23">
        <v>3.8521846473899997</v>
      </c>
      <c r="E240" s="23">
        <v>2024</v>
      </c>
      <c r="F240" s="15" t="s">
        <v>3316</v>
      </c>
      <c r="G240" s="15" t="s">
        <v>3311</v>
      </c>
      <c r="H240" s="23" t="s">
        <v>58</v>
      </c>
    </row>
    <row r="241" spans="1:8" ht="54.95" customHeight="1" x14ac:dyDescent="0.2">
      <c r="A241" s="23" t="s">
        <v>183</v>
      </c>
      <c r="B241" s="23" t="s">
        <v>11</v>
      </c>
      <c r="C241" s="23" t="s">
        <v>1536</v>
      </c>
      <c r="D241" s="23">
        <v>0</v>
      </c>
      <c r="E241" s="23">
        <v>2025</v>
      </c>
      <c r="F241" s="15" t="s">
        <v>3299</v>
      </c>
      <c r="G241" s="15" t="s">
        <v>3300</v>
      </c>
      <c r="H241" s="23" t="s">
        <v>58</v>
      </c>
    </row>
    <row r="242" spans="1:8" ht="54.95" customHeight="1" x14ac:dyDescent="0.2">
      <c r="A242" s="23" t="s">
        <v>183</v>
      </c>
      <c r="B242" s="23" t="s">
        <v>13</v>
      </c>
      <c r="C242" s="23" t="s">
        <v>1536</v>
      </c>
      <c r="D242" s="23">
        <v>0</v>
      </c>
      <c r="E242" s="23">
        <v>2025</v>
      </c>
      <c r="F242" s="15" t="s">
        <v>3302</v>
      </c>
      <c r="G242" s="15" t="s">
        <v>3300</v>
      </c>
      <c r="H242" s="23" t="s">
        <v>58</v>
      </c>
    </row>
    <row r="243" spans="1:8" ht="54.95" customHeight="1" x14ac:dyDescent="0.2">
      <c r="A243" s="23" t="s">
        <v>183</v>
      </c>
      <c r="B243" s="23" t="s">
        <v>14</v>
      </c>
      <c r="C243" s="23" t="s">
        <v>1538</v>
      </c>
      <c r="D243" s="23">
        <v>0</v>
      </c>
      <c r="E243" s="23">
        <v>2025</v>
      </c>
      <c r="F243" s="15" t="s">
        <v>3304</v>
      </c>
      <c r="G243" s="15" t="s">
        <v>3300</v>
      </c>
      <c r="H243" s="23" t="s">
        <v>58</v>
      </c>
    </row>
    <row r="244" spans="1:8" ht="54.95" customHeight="1" x14ac:dyDescent="0.2">
      <c r="A244" s="23" t="s">
        <v>183</v>
      </c>
      <c r="B244" s="23" t="s">
        <v>3</v>
      </c>
      <c r="C244" s="23" t="s">
        <v>3404</v>
      </c>
      <c r="D244" s="23">
        <v>83535.870403000008</v>
      </c>
      <c r="E244" s="23">
        <v>2024</v>
      </c>
      <c r="F244" s="15" t="s">
        <v>3316</v>
      </c>
      <c r="G244" s="15" t="s">
        <v>3317</v>
      </c>
      <c r="H244" s="23" t="s">
        <v>58</v>
      </c>
    </row>
    <row r="245" spans="1:8" ht="54.95" customHeight="1" x14ac:dyDescent="0.2">
      <c r="A245" s="23" t="s">
        <v>183</v>
      </c>
      <c r="B245" s="23" t="s">
        <v>6</v>
      </c>
      <c r="C245" s="23" t="s">
        <v>3405</v>
      </c>
      <c r="D245" s="23">
        <v>46.477095543144877</v>
      </c>
      <c r="E245" s="23">
        <v>2024</v>
      </c>
      <c r="F245" s="15" t="s">
        <v>3319</v>
      </c>
      <c r="G245" s="15" t="s">
        <v>3320</v>
      </c>
      <c r="H245" s="23" t="s">
        <v>58</v>
      </c>
    </row>
    <row r="246" spans="1:8" ht="54.95" customHeight="1" x14ac:dyDescent="0.2">
      <c r="A246" s="23" t="s">
        <v>183</v>
      </c>
      <c r="B246" s="23" t="s">
        <v>7</v>
      </c>
      <c r="C246" s="23" t="s">
        <v>3406</v>
      </c>
      <c r="D246" s="23">
        <v>32.90647346748996</v>
      </c>
      <c r="E246" s="23">
        <v>2024</v>
      </c>
      <c r="F246" s="15" t="s">
        <v>3322</v>
      </c>
      <c r="G246" s="15" t="s">
        <v>3320</v>
      </c>
      <c r="H246" s="23" t="s">
        <v>58</v>
      </c>
    </row>
    <row r="247" spans="1:8" ht="54.95" customHeight="1" x14ac:dyDescent="0.2">
      <c r="A247" s="23" t="s">
        <v>183</v>
      </c>
      <c r="B247" s="23" t="s">
        <v>8</v>
      </c>
      <c r="C247" s="23" t="s">
        <v>3407</v>
      </c>
      <c r="D247" s="23">
        <v>14.227915472313271</v>
      </c>
      <c r="E247" s="23">
        <v>2024</v>
      </c>
      <c r="F247" s="15" t="s">
        <v>3324</v>
      </c>
      <c r="G247" s="15" t="s">
        <v>3320</v>
      </c>
      <c r="H247" s="23" t="s">
        <v>58</v>
      </c>
    </row>
    <row r="248" spans="1:8" ht="54.95" customHeight="1" x14ac:dyDescent="0.2">
      <c r="A248" s="23" t="s">
        <v>183</v>
      </c>
      <c r="B248" s="23" t="s">
        <v>9</v>
      </c>
      <c r="C248" s="23" t="s">
        <v>46</v>
      </c>
      <c r="D248" s="23">
        <v>4.7433329788561105</v>
      </c>
      <c r="E248" s="23">
        <v>2024</v>
      </c>
      <c r="F248" s="15" t="s">
        <v>3325</v>
      </c>
      <c r="G248" s="15" t="s">
        <v>3320</v>
      </c>
      <c r="H248" s="23" t="s">
        <v>58</v>
      </c>
    </row>
    <row r="249" spans="1:8" ht="54.95" customHeight="1" x14ac:dyDescent="0.2">
      <c r="A249" s="23" t="s">
        <v>183</v>
      </c>
      <c r="B249" s="23" t="s">
        <v>10</v>
      </c>
      <c r="C249" s="23" t="s">
        <v>46</v>
      </c>
      <c r="D249" s="23">
        <v>1.409954840139789</v>
      </c>
      <c r="E249" s="23">
        <v>2024</v>
      </c>
      <c r="F249" s="15" t="s">
        <v>3326</v>
      </c>
      <c r="G249" s="15" t="s">
        <v>3320</v>
      </c>
      <c r="H249" s="23" t="s">
        <v>58</v>
      </c>
    </row>
    <row r="250" spans="1:8" ht="54.95" customHeight="1" x14ac:dyDescent="0.2">
      <c r="A250" s="23" t="s">
        <v>183</v>
      </c>
      <c r="B250" s="23" t="s">
        <v>5</v>
      </c>
      <c r="C250" s="23" t="s">
        <v>3408</v>
      </c>
      <c r="D250" s="23">
        <v>30.574128567498001</v>
      </c>
      <c r="E250" s="23">
        <v>2024</v>
      </c>
      <c r="F250" s="15" t="s">
        <v>3316</v>
      </c>
      <c r="G250" s="15" t="s">
        <v>3311</v>
      </c>
      <c r="H250" s="23" t="s">
        <v>58</v>
      </c>
    </row>
    <row r="251" spans="1:8" ht="54.95" customHeight="1" x14ac:dyDescent="0.2">
      <c r="A251" s="23" t="s">
        <v>190</v>
      </c>
      <c r="B251" s="23" t="s">
        <v>11</v>
      </c>
      <c r="C251" s="23" t="s">
        <v>3409</v>
      </c>
      <c r="D251" s="23">
        <v>81234.654565345205</v>
      </c>
      <c r="E251" s="23">
        <v>2025</v>
      </c>
      <c r="F251" s="15" t="s">
        <v>3299</v>
      </c>
      <c r="G251" s="15" t="s">
        <v>3300</v>
      </c>
      <c r="H251" s="23" t="s">
        <v>58</v>
      </c>
    </row>
    <row r="252" spans="1:8" ht="54.95" customHeight="1" x14ac:dyDescent="0.2">
      <c r="A252" s="23" t="s">
        <v>190</v>
      </c>
      <c r="B252" s="23" t="s">
        <v>13</v>
      </c>
      <c r="C252" s="23" t="s">
        <v>3410</v>
      </c>
      <c r="D252" s="23">
        <v>75246.575342465745</v>
      </c>
      <c r="E252" s="23">
        <v>2025</v>
      </c>
      <c r="F252" s="15" t="s">
        <v>3302</v>
      </c>
      <c r="G252" s="15" t="s">
        <v>3300</v>
      </c>
      <c r="H252" s="23" t="s">
        <v>58</v>
      </c>
    </row>
    <row r="253" spans="1:8" ht="54.95" customHeight="1" x14ac:dyDescent="0.2">
      <c r="A253" s="23" t="s">
        <v>190</v>
      </c>
      <c r="B253" s="23" t="s">
        <v>14</v>
      </c>
      <c r="C253" s="23" t="s">
        <v>3411</v>
      </c>
      <c r="D253" s="23">
        <v>7690.580821917808</v>
      </c>
      <c r="E253" s="23">
        <v>2025</v>
      </c>
      <c r="F253" s="15" t="s">
        <v>3304</v>
      </c>
      <c r="G253" s="15" t="s">
        <v>3300</v>
      </c>
      <c r="H253" s="23" t="s">
        <v>58</v>
      </c>
    </row>
    <row r="254" spans="1:8" ht="54.95" customHeight="1" x14ac:dyDescent="0.2">
      <c r="A254" s="23" t="s">
        <v>190</v>
      </c>
      <c r="B254" s="23" t="s">
        <v>3</v>
      </c>
      <c r="C254" s="23" t="s">
        <v>3412</v>
      </c>
      <c r="D254" s="23">
        <v>123816.549423</v>
      </c>
      <c r="E254" s="23">
        <v>2024</v>
      </c>
      <c r="F254" s="15" t="s">
        <v>3316</v>
      </c>
      <c r="G254" s="15" t="s">
        <v>3317</v>
      </c>
      <c r="H254" s="23" t="s">
        <v>58</v>
      </c>
    </row>
    <row r="255" spans="1:8" ht="54.95" customHeight="1" x14ac:dyDescent="0.2">
      <c r="A255" s="23" t="s">
        <v>190</v>
      </c>
      <c r="B255" s="23" t="s">
        <v>6</v>
      </c>
      <c r="C255" s="23" t="s">
        <v>3413</v>
      </c>
      <c r="D255" s="23">
        <v>29.446712050939496</v>
      </c>
      <c r="E255" s="23">
        <v>2024</v>
      </c>
      <c r="F255" s="15" t="s">
        <v>3319</v>
      </c>
      <c r="G255" s="15" t="s">
        <v>3320</v>
      </c>
      <c r="H255" s="23" t="s">
        <v>58</v>
      </c>
    </row>
    <row r="256" spans="1:8" ht="54.95" customHeight="1" x14ac:dyDescent="0.2">
      <c r="A256" s="23" t="s">
        <v>190</v>
      </c>
      <c r="B256" s="23" t="s">
        <v>7</v>
      </c>
      <c r="C256" s="23" t="s">
        <v>3414</v>
      </c>
      <c r="D256" s="23">
        <v>16.730229429372262</v>
      </c>
      <c r="E256" s="23">
        <v>2024</v>
      </c>
      <c r="F256" s="15" t="s">
        <v>3322</v>
      </c>
      <c r="G256" s="15" t="s">
        <v>3320</v>
      </c>
      <c r="H256" s="23" t="s">
        <v>58</v>
      </c>
    </row>
    <row r="257" spans="1:8" ht="54.95" customHeight="1" x14ac:dyDescent="0.2">
      <c r="A257" s="23" t="s">
        <v>190</v>
      </c>
      <c r="B257" s="23" t="s">
        <v>8</v>
      </c>
      <c r="C257" s="23" t="s">
        <v>46</v>
      </c>
      <c r="D257" s="23">
        <v>11.259030375959114</v>
      </c>
      <c r="E257" s="23">
        <v>2024</v>
      </c>
      <c r="F257" s="15" t="s">
        <v>3324</v>
      </c>
      <c r="G257" s="15" t="s">
        <v>3320</v>
      </c>
      <c r="H257" s="23" t="s">
        <v>58</v>
      </c>
    </row>
    <row r="258" spans="1:8" ht="54.95" customHeight="1" x14ac:dyDescent="0.2">
      <c r="A258" s="23" t="s">
        <v>190</v>
      </c>
      <c r="B258" s="23" t="s">
        <v>9</v>
      </c>
      <c r="C258" s="23" t="s">
        <v>46</v>
      </c>
      <c r="D258" s="23">
        <v>1.3123756990260249</v>
      </c>
      <c r="E258" s="23">
        <v>2024</v>
      </c>
      <c r="F258" s="15" t="s">
        <v>3325</v>
      </c>
      <c r="G258" s="15" t="s">
        <v>3320</v>
      </c>
      <c r="H258" s="23" t="s">
        <v>58</v>
      </c>
    </row>
    <row r="259" spans="1:8" ht="54.95" customHeight="1" x14ac:dyDescent="0.2">
      <c r="A259" s="23" t="s">
        <v>190</v>
      </c>
      <c r="B259" s="23" t="s">
        <v>10</v>
      </c>
      <c r="C259" s="23" t="s">
        <v>1535</v>
      </c>
      <c r="D259" s="23">
        <v>38.606683809846551</v>
      </c>
      <c r="E259" s="23">
        <v>2024</v>
      </c>
      <c r="F259" s="15" t="s">
        <v>3326</v>
      </c>
      <c r="G259" s="15" t="s">
        <v>3320</v>
      </c>
      <c r="H259" s="23" t="s">
        <v>58</v>
      </c>
    </row>
    <row r="260" spans="1:8" ht="54.95" customHeight="1" x14ac:dyDescent="0.2">
      <c r="A260" s="23" t="s">
        <v>190</v>
      </c>
      <c r="B260" s="23" t="s">
        <v>5</v>
      </c>
      <c r="C260" s="23" t="s">
        <v>3415</v>
      </c>
      <c r="D260" s="23">
        <v>45.316857088817997</v>
      </c>
      <c r="E260" s="23">
        <v>2024</v>
      </c>
      <c r="F260" s="15" t="s">
        <v>3316</v>
      </c>
      <c r="G260" s="15" t="s">
        <v>3311</v>
      </c>
      <c r="H260" s="23" t="s">
        <v>58</v>
      </c>
    </row>
    <row r="261" spans="1:8" ht="54.95" customHeight="1" x14ac:dyDescent="0.2">
      <c r="A261" s="23" t="s">
        <v>199</v>
      </c>
      <c r="B261" s="23" t="s">
        <v>11</v>
      </c>
      <c r="C261" s="23" t="s">
        <v>3416</v>
      </c>
      <c r="D261" s="23">
        <v>105888.77140242192</v>
      </c>
      <c r="E261" s="23">
        <v>2025</v>
      </c>
      <c r="F261" s="15" t="s">
        <v>3299</v>
      </c>
      <c r="G261" s="15" t="s">
        <v>3300</v>
      </c>
      <c r="H261" s="23" t="s">
        <v>58</v>
      </c>
    </row>
    <row r="262" spans="1:8" ht="54.95" customHeight="1" x14ac:dyDescent="0.2">
      <c r="A262" s="23" t="s">
        <v>199</v>
      </c>
      <c r="B262" s="23" t="s">
        <v>13</v>
      </c>
      <c r="C262" s="23" t="s">
        <v>3417</v>
      </c>
      <c r="D262" s="23">
        <v>10221.830136986302</v>
      </c>
      <c r="E262" s="23">
        <v>2025</v>
      </c>
      <c r="F262" s="15" t="s">
        <v>3302</v>
      </c>
      <c r="G262" s="15" t="s">
        <v>3300</v>
      </c>
      <c r="H262" s="23" t="s">
        <v>58</v>
      </c>
    </row>
    <row r="263" spans="1:8" ht="54.95" customHeight="1" x14ac:dyDescent="0.2">
      <c r="A263" s="23" t="s">
        <v>199</v>
      </c>
      <c r="B263" s="23" t="s">
        <v>14</v>
      </c>
      <c r="C263" s="23" t="s">
        <v>1538</v>
      </c>
      <c r="D263" s="23">
        <v>0</v>
      </c>
      <c r="E263" s="23">
        <v>2025</v>
      </c>
      <c r="F263" s="15" t="s">
        <v>3304</v>
      </c>
      <c r="G263" s="15" t="s">
        <v>3300</v>
      </c>
      <c r="H263" s="23" t="s">
        <v>58</v>
      </c>
    </row>
    <row r="264" spans="1:8" ht="54.95" customHeight="1" x14ac:dyDescent="0.2">
      <c r="A264" s="23" t="s">
        <v>199</v>
      </c>
      <c r="B264" s="23" t="s">
        <v>3</v>
      </c>
      <c r="C264" s="23" t="s">
        <v>3418</v>
      </c>
      <c r="D264" s="23">
        <v>1512298.6301369863</v>
      </c>
      <c r="E264" s="23">
        <v>2025</v>
      </c>
      <c r="F264" s="15" t="s">
        <v>3305</v>
      </c>
      <c r="G264" s="15" t="s">
        <v>3306</v>
      </c>
      <c r="H264" s="23" t="s">
        <v>58</v>
      </c>
    </row>
    <row r="265" spans="1:8" ht="54.95" customHeight="1" x14ac:dyDescent="0.2">
      <c r="A265" s="23" t="s">
        <v>199</v>
      </c>
      <c r="B265" s="23" t="s">
        <v>6</v>
      </c>
      <c r="C265" s="23" t="s">
        <v>3419</v>
      </c>
      <c r="D265" s="23">
        <v>49.173461789999436</v>
      </c>
      <c r="E265" s="23">
        <v>2025</v>
      </c>
      <c r="F265" s="15" t="s">
        <v>3305</v>
      </c>
      <c r="G265" s="15" t="s">
        <v>3308</v>
      </c>
      <c r="H265" s="23" t="s">
        <v>58</v>
      </c>
    </row>
    <row r="266" spans="1:8" ht="54.95" customHeight="1" x14ac:dyDescent="0.2">
      <c r="A266" s="23" t="s">
        <v>199</v>
      </c>
      <c r="B266" s="23" t="s">
        <v>7</v>
      </c>
      <c r="C266" s="23" t="s">
        <v>3420</v>
      </c>
      <c r="D266" s="23">
        <v>18.512298252320246</v>
      </c>
      <c r="E266" s="23">
        <v>2025</v>
      </c>
      <c r="F266" s="15" t="s">
        <v>3305</v>
      </c>
      <c r="G266" s="15" t="s">
        <v>3308</v>
      </c>
      <c r="H266" s="23" t="s">
        <v>58</v>
      </c>
    </row>
    <row r="267" spans="1:8" ht="54.95" customHeight="1" x14ac:dyDescent="0.2">
      <c r="A267" s="23" t="s">
        <v>199</v>
      </c>
      <c r="B267" s="23" t="s">
        <v>8</v>
      </c>
      <c r="C267" s="23" t="s">
        <v>46</v>
      </c>
      <c r="D267" s="23">
        <v>6.438968892496046</v>
      </c>
      <c r="E267" s="23">
        <v>2025</v>
      </c>
      <c r="F267" s="15" t="s">
        <v>3305</v>
      </c>
      <c r="G267" s="15" t="s">
        <v>3308</v>
      </c>
      <c r="H267" s="23" t="s">
        <v>58</v>
      </c>
    </row>
    <row r="268" spans="1:8" ht="54.95" customHeight="1" x14ac:dyDescent="0.2">
      <c r="A268" s="23" t="s">
        <v>199</v>
      </c>
      <c r="B268" s="23" t="s">
        <v>9</v>
      </c>
      <c r="C268" s="23" t="s">
        <v>46</v>
      </c>
      <c r="D268" s="23">
        <v>22.826759228897679</v>
      </c>
      <c r="E268" s="23">
        <v>2025</v>
      </c>
      <c r="F268" s="15" t="s">
        <v>3305</v>
      </c>
      <c r="G268" s="15" t="s">
        <v>3308</v>
      </c>
      <c r="H268" s="23" t="s">
        <v>58</v>
      </c>
    </row>
    <row r="269" spans="1:8" ht="54.95" customHeight="1" x14ac:dyDescent="0.2">
      <c r="A269" s="23" t="s">
        <v>199</v>
      </c>
      <c r="B269" s="23" t="s">
        <v>10</v>
      </c>
      <c r="C269" s="23" t="s">
        <v>46</v>
      </c>
      <c r="D269" s="23">
        <v>1.519052010094404</v>
      </c>
      <c r="E269" s="23">
        <v>2025</v>
      </c>
      <c r="F269" s="15" t="s">
        <v>3305</v>
      </c>
      <c r="G269" s="15" t="s">
        <v>3308</v>
      </c>
      <c r="H269" s="23" t="s">
        <v>58</v>
      </c>
    </row>
    <row r="270" spans="1:8" ht="54.95" customHeight="1" x14ac:dyDescent="0.2">
      <c r="A270" s="23" t="s">
        <v>199</v>
      </c>
      <c r="B270" s="23" t="s">
        <v>5</v>
      </c>
      <c r="C270" s="23" t="s">
        <v>3421</v>
      </c>
      <c r="D270" s="23">
        <v>551.98900000000003</v>
      </c>
      <c r="E270" s="23">
        <v>2025</v>
      </c>
      <c r="F270" s="15" t="s">
        <v>3305</v>
      </c>
      <c r="G270" s="15" t="s">
        <v>3311</v>
      </c>
      <c r="H270" s="23" t="s">
        <v>58</v>
      </c>
    </row>
    <row r="271" spans="1:8" ht="54.95" customHeight="1" x14ac:dyDescent="0.2">
      <c r="A271" s="23" t="s">
        <v>206</v>
      </c>
      <c r="B271" s="23" t="s">
        <v>11</v>
      </c>
      <c r="C271" s="23" t="s">
        <v>3422</v>
      </c>
      <c r="D271" s="23">
        <v>11659.956216257533</v>
      </c>
      <c r="E271" s="23">
        <v>2025</v>
      </c>
      <c r="F271" s="15" t="s">
        <v>3299</v>
      </c>
      <c r="G271" s="15" t="s">
        <v>3300</v>
      </c>
      <c r="H271" s="23" t="s">
        <v>58</v>
      </c>
    </row>
    <row r="272" spans="1:8" ht="54.95" customHeight="1" x14ac:dyDescent="0.2">
      <c r="A272" s="23" t="s">
        <v>206</v>
      </c>
      <c r="B272" s="23" t="s">
        <v>13</v>
      </c>
      <c r="C272" s="23" t="s">
        <v>3423</v>
      </c>
      <c r="D272" s="23">
        <v>12089.45095890411</v>
      </c>
      <c r="E272" s="23">
        <v>2025</v>
      </c>
      <c r="F272" s="15" t="s">
        <v>3302</v>
      </c>
      <c r="G272" s="15" t="s">
        <v>3300</v>
      </c>
      <c r="H272" s="23" t="s">
        <v>58</v>
      </c>
    </row>
    <row r="273" spans="1:8" ht="54.95" customHeight="1" x14ac:dyDescent="0.2">
      <c r="A273" s="23" t="s">
        <v>206</v>
      </c>
      <c r="B273" s="23" t="s">
        <v>14</v>
      </c>
      <c r="C273" s="23" t="s">
        <v>46</v>
      </c>
      <c r="D273" s="23">
        <v>0</v>
      </c>
      <c r="E273" s="23">
        <v>2025</v>
      </c>
      <c r="F273" s="15" t="s">
        <v>3304</v>
      </c>
      <c r="G273" s="15" t="s">
        <v>3300</v>
      </c>
      <c r="H273" s="23" t="s">
        <v>58</v>
      </c>
    </row>
    <row r="274" spans="1:8" ht="54.95" customHeight="1" x14ac:dyDescent="0.2">
      <c r="A274" s="23" t="s">
        <v>206</v>
      </c>
      <c r="B274" s="23" t="s">
        <v>3</v>
      </c>
      <c r="C274" s="23" t="s">
        <v>3424</v>
      </c>
      <c r="D274" s="23">
        <v>14772.430312999999</v>
      </c>
      <c r="E274" s="23">
        <v>2024</v>
      </c>
      <c r="F274" s="15" t="s">
        <v>3316</v>
      </c>
      <c r="G274" s="15" t="s">
        <v>3317</v>
      </c>
      <c r="H274" s="23" t="s">
        <v>58</v>
      </c>
    </row>
    <row r="275" spans="1:8" ht="54.95" customHeight="1" x14ac:dyDescent="0.2">
      <c r="A275" s="23" t="s">
        <v>206</v>
      </c>
      <c r="B275" s="23" t="s">
        <v>6</v>
      </c>
      <c r="C275" s="23" t="s">
        <v>46</v>
      </c>
      <c r="D275" s="23">
        <v>43.899513956705313</v>
      </c>
      <c r="E275" s="23">
        <v>2024</v>
      </c>
      <c r="F275" s="15" t="s">
        <v>3319</v>
      </c>
      <c r="G275" s="15" t="s">
        <v>3320</v>
      </c>
      <c r="H275" s="23" t="s">
        <v>58</v>
      </c>
    </row>
    <row r="276" spans="1:8" ht="54.95" customHeight="1" x14ac:dyDescent="0.2">
      <c r="A276" s="23" t="s">
        <v>206</v>
      </c>
      <c r="B276" s="23" t="s">
        <v>7</v>
      </c>
      <c r="C276" s="23" t="s">
        <v>46</v>
      </c>
      <c r="D276" s="23">
        <v>32.881617865716997</v>
      </c>
      <c r="E276" s="23">
        <v>2024</v>
      </c>
      <c r="F276" s="15" t="s">
        <v>3322</v>
      </c>
      <c r="G276" s="15" t="s">
        <v>3320</v>
      </c>
      <c r="H276" s="23" t="s">
        <v>58</v>
      </c>
    </row>
    <row r="277" spans="1:8" ht="54.95" customHeight="1" x14ac:dyDescent="0.2">
      <c r="A277" s="23" t="s">
        <v>206</v>
      </c>
      <c r="B277" s="23" t="s">
        <v>8</v>
      </c>
      <c r="C277" s="23" t="s">
        <v>46</v>
      </c>
      <c r="D277" s="23">
        <v>5.1844541133223085</v>
      </c>
      <c r="E277" s="23">
        <v>2024</v>
      </c>
      <c r="F277" s="15" t="s">
        <v>3324</v>
      </c>
      <c r="G277" s="15" t="s">
        <v>3320</v>
      </c>
      <c r="H277" s="23" t="s">
        <v>58</v>
      </c>
    </row>
    <row r="278" spans="1:8" ht="54.95" customHeight="1" x14ac:dyDescent="0.2">
      <c r="A278" s="23" t="s">
        <v>206</v>
      </c>
      <c r="B278" s="23" t="s">
        <v>9</v>
      </c>
      <c r="C278" s="23" t="s">
        <v>46</v>
      </c>
      <c r="D278" s="23">
        <v>6.645375122440762</v>
      </c>
      <c r="E278" s="23">
        <v>2024</v>
      </c>
      <c r="F278" s="15" t="s">
        <v>3325</v>
      </c>
      <c r="G278" s="15" t="s">
        <v>3320</v>
      </c>
      <c r="H278" s="23" t="s">
        <v>58</v>
      </c>
    </row>
    <row r="279" spans="1:8" ht="54.95" customHeight="1" x14ac:dyDescent="0.2">
      <c r="A279" s="23" t="s">
        <v>206</v>
      </c>
      <c r="B279" s="23" t="s">
        <v>10</v>
      </c>
      <c r="C279" s="23" t="s">
        <v>46</v>
      </c>
      <c r="D279" s="23">
        <v>9.9219724916227481</v>
      </c>
      <c r="E279" s="23">
        <v>2024</v>
      </c>
      <c r="F279" s="15" t="s">
        <v>3326</v>
      </c>
      <c r="G279" s="15" t="s">
        <v>3320</v>
      </c>
      <c r="H279" s="23" t="s">
        <v>58</v>
      </c>
    </row>
    <row r="280" spans="1:8" ht="54.95" customHeight="1" x14ac:dyDescent="0.2">
      <c r="A280" s="23" t="s">
        <v>206</v>
      </c>
      <c r="B280" s="23" t="s">
        <v>5</v>
      </c>
      <c r="C280" s="23" t="s">
        <v>3425</v>
      </c>
      <c r="D280" s="23">
        <v>5.4067094945580001</v>
      </c>
      <c r="E280" s="23">
        <v>2024</v>
      </c>
      <c r="F280" s="15" t="s">
        <v>3316</v>
      </c>
      <c r="G280" s="15" t="s">
        <v>3311</v>
      </c>
      <c r="H280" s="23" t="s">
        <v>58</v>
      </c>
    </row>
    <row r="281" spans="1:8" ht="54.95" customHeight="1" x14ac:dyDescent="0.2">
      <c r="A281" s="23" t="s">
        <v>213</v>
      </c>
      <c r="B281" s="23" t="s">
        <v>11</v>
      </c>
      <c r="C281" s="23" t="s">
        <v>3426</v>
      </c>
      <c r="D281" s="23">
        <v>747432.14246575336</v>
      </c>
      <c r="E281" s="23">
        <v>2025</v>
      </c>
      <c r="F281" s="15" t="s">
        <v>3299</v>
      </c>
      <c r="G281" s="15" t="s">
        <v>3300</v>
      </c>
      <c r="H281" s="23" t="s">
        <v>58</v>
      </c>
    </row>
    <row r="282" spans="1:8" ht="54.95" customHeight="1" x14ac:dyDescent="0.2">
      <c r="A282" s="23" t="s">
        <v>213</v>
      </c>
      <c r="B282" s="23" t="s">
        <v>13</v>
      </c>
      <c r="C282" s="23" t="s">
        <v>46</v>
      </c>
      <c r="D282" s="23">
        <v>747432.14246575336</v>
      </c>
      <c r="E282" s="23">
        <v>2025</v>
      </c>
      <c r="F282" s="15" t="s">
        <v>3302</v>
      </c>
      <c r="G282" s="15" t="s">
        <v>3300</v>
      </c>
      <c r="H282" s="23" t="s">
        <v>58</v>
      </c>
    </row>
    <row r="283" spans="1:8" ht="54.95" customHeight="1" x14ac:dyDescent="0.2">
      <c r="A283" s="23" t="s">
        <v>213</v>
      </c>
      <c r="B283" s="23" t="s">
        <v>14</v>
      </c>
      <c r="C283" s="23" t="s">
        <v>46</v>
      </c>
      <c r="D283" s="23">
        <v>0</v>
      </c>
      <c r="E283" s="23">
        <v>2025</v>
      </c>
      <c r="F283" s="15" t="s">
        <v>3304</v>
      </c>
      <c r="G283" s="15" t="s">
        <v>3300</v>
      </c>
      <c r="H283" s="23" t="s">
        <v>58</v>
      </c>
    </row>
    <row r="284" spans="1:8" ht="54.95" customHeight="1" x14ac:dyDescent="0.2">
      <c r="A284" s="23" t="s">
        <v>213</v>
      </c>
      <c r="B284" s="23" t="s">
        <v>3</v>
      </c>
      <c r="C284" s="23" t="s">
        <v>3427</v>
      </c>
      <c r="D284" s="23">
        <v>26760.003584999999</v>
      </c>
      <c r="E284" s="23">
        <v>2024</v>
      </c>
      <c r="F284" s="15" t="s">
        <v>3316</v>
      </c>
      <c r="G284" s="15" t="s">
        <v>3317</v>
      </c>
      <c r="H284" s="23" t="s">
        <v>58</v>
      </c>
    </row>
    <row r="285" spans="1:8" ht="54.95" customHeight="1" x14ac:dyDescent="0.2">
      <c r="A285" s="23" t="s">
        <v>213</v>
      </c>
      <c r="B285" s="23" t="s">
        <v>6</v>
      </c>
      <c r="C285" s="23" t="s">
        <v>3428</v>
      </c>
      <c r="D285" s="23">
        <v>48.208331882403968</v>
      </c>
      <c r="E285" s="23">
        <v>2024</v>
      </c>
      <c r="F285" s="15" t="s">
        <v>3319</v>
      </c>
      <c r="G285" s="15" t="s">
        <v>3320</v>
      </c>
      <c r="H285" s="23" t="s">
        <v>58</v>
      </c>
    </row>
    <row r="286" spans="1:8" ht="54.95" customHeight="1" x14ac:dyDescent="0.2">
      <c r="A286" s="23" t="s">
        <v>213</v>
      </c>
      <c r="B286" s="23" t="s">
        <v>7</v>
      </c>
      <c r="C286" s="23" t="s">
        <v>1530</v>
      </c>
      <c r="D286" s="23">
        <v>26.158058752741383</v>
      </c>
      <c r="E286" s="23">
        <v>2024</v>
      </c>
      <c r="F286" s="15" t="s">
        <v>3322</v>
      </c>
      <c r="G286" s="15" t="s">
        <v>3320</v>
      </c>
      <c r="H286" s="23" t="s">
        <v>58</v>
      </c>
    </row>
    <row r="287" spans="1:8" ht="54.95" customHeight="1" x14ac:dyDescent="0.2">
      <c r="A287" s="23" t="s">
        <v>213</v>
      </c>
      <c r="B287" s="23" t="s">
        <v>8</v>
      </c>
      <c r="C287" s="23" t="s">
        <v>46</v>
      </c>
      <c r="D287" s="23">
        <v>3.2432061499665905</v>
      </c>
      <c r="E287" s="23">
        <v>2024</v>
      </c>
      <c r="F287" s="15" t="s">
        <v>3324</v>
      </c>
      <c r="G287" s="15" t="s">
        <v>3320</v>
      </c>
      <c r="H287" s="23" t="s">
        <v>58</v>
      </c>
    </row>
    <row r="288" spans="1:8" ht="54.95" customHeight="1" x14ac:dyDescent="0.2">
      <c r="A288" s="23" t="s">
        <v>213</v>
      </c>
      <c r="B288" s="23" t="s">
        <v>9</v>
      </c>
      <c r="C288" s="23" t="s">
        <v>46</v>
      </c>
      <c r="D288" s="23">
        <v>2.1499594167561842</v>
      </c>
      <c r="E288" s="23">
        <v>2024</v>
      </c>
      <c r="F288" s="15" t="s">
        <v>3325</v>
      </c>
      <c r="G288" s="15" t="s">
        <v>3320</v>
      </c>
      <c r="H288" s="23" t="s">
        <v>58</v>
      </c>
    </row>
    <row r="289" spans="1:8" ht="54.95" customHeight="1" x14ac:dyDescent="0.2">
      <c r="A289" s="23" t="s">
        <v>213</v>
      </c>
      <c r="B289" s="23" t="s">
        <v>10</v>
      </c>
      <c r="C289" s="23" t="s">
        <v>3429</v>
      </c>
      <c r="D289" s="23">
        <v>18.659559196766828</v>
      </c>
      <c r="E289" s="23">
        <v>2024</v>
      </c>
      <c r="F289" s="15" t="s">
        <v>3326</v>
      </c>
      <c r="G289" s="15" t="s">
        <v>3320</v>
      </c>
      <c r="H289" s="23" t="s">
        <v>58</v>
      </c>
    </row>
    <row r="290" spans="1:8" ht="54.95" customHeight="1" x14ac:dyDescent="0.2">
      <c r="A290" s="23" t="s">
        <v>213</v>
      </c>
      <c r="B290" s="23" t="s">
        <v>5</v>
      </c>
      <c r="C290" s="23" t="s">
        <v>3430</v>
      </c>
      <c r="D290" s="23">
        <v>9.7941613121099991</v>
      </c>
      <c r="E290" s="23">
        <v>2024</v>
      </c>
      <c r="F290" s="15" t="s">
        <v>3316</v>
      </c>
      <c r="G290" s="15" t="s">
        <v>3311</v>
      </c>
      <c r="H290" s="23" t="s">
        <v>58</v>
      </c>
    </row>
    <row r="291" spans="1:8" ht="54.95" customHeight="1" x14ac:dyDescent="0.2">
      <c r="A291" s="23" t="s">
        <v>220</v>
      </c>
      <c r="B291" s="23" t="s">
        <v>11</v>
      </c>
      <c r="C291" s="23" t="s">
        <v>3431</v>
      </c>
      <c r="D291" s="23">
        <v>110659.65536371233</v>
      </c>
      <c r="E291" s="23">
        <v>2025</v>
      </c>
      <c r="F291" s="15" t="s">
        <v>3299</v>
      </c>
      <c r="G291" s="15" t="s">
        <v>3300</v>
      </c>
      <c r="H291" s="23" t="s">
        <v>58</v>
      </c>
    </row>
    <row r="292" spans="1:8" ht="54.95" customHeight="1" x14ac:dyDescent="0.2">
      <c r="A292" s="23" t="s">
        <v>220</v>
      </c>
      <c r="B292" s="23" t="s">
        <v>13</v>
      </c>
      <c r="C292" s="23" t="s">
        <v>1538</v>
      </c>
      <c r="D292" s="23">
        <v>0</v>
      </c>
      <c r="E292" s="23">
        <v>2025</v>
      </c>
      <c r="F292" s="15" t="s">
        <v>3302</v>
      </c>
      <c r="G292" s="15" t="s">
        <v>3300</v>
      </c>
      <c r="H292" s="23" t="s">
        <v>58</v>
      </c>
    </row>
    <row r="293" spans="1:8" ht="54.95" customHeight="1" x14ac:dyDescent="0.2">
      <c r="A293" s="23" t="s">
        <v>220</v>
      </c>
      <c r="B293" s="23" t="s">
        <v>14</v>
      </c>
      <c r="C293" s="23" t="s">
        <v>1538</v>
      </c>
      <c r="D293" s="23">
        <v>0</v>
      </c>
      <c r="E293" s="23">
        <v>2025</v>
      </c>
      <c r="F293" s="15" t="s">
        <v>3304</v>
      </c>
      <c r="G293" s="15" t="s">
        <v>3300</v>
      </c>
      <c r="H293" s="23" t="s">
        <v>58</v>
      </c>
    </row>
    <row r="294" spans="1:8" ht="54.95" customHeight="1" x14ac:dyDescent="0.2">
      <c r="A294" s="23" t="s">
        <v>220</v>
      </c>
      <c r="B294" s="23" t="s">
        <v>3</v>
      </c>
      <c r="C294" s="23" t="s">
        <v>3432</v>
      </c>
      <c r="D294" s="23">
        <v>2832032.8767123288</v>
      </c>
      <c r="E294" s="23">
        <v>2025</v>
      </c>
      <c r="F294" s="15" t="s">
        <v>3305</v>
      </c>
      <c r="G294" s="15" t="s">
        <v>3306</v>
      </c>
      <c r="H294" s="23" t="s">
        <v>58</v>
      </c>
    </row>
    <row r="295" spans="1:8" ht="54.95" customHeight="1" x14ac:dyDescent="0.2">
      <c r="A295" s="23" t="s">
        <v>220</v>
      </c>
      <c r="B295" s="23" t="s">
        <v>6</v>
      </c>
      <c r="C295" s="23" t="s">
        <v>3433</v>
      </c>
      <c r="D295" s="23">
        <v>15.293948294075992</v>
      </c>
      <c r="E295" s="23">
        <v>2025</v>
      </c>
      <c r="F295" s="15" t="s">
        <v>3305</v>
      </c>
      <c r="G295" s="15" t="s">
        <v>3308</v>
      </c>
      <c r="H295" s="23" t="s">
        <v>58</v>
      </c>
    </row>
    <row r="296" spans="1:8" ht="54.95" customHeight="1" x14ac:dyDescent="0.2">
      <c r="A296" s="23" t="s">
        <v>220</v>
      </c>
      <c r="B296" s="23" t="s">
        <v>7</v>
      </c>
      <c r="C296" s="23" t="s">
        <v>46</v>
      </c>
      <c r="D296" s="23">
        <v>9.3552634633914167</v>
      </c>
      <c r="E296" s="23">
        <v>2025</v>
      </c>
      <c r="F296" s="15" t="s">
        <v>3305</v>
      </c>
      <c r="G296" s="15" t="s">
        <v>3308</v>
      </c>
      <c r="H296" s="23" t="s">
        <v>58</v>
      </c>
    </row>
    <row r="297" spans="1:8" ht="54.95" customHeight="1" x14ac:dyDescent="0.2">
      <c r="A297" s="23" t="s">
        <v>220</v>
      </c>
      <c r="B297" s="23" t="s">
        <v>8</v>
      </c>
      <c r="C297" s="23" t="s">
        <v>3434</v>
      </c>
      <c r="D297" s="23">
        <v>12.468665714739014</v>
      </c>
      <c r="E297" s="23">
        <v>2025</v>
      </c>
      <c r="F297" s="15" t="s">
        <v>3305</v>
      </c>
      <c r="G297" s="15" t="s">
        <v>3308</v>
      </c>
      <c r="H297" s="23" t="s">
        <v>58</v>
      </c>
    </row>
    <row r="298" spans="1:8" ht="54.95" customHeight="1" x14ac:dyDescent="0.2">
      <c r="A298" s="23" t="s">
        <v>220</v>
      </c>
      <c r="B298" s="23" t="s">
        <v>9</v>
      </c>
      <c r="C298" s="23" t="s">
        <v>46</v>
      </c>
      <c r="D298" s="23">
        <v>12.550624363930455</v>
      </c>
      <c r="E298" s="23">
        <v>2025</v>
      </c>
      <c r="F298" s="15" t="s">
        <v>3305</v>
      </c>
      <c r="G298" s="15" t="s">
        <v>3308</v>
      </c>
      <c r="H298" s="23" t="s">
        <v>58</v>
      </c>
    </row>
    <row r="299" spans="1:8" ht="54.95" customHeight="1" x14ac:dyDescent="0.2">
      <c r="A299" s="23" t="s">
        <v>220</v>
      </c>
      <c r="B299" s="23" t="s">
        <v>10</v>
      </c>
      <c r="C299" s="23" t="s">
        <v>46</v>
      </c>
      <c r="D299" s="23">
        <v>6.4841596916683102</v>
      </c>
      <c r="E299" s="23">
        <v>2025</v>
      </c>
      <c r="F299" s="15" t="s">
        <v>3305</v>
      </c>
      <c r="G299" s="15" t="s">
        <v>3308</v>
      </c>
      <c r="H299" s="23" t="s">
        <v>58</v>
      </c>
    </row>
    <row r="300" spans="1:8" ht="54.95" customHeight="1" x14ac:dyDescent="0.2">
      <c r="A300" s="23" t="s">
        <v>220</v>
      </c>
      <c r="B300" s="23" t="s">
        <v>5</v>
      </c>
      <c r="C300" s="23" t="s">
        <v>3435</v>
      </c>
      <c r="D300" s="23">
        <v>1033.692</v>
      </c>
      <c r="E300" s="23">
        <v>2025</v>
      </c>
      <c r="F300" s="15" t="s">
        <v>3305</v>
      </c>
      <c r="G300" s="15" t="s">
        <v>3311</v>
      </c>
      <c r="H300" s="23" t="s">
        <v>58</v>
      </c>
    </row>
    <row r="301" spans="1:8" ht="54.95" customHeight="1" x14ac:dyDescent="0.2">
      <c r="A301" s="23" t="s">
        <v>227</v>
      </c>
      <c r="B301" s="23" t="s">
        <v>11</v>
      </c>
      <c r="C301" s="23" t="s">
        <v>3436</v>
      </c>
      <c r="D301" s="23">
        <v>101.15509353150685</v>
      </c>
      <c r="E301" s="23">
        <v>2025</v>
      </c>
      <c r="F301" s="15" t="s">
        <v>3299</v>
      </c>
      <c r="G301" s="15" t="s">
        <v>3300</v>
      </c>
      <c r="H301" s="23" t="s">
        <v>58</v>
      </c>
    </row>
    <row r="302" spans="1:8" ht="54.95" customHeight="1" x14ac:dyDescent="0.2">
      <c r="A302" s="23" t="s">
        <v>227</v>
      </c>
      <c r="B302" s="23" t="s">
        <v>13</v>
      </c>
      <c r="C302" s="23" t="s">
        <v>1538</v>
      </c>
      <c r="D302" s="23">
        <v>0</v>
      </c>
      <c r="E302" s="23">
        <v>2025</v>
      </c>
      <c r="F302" s="15" t="s">
        <v>3302</v>
      </c>
      <c r="G302" s="15" t="s">
        <v>3300</v>
      </c>
      <c r="H302" s="23" t="s">
        <v>58</v>
      </c>
    </row>
    <row r="303" spans="1:8" ht="54.95" customHeight="1" x14ac:dyDescent="0.2">
      <c r="A303" s="23" t="s">
        <v>227</v>
      </c>
      <c r="B303" s="23" t="s">
        <v>14</v>
      </c>
      <c r="C303" s="23" t="s">
        <v>1538</v>
      </c>
      <c r="D303" s="23">
        <v>0</v>
      </c>
      <c r="E303" s="23">
        <v>2025</v>
      </c>
      <c r="F303" s="15" t="s">
        <v>3304</v>
      </c>
      <c r="G303" s="15" t="s">
        <v>3300</v>
      </c>
      <c r="H303" s="23" t="s">
        <v>58</v>
      </c>
    </row>
    <row r="304" spans="1:8" ht="54.95" customHeight="1" x14ac:dyDescent="0.2">
      <c r="A304" s="23" t="s">
        <v>227</v>
      </c>
      <c r="B304" s="23" t="s">
        <v>3</v>
      </c>
      <c r="C304" s="23" t="s">
        <v>3437</v>
      </c>
      <c r="D304" s="23">
        <v>18921.401912000001</v>
      </c>
      <c r="E304" s="23">
        <v>2024</v>
      </c>
      <c r="F304" s="15" t="s">
        <v>3316</v>
      </c>
      <c r="G304" s="15" t="s">
        <v>3317</v>
      </c>
      <c r="H304" s="23" t="s">
        <v>58</v>
      </c>
    </row>
    <row r="305" spans="1:8" ht="54.95" customHeight="1" x14ac:dyDescent="0.2">
      <c r="A305" s="23" t="s">
        <v>227</v>
      </c>
      <c r="B305" s="23" t="s">
        <v>6</v>
      </c>
      <c r="C305" s="23" t="s">
        <v>3438</v>
      </c>
      <c r="D305" s="23">
        <v>27.435143485366069</v>
      </c>
      <c r="E305" s="23">
        <v>2024</v>
      </c>
      <c r="F305" s="15" t="s">
        <v>3319</v>
      </c>
      <c r="G305" s="15" t="s">
        <v>3320</v>
      </c>
      <c r="H305" s="23" t="s">
        <v>58</v>
      </c>
    </row>
    <row r="306" spans="1:8" ht="54.95" customHeight="1" x14ac:dyDescent="0.2">
      <c r="A306" s="23" t="s">
        <v>227</v>
      </c>
      <c r="B306" s="23" t="s">
        <v>7</v>
      </c>
      <c r="C306" s="23" t="s">
        <v>3439</v>
      </c>
      <c r="D306" s="23">
        <v>24.257936464470149</v>
      </c>
      <c r="E306" s="23">
        <v>2024</v>
      </c>
      <c r="F306" s="15" t="s">
        <v>3322</v>
      </c>
      <c r="G306" s="15" t="s">
        <v>3320</v>
      </c>
      <c r="H306" s="23" t="s">
        <v>58</v>
      </c>
    </row>
    <row r="307" spans="1:8" ht="54.95" customHeight="1" x14ac:dyDescent="0.2">
      <c r="A307" s="23" t="s">
        <v>227</v>
      </c>
      <c r="B307" s="23" t="s">
        <v>8</v>
      </c>
      <c r="C307" s="23" t="s">
        <v>46</v>
      </c>
      <c r="D307" s="23">
        <v>8.9724572623939944E-2</v>
      </c>
      <c r="E307" s="23">
        <v>2024</v>
      </c>
      <c r="F307" s="15" t="s">
        <v>3324</v>
      </c>
      <c r="G307" s="15" t="s">
        <v>3320</v>
      </c>
      <c r="H307" s="23" t="s">
        <v>58</v>
      </c>
    </row>
    <row r="308" spans="1:8" ht="54.95" customHeight="1" x14ac:dyDescent="0.2">
      <c r="A308" s="23" t="s">
        <v>227</v>
      </c>
      <c r="B308" s="23" t="s">
        <v>9</v>
      </c>
      <c r="C308" s="23" t="s">
        <v>46</v>
      </c>
      <c r="D308" s="23">
        <v>4.4867124695532965</v>
      </c>
      <c r="E308" s="23">
        <v>2024</v>
      </c>
      <c r="F308" s="15" t="s">
        <v>3325</v>
      </c>
      <c r="G308" s="15" t="s">
        <v>3320</v>
      </c>
      <c r="H308" s="23" t="s">
        <v>58</v>
      </c>
    </row>
    <row r="309" spans="1:8" ht="54.95" customHeight="1" x14ac:dyDescent="0.2">
      <c r="A309" s="23" t="s">
        <v>227</v>
      </c>
      <c r="B309" s="23" t="s">
        <v>10</v>
      </c>
      <c r="C309" s="23" t="s">
        <v>3440</v>
      </c>
      <c r="D309" s="23">
        <v>43.730483007986543</v>
      </c>
      <c r="E309" s="23">
        <v>2024</v>
      </c>
      <c r="F309" s="15" t="s">
        <v>3326</v>
      </c>
      <c r="G309" s="15" t="s">
        <v>3320</v>
      </c>
      <c r="H309" s="23" t="s">
        <v>58</v>
      </c>
    </row>
    <row r="310" spans="1:8" ht="54.95" customHeight="1" x14ac:dyDescent="0.2">
      <c r="A310" s="23" t="s">
        <v>227</v>
      </c>
      <c r="B310" s="23" t="s">
        <v>5</v>
      </c>
      <c r="C310" s="23" t="s">
        <v>3441</v>
      </c>
      <c r="D310" s="23">
        <v>6.9252330997920009</v>
      </c>
      <c r="E310" s="23">
        <v>2024</v>
      </c>
      <c r="F310" s="15" t="s">
        <v>3316</v>
      </c>
      <c r="G310" s="15" t="s">
        <v>3311</v>
      </c>
      <c r="H310" s="23" t="s">
        <v>58</v>
      </c>
    </row>
    <row r="311" spans="1:8" ht="54.95" customHeight="1" x14ac:dyDescent="0.2">
      <c r="A311" s="23" t="s">
        <v>232</v>
      </c>
      <c r="B311" s="23" t="s">
        <v>11</v>
      </c>
      <c r="C311" s="23" t="s">
        <v>3442</v>
      </c>
      <c r="D311" s="23">
        <v>25</v>
      </c>
      <c r="E311" s="23">
        <v>2025</v>
      </c>
      <c r="F311" s="15" t="s">
        <v>3299</v>
      </c>
      <c r="G311" s="15" t="s">
        <v>3300</v>
      </c>
      <c r="H311" s="23" t="s">
        <v>58</v>
      </c>
    </row>
    <row r="312" spans="1:8" ht="54.95" customHeight="1" x14ac:dyDescent="0.2">
      <c r="A312" s="23" t="s">
        <v>232</v>
      </c>
      <c r="B312" s="23" t="s">
        <v>13</v>
      </c>
      <c r="C312" s="23" t="s">
        <v>3442</v>
      </c>
      <c r="D312" s="23">
        <v>25</v>
      </c>
      <c r="E312" s="23">
        <v>2025</v>
      </c>
      <c r="F312" s="15" t="s">
        <v>3302</v>
      </c>
      <c r="G312" s="15" t="s">
        <v>3300</v>
      </c>
      <c r="H312" s="23" t="s">
        <v>58</v>
      </c>
    </row>
    <row r="313" spans="1:8" ht="54.95" customHeight="1" x14ac:dyDescent="0.2">
      <c r="A313" s="23" t="s">
        <v>232</v>
      </c>
      <c r="B313" s="23" t="s">
        <v>14</v>
      </c>
      <c r="C313" s="23" t="s">
        <v>1538</v>
      </c>
      <c r="D313" s="23">
        <v>0</v>
      </c>
      <c r="E313" s="23">
        <v>2025</v>
      </c>
      <c r="F313" s="15" t="s">
        <v>3304</v>
      </c>
      <c r="G313" s="15" t="s">
        <v>3300</v>
      </c>
      <c r="H313" s="23" t="s">
        <v>58</v>
      </c>
    </row>
    <row r="314" spans="1:8" ht="54.95" customHeight="1" x14ac:dyDescent="0.2">
      <c r="A314" s="23" t="s">
        <v>232</v>
      </c>
      <c r="B314" s="23" t="s">
        <v>3</v>
      </c>
      <c r="C314" s="23" t="s">
        <v>3443</v>
      </c>
      <c r="D314" s="23">
        <v>330769.8630136986</v>
      </c>
      <c r="E314" s="23">
        <v>2025</v>
      </c>
      <c r="F314" s="15" t="s">
        <v>3305</v>
      </c>
      <c r="G314" s="15" t="s">
        <v>3306</v>
      </c>
      <c r="H314" s="23" t="s">
        <v>58</v>
      </c>
    </row>
    <row r="315" spans="1:8" ht="54.95" customHeight="1" x14ac:dyDescent="0.2">
      <c r="A315" s="23" t="s">
        <v>232</v>
      </c>
      <c r="B315" s="23" t="s">
        <v>6</v>
      </c>
      <c r="C315" s="23" t="s">
        <v>3444</v>
      </c>
      <c r="D315" s="23">
        <v>40.888752681581373</v>
      </c>
      <c r="E315" s="23">
        <v>2025</v>
      </c>
      <c r="F315" s="15" t="s">
        <v>3305</v>
      </c>
      <c r="G315" s="15" t="s">
        <v>3308</v>
      </c>
      <c r="H315" s="23" t="s">
        <v>58</v>
      </c>
    </row>
    <row r="316" spans="1:8" ht="54.95" customHeight="1" x14ac:dyDescent="0.2">
      <c r="A316" s="23" t="s">
        <v>232</v>
      </c>
      <c r="B316" s="23" t="s">
        <v>7</v>
      </c>
      <c r="C316" s="23" t="s">
        <v>46</v>
      </c>
      <c r="D316" s="23">
        <v>6.1744705170999987</v>
      </c>
      <c r="E316" s="23">
        <v>2025</v>
      </c>
      <c r="F316" s="15" t="s">
        <v>3305</v>
      </c>
      <c r="G316" s="15" t="s">
        <v>3308</v>
      </c>
      <c r="H316" s="23" t="s">
        <v>58</v>
      </c>
    </row>
    <row r="317" spans="1:8" ht="54.95" customHeight="1" x14ac:dyDescent="0.2">
      <c r="A317" s="23" t="s">
        <v>232</v>
      </c>
      <c r="B317" s="23" t="s">
        <v>8</v>
      </c>
      <c r="C317" s="23" t="s">
        <v>3445</v>
      </c>
      <c r="D317" s="23">
        <v>29.794833141446688</v>
      </c>
      <c r="E317" s="23">
        <v>2025</v>
      </c>
      <c r="F317" s="15" t="s">
        <v>3305</v>
      </c>
      <c r="G317" s="15" t="s">
        <v>3308</v>
      </c>
      <c r="H317" s="23" t="s">
        <v>58</v>
      </c>
    </row>
    <row r="318" spans="1:8" ht="54.95" customHeight="1" x14ac:dyDescent="0.2">
      <c r="A318" s="23" t="s">
        <v>232</v>
      </c>
      <c r="B318" s="23" t="s">
        <v>9</v>
      </c>
      <c r="C318" s="23" t="s">
        <v>46</v>
      </c>
      <c r="D318" s="23">
        <v>13.311030307046243</v>
      </c>
      <c r="E318" s="23">
        <v>2025</v>
      </c>
      <c r="F318" s="15" t="s">
        <v>3305</v>
      </c>
      <c r="G318" s="15" t="s">
        <v>3308</v>
      </c>
      <c r="H318" s="23" t="s">
        <v>58</v>
      </c>
    </row>
    <row r="319" spans="1:8" ht="54.95" customHeight="1" x14ac:dyDescent="0.2">
      <c r="A319" s="23" t="s">
        <v>232</v>
      </c>
      <c r="B319" s="23" t="s">
        <v>10</v>
      </c>
      <c r="C319" s="23" t="s">
        <v>46</v>
      </c>
      <c r="D319" s="23">
        <v>6.3691181221061699</v>
      </c>
      <c r="E319" s="23">
        <v>2025</v>
      </c>
      <c r="F319" s="15" t="s">
        <v>3305</v>
      </c>
      <c r="G319" s="15" t="s">
        <v>3308</v>
      </c>
      <c r="H319" s="23" t="s">
        <v>58</v>
      </c>
    </row>
    <row r="320" spans="1:8" ht="54.95" customHeight="1" x14ac:dyDescent="0.2">
      <c r="A320" s="23" t="s">
        <v>232</v>
      </c>
      <c r="B320" s="23" t="s">
        <v>5</v>
      </c>
      <c r="C320" s="23" t="s">
        <v>3446</v>
      </c>
      <c r="D320" s="23">
        <v>120.73099999999998</v>
      </c>
      <c r="E320" s="23">
        <v>2025</v>
      </c>
      <c r="F320" s="15" t="s">
        <v>3305</v>
      </c>
      <c r="G320" s="15" t="s">
        <v>3311</v>
      </c>
      <c r="H320" s="23" t="s">
        <v>58</v>
      </c>
    </row>
    <row r="321" spans="1:8" ht="54.95" customHeight="1" x14ac:dyDescent="0.2">
      <c r="A321" s="23" t="s">
        <v>239</v>
      </c>
      <c r="B321" s="23" t="s">
        <v>11</v>
      </c>
      <c r="C321" s="23" t="s">
        <v>46</v>
      </c>
      <c r="D321" s="23">
        <v>0</v>
      </c>
      <c r="E321" s="23">
        <v>2025</v>
      </c>
      <c r="F321" s="15" t="s">
        <v>3299</v>
      </c>
      <c r="G321" s="15" t="s">
        <v>3300</v>
      </c>
      <c r="H321" s="23" t="s">
        <v>58</v>
      </c>
    </row>
    <row r="322" spans="1:8" ht="54.95" customHeight="1" x14ac:dyDescent="0.2">
      <c r="A322" s="23" t="s">
        <v>239</v>
      </c>
      <c r="B322" s="23" t="s">
        <v>13</v>
      </c>
      <c r="C322" s="23" t="s">
        <v>46</v>
      </c>
      <c r="D322" s="23">
        <v>0</v>
      </c>
      <c r="E322" s="23">
        <v>2025</v>
      </c>
      <c r="F322" s="15" t="s">
        <v>3302</v>
      </c>
      <c r="G322" s="15" t="s">
        <v>3300</v>
      </c>
      <c r="H322" s="23" t="s">
        <v>58</v>
      </c>
    </row>
    <row r="323" spans="1:8" ht="54.95" customHeight="1" x14ac:dyDescent="0.2">
      <c r="A323" s="23" t="s">
        <v>239</v>
      </c>
      <c r="B323" s="23" t="s">
        <v>14</v>
      </c>
      <c r="C323" s="23" t="s">
        <v>46</v>
      </c>
      <c r="D323" s="23">
        <v>0</v>
      </c>
      <c r="E323" s="23">
        <v>2025</v>
      </c>
      <c r="F323" s="15" t="s">
        <v>3304</v>
      </c>
      <c r="G323" s="15" t="s">
        <v>3300</v>
      </c>
      <c r="H323" s="23" t="s">
        <v>58</v>
      </c>
    </row>
    <row r="324" spans="1:8" ht="54.95" customHeight="1" x14ac:dyDescent="0.2">
      <c r="A324" s="23" t="s">
        <v>239</v>
      </c>
      <c r="B324" s="23" t="s">
        <v>3</v>
      </c>
      <c r="C324" s="23" t="s">
        <v>3447</v>
      </c>
      <c r="D324" s="23">
        <v>1979.261935</v>
      </c>
      <c r="E324" s="23">
        <v>2024</v>
      </c>
      <c r="F324" s="15" t="s">
        <v>3316</v>
      </c>
      <c r="G324" s="15" t="s">
        <v>3317</v>
      </c>
      <c r="H324" s="23" t="s">
        <v>58</v>
      </c>
    </row>
    <row r="325" spans="1:8" ht="54.95" customHeight="1" x14ac:dyDescent="0.2">
      <c r="A325" s="23" t="s">
        <v>239</v>
      </c>
      <c r="B325" s="23" t="s">
        <v>6</v>
      </c>
      <c r="C325" s="23" t="s">
        <v>46</v>
      </c>
      <c r="D325" s="23">
        <v>53.864542693789538</v>
      </c>
      <c r="E325" s="23">
        <v>2024</v>
      </c>
      <c r="F325" s="15" t="s">
        <v>3319</v>
      </c>
      <c r="G325" s="15" t="s">
        <v>3320</v>
      </c>
      <c r="H325" s="23" t="s">
        <v>58</v>
      </c>
    </row>
    <row r="326" spans="1:8" ht="54.95" customHeight="1" x14ac:dyDescent="0.2">
      <c r="A326" s="23" t="s">
        <v>239</v>
      </c>
      <c r="B326" s="23" t="s">
        <v>7</v>
      </c>
      <c r="C326" s="23" t="s">
        <v>46</v>
      </c>
      <c r="D326" s="23">
        <v>8.0319240313182707</v>
      </c>
      <c r="E326" s="23">
        <v>2024</v>
      </c>
      <c r="F326" s="15" t="s">
        <v>3322</v>
      </c>
      <c r="G326" s="15" t="s">
        <v>3320</v>
      </c>
      <c r="H326" s="23" t="s">
        <v>58</v>
      </c>
    </row>
    <row r="327" spans="1:8" ht="54.95" customHeight="1" x14ac:dyDescent="0.2">
      <c r="A327" s="23" t="s">
        <v>239</v>
      </c>
      <c r="B327" s="23" t="s">
        <v>8</v>
      </c>
      <c r="C327" s="23" t="s">
        <v>46</v>
      </c>
      <c r="D327" s="23">
        <v>0</v>
      </c>
      <c r="E327" s="23">
        <v>2024</v>
      </c>
      <c r="F327" s="15" t="s">
        <v>3324</v>
      </c>
      <c r="G327" s="15" t="s">
        <v>3320</v>
      </c>
      <c r="H327" s="23" t="s">
        <v>58</v>
      </c>
    </row>
    <row r="328" spans="1:8" ht="54.95" customHeight="1" x14ac:dyDescent="0.2">
      <c r="A328" s="23" t="s">
        <v>239</v>
      </c>
      <c r="B328" s="23" t="s">
        <v>9</v>
      </c>
      <c r="C328" s="23" t="s">
        <v>46</v>
      </c>
      <c r="D328" s="23">
        <v>9.8307319288692323</v>
      </c>
      <c r="E328" s="23">
        <v>2024</v>
      </c>
      <c r="F328" s="15" t="s">
        <v>3325</v>
      </c>
      <c r="G328" s="15" t="s">
        <v>3320</v>
      </c>
      <c r="H328" s="23" t="s">
        <v>58</v>
      </c>
    </row>
    <row r="329" spans="1:8" ht="54.95" customHeight="1" x14ac:dyDescent="0.2">
      <c r="A329" s="23" t="s">
        <v>239</v>
      </c>
      <c r="B329" s="23" t="s">
        <v>10</v>
      </c>
      <c r="C329" s="23" t="s">
        <v>46</v>
      </c>
      <c r="D329" s="23">
        <v>22.99644099405165</v>
      </c>
      <c r="E329" s="23">
        <v>2024</v>
      </c>
      <c r="F329" s="15" t="s">
        <v>3326</v>
      </c>
      <c r="G329" s="15" t="s">
        <v>3320</v>
      </c>
      <c r="H329" s="23" t="s">
        <v>58</v>
      </c>
    </row>
    <row r="330" spans="1:8" ht="54.95" customHeight="1" x14ac:dyDescent="0.2">
      <c r="A330" s="23" t="s">
        <v>239</v>
      </c>
      <c r="B330" s="23" t="s">
        <v>5</v>
      </c>
      <c r="C330" s="23" t="s">
        <v>3448</v>
      </c>
      <c r="D330" s="23">
        <v>0.72440986820999997</v>
      </c>
      <c r="E330" s="23">
        <v>2024</v>
      </c>
      <c r="F330" s="15" t="s">
        <v>3316</v>
      </c>
      <c r="G330" s="15" t="s">
        <v>3311</v>
      </c>
      <c r="H330" s="23" t="s">
        <v>58</v>
      </c>
    </row>
    <row r="331" spans="1:8" ht="54.95" customHeight="1" x14ac:dyDescent="0.2">
      <c r="A331" s="23" t="s">
        <v>244</v>
      </c>
      <c r="B331" s="23" t="s">
        <v>11</v>
      </c>
      <c r="C331" s="23" t="s">
        <v>3449</v>
      </c>
      <c r="D331" s="23">
        <v>400</v>
      </c>
      <c r="E331" s="23">
        <v>2025</v>
      </c>
      <c r="F331" s="15" t="s">
        <v>3299</v>
      </c>
      <c r="G331" s="15" t="s">
        <v>3300</v>
      </c>
      <c r="H331" s="23" t="s">
        <v>58</v>
      </c>
    </row>
    <row r="332" spans="1:8" ht="54.95" customHeight="1" x14ac:dyDescent="0.2">
      <c r="A332" s="23" t="s">
        <v>244</v>
      </c>
      <c r="B332" s="23" t="s">
        <v>13</v>
      </c>
      <c r="C332" s="23" t="s">
        <v>46</v>
      </c>
      <c r="D332" s="23">
        <v>0</v>
      </c>
      <c r="E332" s="23">
        <v>2025</v>
      </c>
      <c r="F332" s="15" t="s">
        <v>3302</v>
      </c>
      <c r="G332" s="15" t="s">
        <v>3300</v>
      </c>
      <c r="H332" s="23" t="s">
        <v>58</v>
      </c>
    </row>
    <row r="333" spans="1:8" ht="54.95" customHeight="1" x14ac:dyDescent="0.2">
      <c r="A333" s="23" t="s">
        <v>244</v>
      </c>
      <c r="B333" s="23" t="s">
        <v>14</v>
      </c>
      <c r="C333" s="23" t="s">
        <v>46</v>
      </c>
      <c r="D333" s="23">
        <v>0</v>
      </c>
      <c r="E333" s="23">
        <v>2025</v>
      </c>
      <c r="F333" s="15" t="s">
        <v>3304</v>
      </c>
      <c r="G333" s="15" t="s">
        <v>3300</v>
      </c>
      <c r="H333" s="23" t="s">
        <v>58</v>
      </c>
    </row>
    <row r="334" spans="1:8" ht="54.95" customHeight="1" x14ac:dyDescent="0.2">
      <c r="A334" s="23" t="s">
        <v>244</v>
      </c>
      <c r="B334" s="23" t="s">
        <v>3</v>
      </c>
      <c r="C334" s="23" t="s">
        <v>3450</v>
      </c>
      <c r="D334" s="23">
        <v>64988</v>
      </c>
      <c r="E334" s="23">
        <v>2024</v>
      </c>
      <c r="F334" s="15" t="s">
        <v>3316</v>
      </c>
      <c r="G334" s="15" t="s">
        <v>3317</v>
      </c>
      <c r="H334" s="23" t="s">
        <v>58</v>
      </c>
    </row>
    <row r="335" spans="1:8" ht="54.95" customHeight="1" x14ac:dyDescent="0.2">
      <c r="A335" s="23" t="s">
        <v>244</v>
      </c>
      <c r="B335" s="23" t="s">
        <v>6</v>
      </c>
      <c r="C335" s="23" t="s">
        <v>46</v>
      </c>
      <c r="D335" s="23">
        <v>35.129014341109126</v>
      </c>
      <c r="E335" s="23">
        <v>2024</v>
      </c>
      <c r="F335" s="15" t="s">
        <v>3319</v>
      </c>
      <c r="G335" s="15" t="s">
        <v>3320</v>
      </c>
      <c r="H335" s="23" t="s">
        <v>58</v>
      </c>
    </row>
    <row r="336" spans="1:8" ht="54.95" customHeight="1" x14ac:dyDescent="0.2">
      <c r="A336" s="23" t="s">
        <v>244</v>
      </c>
      <c r="B336" s="23" t="s">
        <v>7</v>
      </c>
      <c r="C336" s="23" t="s">
        <v>46</v>
      </c>
      <c r="D336" s="23">
        <v>36.283916692312431</v>
      </c>
      <c r="E336" s="23">
        <v>2024</v>
      </c>
      <c r="F336" s="15" t="s">
        <v>3322</v>
      </c>
      <c r="G336" s="15" t="s">
        <v>3320</v>
      </c>
      <c r="H336" s="23" t="s">
        <v>58</v>
      </c>
    </row>
    <row r="337" spans="1:8" ht="54.95" customHeight="1" x14ac:dyDescent="0.2">
      <c r="A337" s="23" t="s">
        <v>244</v>
      </c>
      <c r="B337" s="23" t="s">
        <v>8</v>
      </c>
      <c r="C337" s="23" t="s">
        <v>46</v>
      </c>
      <c r="D337" s="23">
        <v>11.051987674647627</v>
      </c>
      <c r="E337" s="23">
        <v>2024</v>
      </c>
      <c r="F337" s="15" t="s">
        <v>3324</v>
      </c>
      <c r="G337" s="15" t="s">
        <v>3320</v>
      </c>
      <c r="H337" s="23" t="s">
        <v>58</v>
      </c>
    </row>
    <row r="338" spans="1:8" ht="54.95" customHeight="1" x14ac:dyDescent="0.2">
      <c r="A338" s="23" t="s">
        <v>244</v>
      </c>
      <c r="B338" s="23" t="s">
        <v>9</v>
      </c>
      <c r="C338" s="23" t="s">
        <v>46</v>
      </c>
      <c r="D338" s="23">
        <v>8.4914306641226087</v>
      </c>
      <c r="E338" s="23">
        <v>2024</v>
      </c>
      <c r="F338" s="15" t="s">
        <v>3325</v>
      </c>
      <c r="G338" s="15" t="s">
        <v>3320</v>
      </c>
      <c r="H338" s="23" t="s">
        <v>58</v>
      </c>
    </row>
    <row r="339" spans="1:8" ht="54.95" customHeight="1" x14ac:dyDescent="0.2">
      <c r="A339" s="23" t="s">
        <v>244</v>
      </c>
      <c r="B339" s="23" t="s">
        <v>10</v>
      </c>
      <c r="C339" s="23" t="s">
        <v>46</v>
      </c>
      <c r="D339" s="23">
        <v>5.250368668061796</v>
      </c>
      <c r="E339" s="23">
        <v>2024</v>
      </c>
      <c r="F339" s="15" t="s">
        <v>3326</v>
      </c>
      <c r="G339" s="15" t="s">
        <v>3320</v>
      </c>
      <c r="H339" s="23" t="s">
        <v>58</v>
      </c>
    </row>
    <row r="340" spans="1:8" ht="54.95" customHeight="1" x14ac:dyDescent="0.2">
      <c r="A340" s="23" t="s">
        <v>244</v>
      </c>
      <c r="B340" s="23" t="s">
        <v>5</v>
      </c>
      <c r="C340" s="23" t="s">
        <v>3451</v>
      </c>
      <c r="D340" s="23">
        <v>23.785608</v>
      </c>
      <c r="E340" s="23">
        <v>2024</v>
      </c>
      <c r="F340" s="15" t="s">
        <v>3316</v>
      </c>
      <c r="G340" s="15" t="s">
        <v>3311</v>
      </c>
      <c r="H340" s="23" t="s">
        <v>58</v>
      </c>
    </row>
    <row r="341" spans="1:8" ht="54.95" customHeight="1" x14ac:dyDescent="0.2">
      <c r="A341" s="23" t="s">
        <v>251</v>
      </c>
      <c r="B341" s="23" t="s">
        <v>11</v>
      </c>
      <c r="C341" s="23" t="s">
        <v>46</v>
      </c>
      <c r="D341" s="23">
        <v>-1.1756337561906343</v>
      </c>
      <c r="E341" s="23">
        <v>2025</v>
      </c>
      <c r="F341" s="15" t="s">
        <v>3299</v>
      </c>
      <c r="G341" s="15" t="s">
        <v>3300</v>
      </c>
      <c r="H341" s="23" t="s">
        <v>58</v>
      </c>
    </row>
    <row r="342" spans="1:8" ht="54.95" customHeight="1" x14ac:dyDescent="0.2">
      <c r="A342" s="23" t="s">
        <v>251</v>
      </c>
      <c r="B342" s="23" t="s">
        <v>13</v>
      </c>
      <c r="C342" s="23" t="s">
        <v>46</v>
      </c>
      <c r="D342" s="23">
        <v>0</v>
      </c>
      <c r="E342" s="23">
        <v>2025</v>
      </c>
      <c r="F342" s="15" t="s">
        <v>3302</v>
      </c>
      <c r="G342" s="15" t="s">
        <v>3300</v>
      </c>
      <c r="H342" s="23" t="s">
        <v>58</v>
      </c>
    </row>
    <row r="343" spans="1:8" ht="54.95" customHeight="1" x14ac:dyDescent="0.2">
      <c r="A343" s="23" t="s">
        <v>251</v>
      </c>
      <c r="B343" s="23" t="s">
        <v>14</v>
      </c>
      <c r="C343" s="23" t="s">
        <v>46</v>
      </c>
      <c r="D343" s="23">
        <v>0</v>
      </c>
      <c r="E343" s="23">
        <v>2025</v>
      </c>
      <c r="F343" s="15" t="s">
        <v>3304</v>
      </c>
      <c r="G343" s="15" t="s">
        <v>3300</v>
      </c>
      <c r="H343" s="23" t="s">
        <v>58</v>
      </c>
    </row>
    <row r="344" spans="1:8" ht="54.95" customHeight="1" x14ac:dyDescent="0.2">
      <c r="A344" s="23" t="s">
        <v>251</v>
      </c>
      <c r="B344" s="23" t="s">
        <v>3</v>
      </c>
      <c r="C344" s="23" t="s">
        <v>3452</v>
      </c>
      <c r="D344" s="23">
        <v>35626.247610999999</v>
      </c>
      <c r="E344" s="23">
        <v>2024</v>
      </c>
      <c r="F344" s="15" t="s">
        <v>3316</v>
      </c>
      <c r="G344" s="15" t="s">
        <v>3317</v>
      </c>
      <c r="H344" s="23" t="s">
        <v>58</v>
      </c>
    </row>
    <row r="345" spans="1:8" ht="54.95" customHeight="1" x14ac:dyDescent="0.2">
      <c r="A345" s="23" t="s">
        <v>251</v>
      </c>
      <c r="B345" s="23" t="s">
        <v>6</v>
      </c>
      <c r="C345" s="23" t="s">
        <v>3453</v>
      </c>
      <c r="D345" s="23">
        <v>35.971216390589412</v>
      </c>
      <c r="E345" s="23">
        <v>2024</v>
      </c>
      <c r="F345" s="15" t="s">
        <v>3319</v>
      </c>
      <c r="G345" s="15" t="s">
        <v>3320</v>
      </c>
      <c r="H345" s="23" t="s">
        <v>58</v>
      </c>
    </row>
    <row r="346" spans="1:8" ht="54.95" customHeight="1" x14ac:dyDescent="0.2">
      <c r="A346" s="23" t="s">
        <v>251</v>
      </c>
      <c r="B346" s="23" t="s">
        <v>7</v>
      </c>
      <c r="C346" s="23" t="s">
        <v>3454</v>
      </c>
      <c r="D346" s="23">
        <v>20.794910204667641</v>
      </c>
      <c r="E346" s="23">
        <v>2024</v>
      </c>
      <c r="F346" s="15" t="s">
        <v>3322</v>
      </c>
      <c r="G346" s="15" t="s">
        <v>3320</v>
      </c>
      <c r="H346" s="23" t="s">
        <v>58</v>
      </c>
    </row>
    <row r="347" spans="1:8" ht="54.95" customHeight="1" x14ac:dyDescent="0.2">
      <c r="A347" s="23" t="s">
        <v>251</v>
      </c>
      <c r="B347" s="23" t="s">
        <v>8</v>
      </c>
      <c r="C347" s="23" t="s">
        <v>46</v>
      </c>
      <c r="D347" s="23">
        <v>13.202873430171982</v>
      </c>
      <c r="E347" s="23">
        <v>2024</v>
      </c>
      <c r="F347" s="15" t="s">
        <v>3324</v>
      </c>
      <c r="G347" s="15" t="s">
        <v>3320</v>
      </c>
      <c r="H347" s="23" t="s">
        <v>58</v>
      </c>
    </row>
    <row r="348" spans="1:8" ht="54.95" customHeight="1" x14ac:dyDescent="0.2">
      <c r="A348" s="23" t="s">
        <v>251</v>
      </c>
      <c r="B348" s="23" t="s">
        <v>9</v>
      </c>
      <c r="C348" s="23" t="s">
        <v>46</v>
      </c>
      <c r="D348" s="23">
        <v>1.8295454214458162</v>
      </c>
      <c r="E348" s="23">
        <v>2024</v>
      </c>
      <c r="F348" s="15" t="s">
        <v>3325</v>
      </c>
      <c r="G348" s="15" t="s">
        <v>3320</v>
      </c>
      <c r="H348" s="23" t="s">
        <v>58</v>
      </c>
    </row>
    <row r="349" spans="1:8" ht="54.95" customHeight="1" x14ac:dyDescent="0.2">
      <c r="A349" s="23" t="s">
        <v>251</v>
      </c>
      <c r="B349" s="23" t="s">
        <v>10</v>
      </c>
      <c r="C349" s="23" t="s">
        <v>3455</v>
      </c>
      <c r="D349" s="23">
        <v>21.870104581528505</v>
      </c>
      <c r="E349" s="23">
        <v>2024</v>
      </c>
      <c r="F349" s="15" t="s">
        <v>3326</v>
      </c>
      <c r="G349" s="15" t="s">
        <v>3320</v>
      </c>
      <c r="H349" s="23" t="s">
        <v>58</v>
      </c>
    </row>
    <row r="350" spans="1:8" ht="54.95" customHeight="1" x14ac:dyDescent="0.2">
      <c r="A350" s="23" t="s">
        <v>251</v>
      </c>
      <c r="B350" s="23" t="s">
        <v>5</v>
      </c>
      <c r="C350" s="23" t="s">
        <v>3456</v>
      </c>
      <c r="D350" s="23">
        <v>13.039206625625999</v>
      </c>
      <c r="E350" s="23">
        <v>2024</v>
      </c>
      <c r="F350" s="15" t="s">
        <v>3316</v>
      </c>
      <c r="G350" s="15" t="s">
        <v>3311</v>
      </c>
      <c r="H350" s="23" t="s">
        <v>58</v>
      </c>
    </row>
    <row r="351" spans="1:8" ht="54.95" customHeight="1" x14ac:dyDescent="0.2">
      <c r="A351" s="23" t="s">
        <v>258</v>
      </c>
      <c r="B351" s="23" t="s">
        <v>11</v>
      </c>
      <c r="C351" s="23" t="s">
        <v>3457</v>
      </c>
      <c r="D351" s="23">
        <v>249033.30617433149</v>
      </c>
      <c r="E351" s="23">
        <v>2025</v>
      </c>
      <c r="F351" s="15" t="s">
        <v>3299</v>
      </c>
      <c r="G351" s="15" t="s">
        <v>3300</v>
      </c>
      <c r="H351" s="23" t="s">
        <v>58</v>
      </c>
    </row>
    <row r="352" spans="1:8" ht="54.95" customHeight="1" x14ac:dyDescent="0.2">
      <c r="A352" s="23" t="s">
        <v>258</v>
      </c>
      <c r="B352" s="23" t="s">
        <v>13</v>
      </c>
      <c r="C352" s="23" t="s">
        <v>3458</v>
      </c>
      <c r="D352" s="23">
        <v>241235.61643835617</v>
      </c>
      <c r="E352" s="23">
        <v>2025</v>
      </c>
      <c r="F352" s="15" t="s">
        <v>3302</v>
      </c>
      <c r="G352" s="15" t="s">
        <v>3300</v>
      </c>
      <c r="H352" s="23" t="s">
        <v>58</v>
      </c>
    </row>
    <row r="353" spans="1:8" ht="54.95" customHeight="1" x14ac:dyDescent="0.2">
      <c r="A353" s="23" t="s">
        <v>258</v>
      </c>
      <c r="B353" s="23" t="s">
        <v>14</v>
      </c>
      <c r="C353" s="23" t="s">
        <v>3459</v>
      </c>
      <c r="D353" s="23">
        <v>8000</v>
      </c>
      <c r="E353" s="23">
        <v>2025</v>
      </c>
      <c r="F353" s="15" t="s">
        <v>3304</v>
      </c>
      <c r="G353" s="15" t="s">
        <v>3300</v>
      </c>
      <c r="H353" s="23" t="s">
        <v>58</v>
      </c>
    </row>
    <row r="354" spans="1:8" ht="54.95" customHeight="1" x14ac:dyDescent="0.2">
      <c r="A354" s="23" t="s">
        <v>258</v>
      </c>
      <c r="B354" s="23" t="s">
        <v>3</v>
      </c>
      <c r="C354" s="23" t="s">
        <v>3460</v>
      </c>
      <c r="D354" s="23">
        <v>14100.282329</v>
      </c>
      <c r="E354" s="23">
        <v>2024</v>
      </c>
      <c r="F354" s="15" t="s">
        <v>3316</v>
      </c>
      <c r="G354" s="15" t="s">
        <v>3317</v>
      </c>
      <c r="H354" s="23" t="s">
        <v>58</v>
      </c>
    </row>
    <row r="355" spans="1:8" ht="54.95" customHeight="1" x14ac:dyDescent="0.2">
      <c r="A355" s="23" t="s">
        <v>258</v>
      </c>
      <c r="B355" s="23" t="s">
        <v>6</v>
      </c>
      <c r="C355" s="23" t="s">
        <v>3461</v>
      </c>
      <c r="D355" s="23">
        <v>51.222497489610362</v>
      </c>
      <c r="E355" s="23">
        <v>2024</v>
      </c>
      <c r="F355" s="15" t="s">
        <v>3319</v>
      </c>
      <c r="G355" s="15" t="s">
        <v>3320</v>
      </c>
      <c r="H355" s="23" t="s">
        <v>58</v>
      </c>
    </row>
    <row r="356" spans="1:8" ht="54.95" customHeight="1" x14ac:dyDescent="0.2">
      <c r="A356" s="23" t="s">
        <v>258</v>
      </c>
      <c r="B356" s="23" t="s">
        <v>7</v>
      </c>
      <c r="C356" s="23" t="s">
        <v>3453</v>
      </c>
      <c r="D356" s="23">
        <v>35.990486669637519</v>
      </c>
      <c r="E356" s="23">
        <v>2024</v>
      </c>
      <c r="F356" s="15" t="s">
        <v>3322</v>
      </c>
      <c r="G356" s="15" t="s">
        <v>3320</v>
      </c>
      <c r="H356" s="23" t="s">
        <v>58</v>
      </c>
    </row>
    <row r="357" spans="1:8" ht="54.95" customHeight="1" x14ac:dyDescent="0.2">
      <c r="A357" s="23" t="s">
        <v>258</v>
      </c>
      <c r="B357" s="23" t="s">
        <v>8</v>
      </c>
      <c r="C357" s="23" t="s">
        <v>46</v>
      </c>
      <c r="D357" s="23">
        <v>2.3086644607852094</v>
      </c>
      <c r="E357" s="23">
        <v>2024</v>
      </c>
      <c r="F357" s="15" t="s">
        <v>3324</v>
      </c>
      <c r="G357" s="15" t="s">
        <v>3320</v>
      </c>
      <c r="H357" s="23" t="s">
        <v>58</v>
      </c>
    </row>
    <row r="358" spans="1:8" ht="54.95" customHeight="1" x14ac:dyDescent="0.2">
      <c r="A358" s="23" t="s">
        <v>258</v>
      </c>
      <c r="B358" s="23" t="s">
        <v>9</v>
      </c>
      <c r="C358" s="23" t="s">
        <v>3462</v>
      </c>
      <c r="D358" s="23">
        <v>7.4177787124789996</v>
      </c>
      <c r="E358" s="23">
        <v>2024</v>
      </c>
      <c r="F358" s="15" t="s">
        <v>3325</v>
      </c>
      <c r="G358" s="15" t="s">
        <v>3320</v>
      </c>
      <c r="H358" s="23" t="s">
        <v>58</v>
      </c>
    </row>
    <row r="359" spans="1:8" ht="54.95" customHeight="1" x14ac:dyDescent="0.2">
      <c r="A359" s="23" t="s">
        <v>258</v>
      </c>
      <c r="B359" s="23" t="s">
        <v>10</v>
      </c>
      <c r="C359" s="23" t="s">
        <v>46</v>
      </c>
      <c r="D359" s="23">
        <v>0.13254921826324517</v>
      </c>
      <c r="E359" s="23">
        <v>2024</v>
      </c>
      <c r="F359" s="15" t="s">
        <v>3326</v>
      </c>
      <c r="G359" s="15" t="s">
        <v>3320</v>
      </c>
      <c r="H359" s="23" t="s">
        <v>58</v>
      </c>
    </row>
    <row r="360" spans="1:8" ht="54.95" customHeight="1" x14ac:dyDescent="0.2">
      <c r="A360" s="23" t="s">
        <v>258</v>
      </c>
      <c r="B360" s="23" t="s">
        <v>5</v>
      </c>
      <c r="C360" s="23" t="s">
        <v>3463</v>
      </c>
      <c r="D360" s="23">
        <v>5.1607033324140001</v>
      </c>
      <c r="E360" s="23">
        <v>2024</v>
      </c>
      <c r="F360" s="15" t="s">
        <v>3316</v>
      </c>
      <c r="G360" s="15" t="s">
        <v>3311</v>
      </c>
      <c r="H360" s="23" t="s">
        <v>58</v>
      </c>
    </row>
    <row r="361" spans="1:8" ht="54.95" customHeight="1" x14ac:dyDescent="0.2">
      <c r="A361" s="23" t="s">
        <v>264</v>
      </c>
      <c r="B361" s="23" t="s">
        <v>11</v>
      </c>
      <c r="C361" s="23" t="s">
        <v>3464</v>
      </c>
      <c r="D361" s="23">
        <v>16000</v>
      </c>
      <c r="E361" s="23">
        <v>2025</v>
      </c>
      <c r="F361" s="15" t="s">
        <v>3299</v>
      </c>
      <c r="G361" s="15" t="s">
        <v>3300</v>
      </c>
      <c r="H361" s="23" t="s">
        <v>58</v>
      </c>
    </row>
    <row r="362" spans="1:8" ht="54.95" customHeight="1" x14ac:dyDescent="0.2">
      <c r="A362" s="23" t="s">
        <v>264</v>
      </c>
      <c r="B362" s="23" t="s">
        <v>13</v>
      </c>
      <c r="C362" s="23" t="s">
        <v>3464</v>
      </c>
      <c r="D362" s="23">
        <v>16000</v>
      </c>
      <c r="E362" s="23">
        <v>2025</v>
      </c>
      <c r="F362" s="15" t="s">
        <v>3302</v>
      </c>
      <c r="G362" s="15" t="s">
        <v>3300</v>
      </c>
      <c r="H362" s="23" t="s">
        <v>58</v>
      </c>
    </row>
    <row r="363" spans="1:8" ht="54.95" customHeight="1" x14ac:dyDescent="0.2">
      <c r="A363" s="23" t="s">
        <v>264</v>
      </c>
      <c r="B363" s="23" t="s">
        <v>14</v>
      </c>
      <c r="C363" s="23" t="s">
        <v>1538</v>
      </c>
      <c r="D363" s="23">
        <v>0</v>
      </c>
      <c r="E363" s="23">
        <v>2025</v>
      </c>
      <c r="F363" s="15" t="s">
        <v>3304</v>
      </c>
      <c r="G363" s="15" t="s">
        <v>3300</v>
      </c>
      <c r="H363" s="23" t="s">
        <v>58</v>
      </c>
    </row>
    <row r="364" spans="1:8" ht="54.95" customHeight="1" x14ac:dyDescent="0.2">
      <c r="A364" s="23" t="s">
        <v>264</v>
      </c>
      <c r="B364" s="23" t="s">
        <v>3</v>
      </c>
      <c r="C364" s="23" t="s">
        <v>3465</v>
      </c>
      <c r="D364" s="23">
        <v>25052.996229</v>
      </c>
      <c r="E364" s="23">
        <v>2024</v>
      </c>
      <c r="F364" s="15" t="s">
        <v>3316</v>
      </c>
      <c r="G364" s="15" t="s">
        <v>3317</v>
      </c>
      <c r="H364" s="23" t="s">
        <v>58</v>
      </c>
    </row>
    <row r="365" spans="1:8" ht="54.95" customHeight="1" x14ac:dyDescent="0.2">
      <c r="A365" s="23" t="s">
        <v>264</v>
      </c>
      <c r="B365" s="23" t="s">
        <v>6</v>
      </c>
      <c r="C365" s="23" t="s">
        <v>3466</v>
      </c>
      <c r="D365" s="23">
        <v>57.0394492913329</v>
      </c>
      <c r="E365" s="23">
        <v>2024</v>
      </c>
      <c r="F365" s="15" t="s">
        <v>3319</v>
      </c>
      <c r="G365" s="15" t="s">
        <v>3320</v>
      </c>
      <c r="H365" s="23" t="s">
        <v>58</v>
      </c>
    </row>
    <row r="366" spans="1:8" ht="54.95" customHeight="1" x14ac:dyDescent="0.2">
      <c r="A366" s="23" t="s">
        <v>264</v>
      </c>
      <c r="B366" s="23" t="s">
        <v>7</v>
      </c>
      <c r="C366" s="23" t="s">
        <v>3467</v>
      </c>
      <c r="D366" s="23">
        <v>34.28145705805192</v>
      </c>
      <c r="E366" s="23">
        <v>2024</v>
      </c>
      <c r="F366" s="15" t="s">
        <v>3322</v>
      </c>
      <c r="G366" s="15" t="s">
        <v>3320</v>
      </c>
      <c r="H366" s="23" t="s">
        <v>58</v>
      </c>
    </row>
    <row r="367" spans="1:8" ht="54.95" customHeight="1" x14ac:dyDescent="0.2">
      <c r="A367" s="23" t="s">
        <v>264</v>
      </c>
      <c r="B367" s="23" t="s">
        <v>8</v>
      </c>
      <c r="C367" s="23" t="s">
        <v>46</v>
      </c>
      <c r="D367" s="23">
        <v>0</v>
      </c>
      <c r="E367" s="23">
        <v>2024</v>
      </c>
      <c r="F367" s="15" t="s">
        <v>3324</v>
      </c>
      <c r="G367" s="15" t="s">
        <v>3320</v>
      </c>
      <c r="H367" s="23" t="s">
        <v>58</v>
      </c>
    </row>
    <row r="368" spans="1:8" ht="54.95" customHeight="1" x14ac:dyDescent="0.2">
      <c r="A368" s="23" t="s">
        <v>264</v>
      </c>
      <c r="B368" s="23" t="s">
        <v>9</v>
      </c>
      <c r="C368" s="23" t="s">
        <v>3468</v>
      </c>
      <c r="D368" s="23">
        <v>7.1019721782436083</v>
      </c>
      <c r="E368" s="23">
        <v>2024</v>
      </c>
      <c r="F368" s="15" t="s">
        <v>3325</v>
      </c>
      <c r="G368" s="15" t="s">
        <v>3320</v>
      </c>
      <c r="H368" s="23" t="s">
        <v>58</v>
      </c>
    </row>
    <row r="369" spans="1:8" ht="54.95" customHeight="1" x14ac:dyDescent="0.2">
      <c r="A369" s="23" t="s">
        <v>264</v>
      </c>
      <c r="B369" s="23" t="s">
        <v>10</v>
      </c>
      <c r="C369" s="23" t="s">
        <v>46</v>
      </c>
      <c r="D369" s="23">
        <v>1.3420309528119876</v>
      </c>
      <c r="E369" s="23">
        <v>2024</v>
      </c>
      <c r="F369" s="15" t="s">
        <v>3326</v>
      </c>
      <c r="G369" s="15" t="s">
        <v>3320</v>
      </c>
      <c r="H369" s="23" t="s">
        <v>58</v>
      </c>
    </row>
    <row r="370" spans="1:8" ht="54.95" customHeight="1" x14ac:dyDescent="0.2">
      <c r="A370" s="23" t="s">
        <v>264</v>
      </c>
      <c r="B370" s="23" t="s">
        <v>5</v>
      </c>
      <c r="C370" s="23" t="s">
        <v>3469</v>
      </c>
      <c r="D370" s="23">
        <v>9.1693966198140018</v>
      </c>
      <c r="E370" s="23">
        <v>2024</v>
      </c>
      <c r="F370" s="15" t="s">
        <v>3316</v>
      </c>
      <c r="G370" s="15" t="s">
        <v>3311</v>
      </c>
      <c r="H370" s="23" t="s">
        <v>58</v>
      </c>
    </row>
    <row r="371" spans="1:8" ht="54.95" customHeight="1" x14ac:dyDescent="0.2">
      <c r="A371" s="23" t="s">
        <v>271</v>
      </c>
      <c r="B371" s="23" t="s">
        <v>11</v>
      </c>
      <c r="C371" s="23" t="s">
        <v>46</v>
      </c>
      <c r="D371" s="23">
        <v>0</v>
      </c>
      <c r="E371" s="23">
        <v>2025</v>
      </c>
      <c r="F371" s="15" t="s">
        <v>3299</v>
      </c>
      <c r="G371" s="15" t="s">
        <v>3300</v>
      </c>
      <c r="H371" s="23" t="s">
        <v>58</v>
      </c>
    </row>
    <row r="372" spans="1:8" ht="54.95" customHeight="1" x14ac:dyDescent="0.2">
      <c r="A372" s="23" t="s">
        <v>271</v>
      </c>
      <c r="B372" s="23" t="s">
        <v>13</v>
      </c>
      <c r="C372" s="23" t="s">
        <v>46</v>
      </c>
      <c r="D372" s="23">
        <v>0</v>
      </c>
      <c r="E372" s="23">
        <v>2025</v>
      </c>
      <c r="F372" s="15" t="s">
        <v>3302</v>
      </c>
      <c r="G372" s="15" t="s">
        <v>3300</v>
      </c>
      <c r="H372" s="23" t="s">
        <v>58</v>
      </c>
    </row>
    <row r="373" spans="1:8" ht="54.95" customHeight="1" x14ac:dyDescent="0.2">
      <c r="A373" s="23" t="s">
        <v>271</v>
      </c>
      <c r="B373" s="23" t="s">
        <v>14</v>
      </c>
      <c r="C373" s="23" t="s">
        <v>46</v>
      </c>
      <c r="D373" s="23">
        <v>0</v>
      </c>
      <c r="E373" s="23">
        <v>2025</v>
      </c>
      <c r="F373" s="15" t="s">
        <v>3304</v>
      </c>
      <c r="G373" s="15" t="s">
        <v>3300</v>
      </c>
      <c r="H373" s="23" t="s">
        <v>58</v>
      </c>
    </row>
    <row r="374" spans="1:8" ht="54.95" customHeight="1" x14ac:dyDescent="0.2">
      <c r="A374" s="23" t="s">
        <v>271</v>
      </c>
      <c r="B374" s="23" t="s">
        <v>3</v>
      </c>
      <c r="C374" s="23" t="s">
        <v>3470</v>
      </c>
      <c r="D374" s="23">
        <v>5453.0577789999998</v>
      </c>
      <c r="E374" s="23">
        <v>2024</v>
      </c>
      <c r="F374" s="15" t="s">
        <v>3316</v>
      </c>
      <c r="G374" s="15" t="s">
        <v>3317</v>
      </c>
      <c r="H374" s="23" t="s">
        <v>58</v>
      </c>
    </row>
    <row r="375" spans="1:8" ht="54.95" customHeight="1" x14ac:dyDescent="0.2">
      <c r="A375" s="23" t="s">
        <v>271</v>
      </c>
      <c r="B375" s="23" t="s">
        <v>6</v>
      </c>
      <c r="C375" s="23" t="s">
        <v>46</v>
      </c>
      <c r="D375" s="23">
        <v>60.964320235199175</v>
      </c>
      <c r="E375" s="23">
        <v>2024</v>
      </c>
      <c r="F375" s="15" t="s">
        <v>3319</v>
      </c>
      <c r="G375" s="15" t="s">
        <v>3320</v>
      </c>
      <c r="H375" s="23" t="s">
        <v>58</v>
      </c>
    </row>
    <row r="376" spans="1:8" ht="54.95" customHeight="1" x14ac:dyDescent="0.2">
      <c r="A376" s="23" t="s">
        <v>271</v>
      </c>
      <c r="B376" s="23" t="s">
        <v>7</v>
      </c>
      <c r="C376" s="23" t="s">
        <v>46</v>
      </c>
      <c r="D376" s="23">
        <v>25.205873377928128</v>
      </c>
      <c r="E376" s="23">
        <v>2024</v>
      </c>
      <c r="F376" s="15" t="s">
        <v>3322</v>
      </c>
      <c r="G376" s="15" t="s">
        <v>3320</v>
      </c>
      <c r="H376" s="23" t="s">
        <v>58</v>
      </c>
    </row>
    <row r="377" spans="1:8" ht="54.95" customHeight="1" x14ac:dyDescent="0.2">
      <c r="A377" s="23" t="s">
        <v>271</v>
      </c>
      <c r="B377" s="23" t="s">
        <v>8</v>
      </c>
      <c r="C377" s="23" t="s">
        <v>46</v>
      </c>
      <c r="D377" s="23">
        <v>5.0322820905507228</v>
      </c>
      <c r="E377" s="23">
        <v>2024</v>
      </c>
      <c r="F377" s="15" t="s">
        <v>3324</v>
      </c>
      <c r="G377" s="15" t="s">
        <v>3320</v>
      </c>
      <c r="H377" s="23" t="s">
        <v>58</v>
      </c>
    </row>
    <row r="378" spans="1:8" ht="54.95" customHeight="1" x14ac:dyDescent="0.2">
      <c r="A378" s="23" t="s">
        <v>271</v>
      </c>
      <c r="B378" s="23" t="s">
        <v>9</v>
      </c>
      <c r="C378" s="23" t="s">
        <v>46</v>
      </c>
      <c r="D378" s="23">
        <v>1.6778870811227471</v>
      </c>
      <c r="E378" s="23">
        <v>2024</v>
      </c>
      <c r="F378" s="15" t="s">
        <v>3325</v>
      </c>
      <c r="G378" s="15" t="s">
        <v>3320</v>
      </c>
      <c r="H378" s="23" t="s">
        <v>58</v>
      </c>
    </row>
    <row r="379" spans="1:8" ht="54.95" customHeight="1" x14ac:dyDescent="0.2">
      <c r="A379" s="23" t="s">
        <v>271</v>
      </c>
      <c r="B379" s="23" t="s">
        <v>10</v>
      </c>
      <c r="C379" s="23" t="s">
        <v>46</v>
      </c>
      <c r="D379" s="23">
        <v>0.95390597547526912</v>
      </c>
      <c r="E379" s="23">
        <v>2024</v>
      </c>
      <c r="F379" s="15" t="s">
        <v>3326</v>
      </c>
      <c r="G379" s="15" t="s">
        <v>3320</v>
      </c>
      <c r="H379" s="23" t="s">
        <v>58</v>
      </c>
    </row>
    <row r="380" spans="1:8" ht="54.95" customHeight="1" x14ac:dyDescent="0.2">
      <c r="A380" s="23" t="s">
        <v>271</v>
      </c>
      <c r="B380" s="23" t="s">
        <v>5</v>
      </c>
      <c r="C380" s="23" t="s">
        <v>3471</v>
      </c>
      <c r="D380" s="23">
        <v>1.9958191471139999</v>
      </c>
      <c r="E380" s="23">
        <v>2024</v>
      </c>
      <c r="F380" s="15" t="s">
        <v>3316</v>
      </c>
      <c r="G380" s="15" t="s">
        <v>3311</v>
      </c>
      <c r="H380" s="23" t="s">
        <v>58</v>
      </c>
    </row>
    <row r="381" spans="1:8" ht="54.95" customHeight="1" x14ac:dyDescent="0.2">
      <c r="A381" s="23" t="s">
        <v>278</v>
      </c>
      <c r="B381" s="23" t="s">
        <v>11</v>
      </c>
      <c r="C381" s="23" t="s">
        <v>3472</v>
      </c>
      <c r="D381" s="23">
        <v>57918.613688528763</v>
      </c>
      <c r="E381" s="23">
        <v>2025</v>
      </c>
      <c r="F381" s="15" t="s">
        <v>3299</v>
      </c>
      <c r="G381" s="15" t="s">
        <v>3300</v>
      </c>
      <c r="H381" s="23" t="s">
        <v>58</v>
      </c>
    </row>
    <row r="382" spans="1:8" ht="54.95" customHeight="1" x14ac:dyDescent="0.2">
      <c r="A382" s="23" t="s">
        <v>278</v>
      </c>
      <c r="B382" s="23" t="s">
        <v>13</v>
      </c>
      <c r="C382" s="23" t="s">
        <v>46</v>
      </c>
      <c r="D382" s="23">
        <v>31230.73698630137</v>
      </c>
      <c r="E382" s="23">
        <v>2025</v>
      </c>
      <c r="F382" s="15" t="s">
        <v>3302</v>
      </c>
      <c r="G382" s="15" t="s">
        <v>3300</v>
      </c>
      <c r="H382" s="23" t="s">
        <v>58</v>
      </c>
    </row>
    <row r="383" spans="1:8" ht="54.95" customHeight="1" x14ac:dyDescent="0.2">
      <c r="A383" s="23" t="s">
        <v>278</v>
      </c>
      <c r="B383" s="23" t="s">
        <v>14</v>
      </c>
      <c r="C383" s="23" t="s">
        <v>46</v>
      </c>
      <c r="D383" s="23">
        <v>19484.810958904109</v>
      </c>
      <c r="E383" s="23">
        <v>2025</v>
      </c>
      <c r="F383" s="15" t="s">
        <v>3304</v>
      </c>
      <c r="G383" s="15" t="s">
        <v>3300</v>
      </c>
      <c r="H383" s="23" t="s">
        <v>58</v>
      </c>
    </row>
    <row r="384" spans="1:8" ht="54.95" customHeight="1" x14ac:dyDescent="0.2">
      <c r="A384" s="23" t="s">
        <v>278</v>
      </c>
      <c r="B384" s="23" t="s">
        <v>3</v>
      </c>
      <c r="C384" s="23" t="s">
        <v>3473</v>
      </c>
      <c r="D384" s="23">
        <v>205640.70496999999</v>
      </c>
      <c r="E384" s="23">
        <v>2024</v>
      </c>
      <c r="F384" s="15" t="s">
        <v>3316</v>
      </c>
      <c r="G384" s="15" t="s">
        <v>3317</v>
      </c>
      <c r="H384" s="23" t="s">
        <v>58</v>
      </c>
    </row>
    <row r="385" spans="1:8" ht="54.95" customHeight="1" x14ac:dyDescent="0.2">
      <c r="A385" s="23" t="s">
        <v>278</v>
      </c>
      <c r="B385" s="23" t="s">
        <v>6</v>
      </c>
      <c r="C385" s="23" t="s">
        <v>3474</v>
      </c>
      <c r="D385" s="23">
        <v>52.179051747392968</v>
      </c>
      <c r="E385" s="23">
        <v>2024</v>
      </c>
      <c r="F385" s="15" t="s">
        <v>3319</v>
      </c>
      <c r="G385" s="15" t="s">
        <v>3320</v>
      </c>
      <c r="H385" s="23" t="s">
        <v>58</v>
      </c>
    </row>
    <row r="386" spans="1:8" ht="54.95" customHeight="1" x14ac:dyDescent="0.2">
      <c r="A386" s="23" t="s">
        <v>278</v>
      </c>
      <c r="B386" s="23" t="s">
        <v>7</v>
      </c>
      <c r="C386" s="23" t="s">
        <v>3475</v>
      </c>
      <c r="D386" s="23">
        <v>20.455946903185723</v>
      </c>
      <c r="E386" s="23">
        <v>2024</v>
      </c>
      <c r="F386" s="15" t="s">
        <v>3322</v>
      </c>
      <c r="G386" s="15" t="s">
        <v>3320</v>
      </c>
      <c r="H386" s="23" t="s">
        <v>58</v>
      </c>
    </row>
    <row r="387" spans="1:8" ht="54.95" customHeight="1" x14ac:dyDescent="0.2">
      <c r="A387" s="23" t="s">
        <v>278</v>
      </c>
      <c r="B387" s="23" t="s">
        <v>8</v>
      </c>
      <c r="C387" s="23" t="s">
        <v>3476</v>
      </c>
      <c r="D387" s="23">
        <v>15.887265575541662</v>
      </c>
      <c r="E387" s="23">
        <v>2024</v>
      </c>
      <c r="F387" s="15" t="s">
        <v>3324</v>
      </c>
      <c r="G387" s="15" t="s">
        <v>3320</v>
      </c>
      <c r="H387" s="23" t="s">
        <v>58</v>
      </c>
    </row>
    <row r="388" spans="1:8" ht="54.95" customHeight="1" x14ac:dyDescent="0.2">
      <c r="A388" s="23" t="s">
        <v>278</v>
      </c>
      <c r="B388" s="23" t="s">
        <v>9</v>
      </c>
      <c r="C388" s="23" t="s">
        <v>46</v>
      </c>
      <c r="D388" s="23">
        <v>0.68672774692443217</v>
      </c>
      <c r="E388" s="23">
        <v>2024</v>
      </c>
      <c r="F388" s="15" t="s">
        <v>3325</v>
      </c>
      <c r="G388" s="15" t="s">
        <v>3320</v>
      </c>
      <c r="H388" s="23" t="s">
        <v>58</v>
      </c>
    </row>
    <row r="389" spans="1:8" ht="54.95" customHeight="1" x14ac:dyDescent="0.2">
      <c r="A389" s="23" t="s">
        <v>278</v>
      </c>
      <c r="B389" s="23" t="s">
        <v>10</v>
      </c>
      <c r="C389" s="23" t="s">
        <v>46</v>
      </c>
      <c r="D389" s="23">
        <v>0.35492146854217238</v>
      </c>
      <c r="E389" s="23">
        <v>2024</v>
      </c>
      <c r="F389" s="15" t="s">
        <v>3326</v>
      </c>
      <c r="G389" s="15" t="s">
        <v>3320</v>
      </c>
      <c r="H389" s="23" t="s">
        <v>58</v>
      </c>
    </row>
    <row r="390" spans="1:8" ht="54.95" customHeight="1" x14ac:dyDescent="0.2">
      <c r="A390" s="23" t="s">
        <v>278</v>
      </c>
      <c r="B390" s="23" t="s">
        <v>5</v>
      </c>
      <c r="C390" s="23" t="s">
        <v>3477</v>
      </c>
      <c r="D390" s="23">
        <v>75.264498019019996</v>
      </c>
      <c r="E390" s="23">
        <v>2024</v>
      </c>
      <c r="F390" s="15" t="s">
        <v>3316</v>
      </c>
      <c r="G390" s="15" t="s">
        <v>3311</v>
      </c>
      <c r="H390" s="23" t="s">
        <v>58</v>
      </c>
    </row>
    <row r="391" spans="1:8" ht="54.95" customHeight="1" x14ac:dyDescent="0.2">
      <c r="A391" s="23" t="s">
        <v>285</v>
      </c>
      <c r="B391" s="23" t="s">
        <v>11</v>
      </c>
      <c r="C391" s="23" t="s">
        <v>3478</v>
      </c>
      <c r="D391" s="23">
        <v>26009.490410958904</v>
      </c>
      <c r="E391" s="23">
        <v>2025</v>
      </c>
      <c r="F391" s="15" t="s">
        <v>3299</v>
      </c>
      <c r="G391" s="15" t="s">
        <v>3300</v>
      </c>
      <c r="H391" s="23" t="s">
        <v>58</v>
      </c>
    </row>
    <row r="392" spans="1:8" ht="54.95" customHeight="1" x14ac:dyDescent="0.2">
      <c r="A392" s="23" t="s">
        <v>285</v>
      </c>
      <c r="B392" s="23" t="s">
        <v>13</v>
      </c>
      <c r="C392" s="23" t="s">
        <v>46</v>
      </c>
      <c r="D392" s="23">
        <v>25730.490410958904</v>
      </c>
      <c r="E392" s="23">
        <v>2025</v>
      </c>
      <c r="F392" s="15" t="s">
        <v>3302</v>
      </c>
      <c r="G392" s="15" t="s">
        <v>3300</v>
      </c>
      <c r="H392" s="23" t="s">
        <v>58</v>
      </c>
    </row>
    <row r="393" spans="1:8" ht="54.95" customHeight="1" x14ac:dyDescent="0.2">
      <c r="A393" s="23" t="s">
        <v>285</v>
      </c>
      <c r="B393" s="23" t="s">
        <v>14</v>
      </c>
      <c r="C393" s="23" t="s">
        <v>46</v>
      </c>
      <c r="D393" s="23">
        <v>0</v>
      </c>
      <c r="E393" s="23">
        <v>2025</v>
      </c>
      <c r="F393" s="15" t="s">
        <v>3304</v>
      </c>
      <c r="G393" s="15" t="s">
        <v>3300</v>
      </c>
      <c r="H393" s="23" t="s">
        <v>58</v>
      </c>
    </row>
    <row r="394" spans="1:8" ht="54.95" customHeight="1" x14ac:dyDescent="0.2">
      <c r="A394" s="23" t="s">
        <v>285</v>
      </c>
      <c r="B394" s="23" t="s">
        <v>3</v>
      </c>
      <c r="C394" s="23" t="s">
        <v>3479</v>
      </c>
      <c r="D394" s="23">
        <v>116199.72602</v>
      </c>
      <c r="E394" s="23">
        <v>2024</v>
      </c>
      <c r="F394" s="15" t="s">
        <v>3316</v>
      </c>
      <c r="G394" s="15" t="s">
        <v>3317</v>
      </c>
      <c r="H394" s="23" t="s">
        <v>58</v>
      </c>
    </row>
    <row r="395" spans="1:8" ht="54.95" customHeight="1" x14ac:dyDescent="0.2">
      <c r="A395" s="23" t="s">
        <v>285</v>
      </c>
      <c r="B395" s="23" t="s">
        <v>6</v>
      </c>
      <c r="C395" s="23" t="s">
        <v>3480</v>
      </c>
      <c r="D395" s="23">
        <v>48.334539730612697</v>
      </c>
      <c r="E395" s="23">
        <v>2024</v>
      </c>
      <c r="F395" s="15" t="s">
        <v>3319</v>
      </c>
      <c r="G395" s="15" t="s">
        <v>3320</v>
      </c>
      <c r="H395" s="23" t="s">
        <v>58</v>
      </c>
    </row>
    <row r="396" spans="1:8" ht="54.95" customHeight="1" x14ac:dyDescent="0.2">
      <c r="A396" s="23" t="s">
        <v>285</v>
      </c>
      <c r="B396" s="23" t="s">
        <v>7</v>
      </c>
      <c r="C396" s="23" t="s">
        <v>3481</v>
      </c>
      <c r="D396" s="23">
        <v>20.152029219044451</v>
      </c>
      <c r="E396" s="23">
        <v>2024</v>
      </c>
      <c r="F396" s="15" t="s">
        <v>3322</v>
      </c>
      <c r="G396" s="15" t="s">
        <v>3320</v>
      </c>
      <c r="H396" s="23" t="s">
        <v>58</v>
      </c>
    </row>
    <row r="397" spans="1:8" ht="54.95" customHeight="1" x14ac:dyDescent="0.2">
      <c r="A397" s="23" t="s">
        <v>285</v>
      </c>
      <c r="B397" s="23" t="s">
        <v>8</v>
      </c>
      <c r="C397" s="23" t="s">
        <v>46</v>
      </c>
      <c r="D397" s="23">
        <v>3.5828721913538981</v>
      </c>
      <c r="E397" s="23">
        <v>2024</v>
      </c>
      <c r="F397" s="15" t="s">
        <v>3324</v>
      </c>
      <c r="G397" s="15" t="s">
        <v>3320</v>
      </c>
      <c r="H397" s="23" t="s">
        <v>58</v>
      </c>
    </row>
    <row r="398" spans="1:8" ht="54.95" customHeight="1" x14ac:dyDescent="0.2">
      <c r="A398" s="23" t="s">
        <v>285</v>
      </c>
      <c r="B398" s="23" t="s">
        <v>9</v>
      </c>
      <c r="C398" s="23" t="s">
        <v>46</v>
      </c>
      <c r="D398" s="23">
        <v>2.4680226952569537</v>
      </c>
      <c r="E398" s="23">
        <v>2024</v>
      </c>
      <c r="F398" s="15" t="s">
        <v>3325</v>
      </c>
      <c r="G398" s="15" t="s">
        <v>3320</v>
      </c>
      <c r="H398" s="23" t="s">
        <v>58</v>
      </c>
    </row>
    <row r="399" spans="1:8" ht="54.95" customHeight="1" x14ac:dyDescent="0.2">
      <c r="A399" s="23" t="s">
        <v>285</v>
      </c>
      <c r="B399" s="23" t="s">
        <v>10</v>
      </c>
      <c r="C399" s="23" t="s">
        <v>46</v>
      </c>
      <c r="D399" s="23">
        <v>10.26961136547437</v>
      </c>
      <c r="E399" s="23">
        <v>2024</v>
      </c>
      <c r="F399" s="15" t="s">
        <v>3326</v>
      </c>
      <c r="G399" s="15" t="s">
        <v>3320</v>
      </c>
      <c r="H399" s="23" t="s">
        <v>58</v>
      </c>
    </row>
    <row r="400" spans="1:8" ht="54.95" customHeight="1" x14ac:dyDescent="0.2">
      <c r="A400" s="23" t="s">
        <v>285</v>
      </c>
      <c r="B400" s="23" t="s">
        <v>5</v>
      </c>
      <c r="C400" s="23" t="s">
        <v>3482</v>
      </c>
      <c r="D400" s="23">
        <v>42.529099723320002</v>
      </c>
      <c r="E400" s="23">
        <v>2024</v>
      </c>
      <c r="F400" s="15" t="s">
        <v>3316</v>
      </c>
      <c r="G400" s="15" t="s">
        <v>3311</v>
      </c>
      <c r="H400" s="23" t="s">
        <v>58</v>
      </c>
    </row>
    <row r="401" spans="1:8" ht="54.95" customHeight="1" x14ac:dyDescent="0.2">
      <c r="A401" s="23" t="s">
        <v>292</v>
      </c>
      <c r="B401" s="23" t="s">
        <v>11</v>
      </c>
      <c r="C401" s="23" t="s">
        <v>1538</v>
      </c>
      <c r="D401" s="23">
        <v>0</v>
      </c>
      <c r="E401" s="23">
        <v>2025</v>
      </c>
      <c r="F401" s="15" t="s">
        <v>3299</v>
      </c>
      <c r="G401" s="15" t="s">
        <v>3300</v>
      </c>
      <c r="H401" s="23" t="s">
        <v>58</v>
      </c>
    </row>
    <row r="402" spans="1:8" ht="54.95" customHeight="1" x14ac:dyDescent="0.2">
      <c r="A402" s="23" t="s">
        <v>292</v>
      </c>
      <c r="B402" s="23" t="s">
        <v>13</v>
      </c>
      <c r="C402" s="23" t="s">
        <v>1538</v>
      </c>
      <c r="D402" s="23">
        <v>0</v>
      </c>
      <c r="E402" s="23">
        <v>2025</v>
      </c>
      <c r="F402" s="15" t="s">
        <v>3302</v>
      </c>
      <c r="G402" s="15" t="s">
        <v>3300</v>
      </c>
      <c r="H402" s="23" t="s">
        <v>58</v>
      </c>
    </row>
    <row r="403" spans="1:8" ht="54.95" customHeight="1" x14ac:dyDescent="0.2">
      <c r="A403" s="23" t="s">
        <v>292</v>
      </c>
      <c r="B403" s="23" t="s">
        <v>14</v>
      </c>
      <c r="C403" s="23" t="s">
        <v>1538</v>
      </c>
      <c r="D403" s="23">
        <v>0</v>
      </c>
      <c r="E403" s="23">
        <v>2025</v>
      </c>
      <c r="F403" s="15" t="s">
        <v>3304</v>
      </c>
      <c r="G403" s="15" t="s">
        <v>3300</v>
      </c>
      <c r="H403" s="23" t="s">
        <v>58</v>
      </c>
    </row>
    <row r="404" spans="1:8" ht="54.95" customHeight="1" x14ac:dyDescent="0.2">
      <c r="A404" s="23" t="s">
        <v>292</v>
      </c>
      <c r="B404" s="23" t="s">
        <v>3</v>
      </c>
      <c r="C404" s="23" t="s">
        <v>3483</v>
      </c>
      <c r="D404" s="23">
        <v>24412.71817</v>
      </c>
      <c r="E404" s="23">
        <v>2024</v>
      </c>
      <c r="F404" s="15" t="s">
        <v>3316</v>
      </c>
      <c r="G404" s="15" t="s">
        <v>3317</v>
      </c>
      <c r="H404" s="23" t="s">
        <v>58</v>
      </c>
    </row>
    <row r="405" spans="1:8" ht="54.95" customHeight="1" x14ac:dyDescent="0.2">
      <c r="A405" s="23" t="s">
        <v>292</v>
      </c>
      <c r="B405" s="23" t="s">
        <v>6</v>
      </c>
      <c r="C405" s="23" t="s">
        <v>3484</v>
      </c>
      <c r="D405" s="23">
        <v>57.16185278027973</v>
      </c>
      <c r="E405" s="23">
        <v>2024</v>
      </c>
      <c r="F405" s="15" t="s">
        <v>3319</v>
      </c>
      <c r="G405" s="15" t="s">
        <v>3320</v>
      </c>
      <c r="H405" s="23" t="s">
        <v>58</v>
      </c>
    </row>
    <row r="406" spans="1:8" ht="54.95" customHeight="1" x14ac:dyDescent="0.2">
      <c r="A406" s="23" t="s">
        <v>292</v>
      </c>
      <c r="B406" s="23" t="s">
        <v>7</v>
      </c>
      <c r="C406" s="23" t="s">
        <v>3485</v>
      </c>
      <c r="D406" s="23">
        <v>25.161401091126429</v>
      </c>
      <c r="E406" s="23">
        <v>2024</v>
      </c>
      <c r="F406" s="15" t="s">
        <v>3322</v>
      </c>
      <c r="G406" s="15" t="s">
        <v>3320</v>
      </c>
      <c r="H406" s="23" t="s">
        <v>58</v>
      </c>
    </row>
    <row r="407" spans="1:8" ht="54.95" customHeight="1" x14ac:dyDescent="0.2">
      <c r="A407" s="23" t="s">
        <v>292</v>
      </c>
      <c r="B407" s="23" t="s">
        <v>8</v>
      </c>
      <c r="C407" s="23" t="s">
        <v>46</v>
      </c>
      <c r="D407" s="23">
        <v>2.2722323181597601</v>
      </c>
      <c r="E407" s="23">
        <v>2024</v>
      </c>
      <c r="F407" s="15" t="s">
        <v>3324</v>
      </c>
      <c r="G407" s="15" t="s">
        <v>3320</v>
      </c>
      <c r="H407" s="23" t="s">
        <v>58</v>
      </c>
    </row>
    <row r="408" spans="1:8" ht="54.95" customHeight="1" x14ac:dyDescent="0.2">
      <c r="A408" s="23" t="s">
        <v>292</v>
      </c>
      <c r="B408" s="23" t="s">
        <v>9</v>
      </c>
      <c r="C408" s="23" t="s">
        <v>3486</v>
      </c>
      <c r="D408" s="23">
        <v>9.2286969329314967</v>
      </c>
      <c r="E408" s="23">
        <v>2024</v>
      </c>
      <c r="F408" s="15" t="s">
        <v>3325</v>
      </c>
      <c r="G408" s="15" t="s">
        <v>3320</v>
      </c>
      <c r="H408" s="23" t="s">
        <v>58</v>
      </c>
    </row>
    <row r="409" spans="1:8" ht="54.95" customHeight="1" x14ac:dyDescent="0.2">
      <c r="A409" s="23" t="s">
        <v>292</v>
      </c>
      <c r="B409" s="23" t="s">
        <v>10</v>
      </c>
      <c r="C409" s="23" t="s">
        <v>46</v>
      </c>
      <c r="D409" s="23">
        <v>3.9904640082116671</v>
      </c>
      <c r="E409" s="23">
        <v>2024</v>
      </c>
      <c r="F409" s="15" t="s">
        <v>3326</v>
      </c>
      <c r="G409" s="15" t="s">
        <v>3320</v>
      </c>
      <c r="H409" s="23" t="s">
        <v>58</v>
      </c>
    </row>
    <row r="410" spans="1:8" ht="54.95" customHeight="1" x14ac:dyDescent="0.2">
      <c r="A410" s="23" t="s">
        <v>292</v>
      </c>
      <c r="B410" s="23" t="s">
        <v>5</v>
      </c>
      <c r="C410" s="23" t="s">
        <v>3487</v>
      </c>
      <c r="D410" s="23">
        <v>8.9350548502200002</v>
      </c>
      <c r="E410" s="23">
        <v>2024</v>
      </c>
      <c r="F410" s="15" t="s">
        <v>3316</v>
      </c>
      <c r="G410" s="15" t="s">
        <v>3311</v>
      </c>
      <c r="H410" s="23" t="s">
        <v>58</v>
      </c>
    </row>
    <row r="411" spans="1:8" ht="54.95" customHeight="1" x14ac:dyDescent="0.2">
      <c r="A411" s="23" t="s">
        <v>299</v>
      </c>
      <c r="B411" s="23" t="s">
        <v>11</v>
      </c>
      <c r="C411" s="23" t="s">
        <v>3488</v>
      </c>
      <c r="D411" s="23">
        <v>95209.682458180818</v>
      </c>
      <c r="E411" s="23">
        <v>2025</v>
      </c>
      <c r="F411" s="15" t="s">
        <v>3299</v>
      </c>
      <c r="G411" s="15" t="s">
        <v>3300</v>
      </c>
      <c r="H411" s="23" t="s">
        <v>58</v>
      </c>
    </row>
    <row r="412" spans="1:8" ht="54.95" customHeight="1" x14ac:dyDescent="0.2">
      <c r="A412" s="23" t="s">
        <v>299</v>
      </c>
      <c r="B412" s="23" t="s">
        <v>13</v>
      </c>
      <c r="C412" s="23" t="s">
        <v>3489</v>
      </c>
      <c r="D412" s="23">
        <v>370.91506849315073</v>
      </c>
      <c r="E412" s="23">
        <v>2025</v>
      </c>
      <c r="F412" s="15" t="s">
        <v>3302</v>
      </c>
      <c r="G412" s="15" t="s">
        <v>3300</v>
      </c>
      <c r="H412" s="23" t="s">
        <v>58</v>
      </c>
    </row>
    <row r="413" spans="1:8" ht="54.95" customHeight="1" x14ac:dyDescent="0.2">
      <c r="A413" s="23" t="s">
        <v>299</v>
      </c>
      <c r="B413" s="23" t="s">
        <v>14</v>
      </c>
      <c r="C413" s="23" t="s">
        <v>3490</v>
      </c>
      <c r="D413" s="23">
        <v>1625.490410958904</v>
      </c>
      <c r="E413" s="23">
        <v>2025</v>
      </c>
      <c r="F413" s="15" t="s">
        <v>3304</v>
      </c>
      <c r="G413" s="15" t="s">
        <v>3300</v>
      </c>
      <c r="H413" s="23" t="s">
        <v>58</v>
      </c>
    </row>
    <row r="414" spans="1:8" ht="54.95" customHeight="1" x14ac:dyDescent="0.2">
      <c r="A414" s="23" t="s">
        <v>299</v>
      </c>
      <c r="B414" s="23" t="s">
        <v>3</v>
      </c>
      <c r="C414" s="23" t="s">
        <v>3491</v>
      </c>
      <c r="D414" s="23">
        <v>612110.41623899993</v>
      </c>
      <c r="E414" s="23">
        <v>2024</v>
      </c>
      <c r="F414" s="15" t="s">
        <v>3316</v>
      </c>
      <c r="G414" s="15" t="s">
        <v>3317</v>
      </c>
      <c r="H414" s="23" t="s">
        <v>58</v>
      </c>
    </row>
    <row r="415" spans="1:8" ht="54.95" customHeight="1" x14ac:dyDescent="0.2">
      <c r="A415" s="23" t="s">
        <v>299</v>
      </c>
      <c r="B415" s="23" t="s">
        <v>6</v>
      </c>
      <c r="C415" s="23" t="s">
        <v>3492</v>
      </c>
      <c r="D415" s="23">
        <v>44.399559064828118</v>
      </c>
      <c r="E415" s="23">
        <v>2024</v>
      </c>
      <c r="F415" s="15" t="s">
        <v>3319</v>
      </c>
      <c r="G415" s="15" t="s">
        <v>3320</v>
      </c>
      <c r="H415" s="23" t="s">
        <v>58</v>
      </c>
    </row>
    <row r="416" spans="1:8" ht="54.95" customHeight="1" x14ac:dyDescent="0.2">
      <c r="A416" s="23" t="s">
        <v>299</v>
      </c>
      <c r="B416" s="23" t="s">
        <v>7</v>
      </c>
      <c r="C416" s="23" t="s">
        <v>3493</v>
      </c>
      <c r="D416" s="23">
        <v>24.490969230862849</v>
      </c>
      <c r="E416" s="23">
        <v>2024</v>
      </c>
      <c r="F416" s="15" t="s">
        <v>3322</v>
      </c>
      <c r="G416" s="15" t="s">
        <v>3320</v>
      </c>
      <c r="H416" s="23" t="s">
        <v>58</v>
      </c>
    </row>
    <row r="417" spans="1:8" ht="54.95" customHeight="1" x14ac:dyDescent="0.2">
      <c r="A417" s="23" t="s">
        <v>299</v>
      </c>
      <c r="B417" s="23" t="s">
        <v>8</v>
      </c>
      <c r="C417" s="23" t="s">
        <v>46</v>
      </c>
      <c r="D417" s="23">
        <v>0.82373389101604122</v>
      </c>
      <c r="E417" s="23">
        <v>2024</v>
      </c>
      <c r="F417" s="15" t="s">
        <v>3324</v>
      </c>
      <c r="G417" s="15" t="s">
        <v>3320</v>
      </c>
      <c r="H417" s="23" t="s">
        <v>58</v>
      </c>
    </row>
    <row r="418" spans="1:8" ht="54.95" customHeight="1" x14ac:dyDescent="0.2">
      <c r="A418" s="23" t="s">
        <v>299</v>
      </c>
      <c r="B418" s="23" t="s">
        <v>9</v>
      </c>
      <c r="C418" s="23" t="s">
        <v>46</v>
      </c>
      <c r="D418" s="23">
        <v>9.0499079496746759</v>
      </c>
      <c r="E418" s="23">
        <v>2024</v>
      </c>
      <c r="F418" s="15" t="s">
        <v>3325</v>
      </c>
      <c r="G418" s="15" t="s">
        <v>3320</v>
      </c>
      <c r="H418" s="23" t="s">
        <v>58</v>
      </c>
    </row>
    <row r="419" spans="1:8" ht="54.95" customHeight="1" x14ac:dyDescent="0.2">
      <c r="A419" s="23" t="s">
        <v>299</v>
      </c>
      <c r="B419" s="23" t="s">
        <v>10</v>
      </c>
      <c r="C419" s="23" t="s">
        <v>46</v>
      </c>
      <c r="D419" s="23">
        <v>3.8445190860486194</v>
      </c>
      <c r="E419" s="23">
        <v>2024</v>
      </c>
      <c r="F419" s="15" t="s">
        <v>3326</v>
      </c>
      <c r="G419" s="15" t="s">
        <v>3320</v>
      </c>
      <c r="H419" s="23" t="s">
        <v>58</v>
      </c>
    </row>
    <row r="420" spans="1:8" ht="54.95" customHeight="1" x14ac:dyDescent="0.2">
      <c r="A420" s="23" t="s">
        <v>299</v>
      </c>
      <c r="B420" s="23" t="s">
        <v>5</v>
      </c>
      <c r="C420" s="23" t="s">
        <v>3494</v>
      </c>
      <c r="D420" s="23">
        <v>224.03241234347396</v>
      </c>
      <c r="E420" s="23">
        <v>2024</v>
      </c>
      <c r="F420" s="15" t="s">
        <v>3316</v>
      </c>
      <c r="G420" s="15" t="s">
        <v>3311</v>
      </c>
      <c r="H420" s="23" t="s">
        <v>58</v>
      </c>
    </row>
    <row r="421" spans="1:8" ht="54.95" customHeight="1" x14ac:dyDescent="0.2">
      <c r="A421" s="23" t="s">
        <v>315</v>
      </c>
      <c r="B421" s="23" t="s">
        <v>11</v>
      </c>
      <c r="C421" s="23" t="s">
        <v>3495</v>
      </c>
      <c r="D421" s="23">
        <v>1011409.0662340822</v>
      </c>
      <c r="E421" s="23">
        <v>2025</v>
      </c>
      <c r="F421" s="15" t="s">
        <v>3299</v>
      </c>
      <c r="G421" s="15" t="s">
        <v>3300</v>
      </c>
      <c r="H421" s="23" t="s">
        <v>58</v>
      </c>
    </row>
    <row r="422" spans="1:8" ht="54.95" customHeight="1" x14ac:dyDescent="0.2">
      <c r="A422" s="23" t="s">
        <v>315</v>
      </c>
      <c r="B422" s="23" t="s">
        <v>13</v>
      </c>
      <c r="C422" s="23" t="s">
        <v>3496</v>
      </c>
      <c r="D422" s="23">
        <v>1002069.1753424658</v>
      </c>
      <c r="E422" s="23">
        <v>2025</v>
      </c>
      <c r="F422" s="15" t="s">
        <v>3302</v>
      </c>
      <c r="G422" s="15" t="s">
        <v>3300</v>
      </c>
      <c r="H422" s="23" t="s">
        <v>58</v>
      </c>
    </row>
    <row r="423" spans="1:8" ht="54.95" customHeight="1" x14ac:dyDescent="0.2">
      <c r="A423" s="23" t="s">
        <v>315</v>
      </c>
      <c r="B423" s="23" t="s">
        <v>14</v>
      </c>
      <c r="C423" s="23" t="s">
        <v>3459</v>
      </c>
      <c r="D423" s="23">
        <v>8000</v>
      </c>
      <c r="E423" s="23">
        <v>2025</v>
      </c>
      <c r="F423" s="15" t="s">
        <v>3304</v>
      </c>
      <c r="G423" s="15" t="s">
        <v>3300</v>
      </c>
      <c r="H423" s="23" t="s">
        <v>58</v>
      </c>
    </row>
    <row r="424" spans="1:8" ht="54.95" customHeight="1" x14ac:dyDescent="0.2">
      <c r="A424" s="23" t="s">
        <v>315</v>
      </c>
      <c r="B424" s="23" t="s">
        <v>3</v>
      </c>
      <c r="C424" s="23" t="s">
        <v>3497</v>
      </c>
      <c r="D424" s="23">
        <v>230821.22726499999</v>
      </c>
      <c r="E424" s="23">
        <v>2024</v>
      </c>
      <c r="F424" s="15" t="s">
        <v>3316</v>
      </c>
      <c r="G424" s="15" t="s">
        <v>3317</v>
      </c>
      <c r="H424" s="23" t="s">
        <v>58</v>
      </c>
    </row>
    <row r="425" spans="1:8" ht="54.95" customHeight="1" x14ac:dyDescent="0.2">
      <c r="A425" s="23" t="s">
        <v>315</v>
      </c>
      <c r="B425" s="23" t="s">
        <v>6</v>
      </c>
      <c r="C425" s="23" t="s">
        <v>3378</v>
      </c>
      <c r="D425" s="23">
        <v>21.812012684690462</v>
      </c>
      <c r="E425" s="23">
        <v>2024</v>
      </c>
      <c r="F425" s="15" t="s">
        <v>3319</v>
      </c>
      <c r="G425" s="15" t="s">
        <v>3320</v>
      </c>
      <c r="H425" s="23" t="s">
        <v>58</v>
      </c>
    </row>
    <row r="426" spans="1:8" ht="54.95" customHeight="1" x14ac:dyDescent="0.2">
      <c r="A426" s="23" t="s">
        <v>315</v>
      </c>
      <c r="B426" s="23" t="s">
        <v>7</v>
      </c>
      <c r="C426" s="23" t="s">
        <v>3498</v>
      </c>
      <c r="D426" s="23">
        <v>32.398157126226906</v>
      </c>
      <c r="E426" s="23">
        <v>2024</v>
      </c>
      <c r="F426" s="15" t="s">
        <v>3322</v>
      </c>
      <c r="G426" s="15" t="s">
        <v>3320</v>
      </c>
      <c r="H426" s="23" t="s">
        <v>58</v>
      </c>
    </row>
    <row r="427" spans="1:8" ht="54.95" customHeight="1" x14ac:dyDescent="0.2">
      <c r="A427" s="23" t="s">
        <v>315</v>
      </c>
      <c r="B427" s="23" t="s">
        <v>8</v>
      </c>
      <c r="C427" s="23" t="s">
        <v>46</v>
      </c>
      <c r="D427" s="23">
        <v>3.7561676353302444</v>
      </c>
      <c r="E427" s="23">
        <v>2024</v>
      </c>
      <c r="F427" s="15" t="s">
        <v>3324</v>
      </c>
      <c r="G427" s="15" t="s">
        <v>3320</v>
      </c>
      <c r="H427" s="23" t="s">
        <v>58</v>
      </c>
    </row>
    <row r="428" spans="1:8" ht="54.95" customHeight="1" x14ac:dyDescent="0.2">
      <c r="A428" s="23" t="s">
        <v>315</v>
      </c>
      <c r="B428" s="23" t="s">
        <v>9</v>
      </c>
      <c r="C428" s="23" t="s">
        <v>46</v>
      </c>
      <c r="D428" s="23">
        <v>4.2701461658394679</v>
      </c>
      <c r="E428" s="23">
        <v>2024</v>
      </c>
      <c r="F428" s="15" t="s">
        <v>3325</v>
      </c>
      <c r="G428" s="15" t="s">
        <v>3320</v>
      </c>
      <c r="H428" s="23" t="s">
        <v>58</v>
      </c>
    </row>
    <row r="429" spans="1:8" ht="54.95" customHeight="1" x14ac:dyDescent="0.2">
      <c r="A429" s="23" t="s">
        <v>315</v>
      </c>
      <c r="B429" s="23" t="s">
        <v>10</v>
      </c>
      <c r="C429" s="23" t="s">
        <v>46</v>
      </c>
      <c r="D429" s="23">
        <v>17.87547225135841</v>
      </c>
      <c r="E429" s="23">
        <v>2024</v>
      </c>
      <c r="F429" s="15" t="s">
        <v>3326</v>
      </c>
      <c r="G429" s="15" t="s">
        <v>3320</v>
      </c>
      <c r="H429" s="23" t="s">
        <v>58</v>
      </c>
    </row>
    <row r="430" spans="1:8" ht="54.95" customHeight="1" x14ac:dyDescent="0.2">
      <c r="A430" s="23" t="s">
        <v>315</v>
      </c>
      <c r="B430" s="23" t="s">
        <v>5</v>
      </c>
      <c r="C430" s="23" t="s">
        <v>3499</v>
      </c>
      <c r="D430" s="23">
        <v>84.480569178989995</v>
      </c>
      <c r="E430" s="23">
        <v>2024</v>
      </c>
      <c r="F430" s="15" t="s">
        <v>3316</v>
      </c>
      <c r="G430" s="15" t="s">
        <v>3311</v>
      </c>
      <c r="H430" s="23" t="s">
        <v>58</v>
      </c>
    </row>
    <row r="431" spans="1:8" ht="54.95" customHeight="1" x14ac:dyDescent="0.2">
      <c r="A431" s="23" t="s">
        <v>322</v>
      </c>
      <c r="B431" s="23" t="s">
        <v>11</v>
      </c>
      <c r="C431" s="23" t="s">
        <v>3500</v>
      </c>
      <c r="D431" s="23">
        <v>49685.609770767122</v>
      </c>
      <c r="E431" s="23">
        <v>2025</v>
      </c>
      <c r="F431" s="15" t="s">
        <v>3299</v>
      </c>
      <c r="G431" s="15" t="s">
        <v>3300</v>
      </c>
      <c r="H431" s="23" t="s">
        <v>58</v>
      </c>
    </row>
    <row r="432" spans="1:8" ht="54.95" customHeight="1" x14ac:dyDescent="0.2">
      <c r="A432" s="23" t="s">
        <v>322</v>
      </c>
      <c r="B432" s="23" t="s">
        <v>13</v>
      </c>
      <c r="C432" s="23" t="s">
        <v>46</v>
      </c>
      <c r="D432" s="23">
        <v>29583.860273972605</v>
      </c>
      <c r="E432" s="23">
        <v>2025</v>
      </c>
      <c r="F432" s="15" t="s">
        <v>3302</v>
      </c>
      <c r="G432" s="15" t="s">
        <v>3300</v>
      </c>
      <c r="H432" s="23" t="s">
        <v>58</v>
      </c>
    </row>
    <row r="433" spans="1:8" ht="54.95" customHeight="1" x14ac:dyDescent="0.2">
      <c r="A433" s="23" t="s">
        <v>322</v>
      </c>
      <c r="B433" s="23" t="s">
        <v>14</v>
      </c>
      <c r="C433" s="23" t="s">
        <v>46</v>
      </c>
      <c r="D433" s="23">
        <v>0</v>
      </c>
      <c r="E433" s="23">
        <v>2025</v>
      </c>
      <c r="F433" s="15" t="s">
        <v>3304</v>
      </c>
      <c r="G433" s="15" t="s">
        <v>3300</v>
      </c>
      <c r="H433" s="23" t="s">
        <v>58</v>
      </c>
    </row>
    <row r="434" spans="1:8" ht="54.95" customHeight="1" x14ac:dyDescent="0.2">
      <c r="A434" s="23" t="s">
        <v>322</v>
      </c>
      <c r="B434" s="23" t="s">
        <v>3</v>
      </c>
      <c r="C434" s="23" t="s">
        <v>3501</v>
      </c>
      <c r="D434" s="23">
        <v>135563.95233</v>
      </c>
      <c r="E434" s="23">
        <v>2024</v>
      </c>
      <c r="F434" s="15" t="s">
        <v>3316</v>
      </c>
      <c r="G434" s="15" t="s">
        <v>3317</v>
      </c>
      <c r="H434" s="23" t="s">
        <v>58</v>
      </c>
    </row>
    <row r="435" spans="1:8" ht="54.95" customHeight="1" x14ac:dyDescent="0.2">
      <c r="A435" s="23" t="s">
        <v>322</v>
      </c>
      <c r="B435" s="23" t="s">
        <v>6</v>
      </c>
      <c r="C435" s="23" t="s">
        <v>3385</v>
      </c>
      <c r="D435" s="23">
        <v>16.644502334273305</v>
      </c>
      <c r="E435" s="23">
        <v>2024</v>
      </c>
      <c r="F435" s="15" t="s">
        <v>3319</v>
      </c>
      <c r="G435" s="15" t="s">
        <v>3320</v>
      </c>
      <c r="H435" s="23" t="s">
        <v>58</v>
      </c>
    </row>
    <row r="436" spans="1:8" ht="54.95" customHeight="1" x14ac:dyDescent="0.2">
      <c r="A436" s="23" t="s">
        <v>322</v>
      </c>
      <c r="B436" s="23" t="s">
        <v>7</v>
      </c>
      <c r="C436" s="23" t="s">
        <v>3502</v>
      </c>
      <c r="D436" s="23">
        <v>30.702650162250546</v>
      </c>
      <c r="E436" s="23">
        <v>2024</v>
      </c>
      <c r="F436" s="15" t="s">
        <v>3322</v>
      </c>
      <c r="G436" s="15" t="s">
        <v>3320</v>
      </c>
      <c r="H436" s="23" t="s">
        <v>58</v>
      </c>
    </row>
    <row r="437" spans="1:8" ht="54.95" customHeight="1" x14ac:dyDescent="0.2">
      <c r="A437" s="23" t="s">
        <v>322</v>
      </c>
      <c r="B437" s="23" t="s">
        <v>8</v>
      </c>
      <c r="C437" s="23" t="s">
        <v>3503</v>
      </c>
      <c r="D437" s="23">
        <v>20.348885486053607</v>
      </c>
      <c r="E437" s="23">
        <v>2024</v>
      </c>
      <c r="F437" s="15" t="s">
        <v>3324</v>
      </c>
      <c r="G437" s="15" t="s">
        <v>3320</v>
      </c>
      <c r="H437" s="23" t="s">
        <v>58</v>
      </c>
    </row>
    <row r="438" spans="1:8" ht="54.95" customHeight="1" x14ac:dyDescent="0.2">
      <c r="A438" s="23" t="s">
        <v>322</v>
      </c>
      <c r="B438" s="23" t="s">
        <v>9</v>
      </c>
      <c r="C438" s="23" t="s">
        <v>46</v>
      </c>
      <c r="D438" s="23">
        <v>3.9905747265549643</v>
      </c>
      <c r="E438" s="23">
        <v>2024</v>
      </c>
      <c r="F438" s="15" t="s">
        <v>3325</v>
      </c>
      <c r="G438" s="15" t="s">
        <v>3320</v>
      </c>
      <c r="H438" s="23" t="s">
        <v>58</v>
      </c>
    </row>
    <row r="439" spans="1:8" ht="54.95" customHeight="1" x14ac:dyDescent="0.2">
      <c r="A439" s="23" t="s">
        <v>322</v>
      </c>
      <c r="B439" s="23" t="s">
        <v>10</v>
      </c>
      <c r="C439" s="23" t="s">
        <v>46</v>
      </c>
      <c r="D439" s="23">
        <v>12.033020636851184</v>
      </c>
      <c r="E439" s="23">
        <v>2024</v>
      </c>
      <c r="F439" s="15" t="s">
        <v>3326</v>
      </c>
      <c r="G439" s="15" t="s">
        <v>3320</v>
      </c>
      <c r="H439" s="23" t="s">
        <v>58</v>
      </c>
    </row>
    <row r="440" spans="1:8" ht="54.95" customHeight="1" x14ac:dyDescent="0.2">
      <c r="A440" s="23" t="s">
        <v>322</v>
      </c>
      <c r="B440" s="23" t="s">
        <v>5</v>
      </c>
      <c r="C440" s="23" t="s">
        <v>3504</v>
      </c>
      <c r="D440" s="23">
        <v>49.616406552779999</v>
      </c>
      <c r="E440" s="23">
        <v>2024</v>
      </c>
      <c r="F440" s="15" t="s">
        <v>3316</v>
      </c>
      <c r="G440" s="15" t="s">
        <v>3311</v>
      </c>
      <c r="H440" s="23" t="s">
        <v>58</v>
      </c>
    </row>
    <row r="441" spans="1:8" ht="54.95" customHeight="1" x14ac:dyDescent="0.2">
      <c r="A441" s="23" t="s">
        <v>329</v>
      </c>
      <c r="B441" s="23" t="s">
        <v>11</v>
      </c>
      <c r="C441" s="23" t="s">
        <v>3505</v>
      </c>
      <c r="D441" s="23">
        <v>2149550.3826413876</v>
      </c>
      <c r="E441" s="23">
        <v>2025</v>
      </c>
      <c r="F441" s="15" t="s">
        <v>3299</v>
      </c>
      <c r="G441" s="15" t="s">
        <v>3300</v>
      </c>
      <c r="H441" s="23" t="s">
        <v>58</v>
      </c>
    </row>
    <row r="442" spans="1:8" ht="54.95" customHeight="1" x14ac:dyDescent="0.2">
      <c r="A442" s="23" t="s">
        <v>329</v>
      </c>
      <c r="B442" s="23" t="s">
        <v>13</v>
      </c>
      <c r="C442" s="23" t="s">
        <v>3506</v>
      </c>
      <c r="D442" s="23">
        <v>2046610.1590152739</v>
      </c>
      <c r="E442" s="23">
        <v>2025</v>
      </c>
      <c r="F442" s="15" t="s">
        <v>3302</v>
      </c>
      <c r="G442" s="15" t="s">
        <v>3300</v>
      </c>
      <c r="H442" s="23" t="s">
        <v>58</v>
      </c>
    </row>
    <row r="443" spans="1:8" ht="54.95" customHeight="1" x14ac:dyDescent="0.2">
      <c r="A443" s="23" t="s">
        <v>329</v>
      </c>
      <c r="B443" s="23" t="s">
        <v>14</v>
      </c>
      <c r="C443" s="23" t="s">
        <v>3507</v>
      </c>
      <c r="D443" s="23">
        <v>100403.60675679616</v>
      </c>
      <c r="E443" s="23">
        <v>2025</v>
      </c>
      <c r="F443" s="15" t="s">
        <v>3304</v>
      </c>
      <c r="G443" s="15" t="s">
        <v>3300</v>
      </c>
      <c r="H443" s="23" t="s">
        <v>58</v>
      </c>
    </row>
    <row r="444" spans="1:8" ht="54.95" customHeight="1" x14ac:dyDescent="0.2">
      <c r="A444" s="23" t="s">
        <v>329</v>
      </c>
      <c r="B444" s="23" t="s">
        <v>3</v>
      </c>
      <c r="C444" s="23" t="s">
        <v>3508</v>
      </c>
      <c r="D444" s="23">
        <v>412115.49588</v>
      </c>
      <c r="E444" s="23">
        <v>2024</v>
      </c>
      <c r="F444" s="15" t="s">
        <v>3316</v>
      </c>
      <c r="G444" s="15" t="s">
        <v>3317</v>
      </c>
      <c r="H444" s="23" t="s">
        <v>58</v>
      </c>
    </row>
    <row r="445" spans="1:8" ht="54.95" customHeight="1" x14ac:dyDescent="0.2">
      <c r="A445" s="23" t="s">
        <v>329</v>
      </c>
      <c r="B445" s="23" t="s">
        <v>6</v>
      </c>
      <c r="C445" s="23" t="s">
        <v>3509</v>
      </c>
      <c r="D445" s="23">
        <v>28.154376409031041</v>
      </c>
      <c r="E445" s="23">
        <v>2024</v>
      </c>
      <c r="F445" s="15" t="s">
        <v>3319</v>
      </c>
      <c r="G445" s="15" t="s">
        <v>3320</v>
      </c>
      <c r="H445" s="23" t="s">
        <v>58</v>
      </c>
    </row>
    <row r="446" spans="1:8" ht="54.95" customHeight="1" x14ac:dyDescent="0.2">
      <c r="A446" s="23" t="s">
        <v>329</v>
      </c>
      <c r="B446" s="23" t="s">
        <v>7</v>
      </c>
      <c r="C446" s="23" t="s">
        <v>3510</v>
      </c>
      <c r="D446" s="23">
        <v>28.472620749055054</v>
      </c>
      <c r="E446" s="23">
        <v>2024</v>
      </c>
      <c r="F446" s="15" t="s">
        <v>3322</v>
      </c>
      <c r="G446" s="15" t="s">
        <v>3320</v>
      </c>
      <c r="H446" s="23" t="s">
        <v>58</v>
      </c>
    </row>
    <row r="447" spans="1:8" ht="54.95" customHeight="1" x14ac:dyDescent="0.2">
      <c r="A447" s="23" t="s">
        <v>329</v>
      </c>
      <c r="B447" s="23" t="s">
        <v>8</v>
      </c>
      <c r="C447" s="23" t="s">
        <v>46</v>
      </c>
      <c r="D447" s="23">
        <v>11.733244935803116</v>
      </c>
      <c r="E447" s="23">
        <v>2024</v>
      </c>
      <c r="F447" s="15" t="s">
        <v>3324</v>
      </c>
      <c r="G447" s="15" t="s">
        <v>3320</v>
      </c>
      <c r="H447" s="23" t="s">
        <v>58</v>
      </c>
    </row>
    <row r="448" spans="1:8" ht="54.95" customHeight="1" x14ac:dyDescent="0.2">
      <c r="A448" s="23" t="s">
        <v>329</v>
      </c>
      <c r="B448" s="23" t="s">
        <v>9</v>
      </c>
      <c r="C448" s="23" t="s">
        <v>46</v>
      </c>
      <c r="D448" s="23">
        <v>4.5495890903018861</v>
      </c>
      <c r="E448" s="23">
        <v>2024</v>
      </c>
      <c r="F448" s="15" t="s">
        <v>3325</v>
      </c>
      <c r="G448" s="15" t="s">
        <v>3320</v>
      </c>
      <c r="H448" s="23" t="s">
        <v>58</v>
      </c>
    </row>
    <row r="449" spans="1:8" ht="54.95" customHeight="1" x14ac:dyDescent="0.2">
      <c r="A449" s="23" t="s">
        <v>329</v>
      </c>
      <c r="B449" s="23" t="s">
        <v>10</v>
      </c>
      <c r="C449" s="23" t="s">
        <v>46</v>
      </c>
      <c r="D449" s="23">
        <v>3.8519591494861798</v>
      </c>
      <c r="E449" s="23">
        <v>2024</v>
      </c>
      <c r="F449" s="15" t="s">
        <v>3326</v>
      </c>
      <c r="G449" s="15" t="s">
        <v>3320</v>
      </c>
      <c r="H449" s="23" t="s">
        <v>58</v>
      </c>
    </row>
    <row r="450" spans="1:8" ht="54.95" customHeight="1" x14ac:dyDescent="0.2">
      <c r="A450" s="23" t="s">
        <v>329</v>
      </c>
      <c r="B450" s="23" t="s">
        <v>5</v>
      </c>
      <c r="C450" s="23" t="s">
        <v>3511</v>
      </c>
      <c r="D450" s="23">
        <v>150.83427149208001</v>
      </c>
      <c r="E450" s="23">
        <v>2024</v>
      </c>
      <c r="F450" s="15" t="s">
        <v>3316</v>
      </c>
      <c r="G450" s="15" t="s">
        <v>3311</v>
      </c>
      <c r="H450" s="23" t="s">
        <v>58</v>
      </c>
    </row>
    <row r="451" spans="1:8" ht="54.95" customHeight="1" x14ac:dyDescent="0.2">
      <c r="A451" s="23" t="s">
        <v>336</v>
      </c>
      <c r="B451" s="23" t="s">
        <v>11</v>
      </c>
      <c r="C451" s="23" t="s">
        <v>3512</v>
      </c>
      <c r="D451" s="23">
        <v>316</v>
      </c>
      <c r="E451" s="23">
        <v>2025</v>
      </c>
      <c r="F451" s="15" t="s">
        <v>3299</v>
      </c>
      <c r="G451" s="15" t="s">
        <v>3300</v>
      </c>
      <c r="H451" s="23" t="s">
        <v>58</v>
      </c>
    </row>
    <row r="452" spans="1:8" ht="54.95" customHeight="1" x14ac:dyDescent="0.2">
      <c r="A452" s="23" t="s">
        <v>336</v>
      </c>
      <c r="B452" s="23" t="s">
        <v>13</v>
      </c>
      <c r="C452" s="23" t="s">
        <v>3512</v>
      </c>
      <c r="D452" s="23">
        <v>316</v>
      </c>
      <c r="E452" s="23">
        <v>2025</v>
      </c>
      <c r="F452" s="15" t="s">
        <v>3302</v>
      </c>
      <c r="G452" s="15" t="s">
        <v>3300</v>
      </c>
      <c r="H452" s="23" t="s">
        <v>58</v>
      </c>
    </row>
    <row r="453" spans="1:8" ht="54.95" customHeight="1" x14ac:dyDescent="0.2">
      <c r="A453" s="23" t="s">
        <v>336</v>
      </c>
      <c r="B453" s="23" t="s">
        <v>14</v>
      </c>
      <c r="C453" s="23" t="s">
        <v>1538</v>
      </c>
      <c r="D453" s="23">
        <v>0</v>
      </c>
      <c r="E453" s="23">
        <v>2025</v>
      </c>
      <c r="F453" s="15" t="s">
        <v>3304</v>
      </c>
      <c r="G453" s="15" t="s">
        <v>3300</v>
      </c>
      <c r="H453" s="23" t="s">
        <v>58</v>
      </c>
    </row>
    <row r="454" spans="1:8" ht="54.95" customHeight="1" x14ac:dyDescent="0.2">
      <c r="A454" s="23" t="s">
        <v>336</v>
      </c>
      <c r="B454" s="23" t="s">
        <v>3</v>
      </c>
      <c r="C454" s="23" t="s">
        <v>3513</v>
      </c>
      <c r="D454" s="23">
        <v>32747.98631</v>
      </c>
      <c r="E454" s="23">
        <v>2024</v>
      </c>
      <c r="F454" s="15" t="s">
        <v>3316</v>
      </c>
      <c r="G454" s="15" t="s">
        <v>3317</v>
      </c>
      <c r="H454" s="23" t="s">
        <v>58</v>
      </c>
    </row>
    <row r="455" spans="1:8" ht="54.95" customHeight="1" x14ac:dyDescent="0.2">
      <c r="A455" s="23" t="s">
        <v>336</v>
      </c>
      <c r="B455" s="23" t="s">
        <v>6</v>
      </c>
      <c r="C455" s="23" t="s">
        <v>3348</v>
      </c>
      <c r="D455" s="23">
        <v>27.242415413114301</v>
      </c>
      <c r="E455" s="23">
        <v>2024</v>
      </c>
      <c r="F455" s="15" t="s">
        <v>3319</v>
      </c>
      <c r="G455" s="15" t="s">
        <v>3320</v>
      </c>
      <c r="H455" s="23" t="s">
        <v>58</v>
      </c>
    </row>
    <row r="456" spans="1:8" ht="54.95" customHeight="1" x14ac:dyDescent="0.2">
      <c r="A456" s="23" t="s">
        <v>336</v>
      </c>
      <c r="B456" s="23" t="s">
        <v>7</v>
      </c>
      <c r="C456" s="23" t="s">
        <v>3514</v>
      </c>
      <c r="D456" s="23">
        <v>24.841372666373267</v>
      </c>
      <c r="E456" s="23">
        <v>2024</v>
      </c>
      <c r="F456" s="15" t="s">
        <v>3322</v>
      </c>
      <c r="G456" s="15" t="s">
        <v>3320</v>
      </c>
      <c r="H456" s="23" t="s">
        <v>58</v>
      </c>
    </row>
    <row r="457" spans="1:8" ht="54.95" customHeight="1" x14ac:dyDescent="0.2">
      <c r="A457" s="23" t="s">
        <v>336</v>
      </c>
      <c r="B457" s="23" t="s">
        <v>8</v>
      </c>
      <c r="C457" s="23" t="s">
        <v>3515</v>
      </c>
      <c r="D457" s="23">
        <v>39.876466315769626</v>
      </c>
      <c r="E457" s="23">
        <v>2024</v>
      </c>
      <c r="F457" s="15" t="s">
        <v>3324</v>
      </c>
      <c r="G457" s="15" t="s">
        <v>3320</v>
      </c>
      <c r="H457" s="23" t="s">
        <v>58</v>
      </c>
    </row>
    <row r="458" spans="1:8" ht="54.95" customHeight="1" x14ac:dyDescent="0.2">
      <c r="A458" s="23" t="s">
        <v>336</v>
      </c>
      <c r="B458" s="23" t="s">
        <v>9</v>
      </c>
      <c r="C458" s="23" t="s">
        <v>46</v>
      </c>
      <c r="D458" s="23">
        <v>4.7236283029947321</v>
      </c>
      <c r="E458" s="23">
        <v>2024</v>
      </c>
      <c r="F458" s="15" t="s">
        <v>3325</v>
      </c>
      <c r="G458" s="15" t="s">
        <v>3320</v>
      </c>
      <c r="H458" s="23" t="s">
        <v>58</v>
      </c>
    </row>
    <row r="459" spans="1:8" ht="54.95" customHeight="1" x14ac:dyDescent="0.2">
      <c r="A459" s="23" t="s">
        <v>336</v>
      </c>
      <c r="B459" s="23" t="s">
        <v>10</v>
      </c>
      <c r="C459" s="23" t="s">
        <v>46</v>
      </c>
      <c r="D459" s="23">
        <v>0.21730081149530073</v>
      </c>
      <c r="E459" s="23">
        <v>2024</v>
      </c>
      <c r="F459" s="15" t="s">
        <v>3326</v>
      </c>
      <c r="G459" s="15" t="s">
        <v>3320</v>
      </c>
      <c r="H459" s="23" t="s">
        <v>58</v>
      </c>
    </row>
    <row r="460" spans="1:8" ht="54.95" customHeight="1" x14ac:dyDescent="0.2">
      <c r="A460" s="23" t="s">
        <v>336</v>
      </c>
      <c r="B460" s="23" t="s">
        <v>5</v>
      </c>
      <c r="C460" s="23" t="s">
        <v>3516</v>
      </c>
      <c r="D460" s="23">
        <v>11.985762989460001</v>
      </c>
      <c r="E460" s="23">
        <v>2024</v>
      </c>
      <c r="F460" s="15" t="s">
        <v>3316</v>
      </c>
      <c r="G460" s="15" t="s">
        <v>3311</v>
      </c>
      <c r="H460" s="23" t="s">
        <v>58</v>
      </c>
    </row>
    <row r="461" spans="1:8" ht="54.95" customHeight="1" x14ac:dyDescent="0.2">
      <c r="A461" s="23" t="s">
        <v>342</v>
      </c>
      <c r="B461" s="23" t="s">
        <v>11</v>
      </c>
      <c r="C461" s="23" t="s">
        <v>3517</v>
      </c>
      <c r="D461" s="23">
        <v>8891.8029522821907</v>
      </c>
      <c r="E461" s="23">
        <v>2025</v>
      </c>
      <c r="F461" s="15" t="s">
        <v>3299</v>
      </c>
      <c r="G461" s="15" t="s">
        <v>3300</v>
      </c>
      <c r="H461" s="23" t="s">
        <v>58</v>
      </c>
    </row>
    <row r="462" spans="1:8" ht="54.95" customHeight="1" x14ac:dyDescent="0.2">
      <c r="A462" s="23" t="s">
        <v>342</v>
      </c>
      <c r="B462" s="23" t="s">
        <v>13</v>
      </c>
      <c r="C462" s="23" t="s">
        <v>46</v>
      </c>
      <c r="D462" s="23">
        <v>700</v>
      </c>
      <c r="E462" s="23">
        <v>2025</v>
      </c>
      <c r="F462" s="15" t="s">
        <v>3302</v>
      </c>
      <c r="G462" s="15" t="s">
        <v>3300</v>
      </c>
      <c r="H462" s="23" t="s">
        <v>58</v>
      </c>
    </row>
    <row r="463" spans="1:8" ht="54.95" customHeight="1" x14ac:dyDescent="0.2">
      <c r="A463" s="23" t="s">
        <v>342</v>
      </c>
      <c r="B463" s="23" t="s">
        <v>14</v>
      </c>
      <c r="C463" s="23" t="s">
        <v>46</v>
      </c>
      <c r="D463" s="23">
        <v>0</v>
      </c>
      <c r="E463" s="23">
        <v>2025</v>
      </c>
      <c r="F463" s="15" t="s">
        <v>3304</v>
      </c>
      <c r="G463" s="15" t="s">
        <v>3300</v>
      </c>
      <c r="H463" s="23" t="s">
        <v>58</v>
      </c>
    </row>
    <row r="464" spans="1:8" ht="54.95" customHeight="1" x14ac:dyDescent="0.2">
      <c r="A464" s="23" t="s">
        <v>342</v>
      </c>
      <c r="B464" s="23" t="s">
        <v>3</v>
      </c>
      <c r="C464" s="23" t="s">
        <v>3518</v>
      </c>
      <c r="D464" s="23">
        <v>53404.841095890413</v>
      </c>
      <c r="E464" s="23">
        <v>2025</v>
      </c>
      <c r="F464" s="15" t="s">
        <v>3305</v>
      </c>
      <c r="G464" s="15" t="s">
        <v>3306</v>
      </c>
      <c r="H464" s="23" t="s">
        <v>58</v>
      </c>
    </row>
    <row r="465" spans="1:8" ht="54.95" customHeight="1" x14ac:dyDescent="0.2">
      <c r="A465" s="23" t="s">
        <v>342</v>
      </c>
      <c r="B465" s="23" t="s">
        <v>6</v>
      </c>
      <c r="C465" s="23" t="s">
        <v>46</v>
      </c>
      <c r="D465" s="23">
        <v>63.79709971396057</v>
      </c>
      <c r="E465" s="23">
        <v>2025</v>
      </c>
      <c r="F465" s="15" t="s">
        <v>3305</v>
      </c>
      <c r="G465" s="15" t="s">
        <v>3308</v>
      </c>
      <c r="H465" s="23" t="s">
        <v>58</v>
      </c>
    </row>
    <row r="466" spans="1:8" ht="54.95" customHeight="1" x14ac:dyDescent="0.2">
      <c r="A466" s="23" t="s">
        <v>342</v>
      </c>
      <c r="B466" s="23" t="s">
        <v>7</v>
      </c>
      <c r="C466" s="23" t="s">
        <v>46</v>
      </c>
      <c r="D466" s="23">
        <v>15.042246182904664</v>
      </c>
      <c r="E466" s="23">
        <v>2025</v>
      </c>
      <c r="F466" s="15" t="s">
        <v>3305</v>
      </c>
      <c r="G466" s="15" t="s">
        <v>3308</v>
      </c>
      <c r="H466" s="23" t="s">
        <v>58</v>
      </c>
    </row>
    <row r="467" spans="1:8" ht="54.95" customHeight="1" x14ac:dyDescent="0.2">
      <c r="A467" s="23" t="s">
        <v>342</v>
      </c>
      <c r="B467" s="23" t="s">
        <v>8</v>
      </c>
      <c r="C467" s="23" t="s">
        <v>46</v>
      </c>
      <c r="D467" s="23">
        <v>7.7957121223477408</v>
      </c>
      <c r="E467" s="23">
        <v>2025</v>
      </c>
      <c r="F467" s="15" t="s">
        <v>3305</v>
      </c>
      <c r="G467" s="15" t="s">
        <v>3308</v>
      </c>
      <c r="H467" s="23" t="s">
        <v>58</v>
      </c>
    </row>
    <row r="468" spans="1:8" ht="54.95" customHeight="1" x14ac:dyDescent="0.2">
      <c r="A468" s="23" t="s">
        <v>342</v>
      </c>
      <c r="B468" s="23" t="s">
        <v>9</v>
      </c>
      <c r="C468" s="23" t="s">
        <v>46</v>
      </c>
      <c r="D468" s="23" t="s">
        <v>46</v>
      </c>
      <c r="E468" s="23">
        <v>2025</v>
      </c>
      <c r="F468" s="15" t="s">
        <v>3305</v>
      </c>
      <c r="G468" s="15" t="s">
        <v>3357</v>
      </c>
      <c r="H468" s="23" t="s">
        <v>58</v>
      </c>
    </row>
    <row r="469" spans="1:8" ht="54.95" customHeight="1" x14ac:dyDescent="0.2">
      <c r="A469" s="23" t="s">
        <v>342</v>
      </c>
      <c r="B469" s="23" t="s">
        <v>10</v>
      </c>
      <c r="C469" s="23" t="s">
        <v>46</v>
      </c>
      <c r="D469" s="23">
        <v>3.3089196623547597E-2</v>
      </c>
      <c r="E469" s="23">
        <v>2025</v>
      </c>
      <c r="F469" s="15" t="s">
        <v>3305</v>
      </c>
      <c r="G469" s="15" t="s">
        <v>3308</v>
      </c>
      <c r="H469" s="23" t="s">
        <v>58</v>
      </c>
    </row>
    <row r="470" spans="1:8" ht="54.95" customHeight="1" x14ac:dyDescent="0.2">
      <c r="A470" s="23" t="s">
        <v>342</v>
      </c>
      <c r="B470" s="23" t="s">
        <v>5</v>
      </c>
      <c r="C470" s="23" t="s">
        <v>3519</v>
      </c>
      <c r="D470" s="23">
        <v>19.492767000000001</v>
      </c>
      <c r="E470" s="23">
        <v>2025</v>
      </c>
      <c r="F470" s="15" t="s">
        <v>3305</v>
      </c>
      <c r="G470" s="15" t="s">
        <v>3311</v>
      </c>
      <c r="H470" s="23" t="s">
        <v>58</v>
      </c>
    </row>
    <row r="471" spans="1:8" ht="54.95" customHeight="1" x14ac:dyDescent="0.2">
      <c r="A471" s="23" t="s">
        <v>349</v>
      </c>
      <c r="B471" s="23" t="s">
        <v>11</v>
      </c>
      <c r="C471" s="23" t="s">
        <v>3520</v>
      </c>
      <c r="D471" s="23">
        <v>4655066.2774676075</v>
      </c>
      <c r="E471" s="23">
        <v>2025</v>
      </c>
      <c r="F471" s="15" t="s">
        <v>3299</v>
      </c>
      <c r="G471" s="15" t="s">
        <v>3300</v>
      </c>
      <c r="H471" s="23" t="s">
        <v>58</v>
      </c>
    </row>
    <row r="472" spans="1:8" ht="54.95" customHeight="1" x14ac:dyDescent="0.2">
      <c r="A472" s="23" t="s">
        <v>349</v>
      </c>
      <c r="B472" s="23" t="s">
        <v>13</v>
      </c>
      <c r="C472" s="23" t="s">
        <v>46</v>
      </c>
      <c r="D472" s="23">
        <v>3769407.0101649459</v>
      </c>
      <c r="E472" s="23">
        <v>2025</v>
      </c>
      <c r="F472" s="15" t="s">
        <v>3302</v>
      </c>
      <c r="G472" s="15" t="s">
        <v>3300</v>
      </c>
      <c r="H472" s="23" t="s">
        <v>58</v>
      </c>
    </row>
    <row r="473" spans="1:8" ht="54.95" customHeight="1" x14ac:dyDescent="0.2">
      <c r="A473" s="23" t="s">
        <v>349</v>
      </c>
      <c r="B473" s="23" t="s">
        <v>14</v>
      </c>
      <c r="C473" s="23" t="s">
        <v>46</v>
      </c>
      <c r="D473" s="23">
        <v>82809.042286645185</v>
      </c>
      <c r="E473" s="23">
        <v>2025</v>
      </c>
      <c r="F473" s="15" t="s">
        <v>3304</v>
      </c>
      <c r="G473" s="15" t="s">
        <v>3300</v>
      </c>
      <c r="H473" s="23" t="s">
        <v>58</v>
      </c>
    </row>
    <row r="474" spans="1:8" ht="54.95" customHeight="1" x14ac:dyDescent="0.2">
      <c r="A474" s="23" t="s">
        <v>349</v>
      </c>
      <c r="B474" s="23" t="s">
        <v>3</v>
      </c>
      <c r="C474" s="23" t="s">
        <v>3521</v>
      </c>
      <c r="D474" s="23">
        <v>3268781.22138</v>
      </c>
      <c r="E474" s="23">
        <v>2024</v>
      </c>
      <c r="F474" s="15" t="s">
        <v>3316</v>
      </c>
      <c r="G474" s="15" t="s">
        <v>3317</v>
      </c>
      <c r="H474" s="23" t="s">
        <v>58</v>
      </c>
    </row>
    <row r="475" spans="1:8" ht="54.95" customHeight="1" x14ac:dyDescent="0.2">
      <c r="A475" s="23" t="s">
        <v>349</v>
      </c>
      <c r="B475" s="23" t="s">
        <v>6</v>
      </c>
      <c r="C475" s="23" t="s">
        <v>46</v>
      </c>
      <c r="D475" s="23">
        <v>35.543350328888081</v>
      </c>
      <c r="E475" s="23">
        <v>2024</v>
      </c>
      <c r="F475" s="15" t="s">
        <v>3319</v>
      </c>
      <c r="G475" s="15" t="s">
        <v>3320</v>
      </c>
      <c r="H475" s="23" t="s">
        <v>58</v>
      </c>
    </row>
    <row r="476" spans="1:8" ht="54.95" customHeight="1" x14ac:dyDescent="0.2">
      <c r="A476" s="23" t="s">
        <v>349</v>
      </c>
      <c r="B476" s="23" t="s">
        <v>7</v>
      </c>
      <c r="C476" s="23" t="s">
        <v>46</v>
      </c>
      <c r="D476" s="23">
        <v>34.869824800290445</v>
      </c>
      <c r="E476" s="23">
        <v>2024</v>
      </c>
      <c r="F476" s="15" t="s">
        <v>3322</v>
      </c>
      <c r="G476" s="15" t="s">
        <v>3320</v>
      </c>
      <c r="H476" s="23" t="s">
        <v>58</v>
      </c>
    </row>
    <row r="477" spans="1:8" ht="54.95" customHeight="1" x14ac:dyDescent="0.2">
      <c r="A477" s="23" t="s">
        <v>349</v>
      </c>
      <c r="B477" s="23" t="s">
        <v>8</v>
      </c>
      <c r="C477" s="23" t="s">
        <v>46</v>
      </c>
      <c r="D477" s="23">
        <v>7.225783939136929</v>
      </c>
      <c r="E477" s="23">
        <v>2024</v>
      </c>
      <c r="F477" s="15" t="s">
        <v>3324</v>
      </c>
      <c r="G477" s="15" t="s">
        <v>3320</v>
      </c>
      <c r="H477" s="23" t="s">
        <v>58</v>
      </c>
    </row>
    <row r="478" spans="1:8" ht="54.95" customHeight="1" x14ac:dyDescent="0.2">
      <c r="A478" s="23" t="s">
        <v>349</v>
      </c>
      <c r="B478" s="23" t="s">
        <v>9</v>
      </c>
      <c r="C478" s="23" t="s">
        <v>46</v>
      </c>
      <c r="D478" s="23">
        <v>3.7120827250951116</v>
      </c>
      <c r="E478" s="23">
        <v>2024</v>
      </c>
      <c r="F478" s="15" t="s">
        <v>3325</v>
      </c>
      <c r="G478" s="15" t="s">
        <v>3320</v>
      </c>
      <c r="H478" s="23" t="s">
        <v>58</v>
      </c>
    </row>
    <row r="479" spans="1:8" ht="54.95" customHeight="1" x14ac:dyDescent="0.2">
      <c r="A479" s="23" t="s">
        <v>349</v>
      </c>
      <c r="B479" s="23" t="s">
        <v>10</v>
      </c>
      <c r="C479" s="23" t="s">
        <v>46</v>
      </c>
      <c r="D479" s="23">
        <v>2.6498100449020754</v>
      </c>
      <c r="E479" s="23">
        <v>2024</v>
      </c>
      <c r="F479" s="15" t="s">
        <v>3326</v>
      </c>
      <c r="G479" s="15" t="s">
        <v>3320</v>
      </c>
      <c r="H479" s="23" t="s">
        <v>58</v>
      </c>
    </row>
    <row r="480" spans="1:8" ht="54.95" customHeight="1" x14ac:dyDescent="0.2">
      <c r="A480" s="23" t="s">
        <v>349</v>
      </c>
      <c r="B480" s="23" t="s">
        <v>5</v>
      </c>
      <c r="C480" s="23" t="s">
        <v>3522</v>
      </c>
      <c r="D480" s="23">
        <v>1196.3739270250799</v>
      </c>
      <c r="E480" s="23">
        <v>2024</v>
      </c>
      <c r="F480" s="15" t="s">
        <v>3316</v>
      </c>
      <c r="G480" s="15" t="s">
        <v>3311</v>
      </c>
      <c r="H480" s="23" t="s">
        <v>58</v>
      </c>
    </row>
    <row r="481" spans="1:8" ht="54.95" customHeight="1" x14ac:dyDescent="0.2">
      <c r="A481" s="23" t="s">
        <v>356</v>
      </c>
      <c r="B481" s="23" t="s">
        <v>11</v>
      </c>
      <c r="C481" s="23" t="s">
        <v>3523</v>
      </c>
      <c r="D481" s="23">
        <v>1411.551319630137</v>
      </c>
      <c r="E481" s="23">
        <v>2025</v>
      </c>
      <c r="F481" s="15" t="s">
        <v>3299</v>
      </c>
      <c r="G481" s="15" t="s">
        <v>3300</v>
      </c>
      <c r="H481" s="23" t="s">
        <v>58</v>
      </c>
    </row>
    <row r="482" spans="1:8" ht="54.95" customHeight="1" x14ac:dyDescent="0.2">
      <c r="A482" s="23" t="s">
        <v>356</v>
      </c>
      <c r="B482" s="23" t="s">
        <v>13</v>
      </c>
      <c r="C482" s="23" t="s">
        <v>46</v>
      </c>
      <c r="D482" s="23">
        <v>0</v>
      </c>
      <c r="E482" s="23">
        <v>2025</v>
      </c>
      <c r="F482" s="15" t="s">
        <v>3302</v>
      </c>
      <c r="G482" s="15" t="s">
        <v>3300</v>
      </c>
      <c r="H482" s="23" t="s">
        <v>58</v>
      </c>
    </row>
    <row r="483" spans="1:8" ht="54.95" customHeight="1" x14ac:dyDescent="0.2">
      <c r="A483" s="23" t="s">
        <v>356</v>
      </c>
      <c r="B483" s="23" t="s">
        <v>14</v>
      </c>
      <c r="C483" s="23" t="s">
        <v>46</v>
      </c>
      <c r="D483" s="23">
        <v>0</v>
      </c>
      <c r="E483" s="23">
        <v>2025</v>
      </c>
      <c r="F483" s="15" t="s">
        <v>3304</v>
      </c>
      <c r="G483" s="15" t="s">
        <v>3300</v>
      </c>
      <c r="H483" s="23" t="s">
        <v>58</v>
      </c>
    </row>
    <row r="484" spans="1:8" ht="54.95" customHeight="1" x14ac:dyDescent="0.2">
      <c r="A484" s="23" t="s">
        <v>356</v>
      </c>
      <c r="B484" s="23" t="s">
        <v>3</v>
      </c>
      <c r="C484" s="23" t="s">
        <v>3524</v>
      </c>
      <c r="D484" s="23">
        <v>55247.101888000005</v>
      </c>
      <c r="E484" s="23">
        <v>2024</v>
      </c>
      <c r="F484" s="15" t="s">
        <v>3316</v>
      </c>
      <c r="G484" s="15" t="s">
        <v>3317</v>
      </c>
      <c r="H484" s="23" t="s">
        <v>58</v>
      </c>
    </row>
    <row r="485" spans="1:8" ht="54.95" customHeight="1" x14ac:dyDescent="0.2">
      <c r="A485" s="23" t="s">
        <v>356</v>
      </c>
      <c r="B485" s="23" t="s">
        <v>6</v>
      </c>
      <c r="C485" s="23" t="s">
        <v>46</v>
      </c>
      <c r="D485" s="23">
        <v>41.91379418769052</v>
      </c>
      <c r="E485" s="23">
        <v>2024</v>
      </c>
      <c r="F485" s="15" t="s">
        <v>3319</v>
      </c>
      <c r="G485" s="15" t="s">
        <v>3320</v>
      </c>
      <c r="H485" s="23" t="s">
        <v>58</v>
      </c>
    </row>
    <row r="486" spans="1:8" ht="54.95" customHeight="1" x14ac:dyDescent="0.2">
      <c r="A486" s="23" t="s">
        <v>356</v>
      </c>
      <c r="B486" s="23" t="s">
        <v>7</v>
      </c>
      <c r="C486" s="23" t="s">
        <v>46</v>
      </c>
      <c r="D486" s="23">
        <v>24.894194555003985</v>
      </c>
      <c r="E486" s="23">
        <v>2024</v>
      </c>
      <c r="F486" s="15" t="s">
        <v>3322</v>
      </c>
      <c r="G486" s="15" t="s">
        <v>3320</v>
      </c>
      <c r="H486" s="23" t="s">
        <v>58</v>
      </c>
    </row>
    <row r="487" spans="1:8" ht="54.95" customHeight="1" x14ac:dyDescent="0.2">
      <c r="A487" s="23" t="s">
        <v>356</v>
      </c>
      <c r="B487" s="23" t="s">
        <v>8</v>
      </c>
      <c r="C487" s="23" t="s">
        <v>46</v>
      </c>
      <c r="D487" s="23">
        <v>6.9665070591440035</v>
      </c>
      <c r="E487" s="23">
        <v>2024</v>
      </c>
      <c r="F487" s="15" t="s">
        <v>3324</v>
      </c>
      <c r="G487" s="15" t="s">
        <v>3320</v>
      </c>
      <c r="H487" s="23" t="s">
        <v>58</v>
      </c>
    </row>
    <row r="488" spans="1:8" ht="54.95" customHeight="1" x14ac:dyDescent="0.2">
      <c r="A488" s="23" t="s">
        <v>356</v>
      </c>
      <c r="B488" s="23" t="s">
        <v>9</v>
      </c>
      <c r="C488" s="23" t="s">
        <v>46</v>
      </c>
      <c r="D488" s="23">
        <v>3.6997532814367773</v>
      </c>
      <c r="E488" s="23">
        <v>2024</v>
      </c>
      <c r="F488" s="15" t="s">
        <v>3325</v>
      </c>
      <c r="G488" s="15" t="s">
        <v>3320</v>
      </c>
      <c r="H488" s="23" t="s">
        <v>58</v>
      </c>
    </row>
    <row r="489" spans="1:8" ht="54.95" customHeight="1" x14ac:dyDescent="0.2">
      <c r="A489" s="23" t="s">
        <v>356</v>
      </c>
      <c r="B489" s="23" t="s">
        <v>10</v>
      </c>
      <c r="C489" s="23" t="s">
        <v>46</v>
      </c>
      <c r="D489" s="23">
        <v>8.2969729241048871</v>
      </c>
      <c r="E489" s="23">
        <v>2024</v>
      </c>
      <c r="F489" s="15" t="s">
        <v>3326</v>
      </c>
      <c r="G489" s="15" t="s">
        <v>3320</v>
      </c>
      <c r="H489" s="23" t="s">
        <v>58</v>
      </c>
    </row>
    <row r="490" spans="1:8" ht="54.95" customHeight="1" x14ac:dyDescent="0.2">
      <c r="A490" s="23" t="s">
        <v>356</v>
      </c>
      <c r="B490" s="23" t="s">
        <v>5</v>
      </c>
      <c r="C490" s="23" t="s">
        <v>3525</v>
      </c>
      <c r="D490" s="23">
        <v>20.220439291008002</v>
      </c>
      <c r="E490" s="23">
        <v>2024</v>
      </c>
      <c r="F490" s="15" t="s">
        <v>3316</v>
      </c>
      <c r="G490" s="15" t="s">
        <v>3311</v>
      </c>
      <c r="H490" s="23" t="s">
        <v>58</v>
      </c>
    </row>
    <row r="491" spans="1:8" ht="54.95" customHeight="1" x14ac:dyDescent="0.2">
      <c r="A491" s="23" t="s">
        <v>362</v>
      </c>
      <c r="B491" s="23" t="s">
        <v>11</v>
      </c>
      <c r="C491" s="23" t="s">
        <v>3526</v>
      </c>
      <c r="D491" s="23">
        <v>13671.846575342466</v>
      </c>
      <c r="E491" s="23">
        <v>2025</v>
      </c>
      <c r="F491" s="15" t="s">
        <v>3299</v>
      </c>
      <c r="G491" s="15" t="s">
        <v>3300</v>
      </c>
      <c r="H491" s="23" t="s">
        <v>58</v>
      </c>
    </row>
    <row r="492" spans="1:8" ht="54.95" customHeight="1" x14ac:dyDescent="0.2">
      <c r="A492" s="23" t="s">
        <v>362</v>
      </c>
      <c r="B492" s="23" t="s">
        <v>13</v>
      </c>
      <c r="C492" s="23" t="s">
        <v>46</v>
      </c>
      <c r="D492" s="23">
        <v>13671.846575342466</v>
      </c>
      <c r="E492" s="23">
        <v>2025</v>
      </c>
      <c r="F492" s="15" t="s">
        <v>3302</v>
      </c>
      <c r="G492" s="15" t="s">
        <v>3300</v>
      </c>
      <c r="H492" s="23" t="s">
        <v>58</v>
      </c>
    </row>
    <row r="493" spans="1:8" ht="54.95" customHeight="1" x14ac:dyDescent="0.2">
      <c r="A493" s="23" t="s">
        <v>362</v>
      </c>
      <c r="B493" s="23" t="s">
        <v>14</v>
      </c>
      <c r="C493" s="23" t="s">
        <v>46</v>
      </c>
      <c r="D493" s="23">
        <v>0</v>
      </c>
      <c r="E493" s="23">
        <v>2025</v>
      </c>
      <c r="F493" s="15" t="s">
        <v>3304</v>
      </c>
      <c r="G493" s="15" t="s">
        <v>3300</v>
      </c>
      <c r="H493" s="23" t="s">
        <v>58</v>
      </c>
    </row>
    <row r="494" spans="1:8" ht="54.95" customHeight="1" x14ac:dyDescent="0.2">
      <c r="A494" s="23" t="s">
        <v>362</v>
      </c>
      <c r="B494" s="23" t="s">
        <v>3</v>
      </c>
      <c r="C494" s="23" t="s">
        <v>3527</v>
      </c>
      <c r="D494" s="23">
        <v>48219.792365000001</v>
      </c>
      <c r="E494" s="23">
        <v>2024</v>
      </c>
      <c r="F494" s="15" t="s">
        <v>3316</v>
      </c>
      <c r="G494" s="15" t="s">
        <v>3317</v>
      </c>
      <c r="H494" s="23" t="s">
        <v>58</v>
      </c>
    </row>
    <row r="495" spans="1:8" ht="54.95" customHeight="1" x14ac:dyDescent="0.2">
      <c r="A495" s="23" t="s">
        <v>362</v>
      </c>
      <c r="B495" s="23" t="s">
        <v>6</v>
      </c>
      <c r="C495" s="23" t="s">
        <v>46</v>
      </c>
      <c r="D495" s="23">
        <v>58.529560509856829</v>
      </c>
      <c r="E495" s="23">
        <v>2024</v>
      </c>
      <c r="F495" s="15" t="s">
        <v>3319</v>
      </c>
      <c r="G495" s="15" t="s">
        <v>3320</v>
      </c>
      <c r="H495" s="23" t="s">
        <v>58</v>
      </c>
    </row>
    <row r="496" spans="1:8" ht="54.95" customHeight="1" x14ac:dyDescent="0.2">
      <c r="A496" s="23" t="s">
        <v>362</v>
      </c>
      <c r="B496" s="23" t="s">
        <v>7</v>
      </c>
      <c r="C496" s="23" t="s">
        <v>46</v>
      </c>
      <c r="D496" s="23">
        <v>36.269430066427041</v>
      </c>
      <c r="E496" s="23">
        <v>2024</v>
      </c>
      <c r="F496" s="15" t="s">
        <v>3322</v>
      </c>
      <c r="G496" s="15" t="s">
        <v>3320</v>
      </c>
      <c r="H496" s="23" t="s">
        <v>58</v>
      </c>
    </row>
    <row r="497" spans="1:8" ht="54.95" customHeight="1" x14ac:dyDescent="0.2">
      <c r="A497" s="23" t="s">
        <v>362</v>
      </c>
      <c r="B497" s="23" t="s">
        <v>8</v>
      </c>
      <c r="C497" s="23" t="s">
        <v>46</v>
      </c>
      <c r="D497" s="23">
        <v>0</v>
      </c>
      <c r="E497" s="23">
        <v>2024</v>
      </c>
      <c r="F497" s="15" t="s">
        <v>3324</v>
      </c>
      <c r="G497" s="15" t="s">
        <v>3320</v>
      </c>
      <c r="H497" s="23" t="s">
        <v>58</v>
      </c>
    </row>
    <row r="498" spans="1:8" ht="54.95" customHeight="1" x14ac:dyDescent="0.2">
      <c r="A498" s="23" t="s">
        <v>362</v>
      </c>
      <c r="B498" s="23" t="s">
        <v>9</v>
      </c>
      <c r="C498" s="23" t="s">
        <v>46</v>
      </c>
      <c r="D498" s="23">
        <v>5.0808305569940426</v>
      </c>
      <c r="E498" s="23">
        <v>2024</v>
      </c>
      <c r="F498" s="15" t="s">
        <v>3325</v>
      </c>
      <c r="G498" s="15" t="s">
        <v>3320</v>
      </c>
      <c r="H498" s="23" t="s">
        <v>58</v>
      </c>
    </row>
    <row r="499" spans="1:8" ht="54.95" customHeight="1" x14ac:dyDescent="0.2">
      <c r="A499" s="23" t="s">
        <v>362</v>
      </c>
      <c r="B499" s="23" t="s">
        <v>10</v>
      </c>
      <c r="C499" s="23" t="s">
        <v>46</v>
      </c>
      <c r="D499" s="23">
        <v>0.12017886672208611</v>
      </c>
      <c r="E499" s="23">
        <v>2024</v>
      </c>
      <c r="F499" s="15" t="s">
        <v>3326</v>
      </c>
      <c r="G499" s="15" t="s">
        <v>3320</v>
      </c>
      <c r="H499" s="23" t="s">
        <v>58</v>
      </c>
    </row>
    <row r="500" spans="1:8" ht="54.95" customHeight="1" x14ac:dyDescent="0.2">
      <c r="A500" s="23" t="s">
        <v>362</v>
      </c>
      <c r="B500" s="23" t="s">
        <v>5</v>
      </c>
      <c r="C500" s="23" t="s">
        <v>3528</v>
      </c>
      <c r="D500" s="23">
        <v>17.648444005590001</v>
      </c>
      <c r="E500" s="23">
        <v>2024</v>
      </c>
      <c r="F500" s="15" t="s">
        <v>3316</v>
      </c>
      <c r="G500" s="15" t="s">
        <v>3311</v>
      </c>
      <c r="H500" s="23" t="s">
        <v>58</v>
      </c>
    </row>
    <row r="501" spans="1:8" ht="54.95" customHeight="1" x14ac:dyDescent="0.2">
      <c r="A501" s="23" t="s">
        <v>368</v>
      </c>
      <c r="B501" s="23" t="s">
        <v>11</v>
      </c>
      <c r="C501" s="23" t="s">
        <v>3529</v>
      </c>
      <c r="D501" s="23">
        <v>10534547.925824292</v>
      </c>
      <c r="E501" s="23">
        <v>2025</v>
      </c>
      <c r="F501" s="15" t="s">
        <v>3299</v>
      </c>
      <c r="G501" s="15" t="s">
        <v>3300</v>
      </c>
      <c r="H501" s="23" t="s">
        <v>58</v>
      </c>
    </row>
    <row r="502" spans="1:8" ht="54.95" customHeight="1" x14ac:dyDescent="0.2">
      <c r="A502" s="23" t="s">
        <v>368</v>
      </c>
      <c r="B502" s="23" t="s">
        <v>13</v>
      </c>
      <c r="C502" s="23" t="s">
        <v>46</v>
      </c>
      <c r="D502" s="23">
        <v>9885109.03296257</v>
      </c>
      <c r="E502" s="23">
        <v>2025</v>
      </c>
      <c r="F502" s="15" t="s">
        <v>3302</v>
      </c>
      <c r="G502" s="15" t="s">
        <v>3300</v>
      </c>
      <c r="H502" s="23" t="s">
        <v>58</v>
      </c>
    </row>
    <row r="503" spans="1:8" ht="54.95" customHeight="1" x14ac:dyDescent="0.2">
      <c r="A503" s="23" t="s">
        <v>368</v>
      </c>
      <c r="B503" s="23" t="s">
        <v>14</v>
      </c>
      <c r="C503" s="23" t="s">
        <v>46</v>
      </c>
      <c r="D503" s="23">
        <v>621678.16654467606</v>
      </c>
      <c r="E503" s="23">
        <v>2025</v>
      </c>
      <c r="F503" s="15" t="s">
        <v>3304</v>
      </c>
      <c r="G503" s="15" t="s">
        <v>3300</v>
      </c>
      <c r="H503" s="23" t="s">
        <v>58</v>
      </c>
    </row>
    <row r="504" spans="1:8" ht="54.95" customHeight="1" x14ac:dyDescent="0.2">
      <c r="A504" s="23" t="s">
        <v>368</v>
      </c>
      <c r="B504" s="23" t="s">
        <v>3</v>
      </c>
      <c r="C504" s="23" t="s">
        <v>3530</v>
      </c>
      <c r="D504" s="23">
        <v>3801859.2143699606</v>
      </c>
      <c r="E504" s="23">
        <v>2024</v>
      </c>
      <c r="F504" s="15" t="s">
        <v>3316</v>
      </c>
      <c r="G504" s="15" t="s">
        <v>3317</v>
      </c>
      <c r="H504" s="23" t="s">
        <v>58</v>
      </c>
    </row>
    <row r="505" spans="1:8" ht="54.95" customHeight="1" x14ac:dyDescent="0.2">
      <c r="A505" s="23" t="s">
        <v>368</v>
      </c>
      <c r="B505" s="23" t="s">
        <v>6</v>
      </c>
      <c r="C505" s="23" t="s">
        <v>46</v>
      </c>
      <c r="D505" s="23">
        <v>23.767709530822586</v>
      </c>
      <c r="E505" s="23">
        <v>2024</v>
      </c>
      <c r="F505" s="15" t="s">
        <v>3319</v>
      </c>
      <c r="G505" s="15" t="s">
        <v>3320</v>
      </c>
      <c r="H505" s="23" t="s">
        <v>58</v>
      </c>
    </row>
    <row r="506" spans="1:8" ht="54.95" customHeight="1" x14ac:dyDescent="0.2">
      <c r="A506" s="23" t="s">
        <v>368</v>
      </c>
      <c r="B506" s="23" t="s">
        <v>7</v>
      </c>
      <c r="C506" s="23" t="s">
        <v>46</v>
      </c>
      <c r="D506" s="23">
        <v>23.973130148893087</v>
      </c>
      <c r="E506" s="23">
        <v>2024</v>
      </c>
      <c r="F506" s="15" t="s">
        <v>3322</v>
      </c>
      <c r="G506" s="15" t="s">
        <v>3320</v>
      </c>
      <c r="H506" s="23" t="s">
        <v>58</v>
      </c>
    </row>
    <row r="507" spans="1:8" ht="54.95" customHeight="1" x14ac:dyDescent="0.2">
      <c r="A507" s="23" t="s">
        <v>368</v>
      </c>
      <c r="B507" s="23" t="s">
        <v>8</v>
      </c>
      <c r="C507" s="23" t="s">
        <v>46</v>
      </c>
      <c r="D507" s="23">
        <v>23.66681429441385</v>
      </c>
      <c r="E507" s="23">
        <v>2024</v>
      </c>
      <c r="F507" s="15" t="s">
        <v>3324</v>
      </c>
      <c r="G507" s="15" t="s">
        <v>3320</v>
      </c>
      <c r="H507" s="23" t="s">
        <v>58</v>
      </c>
    </row>
    <row r="508" spans="1:8" ht="54.95" customHeight="1" x14ac:dyDescent="0.2">
      <c r="A508" s="23" t="s">
        <v>368</v>
      </c>
      <c r="B508" s="23" t="s">
        <v>9</v>
      </c>
      <c r="C508" s="23" t="s">
        <v>46</v>
      </c>
      <c r="D508" s="23">
        <v>6.2864237020072542</v>
      </c>
      <c r="E508" s="23">
        <v>2024</v>
      </c>
      <c r="F508" s="15" t="s">
        <v>3325</v>
      </c>
      <c r="G508" s="15" t="s">
        <v>3320</v>
      </c>
      <c r="H508" s="23" t="s">
        <v>58</v>
      </c>
    </row>
    <row r="509" spans="1:8" ht="54.95" customHeight="1" x14ac:dyDescent="0.2">
      <c r="A509" s="23" t="s">
        <v>368</v>
      </c>
      <c r="B509" s="23" t="s">
        <v>10</v>
      </c>
      <c r="C509" s="23" t="s">
        <v>46</v>
      </c>
      <c r="D509" s="23">
        <v>1.3951006659984828</v>
      </c>
      <c r="E509" s="23">
        <v>2024</v>
      </c>
      <c r="F509" s="15" t="s">
        <v>3326</v>
      </c>
      <c r="G509" s="15" t="s">
        <v>3320</v>
      </c>
      <c r="H509" s="23" t="s">
        <v>58</v>
      </c>
    </row>
    <row r="510" spans="1:8" ht="54.95" customHeight="1" x14ac:dyDescent="0.2">
      <c r="A510" s="23" t="s">
        <v>368</v>
      </c>
      <c r="B510" s="23" t="s">
        <v>5</v>
      </c>
      <c r="C510" s="23" t="s">
        <v>3531</v>
      </c>
      <c r="D510" s="23">
        <v>1391.4804724594057</v>
      </c>
      <c r="E510" s="23">
        <v>2024</v>
      </c>
      <c r="F510" s="15" t="s">
        <v>3316</v>
      </c>
      <c r="G510" s="15" t="s">
        <v>3311</v>
      </c>
      <c r="H510" s="23" t="s">
        <v>58</v>
      </c>
    </row>
    <row r="511" spans="1:8" ht="54.95" customHeight="1" x14ac:dyDescent="0.2">
      <c r="A511" s="23" t="s">
        <v>374</v>
      </c>
      <c r="B511" s="23" t="s">
        <v>11</v>
      </c>
      <c r="C511" s="23" t="s">
        <v>3532</v>
      </c>
      <c r="D511" s="23">
        <v>10891.300593235617</v>
      </c>
      <c r="E511" s="23">
        <v>2025</v>
      </c>
      <c r="F511" s="15" t="s">
        <v>3299</v>
      </c>
      <c r="G511" s="15" t="s">
        <v>3300</v>
      </c>
      <c r="H511" s="23" t="s">
        <v>58</v>
      </c>
    </row>
    <row r="512" spans="1:8" ht="54.95" customHeight="1" x14ac:dyDescent="0.2">
      <c r="A512" s="23" t="s">
        <v>374</v>
      </c>
      <c r="B512" s="23" t="s">
        <v>13</v>
      </c>
      <c r="C512" s="23" t="s">
        <v>46</v>
      </c>
      <c r="D512" s="23">
        <v>1345.5506849315068</v>
      </c>
      <c r="E512" s="23">
        <v>2025</v>
      </c>
      <c r="F512" s="15" t="s">
        <v>3302</v>
      </c>
      <c r="G512" s="15" t="s">
        <v>3300</v>
      </c>
      <c r="H512" s="23" t="s">
        <v>58</v>
      </c>
    </row>
    <row r="513" spans="1:8" ht="54.95" customHeight="1" x14ac:dyDescent="0.2">
      <c r="A513" s="23" t="s">
        <v>374</v>
      </c>
      <c r="B513" s="23" t="s">
        <v>14</v>
      </c>
      <c r="C513" s="23" t="s">
        <v>46</v>
      </c>
      <c r="D513" s="23">
        <v>0</v>
      </c>
      <c r="E513" s="23">
        <v>2025</v>
      </c>
      <c r="F513" s="15" t="s">
        <v>3304</v>
      </c>
      <c r="G513" s="15" t="s">
        <v>3300</v>
      </c>
      <c r="H513" s="23" t="s">
        <v>58</v>
      </c>
    </row>
    <row r="514" spans="1:8" ht="54.95" customHeight="1" x14ac:dyDescent="0.2">
      <c r="A514" s="23" t="s">
        <v>374</v>
      </c>
      <c r="B514" s="23" t="s">
        <v>3</v>
      </c>
      <c r="C514" s="23" t="s">
        <v>3533</v>
      </c>
      <c r="D514" s="23">
        <v>218926.02739726027</v>
      </c>
      <c r="E514" s="23">
        <v>2025</v>
      </c>
      <c r="F514" s="15" t="s">
        <v>3305</v>
      </c>
      <c r="G514" s="15" t="s">
        <v>3306</v>
      </c>
      <c r="H514" s="23" t="s">
        <v>58</v>
      </c>
    </row>
    <row r="515" spans="1:8" ht="54.95" customHeight="1" x14ac:dyDescent="0.2">
      <c r="A515" s="23" t="s">
        <v>374</v>
      </c>
      <c r="B515" s="23" t="s">
        <v>6</v>
      </c>
      <c r="C515" s="23" t="s">
        <v>46</v>
      </c>
      <c r="D515" s="23">
        <v>51.542598988837163</v>
      </c>
      <c r="E515" s="23">
        <v>2025</v>
      </c>
      <c r="F515" s="15" t="s">
        <v>3305</v>
      </c>
      <c r="G515" s="15" t="s">
        <v>3308</v>
      </c>
      <c r="H515" s="23" t="s">
        <v>58</v>
      </c>
    </row>
    <row r="516" spans="1:8" ht="54.95" customHeight="1" x14ac:dyDescent="0.2">
      <c r="A516" s="23" t="s">
        <v>374</v>
      </c>
      <c r="B516" s="23" t="s">
        <v>7</v>
      </c>
      <c r="C516" s="23" t="s">
        <v>46</v>
      </c>
      <c r="D516" s="23">
        <v>19.372778695499825</v>
      </c>
      <c r="E516" s="23">
        <v>2025</v>
      </c>
      <c r="F516" s="15" t="s">
        <v>3305</v>
      </c>
      <c r="G516" s="15" t="s">
        <v>3308</v>
      </c>
      <c r="H516" s="23" t="s">
        <v>58</v>
      </c>
    </row>
    <row r="517" spans="1:8" ht="54.95" customHeight="1" x14ac:dyDescent="0.2">
      <c r="A517" s="23" t="s">
        <v>374</v>
      </c>
      <c r="B517" s="23" t="s">
        <v>8</v>
      </c>
      <c r="C517" s="23" t="s">
        <v>46</v>
      </c>
      <c r="D517" s="23">
        <v>5.3421434649847326</v>
      </c>
      <c r="E517" s="23">
        <v>2025</v>
      </c>
      <c r="F517" s="15" t="s">
        <v>3305</v>
      </c>
      <c r="G517" s="15" t="s">
        <v>3308</v>
      </c>
      <c r="H517" s="23" t="s">
        <v>58</v>
      </c>
    </row>
    <row r="518" spans="1:8" ht="54.95" customHeight="1" x14ac:dyDescent="0.2">
      <c r="A518" s="23" t="s">
        <v>374</v>
      </c>
      <c r="B518" s="23" t="s">
        <v>9</v>
      </c>
      <c r="C518" s="23" t="s">
        <v>46</v>
      </c>
      <c r="D518" s="23">
        <v>9.1513240226260208</v>
      </c>
      <c r="E518" s="23">
        <v>2025</v>
      </c>
      <c r="F518" s="15" t="s">
        <v>3305</v>
      </c>
      <c r="G518" s="15" t="s">
        <v>3308</v>
      </c>
      <c r="H518" s="23" t="s">
        <v>58</v>
      </c>
    </row>
    <row r="519" spans="1:8" ht="54.95" customHeight="1" x14ac:dyDescent="0.2">
      <c r="A519" s="23" t="s">
        <v>374</v>
      </c>
      <c r="B519" s="23" t="s">
        <v>10</v>
      </c>
      <c r="C519" s="23" t="s">
        <v>46</v>
      </c>
      <c r="D519" s="23">
        <v>0.4439480402462832</v>
      </c>
      <c r="E519" s="23">
        <v>2025</v>
      </c>
      <c r="F519" s="15" t="s">
        <v>3305</v>
      </c>
      <c r="G519" s="15" t="s">
        <v>3308</v>
      </c>
      <c r="H519" s="23" t="s">
        <v>58</v>
      </c>
    </row>
    <row r="520" spans="1:8" ht="54.95" customHeight="1" x14ac:dyDescent="0.2">
      <c r="A520" s="23" t="s">
        <v>374</v>
      </c>
      <c r="B520" s="23" t="s">
        <v>5</v>
      </c>
      <c r="C520" s="23" t="s">
        <v>3534</v>
      </c>
      <c r="D520" s="23">
        <v>79.908000000000001</v>
      </c>
      <c r="E520" s="23">
        <v>2025</v>
      </c>
      <c r="F520" s="15" t="s">
        <v>3305</v>
      </c>
      <c r="G520" s="15" t="s">
        <v>3311</v>
      </c>
      <c r="H520" s="23" t="s">
        <v>58</v>
      </c>
    </row>
    <row r="521" spans="1:8" ht="54.95" customHeight="1" x14ac:dyDescent="0.2">
      <c r="A521" s="23" t="s">
        <v>381</v>
      </c>
      <c r="B521" s="23" t="s">
        <v>11</v>
      </c>
      <c r="C521" s="23" t="s">
        <v>3535</v>
      </c>
      <c r="D521" s="23">
        <v>185636.78917555342</v>
      </c>
      <c r="E521" s="23">
        <v>2025</v>
      </c>
      <c r="F521" s="15" t="s">
        <v>3299</v>
      </c>
      <c r="G521" s="15" t="s">
        <v>3300</v>
      </c>
      <c r="H521" s="23" t="s">
        <v>58</v>
      </c>
    </row>
    <row r="522" spans="1:8" ht="54.95" customHeight="1" x14ac:dyDescent="0.2">
      <c r="A522" s="23" t="s">
        <v>381</v>
      </c>
      <c r="B522" s="23" t="s">
        <v>13</v>
      </c>
      <c r="C522" s="23" t="s">
        <v>46</v>
      </c>
      <c r="D522" s="23">
        <v>31579.964383561644</v>
      </c>
      <c r="E522" s="23">
        <v>2025</v>
      </c>
      <c r="F522" s="15" t="s">
        <v>3302</v>
      </c>
      <c r="G522" s="15" t="s">
        <v>3300</v>
      </c>
      <c r="H522" s="23" t="s">
        <v>58</v>
      </c>
    </row>
    <row r="523" spans="1:8" ht="54.95" customHeight="1" x14ac:dyDescent="0.2">
      <c r="A523" s="23" t="s">
        <v>381</v>
      </c>
      <c r="B523" s="23" t="s">
        <v>14</v>
      </c>
      <c r="C523" s="23" t="s">
        <v>46</v>
      </c>
      <c r="D523" s="23">
        <v>0</v>
      </c>
      <c r="E523" s="23">
        <v>2025</v>
      </c>
      <c r="F523" s="15" t="s">
        <v>3304</v>
      </c>
      <c r="G523" s="15" t="s">
        <v>3300</v>
      </c>
      <c r="H523" s="23" t="s">
        <v>58</v>
      </c>
    </row>
    <row r="524" spans="1:8" ht="54.95" customHeight="1" x14ac:dyDescent="0.2">
      <c r="A524" s="23" t="s">
        <v>381</v>
      </c>
      <c r="B524" s="23" t="s">
        <v>3</v>
      </c>
      <c r="C524" s="23" t="s">
        <v>3536</v>
      </c>
      <c r="D524" s="23">
        <v>2172808.2191780824</v>
      </c>
      <c r="E524" s="23">
        <v>2025</v>
      </c>
      <c r="F524" s="15" t="s">
        <v>3305</v>
      </c>
      <c r="G524" s="15" t="s">
        <v>3306</v>
      </c>
      <c r="H524" s="23" t="s">
        <v>58</v>
      </c>
    </row>
    <row r="525" spans="1:8" ht="54.95" customHeight="1" x14ac:dyDescent="0.2">
      <c r="A525" s="23" t="s">
        <v>381</v>
      </c>
      <c r="B525" s="23" t="s">
        <v>6</v>
      </c>
      <c r="C525" s="23" t="s">
        <v>3537</v>
      </c>
      <c r="D525" s="23">
        <v>42.092808372474231</v>
      </c>
      <c r="E525" s="23">
        <v>2025</v>
      </c>
      <c r="F525" s="15" t="s">
        <v>3305</v>
      </c>
      <c r="G525" s="15" t="s">
        <v>3308</v>
      </c>
      <c r="H525" s="23" t="s">
        <v>58</v>
      </c>
    </row>
    <row r="526" spans="1:8" ht="54.95" customHeight="1" x14ac:dyDescent="0.2">
      <c r="A526" s="23" t="s">
        <v>381</v>
      </c>
      <c r="B526" s="23" t="s">
        <v>7</v>
      </c>
      <c r="C526" s="23" t="s">
        <v>3538</v>
      </c>
      <c r="D526" s="23">
        <v>21.892273744601709</v>
      </c>
      <c r="E526" s="23">
        <v>2025</v>
      </c>
      <c r="F526" s="15" t="s">
        <v>3305</v>
      </c>
      <c r="G526" s="15" t="s">
        <v>3308</v>
      </c>
      <c r="H526" s="23" t="s">
        <v>58</v>
      </c>
    </row>
    <row r="527" spans="1:8" ht="54.95" customHeight="1" x14ac:dyDescent="0.2">
      <c r="A527" s="23" t="s">
        <v>381</v>
      </c>
      <c r="B527" s="23" t="s">
        <v>8</v>
      </c>
      <c r="C527" s="23" t="s">
        <v>46</v>
      </c>
      <c r="D527" s="23">
        <v>4.5605774989755066</v>
      </c>
      <c r="E527" s="23">
        <v>2025</v>
      </c>
      <c r="F527" s="15" t="s">
        <v>3305</v>
      </c>
      <c r="G527" s="15" t="s">
        <v>3308</v>
      </c>
      <c r="H527" s="23" t="s">
        <v>58</v>
      </c>
    </row>
    <row r="528" spans="1:8" ht="54.95" customHeight="1" x14ac:dyDescent="0.2">
      <c r="A528" s="23" t="s">
        <v>381</v>
      </c>
      <c r="B528" s="23" t="s">
        <v>9</v>
      </c>
      <c r="C528" s="23" t="s">
        <v>46</v>
      </c>
      <c r="D528" s="23">
        <v>17.742730510985723</v>
      </c>
      <c r="E528" s="23">
        <v>2025</v>
      </c>
      <c r="F528" s="15" t="s">
        <v>3305</v>
      </c>
      <c r="G528" s="15" t="s">
        <v>3308</v>
      </c>
      <c r="H528" s="23" t="s">
        <v>58</v>
      </c>
    </row>
    <row r="529" spans="1:8" ht="54.95" customHeight="1" x14ac:dyDescent="0.2">
      <c r="A529" s="23" t="s">
        <v>381</v>
      </c>
      <c r="B529" s="23" t="s">
        <v>10</v>
      </c>
      <c r="C529" s="23" t="s">
        <v>46</v>
      </c>
      <c r="D529" s="23">
        <v>2.2951044983135263</v>
      </c>
      <c r="E529" s="23">
        <v>2025</v>
      </c>
      <c r="F529" s="15" t="s">
        <v>3305</v>
      </c>
      <c r="G529" s="15" t="s">
        <v>3308</v>
      </c>
      <c r="H529" s="23" t="s">
        <v>58</v>
      </c>
    </row>
    <row r="530" spans="1:8" ht="54.95" customHeight="1" x14ac:dyDescent="0.2">
      <c r="A530" s="23" t="s">
        <v>381</v>
      </c>
      <c r="B530" s="23" t="s">
        <v>5</v>
      </c>
      <c r="C530" s="23" t="s">
        <v>3539</v>
      </c>
      <c r="D530" s="23">
        <v>793.07500000000016</v>
      </c>
      <c r="E530" s="23">
        <v>2025</v>
      </c>
      <c r="F530" s="15" t="s">
        <v>3305</v>
      </c>
      <c r="G530" s="15" t="s">
        <v>3311</v>
      </c>
      <c r="H530" s="23" t="s">
        <v>58</v>
      </c>
    </row>
    <row r="531" spans="1:8" ht="54.95" customHeight="1" x14ac:dyDescent="0.2">
      <c r="A531" s="23" t="s">
        <v>388</v>
      </c>
      <c r="B531" s="23" t="s">
        <v>11</v>
      </c>
      <c r="C531" s="23" t="s">
        <v>46</v>
      </c>
      <c r="D531" s="23">
        <v>22098.94794520548</v>
      </c>
      <c r="E531" s="23">
        <v>2025</v>
      </c>
      <c r="F531" s="15" t="s">
        <v>3299</v>
      </c>
      <c r="G531" s="15" t="s">
        <v>3300</v>
      </c>
      <c r="H531" s="23" t="s">
        <v>58</v>
      </c>
    </row>
    <row r="532" spans="1:8" ht="54.95" customHeight="1" x14ac:dyDescent="0.2">
      <c r="A532" s="23" t="s">
        <v>388</v>
      </c>
      <c r="B532" s="23" t="s">
        <v>13</v>
      </c>
      <c r="C532" s="23" t="s">
        <v>46</v>
      </c>
      <c r="D532" s="23">
        <v>0</v>
      </c>
      <c r="E532" s="23">
        <v>2025</v>
      </c>
      <c r="F532" s="15" t="s">
        <v>3302</v>
      </c>
      <c r="G532" s="15" t="s">
        <v>3300</v>
      </c>
      <c r="H532" s="23" t="s">
        <v>58</v>
      </c>
    </row>
    <row r="533" spans="1:8" ht="54.95" customHeight="1" x14ac:dyDescent="0.2">
      <c r="A533" s="23" t="s">
        <v>388</v>
      </c>
      <c r="B533" s="23" t="s">
        <v>14</v>
      </c>
      <c r="C533" s="23" t="s">
        <v>46</v>
      </c>
      <c r="D533" s="23">
        <v>0</v>
      </c>
      <c r="E533" s="23">
        <v>2025</v>
      </c>
      <c r="F533" s="15" t="s">
        <v>3304</v>
      </c>
      <c r="G533" s="15" t="s">
        <v>3300</v>
      </c>
      <c r="H533" s="23" t="s">
        <v>58</v>
      </c>
    </row>
    <row r="534" spans="1:8" ht="54.95" customHeight="1" x14ac:dyDescent="0.2">
      <c r="A534" s="23" t="s">
        <v>388</v>
      </c>
      <c r="B534" s="23" t="s">
        <v>3</v>
      </c>
      <c r="C534" s="23" t="s">
        <v>46</v>
      </c>
      <c r="D534" s="23">
        <v>22912.328767123287</v>
      </c>
      <c r="E534" s="23">
        <v>2025</v>
      </c>
      <c r="F534" s="15" t="s">
        <v>3305</v>
      </c>
      <c r="G534" s="15" t="s">
        <v>3306</v>
      </c>
      <c r="H534" s="23" t="s">
        <v>58</v>
      </c>
    </row>
    <row r="535" spans="1:8" ht="54.95" customHeight="1" x14ac:dyDescent="0.2">
      <c r="A535" s="23" t="s">
        <v>388</v>
      </c>
      <c r="B535" s="23" t="s">
        <v>6</v>
      </c>
      <c r="C535" s="23" t="s">
        <v>46</v>
      </c>
      <c r="D535" s="23">
        <v>72.253975845988279</v>
      </c>
      <c r="E535" s="23">
        <v>2025</v>
      </c>
      <c r="F535" s="15" t="s">
        <v>3305</v>
      </c>
      <c r="G535" s="15" t="s">
        <v>3308</v>
      </c>
      <c r="H535" s="23" t="s">
        <v>58</v>
      </c>
    </row>
    <row r="536" spans="1:8" ht="54.95" customHeight="1" x14ac:dyDescent="0.2">
      <c r="A536" s="23" t="s">
        <v>388</v>
      </c>
      <c r="B536" s="23" t="s">
        <v>7</v>
      </c>
      <c r="C536" s="23" t="s">
        <v>46</v>
      </c>
      <c r="D536" s="23">
        <v>21.117421977759175</v>
      </c>
      <c r="E536" s="23">
        <v>2025</v>
      </c>
      <c r="F536" s="15" t="s">
        <v>3305</v>
      </c>
      <c r="G536" s="15" t="s">
        <v>3308</v>
      </c>
      <c r="H536" s="23" t="s">
        <v>58</v>
      </c>
    </row>
    <row r="537" spans="1:8" ht="54.95" customHeight="1" x14ac:dyDescent="0.2">
      <c r="A537" s="23" t="s">
        <v>388</v>
      </c>
      <c r="B537" s="23" t="s">
        <v>8</v>
      </c>
      <c r="C537" s="23" t="s">
        <v>46</v>
      </c>
      <c r="D537" s="23">
        <v>1.9418868826975966</v>
      </c>
      <c r="E537" s="23">
        <v>2025</v>
      </c>
      <c r="F537" s="15" t="s">
        <v>3305</v>
      </c>
      <c r="G537" s="15" t="s">
        <v>3308</v>
      </c>
      <c r="H537" s="23" t="s">
        <v>58</v>
      </c>
    </row>
    <row r="538" spans="1:8" ht="54.95" customHeight="1" x14ac:dyDescent="0.2">
      <c r="A538" s="23" t="s">
        <v>388</v>
      </c>
      <c r="B538" s="23" t="s">
        <v>9</v>
      </c>
      <c r="C538" s="23" t="s">
        <v>46</v>
      </c>
      <c r="D538" s="23">
        <v>0.56534736338634461</v>
      </c>
      <c r="E538" s="23">
        <v>2025</v>
      </c>
      <c r="F538" s="15" t="s">
        <v>3305</v>
      </c>
      <c r="G538" s="15" t="s">
        <v>3308</v>
      </c>
      <c r="H538" s="23" t="s">
        <v>58</v>
      </c>
    </row>
    <row r="539" spans="1:8" ht="54.95" customHeight="1" x14ac:dyDescent="0.2">
      <c r="A539" s="23" t="s">
        <v>388</v>
      </c>
      <c r="B539" s="23" t="s">
        <v>10</v>
      </c>
      <c r="C539" s="23" t="s">
        <v>46</v>
      </c>
      <c r="D539" s="23">
        <v>4.3961497070429267</v>
      </c>
      <c r="E539" s="23">
        <v>2025</v>
      </c>
      <c r="F539" s="15" t="s">
        <v>3305</v>
      </c>
      <c r="G539" s="15" t="s">
        <v>3308</v>
      </c>
      <c r="H539" s="23" t="s">
        <v>58</v>
      </c>
    </row>
    <row r="540" spans="1:8" ht="54.95" customHeight="1" x14ac:dyDescent="0.2">
      <c r="A540" s="23" t="s">
        <v>388</v>
      </c>
      <c r="B540" s="23" t="s">
        <v>5</v>
      </c>
      <c r="C540" s="23" t="s">
        <v>46</v>
      </c>
      <c r="D540" s="23">
        <v>8.3629999999999995</v>
      </c>
      <c r="E540" s="23">
        <v>2025</v>
      </c>
      <c r="F540" s="15" t="s">
        <v>3305</v>
      </c>
      <c r="G540" s="15" t="s">
        <v>3311</v>
      </c>
      <c r="H540" s="23" t="s">
        <v>58</v>
      </c>
    </row>
    <row r="541" spans="1:8" ht="54.95" customHeight="1" x14ac:dyDescent="0.2">
      <c r="A541" s="23" t="s">
        <v>395</v>
      </c>
      <c r="B541" s="23" t="s">
        <v>11</v>
      </c>
      <c r="C541" s="23" t="s">
        <v>3540</v>
      </c>
      <c r="D541" s="23">
        <v>1595</v>
      </c>
      <c r="E541" s="23">
        <v>2025</v>
      </c>
      <c r="F541" s="15" t="s">
        <v>3299</v>
      </c>
      <c r="G541" s="15" t="s">
        <v>3300</v>
      </c>
      <c r="H541" s="23" t="s">
        <v>58</v>
      </c>
    </row>
    <row r="542" spans="1:8" ht="54.95" customHeight="1" x14ac:dyDescent="0.2">
      <c r="A542" s="23" t="s">
        <v>395</v>
      </c>
      <c r="B542" s="23" t="s">
        <v>13</v>
      </c>
      <c r="C542" s="23" t="s">
        <v>46</v>
      </c>
      <c r="D542" s="23">
        <v>0</v>
      </c>
      <c r="E542" s="23">
        <v>2025</v>
      </c>
      <c r="F542" s="15" t="s">
        <v>3302</v>
      </c>
      <c r="G542" s="15" t="s">
        <v>3300</v>
      </c>
      <c r="H542" s="23" t="s">
        <v>58</v>
      </c>
    </row>
    <row r="543" spans="1:8" ht="54.95" customHeight="1" x14ac:dyDescent="0.2">
      <c r="A543" s="23" t="s">
        <v>395</v>
      </c>
      <c r="B543" s="23" t="s">
        <v>14</v>
      </c>
      <c r="C543" s="23" t="s">
        <v>46</v>
      </c>
      <c r="D543" s="23">
        <v>0</v>
      </c>
      <c r="E543" s="23">
        <v>2025</v>
      </c>
      <c r="F543" s="15" t="s">
        <v>3304</v>
      </c>
      <c r="G543" s="15" t="s">
        <v>3300</v>
      </c>
      <c r="H543" s="23" t="s">
        <v>58</v>
      </c>
    </row>
    <row r="544" spans="1:8" ht="54.95" customHeight="1" x14ac:dyDescent="0.2">
      <c r="A544" s="23" t="s">
        <v>395</v>
      </c>
      <c r="B544" s="23" t="s">
        <v>3</v>
      </c>
      <c r="C544" s="23" t="s">
        <v>3541</v>
      </c>
      <c r="D544" s="23">
        <v>32816.438356164384</v>
      </c>
      <c r="E544" s="23">
        <v>2025</v>
      </c>
      <c r="F544" s="15" t="s">
        <v>3305</v>
      </c>
      <c r="G544" s="15" t="s">
        <v>3306</v>
      </c>
      <c r="H544" s="23" t="s">
        <v>58</v>
      </c>
    </row>
    <row r="545" spans="1:8" ht="54.95" customHeight="1" x14ac:dyDescent="0.2">
      <c r="A545" s="23" t="s">
        <v>395</v>
      </c>
      <c r="B545" s="23" t="s">
        <v>6</v>
      </c>
      <c r="C545" s="23" t="s">
        <v>46</v>
      </c>
      <c r="D545" s="23">
        <v>67.014192686592082</v>
      </c>
      <c r="E545" s="23">
        <v>2025</v>
      </c>
      <c r="F545" s="15" t="s">
        <v>3305</v>
      </c>
      <c r="G545" s="15" t="s">
        <v>3308</v>
      </c>
      <c r="H545" s="23" t="s">
        <v>58</v>
      </c>
    </row>
    <row r="546" spans="1:8" ht="54.95" customHeight="1" x14ac:dyDescent="0.2">
      <c r="A546" s="23" t="s">
        <v>395</v>
      </c>
      <c r="B546" s="23" t="s">
        <v>7</v>
      </c>
      <c r="C546" s="23" t="s">
        <v>46</v>
      </c>
      <c r="D546" s="23">
        <v>11.851728168308567</v>
      </c>
      <c r="E546" s="23">
        <v>2025</v>
      </c>
      <c r="F546" s="15" t="s">
        <v>3305</v>
      </c>
      <c r="G546" s="15" t="s">
        <v>3308</v>
      </c>
      <c r="H546" s="23" t="s">
        <v>58</v>
      </c>
    </row>
    <row r="547" spans="1:8" ht="54.95" customHeight="1" x14ac:dyDescent="0.2">
      <c r="A547" s="23" t="s">
        <v>395</v>
      </c>
      <c r="B547" s="23" t="s">
        <v>8</v>
      </c>
      <c r="C547" s="23" t="s">
        <v>46</v>
      </c>
      <c r="D547" s="23">
        <v>7.4570045082651522</v>
      </c>
      <c r="E547" s="23">
        <v>2025</v>
      </c>
      <c r="F547" s="15" t="s">
        <v>3305</v>
      </c>
      <c r="G547" s="15" t="s">
        <v>3308</v>
      </c>
      <c r="H547" s="23" t="s">
        <v>58</v>
      </c>
    </row>
    <row r="548" spans="1:8" ht="54.95" customHeight="1" x14ac:dyDescent="0.2">
      <c r="A548" s="23" t="s">
        <v>395</v>
      </c>
      <c r="B548" s="23" t="s">
        <v>9</v>
      </c>
      <c r="C548" s="23" t="s">
        <v>46</v>
      </c>
      <c r="D548" s="23">
        <v>17.104691935214561</v>
      </c>
      <c r="E548" s="23">
        <v>2025</v>
      </c>
      <c r="F548" s="15" t="s">
        <v>3305</v>
      </c>
      <c r="G548" s="15" t="s">
        <v>3308</v>
      </c>
      <c r="H548" s="23" t="s">
        <v>58</v>
      </c>
    </row>
    <row r="549" spans="1:8" ht="54.95" customHeight="1" x14ac:dyDescent="0.2">
      <c r="A549" s="23" t="s">
        <v>395</v>
      </c>
      <c r="B549" s="23" t="s">
        <v>10</v>
      </c>
      <c r="C549" s="23" t="s">
        <v>46</v>
      </c>
      <c r="D549" s="23">
        <v>0</v>
      </c>
      <c r="E549" s="23">
        <v>2025</v>
      </c>
      <c r="F549" s="15" t="s">
        <v>3305</v>
      </c>
      <c r="G549" s="15" t="s">
        <v>3308</v>
      </c>
      <c r="H549" s="23" t="s">
        <v>58</v>
      </c>
    </row>
    <row r="550" spans="1:8" ht="54.95" customHeight="1" x14ac:dyDescent="0.2">
      <c r="A550" s="23" t="s">
        <v>395</v>
      </c>
      <c r="B550" s="23" t="s">
        <v>5</v>
      </c>
      <c r="C550" s="23" t="s">
        <v>3542</v>
      </c>
      <c r="D550" s="23">
        <v>11.978</v>
      </c>
      <c r="E550" s="23">
        <v>2025</v>
      </c>
      <c r="F550" s="15" t="s">
        <v>3305</v>
      </c>
      <c r="G550" s="15" t="s">
        <v>3311</v>
      </c>
      <c r="H550" s="23" t="s">
        <v>58</v>
      </c>
    </row>
    <row r="551" spans="1:8" ht="54.95" customHeight="1" x14ac:dyDescent="0.2">
      <c r="A551" s="23" t="s">
        <v>401</v>
      </c>
      <c r="B551" s="23" t="s">
        <v>11</v>
      </c>
      <c r="C551" s="23" t="s">
        <v>3543</v>
      </c>
      <c r="D551" s="23">
        <v>2051847.5245633535</v>
      </c>
      <c r="E551" s="23">
        <v>2025</v>
      </c>
      <c r="F551" s="15" t="s">
        <v>3299</v>
      </c>
      <c r="G551" s="15" t="s">
        <v>3300</v>
      </c>
      <c r="H551" s="23" t="s">
        <v>58</v>
      </c>
    </row>
    <row r="552" spans="1:8" ht="54.95" customHeight="1" x14ac:dyDescent="0.2">
      <c r="A552" s="23" t="s">
        <v>401</v>
      </c>
      <c r="B552" s="23" t="s">
        <v>13</v>
      </c>
      <c r="C552" s="23" t="s">
        <v>46</v>
      </c>
      <c r="D552" s="23">
        <v>1858464.2345479452</v>
      </c>
      <c r="E552" s="23">
        <v>2025</v>
      </c>
      <c r="F552" s="15" t="s">
        <v>3302</v>
      </c>
      <c r="G552" s="15" t="s">
        <v>3300</v>
      </c>
      <c r="H552" s="23" t="s">
        <v>58</v>
      </c>
    </row>
    <row r="553" spans="1:8" ht="54.95" customHeight="1" x14ac:dyDescent="0.2">
      <c r="A553" s="23" t="s">
        <v>401</v>
      </c>
      <c r="B553" s="23" t="s">
        <v>14</v>
      </c>
      <c r="C553" s="23" t="s">
        <v>46</v>
      </c>
      <c r="D553" s="23">
        <v>187033.51189041097</v>
      </c>
      <c r="E553" s="23">
        <v>2025</v>
      </c>
      <c r="F553" s="15" t="s">
        <v>3304</v>
      </c>
      <c r="G553" s="15" t="s">
        <v>3300</v>
      </c>
      <c r="H553" s="23" t="s">
        <v>58</v>
      </c>
    </row>
    <row r="554" spans="1:8" ht="54.95" customHeight="1" x14ac:dyDescent="0.2">
      <c r="A554" s="23" t="s">
        <v>401</v>
      </c>
      <c r="B554" s="23" t="s">
        <v>3</v>
      </c>
      <c r="C554" s="23" t="s">
        <v>3544</v>
      </c>
      <c r="D554" s="23">
        <v>219912.32876712328</v>
      </c>
      <c r="E554" s="23">
        <v>2025</v>
      </c>
      <c r="F554" s="15" t="s">
        <v>3305</v>
      </c>
      <c r="G554" s="15" t="s">
        <v>3306</v>
      </c>
      <c r="H554" s="23" t="s">
        <v>58</v>
      </c>
    </row>
    <row r="555" spans="1:8" ht="54.95" customHeight="1" x14ac:dyDescent="0.2">
      <c r="A555" s="23" t="s">
        <v>401</v>
      </c>
      <c r="B555" s="23" t="s">
        <v>6</v>
      </c>
      <c r="C555" s="23" t="s">
        <v>46</v>
      </c>
      <c r="D555" s="23">
        <v>39.071410773907409</v>
      </c>
      <c r="E555" s="23">
        <v>2025</v>
      </c>
      <c r="F555" s="15" t="s">
        <v>3305</v>
      </c>
      <c r="G555" s="15" t="s">
        <v>3308</v>
      </c>
      <c r="H555" s="23" t="s">
        <v>58</v>
      </c>
    </row>
    <row r="556" spans="1:8" ht="54.95" customHeight="1" x14ac:dyDescent="0.2">
      <c r="A556" s="23" t="s">
        <v>401</v>
      </c>
      <c r="B556" s="23" t="s">
        <v>7</v>
      </c>
      <c r="C556" s="23" t="s">
        <v>46</v>
      </c>
      <c r="D556" s="23">
        <v>6.463721532864902</v>
      </c>
      <c r="E556" s="23">
        <v>2025</v>
      </c>
      <c r="F556" s="15" t="s">
        <v>3305</v>
      </c>
      <c r="G556" s="15" t="s">
        <v>3308</v>
      </c>
      <c r="H556" s="23" t="s">
        <v>58</v>
      </c>
    </row>
    <row r="557" spans="1:8" ht="54.95" customHeight="1" x14ac:dyDescent="0.2">
      <c r="A557" s="23" t="s">
        <v>401</v>
      </c>
      <c r="B557" s="23" t="s">
        <v>8</v>
      </c>
      <c r="C557" s="23" t="s">
        <v>46</v>
      </c>
      <c r="D557" s="23">
        <v>22.053122041162109</v>
      </c>
      <c r="E557" s="23">
        <v>2025</v>
      </c>
      <c r="F557" s="15" t="s">
        <v>3305</v>
      </c>
      <c r="G557" s="15" t="s">
        <v>3308</v>
      </c>
      <c r="H557" s="23" t="s">
        <v>58</v>
      </c>
    </row>
    <row r="558" spans="1:8" ht="54.95" customHeight="1" x14ac:dyDescent="0.2">
      <c r="A558" s="23" t="s">
        <v>401</v>
      </c>
      <c r="B558" s="23" t="s">
        <v>9</v>
      </c>
      <c r="C558" s="23" t="s">
        <v>46</v>
      </c>
      <c r="D558" s="23">
        <v>17.386106543080679</v>
      </c>
      <c r="E558" s="23">
        <v>2025</v>
      </c>
      <c r="F558" s="15" t="s">
        <v>3305</v>
      </c>
      <c r="G558" s="15" t="s">
        <v>3308</v>
      </c>
      <c r="H558" s="23" t="s">
        <v>58</v>
      </c>
    </row>
    <row r="559" spans="1:8" ht="54.95" customHeight="1" x14ac:dyDescent="0.2">
      <c r="A559" s="23" t="s">
        <v>401</v>
      </c>
      <c r="B559" s="23" t="s">
        <v>10</v>
      </c>
      <c r="C559" s="23" t="s">
        <v>46</v>
      </c>
      <c r="D559" s="23">
        <v>0</v>
      </c>
      <c r="E559" s="23">
        <v>2025</v>
      </c>
      <c r="F559" s="15" t="s">
        <v>3305</v>
      </c>
      <c r="G559" s="15" t="s">
        <v>3308</v>
      </c>
      <c r="H559" s="23" t="s">
        <v>58</v>
      </c>
    </row>
    <row r="560" spans="1:8" ht="54.95" customHeight="1" x14ac:dyDescent="0.2">
      <c r="A560" s="23" t="s">
        <v>401</v>
      </c>
      <c r="B560" s="23" t="s">
        <v>5</v>
      </c>
      <c r="C560" s="23" t="s">
        <v>3545</v>
      </c>
      <c r="D560" s="23">
        <v>80.268000000000001</v>
      </c>
      <c r="E560" s="23">
        <v>2025</v>
      </c>
      <c r="F560" s="15" t="s">
        <v>3305</v>
      </c>
      <c r="G560" s="15" t="s">
        <v>3311</v>
      </c>
      <c r="H560" s="23" t="s">
        <v>58</v>
      </c>
    </row>
    <row r="561" spans="1:8" ht="54.95" customHeight="1" x14ac:dyDescent="0.2">
      <c r="A561" s="23" t="s">
        <v>407</v>
      </c>
      <c r="B561" s="23" t="s">
        <v>11</v>
      </c>
      <c r="C561" s="23" t="s">
        <v>3546</v>
      </c>
      <c r="D561" s="23">
        <v>13917.812827657535</v>
      </c>
      <c r="E561" s="23">
        <v>2025</v>
      </c>
      <c r="F561" s="15" t="s">
        <v>3299</v>
      </c>
      <c r="G561" s="15" t="s">
        <v>3300</v>
      </c>
      <c r="H561" s="23" t="s">
        <v>58</v>
      </c>
    </row>
    <row r="562" spans="1:8" ht="54.95" customHeight="1" x14ac:dyDescent="0.2">
      <c r="A562" s="23" t="s">
        <v>407</v>
      </c>
      <c r="B562" s="23" t="s">
        <v>13</v>
      </c>
      <c r="C562" s="23" t="s">
        <v>46</v>
      </c>
      <c r="D562" s="23">
        <v>0</v>
      </c>
      <c r="E562" s="23">
        <v>2025</v>
      </c>
      <c r="F562" s="15" t="s">
        <v>3302</v>
      </c>
      <c r="G562" s="15" t="s">
        <v>3300</v>
      </c>
      <c r="H562" s="23" t="s">
        <v>58</v>
      </c>
    </row>
    <row r="563" spans="1:8" ht="54.95" customHeight="1" x14ac:dyDescent="0.2">
      <c r="A563" s="23" t="s">
        <v>407</v>
      </c>
      <c r="B563" s="23" t="s">
        <v>14</v>
      </c>
      <c r="C563" s="23" t="s">
        <v>46</v>
      </c>
      <c r="D563" s="23">
        <v>0</v>
      </c>
      <c r="E563" s="23">
        <v>2025</v>
      </c>
      <c r="F563" s="15" t="s">
        <v>3304</v>
      </c>
      <c r="G563" s="15" t="s">
        <v>3300</v>
      </c>
      <c r="H563" s="23" t="s">
        <v>58</v>
      </c>
    </row>
    <row r="564" spans="1:8" ht="54.95" customHeight="1" x14ac:dyDescent="0.2">
      <c r="A564" s="23" t="s">
        <v>407</v>
      </c>
      <c r="B564" s="23" t="s">
        <v>3</v>
      </c>
      <c r="C564" s="23" t="s">
        <v>3547</v>
      </c>
      <c r="D564" s="23">
        <v>281676.71232876711</v>
      </c>
      <c r="E564" s="23">
        <v>2025</v>
      </c>
      <c r="F564" s="15" t="s">
        <v>3305</v>
      </c>
      <c r="G564" s="15" t="s">
        <v>3306</v>
      </c>
      <c r="H564" s="23" t="s">
        <v>58</v>
      </c>
    </row>
    <row r="565" spans="1:8" ht="54.95" customHeight="1" x14ac:dyDescent="0.2">
      <c r="A565" s="23" t="s">
        <v>407</v>
      </c>
      <c r="B565" s="23" t="s">
        <v>6</v>
      </c>
      <c r="C565" s="23" t="s">
        <v>46</v>
      </c>
      <c r="D565" s="23">
        <v>39.987608450375447</v>
      </c>
      <c r="E565" s="23">
        <v>2025</v>
      </c>
      <c r="F565" s="15" t="s">
        <v>3305</v>
      </c>
      <c r="G565" s="15" t="s">
        <v>3308</v>
      </c>
      <c r="H565" s="23" t="s">
        <v>58</v>
      </c>
    </row>
    <row r="566" spans="1:8" ht="54.95" customHeight="1" x14ac:dyDescent="0.2">
      <c r="A566" s="23" t="s">
        <v>407</v>
      </c>
      <c r="B566" s="23" t="s">
        <v>7</v>
      </c>
      <c r="C566" s="23" t="s">
        <v>46</v>
      </c>
      <c r="D566" s="23">
        <v>17.177469556082947</v>
      </c>
      <c r="E566" s="23">
        <v>2025</v>
      </c>
      <c r="F566" s="15" t="s">
        <v>3305</v>
      </c>
      <c r="G566" s="15" t="s">
        <v>3308</v>
      </c>
      <c r="H566" s="23" t="s">
        <v>58</v>
      </c>
    </row>
    <row r="567" spans="1:8" ht="54.95" customHeight="1" x14ac:dyDescent="0.2">
      <c r="A567" s="23" t="s">
        <v>407</v>
      </c>
      <c r="B567" s="23" t="s">
        <v>8</v>
      </c>
      <c r="C567" s="23" t="s">
        <v>46</v>
      </c>
      <c r="D567" s="23">
        <v>10.301132163560673</v>
      </c>
      <c r="E567" s="23">
        <v>2025</v>
      </c>
      <c r="F567" s="15" t="s">
        <v>3305</v>
      </c>
      <c r="G567" s="15" t="s">
        <v>3308</v>
      </c>
      <c r="H567" s="23" t="s">
        <v>58</v>
      </c>
    </row>
    <row r="568" spans="1:8" ht="54.95" customHeight="1" x14ac:dyDescent="0.2">
      <c r="A568" s="23" t="s">
        <v>407</v>
      </c>
      <c r="B568" s="23" t="s">
        <v>9</v>
      </c>
      <c r="C568" s="23" t="s">
        <v>46</v>
      </c>
      <c r="D568" s="23">
        <v>11.573357195658094</v>
      </c>
      <c r="E568" s="23">
        <v>2025</v>
      </c>
      <c r="F568" s="15" t="s">
        <v>3305</v>
      </c>
      <c r="G568" s="15" t="s">
        <v>3308</v>
      </c>
      <c r="H568" s="23" t="s">
        <v>58</v>
      </c>
    </row>
    <row r="569" spans="1:8" ht="54.95" customHeight="1" x14ac:dyDescent="0.2">
      <c r="A569" s="23" t="s">
        <v>407</v>
      </c>
      <c r="B569" s="23" t="s">
        <v>10</v>
      </c>
      <c r="C569" s="23" t="s">
        <v>46</v>
      </c>
      <c r="D569" s="23">
        <v>7.986275921098704</v>
      </c>
      <c r="E569" s="23">
        <v>2025</v>
      </c>
      <c r="F569" s="15" t="s">
        <v>3305</v>
      </c>
      <c r="G569" s="15" t="s">
        <v>3308</v>
      </c>
      <c r="H569" s="23" t="s">
        <v>58</v>
      </c>
    </row>
    <row r="570" spans="1:8" ht="54.95" customHeight="1" x14ac:dyDescent="0.2">
      <c r="A570" s="23" t="s">
        <v>407</v>
      </c>
      <c r="B570" s="23" t="s">
        <v>5</v>
      </c>
      <c r="C570" s="23" t="s">
        <v>3548</v>
      </c>
      <c r="D570" s="23">
        <v>102.812</v>
      </c>
      <c r="E570" s="23">
        <v>2025</v>
      </c>
      <c r="F570" s="15" t="s">
        <v>3305</v>
      </c>
      <c r="G570" s="15" t="s">
        <v>3311</v>
      </c>
      <c r="H570" s="23" t="s">
        <v>58</v>
      </c>
    </row>
    <row r="571" spans="1:8" ht="54.95" customHeight="1" x14ac:dyDescent="0.2">
      <c r="A571" s="23" t="s">
        <v>413</v>
      </c>
      <c r="B571" s="23" t="s">
        <v>11</v>
      </c>
      <c r="C571" s="23" t="s">
        <v>46</v>
      </c>
      <c r="D571" s="23">
        <v>16787.699300687669</v>
      </c>
      <c r="E571" s="23">
        <v>2025</v>
      </c>
      <c r="F571" s="15" t="s">
        <v>3299</v>
      </c>
      <c r="G571" s="15" t="s">
        <v>3300</v>
      </c>
      <c r="H571" s="23" t="s">
        <v>58</v>
      </c>
    </row>
    <row r="572" spans="1:8" ht="54.95" customHeight="1" x14ac:dyDescent="0.2">
      <c r="A572" s="23" t="s">
        <v>413</v>
      </c>
      <c r="B572" s="23" t="s">
        <v>13</v>
      </c>
      <c r="C572" s="23" t="s">
        <v>46</v>
      </c>
      <c r="D572" s="23">
        <v>0</v>
      </c>
      <c r="E572" s="23">
        <v>2025</v>
      </c>
      <c r="F572" s="15" t="s">
        <v>3302</v>
      </c>
      <c r="G572" s="15" t="s">
        <v>3300</v>
      </c>
      <c r="H572" s="23" t="s">
        <v>58</v>
      </c>
    </row>
    <row r="573" spans="1:8" ht="54.95" customHeight="1" x14ac:dyDescent="0.2">
      <c r="A573" s="23" t="s">
        <v>413</v>
      </c>
      <c r="B573" s="23" t="s">
        <v>14</v>
      </c>
      <c r="C573" s="23" t="s">
        <v>46</v>
      </c>
      <c r="D573" s="23">
        <v>0</v>
      </c>
      <c r="E573" s="23">
        <v>2025</v>
      </c>
      <c r="F573" s="15" t="s">
        <v>3304</v>
      </c>
      <c r="G573" s="15" t="s">
        <v>3300</v>
      </c>
      <c r="H573" s="23" t="s">
        <v>58</v>
      </c>
    </row>
    <row r="574" spans="1:8" ht="54.95" customHeight="1" x14ac:dyDescent="0.2">
      <c r="A574" s="23" t="s">
        <v>413</v>
      </c>
      <c r="B574" s="23" t="s">
        <v>3</v>
      </c>
      <c r="C574" s="23" t="s">
        <v>46</v>
      </c>
      <c r="D574" s="23">
        <v>168227.39726027398</v>
      </c>
      <c r="E574" s="23">
        <v>2025</v>
      </c>
      <c r="F574" s="15" t="s">
        <v>3305</v>
      </c>
      <c r="G574" s="15" t="s">
        <v>3306</v>
      </c>
      <c r="H574" s="23" t="s">
        <v>58</v>
      </c>
    </row>
    <row r="575" spans="1:8" ht="54.95" customHeight="1" x14ac:dyDescent="0.2">
      <c r="A575" s="23" t="s">
        <v>413</v>
      </c>
      <c r="B575" s="23" t="s">
        <v>6</v>
      </c>
      <c r="C575" s="23" t="s">
        <v>46</v>
      </c>
      <c r="D575" s="23">
        <v>40.78501050437275</v>
      </c>
      <c r="E575" s="23">
        <v>2025</v>
      </c>
      <c r="F575" s="15" t="s">
        <v>3305</v>
      </c>
      <c r="G575" s="15" t="s">
        <v>3308</v>
      </c>
      <c r="H575" s="23" t="s">
        <v>58</v>
      </c>
    </row>
    <row r="576" spans="1:8" ht="54.95" customHeight="1" x14ac:dyDescent="0.2">
      <c r="A576" s="23" t="s">
        <v>413</v>
      </c>
      <c r="B576" s="23" t="s">
        <v>7</v>
      </c>
      <c r="C576" s="23" t="s">
        <v>46</v>
      </c>
      <c r="D576" s="23">
        <v>17.75238994837386</v>
      </c>
      <c r="E576" s="23">
        <v>2025</v>
      </c>
      <c r="F576" s="15" t="s">
        <v>3305</v>
      </c>
      <c r="G576" s="15" t="s">
        <v>3308</v>
      </c>
      <c r="H576" s="23" t="s">
        <v>58</v>
      </c>
    </row>
    <row r="577" spans="1:8" ht="54.95" customHeight="1" x14ac:dyDescent="0.2">
      <c r="A577" s="23" t="s">
        <v>413</v>
      </c>
      <c r="B577" s="23" t="s">
        <v>8</v>
      </c>
      <c r="C577" s="23" t="s">
        <v>46</v>
      </c>
      <c r="D577" s="23">
        <v>18.92936827190854</v>
      </c>
      <c r="E577" s="23">
        <v>2025</v>
      </c>
      <c r="F577" s="15" t="s">
        <v>3305</v>
      </c>
      <c r="G577" s="15" t="s">
        <v>3308</v>
      </c>
      <c r="H577" s="23" t="s">
        <v>58</v>
      </c>
    </row>
    <row r="578" spans="1:8" ht="54.95" customHeight="1" x14ac:dyDescent="0.2">
      <c r="A578" s="23" t="s">
        <v>413</v>
      </c>
      <c r="B578" s="23" t="s">
        <v>9</v>
      </c>
      <c r="C578" s="23" t="s">
        <v>46</v>
      </c>
      <c r="D578" s="23">
        <v>20.404866211748612</v>
      </c>
      <c r="E578" s="23">
        <v>2025</v>
      </c>
      <c r="F578" s="15" t="s">
        <v>3305</v>
      </c>
      <c r="G578" s="15" t="s">
        <v>3308</v>
      </c>
      <c r="H578" s="23" t="s">
        <v>58</v>
      </c>
    </row>
    <row r="579" spans="1:8" ht="54.95" customHeight="1" x14ac:dyDescent="0.2">
      <c r="A579" s="23" t="s">
        <v>413</v>
      </c>
      <c r="B579" s="23" t="s">
        <v>10</v>
      </c>
      <c r="C579" s="23" t="s">
        <v>46</v>
      </c>
      <c r="D579" s="23">
        <v>3.3193817891633963</v>
      </c>
      <c r="E579" s="23">
        <v>2025</v>
      </c>
      <c r="F579" s="15" t="s">
        <v>3305</v>
      </c>
      <c r="G579" s="15" t="s">
        <v>3308</v>
      </c>
      <c r="H579" s="23" t="s">
        <v>58</v>
      </c>
    </row>
    <row r="580" spans="1:8" ht="54.95" customHeight="1" x14ac:dyDescent="0.2">
      <c r="A580" s="23" t="s">
        <v>413</v>
      </c>
      <c r="B580" s="23" t="s">
        <v>5</v>
      </c>
      <c r="C580" s="23" t="s">
        <v>46</v>
      </c>
      <c r="D580" s="23">
        <v>61.402999999999999</v>
      </c>
      <c r="E580" s="23">
        <v>2025</v>
      </c>
      <c r="F580" s="15" t="s">
        <v>3305</v>
      </c>
      <c r="G580" s="15" t="s">
        <v>3311</v>
      </c>
      <c r="H580" s="23" t="s">
        <v>58</v>
      </c>
    </row>
    <row r="581" spans="1:8" ht="54.95" customHeight="1" x14ac:dyDescent="0.2">
      <c r="A581" s="23" t="s">
        <v>419</v>
      </c>
      <c r="B581" s="23" t="s">
        <v>11</v>
      </c>
      <c r="C581" s="23" t="s">
        <v>46</v>
      </c>
      <c r="D581" s="23">
        <v>199074.0266043123</v>
      </c>
      <c r="E581" s="23">
        <v>2025</v>
      </c>
      <c r="F581" s="15" t="s">
        <v>3299</v>
      </c>
      <c r="G581" s="15" t="s">
        <v>3300</v>
      </c>
      <c r="H581" s="23" t="s">
        <v>58</v>
      </c>
    </row>
    <row r="582" spans="1:8" ht="54.95" customHeight="1" x14ac:dyDescent="0.2">
      <c r="A582" s="23" t="s">
        <v>419</v>
      </c>
      <c r="B582" s="23" t="s">
        <v>13</v>
      </c>
      <c r="C582" s="23" t="s">
        <v>46</v>
      </c>
      <c r="D582" s="23">
        <v>164669.95616438356</v>
      </c>
      <c r="E582" s="23">
        <v>2025</v>
      </c>
      <c r="F582" s="15" t="s">
        <v>3302</v>
      </c>
      <c r="G582" s="15" t="s">
        <v>3300</v>
      </c>
      <c r="H582" s="23" t="s">
        <v>58</v>
      </c>
    </row>
    <row r="583" spans="1:8" ht="54.95" customHeight="1" x14ac:dyDescent="0.2">
      <c r="A583" s="23" t="s">
        <v>419</v>
      </c>
      <c r="B583" s="23" t="s">
        <v>14</v>
      </c>
      <c r="C583" s="23" t="s">
        <v>46</v>
      </c>
      <c r="D583" s="23">
        <v>24000</v>
      </c>
      <c r="E583" s="23">
        <v>2025</v>
      </c>
      <c r="F583" s="15" t="s">
        <v>3304</v>
      </c>
      <c r="G583" s="15" t="s">
        <v>3300</v>
      </c>
      <c r="H583" s="23" t="s">
        <v>58</v>
      </c>
    </row>
    <row r="584" spans="1:8" ht="54.95" customHeight="1" x14ac:dyDescent="0.2">
      <c r="A584" s="23" t="s">
        <v>419</v>
      </c>
      <c r="B584" s="23" t="s">
        <v>3</v>
      </c>
      <c r="C584" s="23" t="s">
        <v>46</v>
      </c>
      <c r="D584" s="23">
        <v>555217.93920499994</v>
      </c>
      <c r="E584" s="23">
        <v>2024</v>
      </c>
      <c r="F584" s="15" t="s">
        <v>3316</v>
      </c>
      <c r="G584" s="15" t="s">
        <v>3317</v>
      </c>
      <c r="H584" s="23" t="s">
        <v>58</v>
      </c>
    </row>
    <row r="585" spans="1:8" ht="54.95" customHeight="1" x14ac:dyDescent="0.2">
      <c r="A585" s="23" t="s">
        <v>419</v>
      </c>
      <c r="B585" s="23" t="s">
        <v>6</v>
      </c>
      <c r="C585" s="23" t="s">
        <v>46</v>
      </c>
      <c r="D585" s="23">
        <v>38.43978470969369</v>
      </c>
      <c r="E585" s="23">
        <v>2024</v>
      </c>
      <c r="F585" s="15" t="s">
        <v>3319</v>
      </c>
      <c r="G585" s="15" t="s">
        <v>3320</v>
      </c>
      <c r="H585" s="23" t="s">
        <v>58</v>
      </c>
    </row>
    <row r="586" spans="1:8" ht="54.95" customHeight="1" x14ac:dyDescent="0.2">
      <c r="A586" s="23" t="s">
        <v>419</v>
      </c>
      <c r="B586" s="23" t="s">
        <v>7</v>
      </c>
      <c r="C586" s="23" t="s">
        <v>46</v>
      </c>
      <c r="D586" s="23">
        <v>31.48394829430357</v>
      </c>
      <c r="E586" s="23">
        <v>2024</v>
      </c>
      <c r="F586" s="15" t="s">
        <v>3322</v>
      </c>
      <c r="G586" s="15" t="s">
        <v>3320</v>
      </c>
      <c r="H586" s="23" t="s">
        <v>58</v>
      </c>
    </row>
    <row r="587" spans="1:8" ht="54.95" customHeight="1" x14ac:dyDescent="0.2">
      <c r="A587" s="23" t="s">
        <v>419</v>
      </c>
      <c r="B587" s="23" t="s">
        <v>8</v>
      </c>
      <c r="C587" s="23" t="s">
        <v>46</v>
      </c>
      <c r="D587" s="23">
        <v>13.401391721337582</v>
      </c>
      <c r="E587" s="23">
        <v>2024</v>
      </c>
      <c r="F587" s="15" t="s">
        <v>3324</v>
      </c>
      <c r="G587" s="15" t="s">
        <v>3320</v>
      </c>
      <c r="H587" s="23" t="s">
        <v>58</v>
      </c>
    </row>
    <row r="588" spans="1:8" ht="54.95" customHeight="1" x14ac:dyDescent="0.2">
      <c r="A588" s="23" t="s">
        <v>419</v>
      </c>
      <c r="B588" s="23" t="s">
        <v>9</v>
      </c>
      <c r="C588" s="23" t="s">
        <v>46</v>
      </c>
      <c r="D588" s="23">
        <v>10.65361678293325</v>
      </c>
      <c r="E588" s="23">
        <v>2024</v>
      </c>
      <c r="F588" s="15" t="s">
        <v>3325</v>
      </c>
      <c r="G588" s="15" t="s">
        <v>3320</v>
      </c>
      <c r="H588" s="23" t="s">
        <v>58</v>
      </c>
    </row>
    <row r="589" spans="1:8" ht="54.95" customHeight="1" x14ac:dyDescent="0.2">
      <c r="A589" s="23" t="s">
        <v>419</v>
      </c>
      <c r="B589" s="23" t="s">
        <v>10</v>
      </c>
      <c r="C589" s="23" t="s">
        <v>46</v>
      </c>
      <c r="D589" s="23">
        <v>1.6675360856057555</v>
      </c>
      <c r="E589" s="23">
        <v>2024</v>
      </c>
      <c r="F589" s="15" t="s">
        <v>3326</v>
      </c>
      <c r="G589" s="15" t="s">
        <v>3320</v>
      </c>
      <c r="H589" s="23" t="s">
        <v>58</v>
      </c>
    </row>
    <row r="590" spans="1:8" ht="54.95" customHeight="1" x14ac:dyDescent="0.2">
      <c r="A590" s="23" t="s">
        <v>419</v>
      </c>
      <c r="B590" s="23" t="s">
        <v>5</v>
      </c>
      <c r="C590" s="23" t="s">
        <v>46</v>
      </c>
      <c r="D590" s="23">
        <v>203.20976574903</v>
      </c>
      <c r="E590" s="23">
        <v>2024</v>
      </c>
      <c r="F590" s="15" t="s">
        <v>3316</v>
      </c>
      <c r="G590" s="15" t="s">
        <v>3311</v>
      </c>
      <c r="H590" s="23" t="s">
        <v>58</v>
      </c>
    </row>
    <row r="591" spans="1:8" ht="54.95" customHeight="1" x14ac:dyDescent="0.2">
      <c r="A591" s="23" t="s">
        <v>426</v>
      </c>
      <c r="B591" s="23" t="s">
        <v>11</v>
      </c>
      <c r="C591" s="23" t="s">
        <v>46</v>
      </c>
      <c r="D591" s="23">
        <v>0</v>
      </c>
      <c r="E591" s="23">
        <v>2025</v>
      </c>
      <c r="F591" s="15" t="s">
        <v>3299</v>
      </c>
      <c r="G591" s="15" t="s">
        <v>3300</v>
      </c>
      <c r="H591" s="23" t="s">
        <v>58</v>
      </c>
    </row>
    <row r="592" spans="1:8" ht="54.95" customHeight="1" x14ac:dyDescent="0.2">
      <c r="A592" s="23" t="s">
        <v>426</v>
      </c>
      <c r="B592" s="23" t="s">
        <v>13</v>
      </c>
      <c r="C592" s="23" t="s">
        <v>46</v>
      </c>
      <c r="D592" s="23">
        <v>0</v>
      </c>
      <c r="E592" s="23">
        <v>2025</v>
      </c>
      <c r="F592" s="15" t="s">
        <v>3302</v>
      </c>
      <c r="G592" s="15" t="s">
        <v>3300</v>
      </c>
      <c r="H592" s="23" t="s">
        <v>58</v>
      </c>
    </row>
    <row r="593" spans="1:8" ht="54.95" customHeight="1" x14ac:dyDescent="0.2">
      <c r="A593" s="23" t="s">
        <v>426</v>
      </c>
      <c r="B593" s="23" t="s">
        <v>14</v>
      </c>
      <c r="C593" s="23" t="s">
        <v>46</v>
      </c>
      <c r="D593" s="23">
        <v>0</v>
      </c>
      <c r="E593" s="23">
        <v>2025</v>
      </c>
      <c r="F593" s="15" t="s">
        <v>3304</v>
      </c>
      <c r="G593" s="15" t="s">
        <v>3300</v>
      </c>
      <c r="H593" s="23" t="s">
        <v>58</v>
      </c>
    </row>
    <row r="594" spans="1:8" ht="54.95" customHeight="1" x14ac:dyDescent="0.2">
      <c r="A594" s="23" t="s">
        <v>426</v>
      </c>
      <c r="B594" s="23" t="s">
        <v>3</v>
      </c>
      <c r="C594" s="23" t="s">
        <v>46</v>
      </c>
      <c r="D594" s="23">
        <v>73533.180310000011</v>
      </c>
      <c r="E594" s="23">
        <v>2024</v>
      </c>
      <c r="F594" s="15" t="s">
        <v>3316</v>
      </c>
      <c r="G594" s="15" t="s">
        <v>3317</v>
      </c>
      <c r="H594" s="23" t="s">
        <v>58</v>
      </c>
    </row>
    <row r="595" spans="1:8" ht="54.95" customHeight="1" x14ac:dyDescent="0.2">
      <c r="A595" s="23" t="s">
        <v>426</v>
      </c>
      <c r="B595" s="23" t="s">
        <v>6</v>
      </c>
      <c r="C595" s="23" t="s">
        <v>46</v>
      </c>
      <c r="D595" s="23">
        <v>52.943632311120957</v>
      </c>
      <c r="E595" s="23">
        <v>2024</v>
      </c>
      <c r="F595" s="15" t="s">
        <v>3319</v>
      </c>
      <c r="G595" s="15" t="s">
        <v>3320</v>
      </c>
      <c r="H595" s="23" t="s">
        <v>58</v>
      </c>
    </row>
    <row r="596" spans="1:8" ht="54.95" customHeight="1" x14ac:dyDescent="0.2">
      <c r="A596" s="23" t="s">
        <v>426</v>
      </c>
      <c r="B596" s="23" t="s">
        <v>7</v>
      </c>
      <c r="C596" s="23" t="s">
        <v>46</v>
      </c>
      <c r="D596" s="23">
        <v>26.684688010606184</v>
      </c>
      <c r="E596" s="23">
        <v>2024</v>
      </c>
      <c r="F596" s="15" t="s">
        <v>3322</v>
      </c>
      <c r="G596" s="15" t="s">
        <v>3320</v>
      </c>
      <c r="H596" s="23" t="s">
        <v>58</v>
      </c>
    </row>
    <row r="597" spans="1:8" ht="54.95" customHeight="1" x14ac:dyDescent="0.2">
      <c r="A597" s="23" t="s">
        <v>426</v>
      </c>
      <c r="B597" s="23" t="s">
        <v>8</v>
      </c>
      <c r="C597" s="23" t="s">
        <v>46</v>
      </c>
      <c r="D597" s="23">
        <v>15.995373572058682</v>
      </c>
      <c r="E597" s="23">
        <v>2024</v>
      </c>
      <c r="F597" s="15" t="s">
        <v>3324</v>
      </c>
      <c r="G597" s="15" t="s">
        <v>3320</v>
      </c>
      <c r="H597" s="23" t="s">
        <v>58</v>
      </c>
    </row>
    <row r="598" spans="1:8" ht="54.95" customHeight="1" x14ac:dyDescent="0.2">
      <c r="A598" s="23" t="s">
        <v>426</v>
      </c>
      <c r="B598" s="23" t="s">
        <v>9</v>
      </c>
      <c r="C598" s="23" t="s">
        <v>46</v>
      </c>
      <c r="D598" s="23">
        <v>2.2414760575449395</v>
      </c>
      <c r="E598" s="23">
        <v>2024</v>
      </c>
      <c r="F598" s="15" t="s">
        <v>3325</v>
      </c>
      <c r="G598" s="15" t="s">
        <v>3320</v>
      </c>
      <c r="H598" s="23" t="s">
        <v>58</v>
      </c>
    </row>
    <row r="599" spans="1:8" ht="54.95" customHeight="1" x14ac:dyDescent="0.2">
      <c r="A599" s="23" t="s">
        <v>426</v>
      </c>
      <c r="B599" s="23" t="s">
        <v>10</v>
      </c>
      <c r="C599" s="23" t="s">
        <v>46</v>
      </c>
      <c r="D599" s="23">
        <v>1.6535479124852224</v>
      </c>
      <c r="E599" s="23">
        <v>2024</v>
      </c>
      <c r="F599" s="15" t="s">
        <v>3326</v>
      </c>
      <c r="G599" s="15" t="s">
        <v>3320</v>
      </c>
      <c r="H599" s="23" t="s">
        <v>58</v>
      </c>
    </row>
    <row r="600" spans="1:8" ht="54.95" customHeight="1" x14ac:dyDescent="0.2">
      <c r="A600" s="23" t="s">
        <v>426</v>
      </c>
      <c r="B600" s="23" t="s">
        <v>5</v>
      </c>
      <c r="C600" s="23" t="s">
        <v>46</v>
      </c>
      <c r="D600" s="23">
        <v>26.913143993460004</v>
      </c>
      <c r="E600" s="23">
        <v>2024</v>
      </c>
      <c r="F600" s="15" t="s">
        <v>3316</v>
      </c>
      <c r="G600" s="15" t="s">
        <v>3311</v>
      </c>
      <c r="H600" s="23" t="s">
        <v>58</v>
      </c>
    </row>
    <row r="601" spans="1:8" ht="54.95" customHeight="1" x14ac:dyDescent="0.2">
      <c r="A601" s="23" t="s">
        <v>432</v>
      </c>
      <c r="B601" s="23" t="s">
        <v>11</v>
      </c>
      <c r="C601" s="23" t="s">
        <v>46</v>
      </c>
      <c r="D601" s="23">
        <v>0</v>
      </c>
      <c r="E601" s="23">
        <v>2025</v>
      </c>
      <c r="F601" s="15" t="s">
        <v>3299</v>
      </c>
      <c r="G601" s="15" t="s">
        <v>3300</v>
      </c>
      <c r="H601" s="23" t="s">
        <v>58</v>
      </c>
    </row>
    <row r="602" spans="1:8" ht="54.95" customHeight="1" x14ac:dyDescent="0.2">
      <c r="A602" s="23" t="s">
        <v>432</v>
      </c>
      <c r="B602" s="23" t="s">
        <v>13</v>
      </c>
      <c r="C602" s="23" t="s">
        <v>46</v>
      </c>
      <c r="D602" s="23">
        <v>0</v>
      </c>
      <c r="E602" s="23">
        <v>2025</v>
      </c>
      <c r="F602" s="15" t="s">
        <v>3302</v>
      </c>
      <c r="G602" s="15" t="s">
        <v>3300</v>
      </c>
      <c r="H602" s="23" t="s">
        <v>58</v>
      </c>
    </row>
    <row r="603" spans="1:8" ht="54.95" customHeight="1" x14ac:dyDescent="0.2">
      <c r="A603" s="23" t="s">
        <v>432</v>
      </c>
      <c r="B603" s="23" t="s">
        <v>14</v>
      </c>
      <c r="C603" s="23" t="s">
        <v>46</v>
      </c>
      <c r="D603" s="23">
        <v>0</v>
      </c>
      <c r="E603" s="23">
        <v>2025</v>
      </c>
      <c r="F603" s="15" t="s">
        <v>3304</v>
      </c>
      <c r="G603" s="15" t="s">
        <v>3300</v>
      </c>
      <c r="H603" s="23" t="s">
        <v>58</v>
      </c>
    </row>
    <row r="604" spans="1:8" ht="54.95" customHeight="1" x14ac:dyDescent="0.2">
      <c r="A604" s="23" t="s">
        <v>432</v>
      </c>
      <c r="B604" s="23" t="s">
        <v>3</v>
      </c>
      <c r="C604" s="23" t="s">
        <v>3549</v>
      </c>
      <c r="D604" s="23">
        <v>47046.575342465752</v>
      </c>
      <c r="E604" s="23">
        <v>2025</v>
      </c>
      <c r="F604" s="15" t="s">
        <v>3305</v>
      </c>
      <c r="G604" s="15" t="s">
        <v>3306</v>
      </c>
      <c r="H604" s="23" t="s">
        <v>58</v>
      </c>
    </row>
    <row r="605" spans="1:8" ht="54.95" customHeight="1" x14ac:dyDescent="0.2">
      <c r="A605" s="23" t="s">
        <v>432</v>
      </c>
      <c r="B605" s="23" t="s">
        <v>6</v>
      </c>
      <c r="C605" s="23" t="s">
        <v>46</v>
      </c>
      <c r="D605" s="23">
        <v>50.523992546005125</v>
      </c>
      <c r="E605" s="23">
        <v>2025</v>
      </c>
      <c r="F605" s="15" t="s">
        <v>3305</v>
      </c>
      <c r="G605" s="15" t="s">
        <v>3308</v>
      </c>
      <c r="H605" s="23" t="s">
        <v>58</v>
      </c>
    </row>
    <row r="606" spans="1:8" ht="54.95" customHeight="1" x14ac:dyDescent="0.2">
      <c r="A606" s="23" t="s">
        <v>432</v>
      </c>
      <c r="B606" s="23" t="s">
        <v>7</v>
      </c>
      <c r="C606" s="23" t="s">
        <v>46</v>
      </c>
      <c r="D606" s="23">
        <v>20.372117400419288</v>
      </c>
      <c r="E606" s="23">
        <v>2025</v>
      </c>
      <c r="F606" s="15" t="s">
        <v>3305</v>
      </c>
      <c r="G606" s="15" t="s">
        <v>3308</v>
      </c>
      <c r="H606" s="23" t="s">
        <v>58</v>
      </c>
    </row>
    <row r="607" spans="1:8" ht="54.95" customHeight="1" x14ac:dyDescent="0.2">
      <c r="A607" s="23" t="s">
        <v>432</v>
      </c>
      <c r="B607" s="23" t="s">
        <v>8</v>
      </c>
      <c r="C607" s="23" t="s">
        <v>46</v>
      </c>
      <c r="D607" s="23">
        <v>0.81062194269741428</v>
      </c>
      <c r="E607" s="23">
        <v>2025</v>
      </c>
      <c r="F607" s="15" t="s">
        <v>3305</v>
      </c>
      <c r="G607" s="15" t="s">
        <v>3308</v>
      </c>
      <c r="H607" s="23" t="s">
        <v>58</v>
      </c>
    </row>
    <row r="608" spans="1:8" ht="54.95" customHeight="1" x14ac:dyDescent="0.2">
      <c r="A608" s="23" t="s">
        <v>432</v>
      </c>
      <c r="B608" s="23" t="s">
        <v>9</v>
      </c>
      <c r="C608" s="23" t="s">
        <v>46</v>
      </c>
      <c r="D608" s="23">
        <v>54.882832518052652</v>
      </c>
      <c r="E608" s="23">
        <v>2025</v>
      </c>
      <c r="F608" s="15" t="s">
        <v>3305</v>
      </c>
      <c r="G608" s="15" t="s">
        <v>3308</v>
      </c>
      <c r="H608" s="23" t="s">
        <v>58</v>
      </c>
    </row>
    <row r="609" spans="1:8" ht="54.95" customHeight="1" x14ac:dyDescent="0.2">
      <c r="A609" s="23" t="s">
        <v>432</v>
      </c>
      <c r="B609" s="23" t="s">
        <v>10</v>
      </c>
      <c r="C609" s="23" t="s">
        <v>46</v>
      </c>
      <c r="D609" s="23">
        <v>0</v>
      </c>
      <c r="E609" s="23">
        <v>2025</v>
      </c>
      <c r="F609" s="15" t="s">
        <v>3305</v>
      </c>
      <c r="G609" s="15" t="s">
        <v>3308</v>
      </c>
      <c r="H609" s="23" t="s">
        <v>58</v>
      </c>
    </row>
    <row r="610" spans="1:8" ht="54.95" customHeight="1" x14ac:dyDescent="0.2">
      <c r="A610" s="23" t="s">
        <v>432</v>
      </c>
      <c r="B610" s="23" t="s">
        <v>5</v>
      </c>
      <c r="C610" s="23" t="s">
        <v>3550</v>
      </c>
      <c r="D610" s="23">
        <v>17.172000000000001</v>
      </c>
      <c r="E610" s="23">
        <v>2025</v>
      </c>
      <c r="F610" s="15" t="s">
        <v>3305</v>
      </c>
      <c r="G610" s="15" t="s">
        <v>3311</v>
      </c>
      <c r="H610" s="23" t="s">
        <v>58</v>
      </c>
    </row>
    <row r="611" spans="1:8" ht="54.95" customHeight="1" x14ac:dyDescent="0.2">
      <c r="A611" s="23" t="s">
        <v>439</v>
      </c>
      <c r="B611" s="23" t="s">
        <v>11</v>
      </c>
      <c r="C611" s="23" t="s">
        <v>3551</v>
      </c>
      <c r="D611" s="23">
        <v>4339251.1039464474</v>
      </c>
      <c r="E611" s="23">
        <v>2025</v>
      </c>
      <c r="F611" s="15" t="s">
        <v>3299</v>
      </c>
      <c r="G611" s="15" t="s">
        <v>3300</v>
      </c>
      <c r="H611" s="23" t="s">
        <v>58</v>
      </c>
    </row>
    <row r="612" spans="1:8" ht="54.95" customHeight="1" x14ac:dyDescent="0.2">
      <c r="A612" s="23" t="s">
        <v>439</v>
      </c>
      <c r="B612" s="23" t="s">
        <v>13</v>
      </c>
      <c r="C612" s="23" t="s">
        <v>46</v>
      </c>
      <c r="D612" s="23">
        <v>3771219.1780821919</v>
      </c>
      <c r="E612" s="23">
        <v>2025</v>
      </c>
      <c r="F612" s="15" t="s">
        <v>3302</v>
      </c>
      <c r="G612" s="15" t="s">
        <v>3300</v>
      </c>
      <c r="H612" s="23" t="s">
        <v>58</v>
      </c>
    </row>
    <row r="613" spans="1:8" ht="54.95" customHeight="1" x14ac:dyDescent="0.2">
      <c r="A613" s="23" t="s">
        <v>439</v>
      </c>
      <c r="B613" s="23" t="s">
        <v>14</v>
      </c>
      <c r="C613" s="23" t="s">
        <v>46</v>
      </c>
      <c r="D613" s="23">
        <v>551000</v>
      </c>
      <c r="E613" s="23">
        <v>2025</v>
      </c>
      <c r="F613" s="15" t="s">
        <v>3304</v>
      </c>
      <c r="G613" s="15" t="s">
        <v>3300</v>
      </c>
      <c r="H613" s="23" t="s">
        <v>58</v>
      </c>
    </row>
    <row r="614" spans="1:8" ht="54.95" customHeight="1" x14ac:dyDescent="0.2">
      <c r="A614" s="23" t="s">
        <v>439</v>
      </c>
      <c r="B614" s="23" t="s">
        <v>3</v>
      </c>
      <c r="C614" s="23" t="s">
        <v>3552</v>
      </c>
      <c r="D614" s="23">
        <v>879803.95220100007</v>
      </c>
      <c r="E614" s="23">
        <v>2024</v>
      </c>
      <c r="F614" s="15" t="s">
        <v>3316</v>
      </c>
      <c r="G614" s="15" t="s">
        <v>3317</v>
      </c>
      <c r="H614" s="23" t="s">
        <v>58</v>
      </c>
    </row>
    <row r="615" spans="1:8" ht="54.95" customHeight="1" x14ac:dyDescent="0.2">
      <c r="A615" s="23" t="s">
        <v>439</v>
      </c>
      <c r="B615" s="23" t="s">
        <v>6</v>
      </c>
      <c r="C615" s="23" t="s">
        <v>46</v>
      </c>
      <c r="D615" s="23">
        <v>8.5437102631731694</v>
      </c>
      <c r="E615" s="23">
        <v>2024</v>
      </c>
      <c r="F615" s="15" t="s">
        <v>3319</v>
      </c>
      <c r="G615" s="15" t="s">
        <v>3320</v>
      </c>
      <c r="H615" s="23" t="s">
        <v>58</v>
      </c>
    </row>
    <row r="616" spans="1:8" ht="54.95" customHeight="1" x14ac:dyDescent="0.2">
      <c r="A616" s="23" t="s">
        <v>439</v>
      </c>
      <c r="B616" s="23" t="s">
        <v>7</v>
      </c>
      <c r="C616" s="23" t="s">
        <v>46</v>
      </c>
      <c r="D616" s="23">
        <v>22.332166343248293</v>
      </c>
      <c r="E616" s="23">
        <v>2024</v>
      </c>
      <c r="F616" s="15" t="s">
        <v>3322</v>
      </c>
      <c r="G616" s="15" t="s">
        <v>3320</v>
      </c>
      <c r="H616" s="23" t="s">
        <v>58</v>
      </c>
    </row>
    <row r="617" spans="1:8" ht="54.95" customHeight="1" x14ac:dyDescent="0.2">
      <c r="A617" s="23" t="s">
        <v>439</v>
      </c>
      <c r="B617" s="23" t="s">
        <v>8</v>
      </c>
      <c r="C617" s="23" t="s">
        <v>46</v>
      </c>
      <c r="D617" s="23">
        <v>3.0256509218224608</v>
      </c>
      <c r="E617" s="23">
        <v>2024</v>
      </c>
      <c r="F617" s="15" t="s">
        <v>3324</v>
      </c>
      <c r="G617" s="15" t="s">
        <v>3320</v>
      </c>
      <c r="H617" s="23" t="s">
        <v>58</v>
      </c>
    </row>
    <row r="618" spans="1:8" ht="54.95" customHeight="1" x14ac:dyDescent="0.2">
      <c r="A618" s="23" t="s">
        <v>439</v>
      </c>
      <c r="B618" s="23" t="s">
        <v>9</v>
      </c>
      <c r="C618" s="23" t="s">
        <v>46</v>
      </c>
      <c r="D618" s="23">
        <v>24.067265323175633</v>
      </c>
      <c r="E618" s="23">
        <v>2024</v>
      </c>
      <c r="F618" s="15" t="s">
        <v>3325</v>
      </c>
      <c r="G618" s="15" t="s">
        <v>3320</v>
      </c>
      <c r="H618" s="23" t="s">
        <v>58</v>
      </c>
    </row>
    <row r="619" spans="1:8" ht="54.95" customHeight="1" x14ac:dyDescent="0.2">
      <c r="A619" s="23" t="s">
        <v>439</v>
      </c>
      <c r="B619" s="23" t="s">
        <v>10</v>
      </c>
      <c r="C619" s="23" t="s">
        <v>46</v>
      </c>
      <c r="D619" s="23">
        <v>40.828051226795985</v>
      </c>
      <c r="E619" s="23">
        <v>2024</v>
      </c>
      <c r="F619" s="15" t="s">
        <v>3326</v>
      </c>
      <c r="G619" s="15" t="s">
        <v>3320</v>
      </c>
      <c r="H619" s="23" t="s">
        <v>58</v>
      </c>
    </row>
    <row r="620" spans="1:8" ht="54.95" customHeight="1" x14ac:dyDescent="0.2">
      <c r="A620" s="23" t="s">
        <v>439</v>
      </c>
      <c r="B620" s="23" t="s">
        <v>5</v>
      </c>
      <c r="C620" s="23" t="s">
        <v>3553</v>
      </c>
      <c r="D620" s="23">
        <v>322.00824650556598</v>
      </c>
      <c r="E620" s="23">
        <v>2024</v>
      </c>
      <c r="F620" s="15" t="s">
        <v>3316</v>
      </c>
      <c r="G620" s="15" t="s">
        <v>3311</v>
      </c>
      <c r="H620" s="23" t="s">
        <v>58</v>
      </c>
    </row>
    <row r="621" spans="1:8" ht="54.95" customHeight="1" x14ac:dyDescent="0.2">
      <c r="A621" s="23" t="s">
        <v>445</v>
      </c>
      <c r="B621" s="23" t="s">
        <v>11</v>
      </c>
      <c r="C621" s="23" t="s">
        <v>46</v>
      </c>
      <c r="D621" s="23">
        <v>24697.602896665754</v>
      </c>
      <c r="E621" s="23">
        <v>2025</v>
      </c>
      <c r="F621" s="15" t="s">
        <v>3299</v>
      </c>
      <c r="G621" s="15" t="s">
        <v>3300</v>
      </c>
      <c r="H621" s="23" t="s">
        <v>58</v>
      </c>
    </row>
    <row r="622" spans="1:8" ht="54.95" customHeight="1" x14ac:dyDescent="0.2">
      <c r="A622" s="23" t="s">
        <v>445</v>
      </c>
      <c r="B622" s="23" t="s">
        <v>13</v>
      </c>
      <c r="C622" s="23" t="s">
        <v>46</v>
      </c>
      <c r="D622" s="23">
        <v>0</v>
      </c>
      <c r="E622" s="23">
        <v>2025</v>
      </c>
      <c r="F622" s="15" t="s">
        <v>3302</v>
      </c>
      <c r="G622" s="15" t="s">
        <v>3300</v>
      </c>
      <c r="H622" s="23" t="s">
        <v>58</v>
      </c>
    </row>
    <row r="623" spans="1:8" ht="54.95" customHeight="1" x14ac:dyDescent="0.2">
      <c r="A623" s="23" t="s">
        <v>445</v>
      </c>
      <c r="B623" s="23" t="s">
        <v>14</v>
      </c>
      <c r="C623" s="23" t="s">
        <v>46</v>
      </c>
      <c r="D623" s="23">
        <v>0</v>
      </c>
      <c r="E623" s="23">
        <v>2025</v>
      </c>
      <c r="F623" s="15" t="s">
        <v>3304</v>
      </c>
      <c r="G623" s="15" t="s">
        <v>3300</v>
      </c>
      <c r="H623" s="23" t="s">
        <v>58</v>
      </c>
    </row>
    <row r="624" spans="1:8" ht="54.95" customHeight="1" x14ac:dyDescent="0.2">
      <c r="A624" s="23" t="s">
        <v>445</v>
      </c>
      <c r="B624" s="23" t="s">
        <v>3</v>
      </c>
      <c r="C624" s="23" t="s">
        <v>46</v>
      </c>
      <c r="D624" s="23">
        <v>625000</v>
      </c>
      <c r="E624" s="23">
        <v>2025</v>
      </c>
      <c r="F624" s="15" t="s">
        <v>3305</v>
      </c>
      <c r="G624" s="15" t="s">
        <v>3306</v>
      </c>
      <c r="H624" s="23" t="s">
        <v>58</v>
      </c>
    </row>
    <row r="625" spans="1:8" ht="54.95" customHeight="1" x14ac:dyDescent="0.2">
      <c r="A625" s="23" t="s">
        <v>445</v>
      </c>
      <c r="B625" s="23" t="s">
        <v>6</v>
      </c>
      <c r="C625" s="23" t="s">
        <v>46</v>
      </c>
      <c r="D625" s="23">
        <v>29.787677808219176</v>
      </c>
      <c r="E625" s="23">
        <v>2025</v>
      </c>
      <c r="F625" s="15" t="s">
        <v>3305</v>
      </c>
      <c r="G625" s="15" t="s">
        <v>3308</v>
      </c>
      <c r="H625" s="23" t="s">
        <v>58</v>
      </c>
    </row>
    <row r="626" spans="1:8" ht="54.95" customHeight="1" x14ac:dyDescent="0.2">
      <c r="A626" s="23" t="s">
        <v>445</v>
      </c>
      <c r="B626" s="23" t="s">
        <v>7</v>
      </c>
      <c r="C626" s="23" t="s">
        <v>46</v>
      </c>
      <c r="D626" s="23">
        <v>10.508558904109588</v>
      </c>
      <c r="E626" s="23">
        <v>2025</v>
      </c>
      <c r="F626" s="15" t="s">
        <v>3305</v>
      </c>
      <c r="G626" s="15" t="s">
        <v>3308</v>
      </c>
      <c r="H626" s="23" t="s">
        <v>58</v>
      </c>
    </row>
    <row r="627" spans="1:8" ht="54.95" customHeight="1" x14ac:dyDescent="0.2">
      <c r="A627" s="23" t="s">
        <v>445</v>
      </c>
      <c r="B627" s="23" t="s">
        <v>8</v>
      </c>
      <c r="C627" s="23" t="s">
        <v>46</v>
      </c>
      <c r="D627" s="23">
        <v>13.556427397260274</v>
      </c>
      <c r="E627" s="23">
        <v>2025</v>
      </c>
      <c r="F627" s="15" t="s">
        <v>3305</v>
      </c>
      <c r="G627" s="15" t="s">
        <v>3308</v>
      </c>
      <c r="H627" s="23" t="s">
        <v>58</v>
      </c>
    </row>
    <row r="628" spans="1:8" ht="54.95" customHeight="1" x14ac:dyDescent="0.2">
      <c r="A628" s="23" t="s">
        <v>445</v>
      </c>
      <c r="B628" s="23" t="s">
        <v>9</v>
      </c>
      <c r="C628" s="23" t="s">
        <v>46</v>
      </c>
      <c r="D628" s="23">
        <v>13.633911232876713</v>
      </c>
      <c r="E628" s="23">
        <v>2025</v>
      </c>
      <c r="F628" s="15" t="s">
        <v>3305</v>
      </c>
      <c r="G628" s="15" t="s">
        <v>3308</v>
      </c>
      <c r="H628" s="23" t="s">
        <v>58</v>
      </c>
    </row>
    <row r="629" spans="1:8" ht="54.95" customHeight="1" x14ac:dyDescent="0.2">
      <c r="A629" s="23" t="s">
        <v>445</v>
      </c>
      <c r="B629" s="23" t="s">
        <v>10</v>
      </c>
      <c r="C629" s="23" t="s">
        <v>46</v>
      </c>
      <c r="D629" s="23">
        <v>16.636405479452055</v>
      </c>
      <c r="E629" s="23">
        <v>2025</v>
      </c>
      <c r="F629" s="15" t="s">
        <v>3305</v>
      </c>
      <c r="G629" s="15" t="s">
        <v>3308</v>
      </c>
      <c r="H629" s="23" t="s">
        <v>58</v>
      </c>
    </row>
    <row r="630" spans="1:8" ht="54.95" customHeight="1" x14ac:dyDescent="0.2">
      <c r="A630" s="23" t="s">
        <v>445</v>
      </c>
      <c r="B630" s="23" t="s">
        <v>5</v>
      </c>
      <c r="C630" s="23" t="s">
        <v>46</v>
      </c>
      <c r="D630" s="23">
        <v>228.125</v>
      </c>
      <c r="E630" s="23">
        <v>2025</v>
      </c>
      <c r="F630" s="15" t="s">
        <v>3305</v>
      </c>
      <c r="G630" s="15" t="s">
        <v>3311</v>
      </c>
      <c r="H630" s="23" t="s">
        <v>58</v>
      </c>
    </row>
    <row r="631" spans="1:8" ht="54.95" customHeight="1" x14ac:dyDescent="0.2">
      <c r="A631" s="23" t="s">
        <v>451</v>
      </c>
      <c r="B631" s="23" t="s">
        <v>11</v>
      </c>
      <c r="C631" s="23" t="s">
        <v>3554</v>
      </c>
      <c r="D631" s="23">
        <v>223.46849315068494</v>
      </c>
      <c r="E631" s="23">
        <v>2025</v>
      </c>
      <c r="F631" s="15" t="s">
        <v>3299</v>
      </c>
      <c r="G631" s="15" t="s">
        <v>3300</v>
      </c>
      <c r="H631" s="23" t="s">
        <v>58</v>
      </c>
    </row>
    <row r="632" spans="1:8" ht="54.95" customHeight="1" x14ac:dyDescent="0.2">
      <c r="A632" s="23" t="s">
        <v>451</v>
      </c>
      <c r="B632" s="23" t="s">
        <v>13</v>
      </c>
      <c r="C632" s="23" t="s">
        <v>3554</v>
      </c>
      <c r="D632" s="23">
        <v>223.46849315068494</v>
      </c>
      <c r="E632" s="23">
        <v>2025</v>
      </c>
      <c r="F632" s="15" t="s">
        <v>3302</v>
      </c>
      <c r="G632" s="15" t="s">
        <v>3300</v>
      </c>
      <c r="H632" s="23" t="s">
        <v>58</v>
      </c>
    </row>
    <row r="633" spans="1:8" ht="54.95" customHeight="1" x14ac:dyDescent="0.2">
      <c r="A633" s="23" t="s">
        <v>451</v>
      </c>
      <c r="B633" s="23" t="s">
        <v>14</v>
      </c>
      <c r="C633" s="23" t="s">
        <v>46</v>
      </c>
      <c r="D633" s="23">
        <v>0</v>
      </c>
      <c r="E633" s="23">
        <v>2025</v>
      </c>
      <c r="F633" s="15" t="s">
        <v>3304</v>
      </c>
      <c r="G633" s="15" t="s">
        <v>3300</v>
      </c>
      <c r="H633" s="23" t="s">
        <v>58</v>
      </c>
    </row>
    <row r="634" spans="1:8" ht="54.95" customHeight="1" x14ac:dyDescent="0.2">
      <c r="A634" s="23" t="s">
        <v>451</v>
      </c>
      <c r="B634" s="23" t="s">
        <v>3</v>
      </c>
      <c r="C634" s="23" t="s">
        <v>3555</v>
      </c>
      <c r="D634" s="23">
        <v>41821.917808219179</v>
      </c>
      <c r="E634" s="23">
        <v>2025</v>
      </c>
      <c r="F634" s="15" t="s">
        <v>3305</v>
      </c>
      <c r="G634" s="15" t="s">
        <v>3306</v>
      </c>
      <c r="H634" s="23" t="s">
        <v>58</v>
      </c>
    </row>
    <row r="635" spans="1:8" ht="54.95" customHeight="1" x14ac:dyDescent="0.2">
      <c r="A635" s="23" t="s">
        <v>451</v>
      </c>
      <c r="B635" s="23" t="s">
        <v>6</v>
      </c>
      <c r="C635" s="23" t="s">
        <v>46</v>
      </c>
      <c r="D635" s="23">
        <v>31.558467081559122</v>
      </c>
      <c r="E635" s="23">
        <v>2025</v>
      </c>
      <c r="F635" s="15" t="s">
        <v>3305</v>
      </c>
      <c r="G635" s="15" t="s">
        <v>3308</v>
      </c>
      <c r="H635" s="23" t="s">
        <v>58</v>
      </c>
    </row>
    <row r="636" spans="1:8" ht="54.95" customHeight="1" x14ac:dyDescent="0.2">
      <c r="A636" s="23" t="s">
        <v>451</v>
      </c>
      <c r="B636" s="23" t="s">
        <v>7</v>
      </c>
      <c r="C636" s="23" t="s">
        <v>46</v>
      </c>
      <c r="D636" s="23">
        <v>40.70422535211268</v>
      </c>
      <c r="E636" s="23">
        <v>2025</v>
      </c>
      <c r="F636" s="15" t="s">
        <v>3305</v>
      </c>
      <c r="G636" s="15" t="s">
        <v>3308</v>
      </c>
      <c r="H636" s="23" t="s">
        <v>58</v>
      </c>
    </row>
    <row r="637" spans="1:8" ht="54.95" customHeight="1" x14ac:dyDescent="0.2">
      <c r="A637" s="23" t="s">
        <v>451</v>
      </c>
      <c r="B637" s="23" t="s">
        <v>8</v>
      </c>
      <c r="C637" s="23" t="s">
        <v>46</v>
      </c>
      <c r="D637" s="23">
        <v>7.8270553553881435</v>
      </c>
      <c r="E637" s="23">
        <v>2025</v>
      </c>
      <c r="F637" s="15" t="s">
        <v>3305</v>
      </c>
      <c r="G637" s="15" t="s">
        <v>3308</v>
      </c>
      <c r="H637" s="23" t="s">
        <v>58</v>
      </c>
    </row>
    <row r="638" spans="1:8" ht="54.95" customHeight="1" x14ac:dyDescent="0.2">
      <c r="A638" s="23" t="s">
        <v>451</v>
      </c>
      <c r="B638" s="23" t="s">
        <v>9</v>
      </c>
      <c r="C638" s="23" t="s">
        <v>46</v>
      </c>
      <c r="D638" s="23">
        <v>24.540583033082214</v>
      </c>
      <c r="E638" s="23">
        <v>2025</v>
      </c>
      <c r="F638" s="15" t="s">
        <v>3305</v>
      </c>
      <c r="G638" s="15" t="s">
        <v>3308</v>
      </c>
      <c r="H638" s="23" t="s">
        <v>58</v>
      </c>
    </row>
    <row r="639" spans="1:8" ht="54.95" customHeight="1" x14ac:dyDescent="0.2">
      <c r="A639" s="23" t="s">
        <v>451</v>
      </c>
      <c r="B639" s="23" t="s">
        <v>10</v>
      </c>
      <c r="C639" s="23" t="s">
        <v>46</v>
      </c>
      <c r="D639" s="23" t="s">
        <v>46</v>
      </c>
      <c r="E639" s="23">
        <v>2025</v>
      </c>
      <c r="F639" s="15" t="s">
        <v>3305</v>
      </c>
      <c r="G639" s="15" t="s">
        <v>3357</v>
      </c>
      <c r="H639" s="23" t="s">
        <v>58</v>
      </c>
    </row>
    <row r="640" spans="1:8" ht="54.95" customHeight="1" x14ac:dyDescent="0.2">
      <c r="A640" s="23" t="s">
        <v>451</v>
      </c>
      <c r="B640" s="23" t="s">
        <v>5</v>
      </c>
      <c r="C640" s="23" t="s">
        <v>3556</v>
      </c>
      <c r="D640" s="23">
        <v>15.265000000000001</v>
      </c>
      <c r="E640" s="23">
        <v>2025</v>
      </c>
      <c r="F640" s="15" t="s">
        <v>3305</v>
      </c>
      <c r="G640" s="15" t="s">
        <v>3311</v>
      </c>
      <c r="H640" s="23" t="s">
        <v>58</v>
      </c>
    </row>
    <row r="641" spans="1:8" ht="54.95" customHeight="1" x14ac:dyDescent="0.2">
      <c r="A641" s="23" t="s">
        <v>458</v>
      </c>
      <c r="B641" s="23" t="s">
        <v>11</v>
      </c>
      <c r="C641" s="23" t="s">
        <v>46</v>
      </c>
      <c r="D641" s="23">
        <v>0</v>
      </c>
      <c r="E641" s="23">
        <v>2025</v>
      </c>
      <c r="F641" s="15" t="s">
        <v>3299</v>
      </c>
      <c r="G641" s="15" t="s">
        <v>3300</v>
      </c>
      <c r="H641" s="23" t="s">
        <v>58</v>
      </c>
    </row>
    <row r="642" spans="1:8" ht="54.95" customHeight="1" x14ac:dyDescent="0.2">
      <c r="A642" s="23" t="s">
        <v>458</v>
      </c>
      <c r="B642" s="23" t="s">
        <v>13</v>
      </c>
      <c r="C642" s="23" t="s">
        <v>46</v>
      </c>
      <c r="D642" s="23">
        <v>0</v>
      </c>
      <c r="E642" s="23">
        <v>2025</v>
      </c>
      <c r="F642" s="15" t="s">
        <v>3302</v>
      </c>
      <c r="G642" s="15" t="s">
        <v>3300</v>
      </c>
      <c r="H642" s="23" t="s">
        <v>58</v>
      </c>
    </row>
    <row r="643" spans="1:8" ht="54.95" customHeight="1" x14ac:dyDescent="0.2">
      <c r="A643" s="23" t="s">
        <v>458</v>
      </c>
      <c r="B643" s="23" t="s">
        <v>14</v>
      </c>
      <c r="C643" s="23" t="s">
        <v>46</v>
      </c>
      <c r="D643" s="23">
        <v>0</v>
      </c>
      <c r="E643" s="23">
        <v>2025</v>
      </c>
      <c r="F643" s="15" t="s">
        <v>3304</v>
      </c>
      <c r="G643" s="15" t="s">
        <v>3300</v>
      </c>
      <c r="H643" s="23" t="s">
        <v>58</v>
      </c>
    </row>
    <row r="644" spans="1:8" ht="54.95" customHeight="1" x14ac:dyDescent="0.2">
      <c r="A644" s="23" t="s">
        <v>458</v>
      </c>
      <c r="B644" s="23" t="s">
        <v>3</v>
      </c>
      <c r="C644" s="23" t="s">
        <v>46</v>
      </c>
      <c r="D644" s="23">
        <v>23521.695070000002</v>
      </c>
      <c r="E644" s="23">
        <v>2024</v>
      </c>
      <c r="F644" s="15" t="s">
        <v>3316</v>
      </c>
      <c r="G644" s="15" t="s">
        <v>3317</v>
      </c>
      <c r="H644" s="23" t="s">
        <v>58</v>
      </c>
    </row>
    <row r="645" spans="1:8" ht="54.95" customHeight="1" x14ac:dyDescent="0.2">
      <c r="A645" s="23" t="s">
        <v>458</v>
      </c>
      <c r="B645" s="23" t="s">
        <v>6</v>
      </c>
      <c r="C645" s="23" t="s">
        <v>46</v>
      </c>
      <c r="D645" s="23">
        <v>65.516198999003521</v>
      </c>
      <c r="E645" s="23">
        <v>2024</v>
      </c>
      <c r="F645" s="15" t="s">
        <v>3319</v>
      </c>
      <c r="G645" s="15" t="s">
        <v>3320</v>
      </c>
      <c r="H645" s="23" t="s">
        <v>58</v>
      </c>
    </row>
    <row r="646" spans="1:8" ht="54.95" customHeight="1" x14ac:dyDescent="0.2">
      <c r="A646" s="23" t="s">
        <v>458</v>
      </c>
      <c r="B646" s="23" t="s">
        <v>7</v>
      </c>
      <c r="C646" s="23" t="s">
        <v>46</v>
      </c>
      <c r="D646" s="23">
        <v>11.326413220099615</v>
      </c>
      <c r="E646" s="23">
        <v>2024</v>
      </c>
      <c r="F646" s="15" t="s">
        <v>3322</v>
      </c>
      <c r="G646" s="15" t="s">
        <v>3320</v>
      </c>
      <c r="H646" s="23" t="s">
        <v>58</v>
      </c>
    </row>
    <row r="647" spans="1:8" ht="54.95" customHeight="1" x14ac:dyDescent="0.2">
      <c r="A647" s="23" t="s">
        <v>458</v>
      </c>
      <c r="B647" s="23" t="s">
        <v>8</v>
      </c>
      <c r="C647" s="23" t="s">
        <v>46</v>
      </c>
      <c r="D647" s="23">
        <v>8.2418810984101398</v>
      </c>
      <c r="E647" s="23">
        <v>2024</v>
      </c>
      <c r="F647" s="15" t="s">
        <v>3324</v>
      </c>
      <c r="G647" s="15" t="s">
        <v>3320</v>
      </c>
      <c r="H647" s="23" t="s">
        <v>58</v>
      </c>
    </row>
    <row r="648" spans="1:8" ht="54.95" customHeight="1" x14ac:dyDescent="0.2">
      <c r="A648" s="23" t="s">
        <v>458</v>
      </c>
      <c r="B648" s="23" t="s">
        <v>9</v>
      </c>
      <c r="C648" s="23" t="s">
        <v>46</v>
      </c>
      <c r="D648" s="23">
        <v>0.55419543367118385</v>
      </c>
      <c r="E648" s="23">
        <v>2024</v>
      </c>
      <c r="F648" s="15" t="s">
        <v>3325</v>
      </c>
      <c r="G648" s="15" t="s">
        <v>3320</v>
      </c>
      <c r="H648" s="23" t="s">
        <v>58</v>
      </c>
    </row>
    <row r="649" spans="1:8" ht="54.95" customHeight="1" x14ac:dyDescent="0.2">
      <c r="A649" s="23" t="s">
        <v>458</v>
      </c>
      <c r="B649" s="23" t="s">
        <v>10</v>
      </c>
      <c r="C649" s="23" t="s">
        <v>46</v>
      </c>
      <c r="D649" s="23">
        <v>5.4301370126553543</v>
      </c>
      <c r="E649" s="23">
        <v>2024</v>
      </c>
      <c r="F649" s="15" t="s">
        <v>3326</v>
      </c>
      <c r="G649" s="15" t="s">
        <v>3320</v>
      </c>
      <c r="H649" s="23" t="s">
        <v>58</v>
      </c>
    </row>
    <row r="650" spans="1:8" ht="54.95" customHeight="1" x14ac:dyDescent="0.2">
      <c r="A650" s="23" t="s">
        <v>458</v>
      </c>
      <c r="B650" s="23" t="s">
        <v>5</v>
      </c>
      <c r="C650" s="23" t="s">
        <v>46</v>
      </c>
      <c r="D650" s="23">
        <v>8.6089403956200012</v>
      </c>
      <c r="E650" s="23">
        <v>2024</v>
      </c>
      <c r="F650" s="15" t="s">
        <v>3316</v>
      </c>
      <c r="G650" s="15" t="s">
        <v>3311</v>
      </c>
      <c r="H650" s="23" t="s">
        <v>58</v>
      </c>
    </row>
    <row r="651" spans="1:8" ht="54.95" customHeight="1" x14ac:dyDescent="0.2">
      <c r="A651" s="23" t="s">
        <v>464</v>
      </c>
      <c r="B651" s="23" t="s">
        <v>11</v>
      </c>
      <c r="C651" s="23" t="s">
        <v>46</v>
      </c>
      <c r="D651" s="23">
        <v>12156.394520547945</v>
      </c>
      <c r="E651" s="23">
        <v>2025</v>
      </c>
      <c r="F651" s="15" t="s">
        <v>3299</v>
      </c>
      <c r="G651" s="15" t="s">
        <v>3300</v>
      </c>
      <c r="H651" s="23" t="s">
        <v>58</v>
      </c>
    </row>
    <row r="652" spans="1:8" ht="54.95" customHeight="1" x14ac:dyDescent="0.2">
      <c r="A652" s="23" t="s">
        <v>464</v>
      </c>
      <c r="B652" s="23" t="s">
        <v>13</v>
      </c>
      <c r="C652" s="23" t="s">
        <v>46</v>
      </c>
      <c r="D652" s="23">
        <v>12156.394520547945</v>
      </c>
      <c r="E652" s="23">
        <v>2025</v>
      </c>
      <c r="F652" s="15" t="s">
        <v>3302</v>
      </c>
      <c r="G652" s="15" t="s">
        <v>3300</v>
      </c>
      <c r="H652" s="23" t="s">
        <v>58</v>
      </c>
    </row>
    <row r="653" spans="1:8" ht="54.95" customHeight="1" x14ac:dyDescent="0.2">
      <c r="A653" s="23" t="s">
        <v>464</v>
      </c>
      <c r="B653" s="23" t="s">
        <v>14</v>
      </c>
      <c r="C653" s="23" t="s">
        <v>46</v>
      </c>
      <c r="D653" s="23">
        <v>0</v>
      </c>
      <c r="E653" s="23">
        <v>2025</v>
      </c>
      <c r="F653" s="15" t="s">
        <v>3304</v>
      </c>
      <c r="G653" s="15" t="s">
        <v>3300</v>
      </c>
      <c r="H653" s="23" t="s">
        <v>58</v>
      </c>
    </row>
    <row r="654" spans="1:8" ht="54.95" customHeight="1" x14ac:dyDescent="0.2">
      <c r="A654" s="23" t="s">
        <v>464</v>
      </c>
      <c r="B654" s="23" t="s">
        <v>3</v>
      </c>
      <c r="C654" s="23" t="s">
        <v>46</v>
      </c>
      <c r="D654" s="23">
        <v>24655.328109999999</v>
      </c>
      <c r="E654" s="23">
        <v>2024</v>
      </c>
      <c r="F654" s="15" t="s">
        <v>3316</v>
      </c>
      <c r="G654" s="15" t="s">
        <v>3317</v>
      </c>
      <c r="H654" s="23" t="s">
        <v>58</v>
      </c>
    </row>
    <row r="655" spans="1:8" ht="54.95" customHeight="1" x14ac:dyDescent="0.2">
      <c r="A655" s="23" t="s">
        <v>464</v>
      </c>
      <c r="B655" s="23" t="s">
        <v>6</v>
      </c>
      <c r="C655" s="23" t="s">
        <v>46</v>
      </c>
      <c r="D655" s="23">
        <v>53.965992383623572</v>
      </c>
      <c r="E655" s="23">
        <v>2024</v>
      </c>
      <c r="F655" s="15" t="s">
        <v>3319</v>
      </c>
      <c r="G655" s="15" t="s">
        <v>3320</v>
      </c>
      <c r="H655" s="23" t="s">
        <v>58</v>
      </c>
    </row>
    <row r="656" spans="1:8" ht="54.95" customHeight="1" x14ac:dyDescent="0.2">
      <c r="A656" s="23" t="s">
        <v>464</v>
      </c>
      <c r="B656" s="23" t="s">
        <v>7</v>
      </c>
      <c r="C656" s="23" t="s">
        <v>46</v>
      </c>
      <c r="D656" s="23">
        <v>8.4359770055398382</v>
      </c>
      <c r="E656" s="23">
        <v>2024</v>
      </c>
      <c r="F656" s="15" t="s">
        <v>3322</v>
      </c>
      <c r="G656" s="15" t="s">
        <v>3320</v>
      </c>
      <c r="H656" s="23" t="s">
        <v>58</v>
      </c>
    </row>
    <row r="657" spans="1:8" ht="54.95" customHeight="1" x14ac:dyDescent="0.2">
      <c r="A657" s="23" t="s">
        <v>464</v>
      </c>
      <c r="B657" s="23" t="s">
        <v>8</v>
      </c>
      <c r="C657" s="23" t="s">
        <v>46</v>
      </c>
      <c r="D657" s="23">
        <v>21.655270845227459</v>
      </c>
      <c r="E657" s="23">
        <v>2024</v>
      </c>
      <c r="F657" s="15" t="s">
        <v>3324</v>
      </c>
      <c r="G657" s="15" t="s">
        <v>3320</v>
      </c>
      <c r="H657" s="23" t="s">
        <v>58</v>
      </c>
    </row>
    <row r="658" spans="1:8" ht="54.95" customHeight="1" x14ac:dyDescent="0.2">
      <c r="A658" s="23" t="s">
        <v>464</v>
      </c>
      <c r="B658" s="23" t="s">
        <v>9</v>
      </c>
      <c r="C658" s="23" t="s">
        <v>46</v>
      </c>
      <c r="D658" s="23">
        <v>5.903972697121004</v>
      </c>
      <c r="E658" s="23">
        <v>2024</v>
      </c>
      <c r="F658" s="15" t="s">
        <v>3325</v>
      </c>
      <c r="G658" s="15" t="s">
        <v>3320</v>
      </c>
      <c r="H658" s="23" t="s">
        <v>58</v>
      </c>
    </row>
    <row r="659" spans="1:8" ht="54.95" customHeight="1" x14ac:dyDescent="0.2">
      <c r="A659" s="23" t="s">
        <v>464</v>
      </c>
      <c r="B659" s="23" t="s">
        <v>10</v>
      </c>
      <c r="C659" s="23" t="s">
        <v>46</v>
      </c>
      <c r="D659" s="23">
        <v>1.0360926809016617</v>
      </c>
      <c r="E659" s="23">
        <v>2024</v>
      </c>
      <c r="F659" s="15" t="s">
        <v>3326</v>
      </c>
      <c r="G659" s="15" t="s">
        <v>3320</v>
      </c>
      <c r="H659" s="23" t="s">
        <v>58</v>
      </c>
    </row>
    <row r="660" spans="1:8" ht="54.95" customHeight="1" x14ac:dyDescent="0.2">
      <c r="A660" s="23" t="s">
        <v>464</v>
      </c>
      <c r="B660" s="23" t="s">
        <v>5</v>
      </c>
      <c r="C660" s="23" t="s">
        <v>46</v>
      </c>
      <c r="D660" s="23">
        <v>9.0238500882599979</v>
      </c>
      <c r="E660" s="23">
        <v>2024</v>
      </c>
      <c r="F660" s="15" t="s">
        <v>3316</v>
      </c>
      <c r="G660" s="15" t="s">
        <v>3311</v>
      </c>
      <c r="H660" s="23" t="s">
        <v>58</v>
      </c>
    </row>
    <row r="661" spans="1:8" ht="54.95" customHeight="1" x14ac:dyDescent="0.2">
      <c r="A661" s="23" t="s">
        <v>471</v>
      </c>
      <c r="B661" s="23" t="s">
        <v>11</v>
      </c>
      <c r="C661" s="23" t="s">
        <v>3557</v>
      </c>
      <c r="D661" s="23">
        <v>566627.94055360893</v>
      </c>
      <c r="E661" s="23">
        <v>2025</v>
      </c>
      <c r="F661" s="15" t="s">
        <v>3299</v>
      </c>
      <c r="G661" s="15" t="s">
        <v>3300</v>
      </c>
      <c r="H661" s="23" t="s">
        <v>58</v>
      </c>
    </row>
    <row r="662" spans="1:8" ht="54.95" customHeight="1" x14ac:dyDescent="0.2">
      <c r="A662" s="23" t="s">
        <v>471</v>
      </c>
      <c r="B662" s="23" t="s">
        <v>13</v>
      </c>
      <c r="C662" s="23" t="s">
        <v>46</v>
      </c>
      <c r="D662" s="23">
        <v>560620.97435724887</v>
      </c>
      <c r="E662" s="23">
        <v>2025</v>
      </c>
      <c r="F662" s="15" t="s">
        <v>3302</v>
      </c>
      <c r="G662" s="15" t="s">
        <v>3300</v>
      </c>
      <c r="H662" s="23" t="s">
        <v>58</v>
      </c>
    </row>
    <row r="663" spans="1:8" ht="54.95" customHeight="1" x14ac:dyDescent="0.2">
      <c r="A663" s="23" t="s">
        <v>471</v>
      </c>
      <c r="B663" s="23" t="s">
        <v>14</v>
      </c>
      <c r="C663" s="23" t="s">
        <v>46</v>
      </c>
      <c r="D663" s="23">
        <v>984.03360655737708</v>
      </c>
      <c r="E663" s="23">
        <v>2025</v>
      </c>
      <c r="F663" s="15" t="s">
        <v>3304</v>
      </c>
      <c r="G663" s="15" t="s">
        <v>3300</v>
      </c>
      <c r="H663" s="23" t="s">
        <v>58</v>
      </c>
    </row>
    <row r="664" spans="1:8" ht="54.95" customHeight="1" x14ac:dyDescent="0.2">
      <c r="A664" s="23" t="s">
        <v>471</v>
      </c>
      <c r="B664" s="23" t="s">
        <v>3</v>
      </c>
      <c r="C664" s="23" t="s">
        <v>3558</v>
      </c>
      <c r="D664" s="23">
        <v>119098.63013698631</v>
      </c>
      <c r="E664" s="23">
        <v>2025</v>
      </c>
      <c r="F664" s="15" t="s">
        <v>3305</v>
      </c>
      <c r="G664" s="15" t="s">
        <v>3306</v>
      </c>
      <c r="H664" s="23" t="s">
        <v>58</v>
      </c>
    </row>
    <row r="665" spans="1:8" ht="54.95" customHeight="1" x14ac:dyDescent="0.2">
      <c r="A665" s="23" t="s">
        <v>471</v>
      </c>
      <c r="B665" s="23" t="s">
        <v>6</v>
      </c>
      <c r="C665" s="23" t="s">
        <v>46</v>
      </c>
      <c r="D665" s="23">
        <v>31.798670377953119</v>
      </c>
      <c r="E665" s="23">
        <v>2025</v>
      </c>
      <c r="F665" s="15" t="s">
        <v>3305</v>
      </c>
      <c r="G665" s="15" t="s">
        <v>3308</v>
      </c>
      <c r="H665" s="23" t="s">
        <v>58</v>
      </c>
    </row>
    <row r="666" spans="1:8" ht="54.95" customHeight="1" x14ac:dyDescent="0.2">
      <c r="A666" s="23" t="s">
        <v>471</v>
      </c>
      <c r="B666" s="23" t="s">
        <v>7</v>
      </c>
      <c r="C666" s="23" t="s">
        <v>46</v>
      </c>
      <c r="D666" s="23">
        <v>31.774056267396656</v>
      </c>
      <c r="E666" s="23">
        <v>2025</v>
      </c>
      <c r="F666" s="15" t="s">
        <v>3305</v>
      </c>
      <c r="G666" s="15" t="s">
        <v>3308</v>
      </c>
      <c r="H666" s="23" t="s">
        <v>58</v>
      </c>
    </row>
    <row r="667" spans="1:8" ht="54.95" customHeight="1" x14ac:dyDescent="0.2">
      <c r="A667" s="23" t="s">
        <v>471</v>
      </c>
      <c r="B667" s="23" t="s">
        <v>8</v>
      </c>
      <c r="C667" s="23" t="s">
        <v>46</v>
      </c>
      <c r="D667" s="23">
        <v>5.8972648432288191</v>
      </c>
      <c r="E667" s="23">
        <v>2025</v>
      </c>
      <c r="F667" s="15" t="s">
        <v>3305</v>
      </c>
      <c r="G667" s="15" t="s">
        <v>3308</v>
      </c>
      <c r="H667" s="23" t="s">
        <v>58</v>
      </c>
    </row>
    <row r="668" spans="1:8" ht="54.95" customHeight="1" x14ac:dyDescent="0.2">
      <c r="A668" s="23" t="s">
        <v>471</v>
      </c>
      <c r="B668" s="23" t="s">
        <v>9</v>
      </c>
      <c r="C668" s="23" t="s">
        <v>46</v>
      </c>
      <c r="D668" s="23">
        <v>25.183041567941842</v>
      </c>
      <c r="E668" s="23">
        <v>2025</v>
      </c>
      <c r="F668" s="15" t="s">
        <v>3305</v>
      </c>
      <c r="G668" s="15" t="s">
        <v>3308</v>
      </c>
      <c r="H668" s="23" t="s">
        <v>58</v>
      </c>
    </row>
    <row r="669" spans="1:8" ht="54.95" customHeight="1" x14ac:dyDescent="0.2">
      <c r="A669" s="23" t="s">
        <v>471</v>
      </c>
      <c r="B669" s="23" t="s">
        <v>10</v>
      </c>
      <c r="C669" s="23" t="s">
        <v>46</v>
      </c>
      <c r="D669" s="23">
        <v>3.2895493547422419</v>
      </c>
      <c r="E669" s="23">
        <v>2025</v>
      </c>
      <c r="F669" s="15" t="s">
        <v>3305</v>
      </c>
      <c r="G669" s="15" t="s">
        <v>3308</v>
      </c>
      <c r="H669" s="23" t="s">
        <v>58</v>
      </c>
    </row>
    <row r="670" spans="1:8" ht="54.95" customHeight="1" x14ac:dyDescent="0.2">
      <c r="A670" s="23" t="s">
        <v>471</v>
      </c>
      <c r="B670" s="23" t="s">
        <v>5</v>
      </c>
      <c r="C670" s="23" t="s">
        <v>3559</v>
      </c>
      <c r="D670" s="23">
        <v>43.470999999999997</v>
      </c>
      <c r="E670" s="23">
        <v>2025</v>
      </c>
      <c r="F670" s="15" t="s">
        <v>3305</v>
      </c>
      <c r="G670" s="15" t="s">
        <v>3311</v>
      </c>
      <c r="H670" s="23" t="s">
        <v>58</v>
      </c>
    </row>
    <row r="671" spans="1:8" ht="54.95" customHeight="1" x14ac:dyDescent="0.2">
      <c r="A671" s="23" t="s">
        <v>478</v>
      </c>
      <c r="B671" s="23" t="s">
        <v>3</v>
      </c>
      <c r="C671" s="23" t="s">
        <v>46</v>
      </c>
      <c r="D671" s="23">
        <v>18263.753430000001</v>
      </c>
      <c r="E671" s="23">
        <v>2024</v>
      </c>
      <c r="F671" s="15" t="s">
        <v>3316</v>
      </c>
      <c r="G671" s="15" t="s">
        <v>3317</v>
      </c>
      <c r="H671" s="23" t="s">
        <v>58</v>
      </c>
    </row>
    <row r="672" spans="1:8" ht="54.95" customHeight="1" x14ac:dyDescent="0.2">
      <c r="A672" s="23" t="s">
        <v>478</v>
      </c>
      <c r="B672" s="23" t="s">
        <v>6</v>
      </c>
      <c r="C672" s="23" t="s">
        <v>46</v>
      </c>
      <c r="D672" s="23">
        <v>74.641741152765874</v>
      </c>
      <c r="E672" s="23">
        <v>2024</v>
      </c>
      <c r="F672" s="15" t="s">
        <v>3319</v>
      </c>
      <c r="G672" s="15" t="s">
        <v>3320</v>
      </c>
      <c r="H672" s="23" t="s">
        <v>58</v>
      </c>
    </row>
    <row r="673" spans="1:8" ht="54.95" customHeight="1" x14ac:dyDescent="0.2">
      <c r="A673" s="23" t="s">
        <v>478</v>
      </c>
      <c r="B673" s="23" t="s">
        <v>7</v>
      </c>
      <c r="C673" s="23" t="s">
        <v>46</v>
      </c>
      <c r="D673" s="23">
        <v>8.8290753386501439</v>
      </c>
      <c r="E673" s="23">
        <v>2024</v>
      </c>
      <c r="F673" s="15" t="s">
        <v>3322</v>
      </c>
      <c r="G673" s="15" t="s">
        <v>3320</v>
      </c>
      <c r="H673" s="23" t="s">
        <v>58</v>
      </c>
    </row>
    <row r="674" spans="1:8" ht="54.95" customHeight="1" x14ac:dyDescent="0.2">
      <c r="A674" s="23" t="s">
        <v>478</v>
      </c>
      <c r="B674" s="23" t="s">
        <v>8</v>
      </c>
      <c r="C674" s="23" t="s">
        <v>46</v>
      </c>
      <c r="D674" s="23">
        <v>4.1762485073146314</v>
      </c>
      <c r="E674" s="23">
        <v>2024</v>
      </c>
      <c r="F674" s="15" t="s">
        <v>3324</v>
      </c>
      <c r="G674" s="15" t="s">
        <v>3320</v>
      </c>
      <c r="H674" s="23" t="s">
        <v>58</v>
      </c>
    </row>
    <row r="675" spans="1:8" ht="54.95" customHeight="1" x14ac:dyDescent="0.2">
      <c r="A675" s="23" t="s">
        <v>478</v>
      </c>
      <c r="B675" s="23" t="s">
        <v>9</v>
      </c>
      <c r="C675" s="23" t="s">
        <v>46</v>
      </c>
      <c r="D675" s="23">
        <v>0.71374244346661653</v>
      </c>
      <c r="E675" s="23">
        <v>2024</v>
      </c>
      <c r="F675" s="15" t="s">
        <v>3325</v>
      </c>
      <c r="G675" s="15" t="s">
        <v>3320</v>
      </c>
      <c r="H675" s="23" t="s">
        <v>58</v>
      </c>
    </row>
    <row r="676" spans="1:8" ht="54.95" customHeight="1" x14ac:dyDescent="0.2">
      <c r="A676" s="23" t="s">
        <v>478</v>
      </c>
      <c r="B676" s="23" t="s">
        <v>10</v>
      </c>
      <c r="C676" s="23" t="s">
        <v>46</v>
      </c>
      <c r="D676" s="23">
        <v>1.4985891648669722</v>
      </c>
      <c r="E676" s="23">
        <v>2024</v>
      </c>
      <c r="F676" s="15" t="s">
        <v>3326</v>
      </c>
      <c r="G676" s="15" t="s">
        <v>3320</v>
      </c>
      <c r="H676" s="23" t="s">
        <v>58</v>
      </c>
    </row>
    <row r="677" spans="1:8" ht="54.95" customHeight="1" x14ac:dyDescent="0.2">
      <c r="A677" s="23" t="s">
        <v>478</v>
      </c>
      <c r="B677" s="23" t="s">
        <v>5</v>
      </c>
      <c r="C677" s="23" t="s">
        <v>46</v>
      </c>
      <c r="D677" s="23">
        <v>6.6845337553800004</v>
      </c>
      <c r="E677" s="23">
        <v>2024</v>
      </c>
      <c r="F677" s="15" t="s">
        <v>3316</v>
      </c>
      <c r="G677" s="15" t="s">
        <v>3311</v>
      </c>
      <c r="H677" s="23" t="s">
        <v>58</v>
      </c>
    </row>
    <row r="678" spans="1:8" ht="54.95" customHeight="1" x14ac:dyDescent="0.2">
      <c r="A678" s="23" t="s">
        <v>482</v>
      </c>
      <c r="B678" s="23" t="s">
        <v>11</v>
      </c>
      <c r="C678" s="23" t="s">
        <v>46</v>
      </c>
      <c r="D678" s="23">
        <v>142570.42751922467</v>
      </c>
      <c r="E678" s="23">
        <v>2025</v>
      </c>
      <c r="F678" s="15" t="s">
        <v>3299</v>
      </c>
      <c r="G678" s="15" t="s">
        <v>3300</v>
      </c>
      <c r="H678" s="23" t="s">
        <v>58</v>
      </c>
    </row>
    <row r="679" spans="1:8" ht="54.95" customHeight="1" x14ac:dyDescent="0.2">
      <c r="A679" s="23" t="s">
        <v>482</v>
      </c>
      <c r="B679" s="23" t="s">
        <v>13</v>
      </c>
      <c r="C679" s="23" t="s">
        <v>46</v>
      </c>
      <c r="D679" s="23">
        <v>124615.68767123288</v>
      </c>
      <c r="E679" s="23">
        <v>2025</v>
      </c>
      <c r="F679" s="15" t="s">
        <v>3302</v>
      </c>
      <c r="G679" s="15" t="s">
        <v>3300</v>
      </c>
      <c r="H679" s="23" t="s">
        <v>58</v>
      </c>
    </row>
    <row r="680" spans="1:8" ht="54.95" customHeight="1" x14ac:dyDescent="0.2">
      <c r="A680" s="23" t="s">
        <v>482</v>
      </c>
      <c r="B680" s="23" t="s">
        <v>14</v>
      </c>
      <c r="C680" s="23" t="s">
        <v>46</v>
      </c>
      <c r="D680" s="23">
        <v>0</v>
      </c>
      <c r="E680" s="23">
        <v>2025</v>
      </c>
      <c r="F680" s="15" t="s">
        <v>3304</v>
      </c>
      <c r="G680" s="15" t="s">
        <v>3300</v>
      </c>
      <c r="H680" s="23" t="s">
        <v>58</v>
      </c>
    </row>
    <row r="681" spans="1:8" ht="54.95" customHeight="1" x14ac:dyDescent="0.2">
      <c r="A681" s="23" t="s">
        <v>482</v>
      </c>
      <c r="B681" s="23" t="s">
        <v>3</v>
      </c>
      <c r="C681" s="23" t="s">
        <v>46</v>
      </c>
      <c r="D681" s="23">
        <v>1194361.6438356165</v>
      </c>
      <c r="E681" s="23">
        <v>2025</v>
      </c>
      <c r="F681" s="15" t="s">
        <v>3305</v>
      </c>
      <c r="G681" s="15" t="s">
        <v>3306</v>
      </c>
      <c r="H681" s="23" t="s">
        <v>58</v>
      </c>
    </row>
    <row r="682" spans="1:8" ht="54.95" customHeight="1" x14ac:dyDescent="0.2">
      <c r="A682" s="23" t="s">
        <v>482</v>
      </c>
      <c r="B682" s="23" t="s">
        <v>6</v>
      </c>
      <c r="C682" s="23" t="s">
        <v>46</v>
      </c>
      <c r="D682" s="23">
        <v>46.934092149873145</v>
      </c>
      <c r="E682" s="23">
        <v>2025</v>
      </c>
      <c r="F682" s="15" t="s">
        <v>3305</v>
      </c>
      <c r="G682" s="15" t="s">
        <v>3308</v>
      </c>
      <c r="H682" s="23" t="s">
        <v>58</v>
      </c>
    </row>
    <row r="683" spans="1:8" ht="54.95" customHeight="1" x14ac:dyDescent="0.2">
      <c r="A683" s="23" t="s">
        <v>482</v>
      </c>
      <c r="B683" s="23" t="s">
        <v>7</v>
      </c>
      <c r="C683" s="23" t="s">
        <v>46</v>
      </c>
      <c r="D683" s="23">
        <v>11.038796445398699</v>
      </c>
      <c r="E683" s="23">
        <v>2025</v>
      </c>
      <c r="F683" s="15" t="s">
        <v>3305</v>
      </c>
      <c r="G683" s="15" t="s">
        <v>3308</v>
      </c>
      <c r="H683" s="23" t="s">
        <v>58</v>
      </c>
    </row>
    <row r="684" spans="1:8" ht="54.95" customHeight="1" x14ac:dyDescent="0.2">
      <c r="A684" s="23" t="s">
        <v>482</v>
      </c>
      <c r="B684" s="23" t="s">
        <v>8</v>
      </c>
      <c r="C684" s="23" t="s">
        <v>46</v>
      </c>
      <c r="D684" s="23">
        <v>10.462676227571558</v>
      </c>
      <c r="E684" s="23">
        <v>2025</v>
      </c>
      <c r="F684" s="15" t="s">
        <v>3305</v>
      </c>
      <c r="G684" s="15" t="s">
        <v>3308</v>
      </c>
      <c r="H684" s="23" t="s">
        <v>58</v>
      </c>
    </row>
    <row r="685" spans="1:8" ht="54.95" customHeight="1" x14ac:dyDescent="0.2">
      <c r="A685" s="23" t="s">
        <v>482</v>
      </c>
      <c r="B685" s="23" t="s">
        <v>9</v>
      </c>
      <c r="C685" s="23" t="s">
        <v>46</v>
      </c>
      <c r="D685" s="23">
        <v>24.577664001174469</v>
      </c>
      <c r="E685" s="23">
        <v>2025</v>
      </c>
      <c r="F685" s="15" t="s">
        <v>3305</v>
      </c>
      <c r="G685" s="15" t="s">
        <v>3308</v>
      </c>
      <c r="H685" s="23" t="s">
        <v>58</v>
      </c>
    </row>
    <row r="686" spans="1:8" ht="54.95" customHeight="1" x14ac:dyDescent="0.2">
      <c r="A686" s="23" t="s">
        <v>482</v>
      </c>
      <c r="B686" s="23" t="s">
        <v>10</v>
      </c>
      <c r="C686" s="23" t="s">
        <v>46</v>
      </c>
      <c r="D686" s="23">
        <v>0.38172509187001941</v>
      </c>
      <c r="E686" s="23">
        <v>2025</v>
      </c>
      <c r="F686" s="15" t="s">
        <v>3305</v>
      </c>
      <c r="G686" s="15" t="s">
        <v>3308</v>
      </c>
      <c r="H686" s="23" t="s">
        <v>58</v>
      </c>
    </row>
    <row r="687" spans="1:8" ht="54.95" customHeight="1" x14ac:dyDescent="0.2">
      <c r="A687" s="23" t="s">
        <v>482</v>
      </c>
      <c r="B687" s="23" t="s">
        <v>5</v>
      </c>
      <c r="C687" s="23" t="s">
        <v>46</v>
      </c>
      <c r="D687" s="23">
        <v>435.94200000000006</v>
      </c>
      <c r="E687" s="23">
        <v>2025</v>
      </c>
      <c r="F687" s="15" t="s">
        <v>3305</v>
      </c>
      <c r="G687" s="15" t="s">
        <v>3311</v>
      </c>
      <c r="H687" s="23" t="s">
        <v>58</v>
      </c>
    </row>
    <row r="688" spans="1:8" ht="54.95" customHeight="1" x14ac:dyDescent="0.2">
      <c r="A688" s="23" t="s">
        <v>488</v>
      </c>
      <c r="B688" s="23" t="s">
        <v>11</v>
      </c>
      <c r="C688" s="23" t="s">
        <v>46</v>
      </c>
      <c r="D688" s="23">
        <v>77267.370706112328</v>
      </c>
      <c r="E688" s="23">
        <v>2025</v>
      </c>
      <c r="F688" s="15" t="s">
        <v>3299</v>
      </c>
      <c r="G688" s="15" t="s">
        <v>3300</v>
      </c>
      <c r="H688" s="23" t="s">
        <v>58</v>
      </c>
    </row>
    <row r="689" spans="1:8" ht="54.95" customHeight="1" x14ac:dyDescent="0.2">
      <c r="A689" s="23" t="s">
        <v>488</v>
      </c>
      <c r="B689" s="23" t="s">
        <v>13</v>
      </c>
      <c r="C689" s="23" t="s">
        <v>46</v>
      </c>
      <c r="D689" s="23">
        <v>26.504109589041096</v>
      </c>
      <c r="E689" s="23">
        <v>2025</v>
      </c>
      <c r="F689" s="15" t="s">
        <v>3302</v>
      </c>
      <c r="G689" s="15" t="s">
        <v>3300</v>
      </c>
      <c r="H689" s="23" t="s">
        <v>58</v>
      </c>
    </row>
    <row r="690" spans="1:8" ht="54.95" customHeight="1" x14ac:dyDescent="0.2">
      <c r="A690" s="23" t="s">
        <v>488</v>
      </c>
      <c r="B690" s="23" t="s">
        <v>14</v>
      </c>
      <c r="C690" s="23" t="s">
        <v>46</v>
      </c>
      <c r="D690" s="23">
        <v>2000</v>
      </c>
      <c r="E690" s="23">
        <v>2025</v>
      </c>
      <c r="F690" s="15" t="s">
        <v>3304</v>
      </c>
      <c r="G690" s="15" t="s">
        <v>3300</v>
      </c>
      <c r="H690" s="23" t="s">
        <v>58</v>
      </c>
    </row>
    <row r="691" spans="1:8" ht="54.95" customHeight="1" x14ac:dyDescent="0.2">
      <c r="A691" s="23" t="s">
        <v>488</v>
      </c>
      <c r="B691" s="23" t="s">
        <v>3</v>
      </c>
      <c r="C691" s="23" t="s">
        <v>46</v>
      </c>
      <c r="D691" s="23">
        <v>1310465.7534246575</v>
      </c>
      <c r="E691" s="23">
        <v>2025</v>
      </c>
      <c r="F691" s="15" t="s">
        <v>3305</v>
      </c>
      <c r="G691" s="15" t="s">
        <v>3306</v>
      </c>
      <c r="H691" s="23" t="s">
        <v>58</v>
      </c>
    </row>
    <row r="692" spans="1:8" ht="54.95" customHeight="1" x14ac:dyDescent="0.2">
      <c r="A692" s="23" t="s">
        <v>488</v>
      </c>
      <c r="B692" s="23" t="s">
        <v>6</v>
      </c>
      <c r="C692" s="23" t="s">
        <v>46</v>
      </c>
      <c r="D692" s="23">
        <v>47.510867201873225</v>
      </c>
      <c r="E692" s="23">
        <v>2025</v>
      </c>
      <c r="F692" s="15" t="s">
        <v>3305</v>
      </c>
      <c r="G692" s="15" t="s">
        <v>3308</v>
      </c>
      <c r="H692" s="23" t="s">
        <v>58</v>
      </c>
    </row>
    <row r="693" spans="1:8" ht="54.95" customHeight="1" x14ac:dyDescent="0.2">
      <c r="A693" s="23" t="s">
        <v>488</v>
      </c>
      <c r="B693" s="23" t="s">
        <v>7</v>
      </c>
      <c r="C693" s="23" t="s">
        <v>46</v>
      </c>
      <c r="D693" s="23">
        <v>12.419196353905336</v>
      </c>
      <c r="E693" s="23">
        <v>2025</v>
      </c>
      <c r="F693" s="15" t="s">
        <v>3305</v>
      </c>
      <c r="G693" s="15" t="s">
        <v>3308</v>
      </c>
      <c r="H693" s="23" t="s">
        <v>58</v>
      </c>
    </row>
    <row r="694" spans="1:8" ht="54.95" customHeight="1" x14ac:dyDescent="0.2">
      <c r="A694" s="23" t="s">
        <v>488</v>
      </c>
      <c r="B694" s="23" t="s">
        <v>8</v>
      </c>
      <c r="C694" s="23" t="s">
        <v>46</v>
      </c>
      <c r="D694" s="23">
        <v>4.8090817862518813</v>
      </c>
      <c r="E694" s="23">
        <v>2025</v>
      </c>
      <c r="F694" s="15" t="s">
        <v>3305</v>
      </c>
      <c r="G694" s="15" t="s">
        <v>3308</v>
      </c>
      <c r="H694" s="23" t="s">
        <v>58</v>
      </c>
    </row>
    <row r="695" spans="1:8" ht="54.95" customHeight="1" x14ac:dyDescent="0.2">
      <c r="A695" s="23" t="s">
        <v>488</v>
      </c>
      <c r="B695" s="23" t="s">
        <v>9</v>
      </c>
      <c r="C695" s="23" t="s">
        <v>46</v>
      </c>
      <c r="D695" s="23">
        <v>25.518732229469808</v>
      </c>
      <c r="E695" s="23">
        <v>2025</v>
      </c>
      <c r="F695" s="15" t="s">
        <v>3305</v>
      </c>
      <c r="G695" s="15" t="s">
        <v>3308</v>
      </c>
      <c r="H695" s="23" t="s">
        <v>58</v>
      </c>
    </row>
    <row r="696" spans="1:8" ht="54.95" customHeight="1" x14ac:dyDescent="0.2">
      <c r="A696" s="23" t="s">
        <v>488</v>
      </c>
      <c r="B696" s="23" t="s">
        <v>10</v>
      </c>
      <c r="C696" s="23" t="s">
        <v>46</v>
      </c>
      <c r="D696" s="23">
        <v>10.411534119417963</v>
      </c>
      <c r="E696" s="23">
        <v>2025</v>
      </c>
      <c r="F696" s="15" t="s">
        <v>3305</v>
      </c>
      <c r="G696" s="15" t="s">
        <v>3308</v>
      </c>
      <c r="H696" s="23" t="s">
        <v>58</v>
      </c>
    </row>
    <row r="697" spans="1:8" ht="54.95" customHeight="1" x14ac:dyDescent="0.2">
      <c r="A697" s="23" t="s">
        <v>488</v>
      </c>
      <c r="B697" s="23" t="s">
        <v>5</v>
      </c>
      <c r="C697" s="23" t="s">
        <v>46</v>
      </c>
      <c r="D697" s="23">
        <v>478.32</v>
      </c>
      <c r="E697" s="23">
        <v>2025</v>
      </c>
      <c r="F697" s="15" t="s">
        <v>3305</v>
      </c>
      <c r="G697" s="15" t="s">
        <v>3311</v>
      </c>
      <c r="H697" s="23" t="s">
        <v>58</v>
      </c>
    </row>
    <row r="698" spans="1:8" ht="54.95" customHeight="1" x14ac:dyDescent="0.2">
      <c r="A698" s="23" t="s">
        <v>494</v>
      </c>
      <c r="B698" s="23" t="s">
        <v>11</v>
      </c>
      <c r="C698" s="23" t="s">
        <v>46</v>
      </c>
      <c r="D698" s="23">
        <v>0</v>
      </c>
      <c r="E698" s="23">
        <v>2025</v>
      </c>
      <c r="F698" s="15" t="s">
        <v>3299</v>
      </c>
      <c r="G698" s="15" t="s">
        <v>3300</v>
      </c>
      <c r="H698" s="23" t="s">
        <v>58</v>
      </c>
    </row>
    <row r="699" spans="1:8" ht="54.95" customHeight="1" x14ac:dyDescent="0.2">
      <c r="A699" s="23" t="s">
        <v>494</v>
      </c>
      <c r="B699" s="23" t="s">
        <v>13</v>
      </c>
      <c r="C699" s="23" t="s">
        <v>46</v>
      </c>
      <c r="D699" s="23">
        <v>0</v>
      </c>
      <c r="E699" s="23">
        <v>2025</v>
      </c>
      <c r="F699" s="15" t="s">
        <v>3302</v>
      </c>
      <c r="G699" s="15" t="s">
        <v>3300</v>
      </c>
      <c r="H699" s="23" t="s">
        <v>58</v>
      </c>
    </row>
    <row r="700" spans="1:8" ht="54.95" customHeight="1" x14ac:dyDescent="0.2">
      <c r="A700" s="23" t="s">
        <v>494</v>
      </c>
      <c r="B700" s="23" t="s">
        <v>14</v>
      </c>
      <c r="C700" s="23" t="s">
        <v>46</v>
      </c>
      <c r="D700" s="23">
        <v>0</v>
      </c>
      <c r="E700" s="23">
        <v>2025</v>
      </c>
      <c r="F700" s="15" t="s">
        <v>3304</v>
      </c>
      <c r="G700" s="15" t="s">
        <v>3300</v>
      </c>
      <c r="H700" s="23" t="s">
        <v>58</v>
      </c>
    </row>
    <row r="701" spans="1:8" ht="54.95" customHeight="1" x14ac:dyDescent="0.2">
      <c r="A701" s="23" t="s">
        <v>494</v>
      </c>
      <c r="B701" s="23" t="s">
        <v>3</v>
      </c>
      <c r="C701" s="23" t="s">
        <v>46</v>
      </c>
      <c r="D701" s="23">
        <v>23517.036893</v>
      </c>
      <c r="E701" s="23">
        <v>2024</v>
      </c>
      <c r="F701" s="15" t="s">
        <v>3316</v>
      </c>
      <c r="G701" s="15" t="s">
        <v>3317</v>
      </c>
      <c r="H701" s="23" t="s">
        <v>58</v>
      </c>
    </row>
    <row r="702" spans="1:8" ht="54.95" customHeight="1" x14ac:dyDescent="0.2">
      <c r="A702" s="23" t="s">
        <v>494</v>
      </c>
      <c r="B702" s="23" t="s">
        <v>6</v>
      </c>
      <c r="C702" s="23" t="s">
        <v>46</v>
      </c>
      <c r="D702" s="23">
        <v>70.437643506570495</v>
      </c>
      <c r="E702" s="23">
        <v>2024</v>
      </c>
      <c r="F702" s="15" t="s">
        <v>3319</v>
      </c>
      <c r="G702" s="15" t="s">
        <v>3320</v>
      </c>
      <c r="H702" s="23" t="s">
        <v>58</v>
      </c>
    </row>
    <row r="703" spans="1:8" ht="54.95" customHeight="1" x14ac:dyDescent="0.2">
      <c r="A703" s="23" t="s">
        <v>494</v>
      </c>
      <c r="B703" s="23" t="s">
        <v>7</v>
      </c>
      <c r="C703" s="23" t="s">
        <v>46</v>
      </c>
      <c r="D703" s="23">
        <v>19.370531235403796</v>
      </c>
      <c r="E703" s="23">
        <v>2024</v>
      </c>
      <c r="F703" s="15" t="s">
        <v>3322</v>
      </c>
      <c r="G703" s="15" t="s">
        <v>3320</v>
      </c>
      <c r="H703" s="23" t="s">
        <v>58</v>
      </c>
    </row>
    <row r="704" spans="1:8" ht="54.95" customHeight="1" x14ac:dyDescent="0.2">
      <c r="A704" s="23" t="s">
        <v>494</v>
      </c>
      <c r="B704" s="23" t="s">
        <v>8</v>
      </c>
      <c r="C704" s="23" t="s">
        <v>46</v>
      </c>
      <c r="D704" s="23">
        <v>3.7433518687128258</v>
      </c>
      <c r="E704" s="23">
        <v>2024</v>
      </c>
      <c r="F704" s="15" t="s">
        <v>3324</v>
      </c>
      <c r="G704" s="15" t="s">
        <v>3320</v>
      </c>
      <c r="H704" s="23" t="s">
        <v>58</v>
      </c>
    </row>
    <row r="705" spans="1:8" ht="54.95" customHeight="1" x14ac:dyDescent="0.2">
      <c r="A705" s="23" t="s">
        <v>494</v>
      </c>
      <c r="B705" s="23" t="s">
        <v>9</v>
      </c>
      <c r="C705" s="23" t="s">
        <v>46</v>
      </c>
      <c r="D705" s="23">
        <v>5.1275434719368409</v>
      </c>
      <c r="E705" s="23">
        <v>2024</v>
      </c>
      <c r="F705" s="15" t="s">
        <v>3325</v>
      </c>
      <c r="G705" s="15" t="s">
        <v>3320</v>
      </c>
      <c r="H705" s="23" t="s">
        <v>58</v>
      </c>
    </row>
    <row r="706" spans="1:8" ht="54.95" customHeight="1" x14ac:dyDescent="0.2">
      <c r="A706" s="23" t="s">
        <v>494</v>
      </c>
      <c r="B706" s="23" t="s">
        <v>10</v>
      </c>
      <c r="C706" s="23" t="s">
        <v>46</v>
      </c>
      <c r="D706" s="23">
        <v>0.55720009113479774</v>
      </c>
      <c r="E706" s="23">
        <v>2024</v>
      </c>
      <c r="F706" s="15" t="s">
        <v>3326</v>
      </c>
      <c r="G706" s="15" t="s">
        <v>3320</v>
      </c>
      <c r="H706" s="23" t="s">
        <v>58</v>
      </c>
    </row>
    <row r="707" spans="1:8" ht="54.95" customHeight="1" x14ac:dyDescent="0.2">
      <c r="A707" s="23" t="s">
        <v>494</v>
      </c>
      <c r="B707" s="23" t="s">
        <v>5</v>
      </c>
      <c r="C707" s="23" t="s">
        <v>46</v>
      </c>
      <c r="D707" s="23">
        <v>8.6072355028379999</v>
      </c>
      <c r="E707" s="23">
        <v>2024</v>
      </c>
      <c r="F707" s="15" t="s">
        <v>3316</v>
      </c>
      <c r="G707" s="15" t="s">
        <v>3311</v>
      </c>
      <c r="H707" s="23" t="s">
        <v>58</v>
      </c>
    </row>
    <row r="708" spans="1:8" ht="54.95" customHeight="1" x14ac:dyDescent="0.2">
      <c r="A708" s="23" t="s">
        <v>500</v>
      </c>
      <c r="B708" s="23" t="s">
        <v>11</v>
      </c>
      <c r="C708" s="23" t="s">
        <v>3560</v>
      </c>
      <c r="D708" s="23">
        <v>5543.4027397260279</v>
      </c>
      <c r="E708" s="23">
        <v>2025</v>
      </c>
      <c r="F708" s="15" t="s">
        <v>3299</v>
      </c>
      <c r="G708" s="15" t="s">
        <v>3300</v>
      </c>
      <c r="H708" s="23" t="s">
        <v>58</v>
      </c>
    </row>
    <row r="709" spans="1:8" ht="54.95" customHeight="1" x14ac:dyDescent="0.2">
      <c r="A709" s="23" t="s">
        <v>500</v>
      </c>
      <c r="B709" s="23" t="s">
        <v>13</v>
      </c>
      <c r="C709" s="23" t="s">
        <v>46</v>
      </c>
      <c r="D709" s="23">
        <v>5543.4027397260279</v>
      </c>
      <c r="E709" s="23">
        <v>2025</v>
      </c>
      <c r="F709" s="15" t="s">
        <v>3302</v>
      </c>
      <c r="G709" s="15" t="s">
        <v>3300</v>
      </c>
      <c r="H709" s="23" t="s">
        <v>58</v>
      </c>
    </row>
    <row r="710" spans="1:8" ht="54.95" customHeight="1" x14ac:dyDescent="0.2">
      <c r="A710" s="23" t="s">
        <v>500</v>
      </c>
      <c r="B710" s="23" t="s">
        <v>14</v>
      </c>
      <c r="C710" s="23" t="s">
        <v>46</v>
      </c>
      <c r="D710" s="23">
        <v>0</v>
      </c>
      <c r="E710" s="23">
        <v>2025</v>
      </c>
      <c r="F710" s="15" t="s">
        <v>3304</v>
      </c>
      <c r="G710" s="15" t="s">
        <v>3300</v>
      </c>
      <c r="H710" s="23" t="s">
        <v>58</v>
      </c>
    </row>
    <row r="711" spans="1:8" ht="54.95" customHeight="1" x14ac:dyDescent="0.2">
      <c r="A711" s="23" t="s">
        <v>500</v>
      </c>
      <c r="B711" s="23" t="s">
        <v>3</v>
      </c>
      <c r="C711" s="23" t="s">
        <v>3561</v>
      </c>
      <c r="D711" s="23">
        <v>30018.958900000001</v>
      </c>
      <c r="E711" s="23">
        <v>2024</v>
      </c>
      <c r="F711" s="15" t="s">
        <v>3316</v>
      </c>
      <c r="G711" s="15" t="s">
        <v>3317</v>
      </c>
      <c r="H711" s="23" t="s">
        <v>58</v>
      </c>
    </row>
    <row r="712" spans="1:8" ht="54.95" customHeight="1" x14ac:dyDescent="0.2">
      <c r="A712" s="23" t="s">
        <v>500</v>
      </c>
      <c r="B712" s="23" t="s">
        <v>6</v>
      </c>
      <c r="C712" s="23" t="s">
        <v>46</v>
      </c>
      <c r="D712" s="23">
        <v>33.906243730524579</v>
      </c>
      <c r="E712" s="23">
        <v>2024</v>
      </c>
      <c r="F712" s="15" t="s">
        <v>3319</v>
      </c>
      <c r="G712" s="15" t="s">
        <v>3320</v>
      </c>
      <c r="H712" s="23" t="s">
        <v>58</v>
      </c>
    </row>
    <row r="713" spans="1:8" ht="54.95" customHeight="1" x14ac:dyDescent="0.2">
      <c r="A713" s="23" t="s">
        <v>500</v>
      </c>
      <c r="B713" s="23" t="s">
        <v>7</v>
      </c>
      <c r="C713" s="23" t="s">
        <v>46</v>
      </c>
      <c r="D713" s="23">
        <v>47.488710342982614</v>
      </c>
      <c r="E713" s="23">
        <v>2024</v>
      </c>
      <c r="F713" s="15" t="s">
        <v>3322</v>
      </c>
      <c r="G713" s="15" t="s">
        <v>3320</v>
      </c>
      <c r="H713" s="23" t="s">
        <v>58</v>
      </c>
    </row>
    <row r="714" spans="1:8" ht="54.95" customHeight="1" x14ac:dyDescent="0.2">
      <c r="A714" s="23" t="s">
        <v>500</v>
      </c>
      <c r="B714" s="23" t="s">
        <v>8</v>
      </c>
      <c r="C714" s="23" t="s">
        <v>46</v>
      </c>
      <c r="D714" s="23">
        <v>9.422355916547124</v>
      </c>
      <c r="E714" s="23">
        <v>2024</v>
      </c>
      <c r="F714" s="15" t="s">
        <v>3324</v>
      </c>
      <c r="G714" s="15" t="s">
        <v>3320</v>
      </c>
      <c r="H714" s="23" t="s">
        <v>58</v>
      </c>
    </row>
    <row r="715" spans="1:8" ht="54.95" customHeight="1" x14ac:dyDescent="0.2">
      <c r="A715" s="23" t="s">
        <v>500</v>
      </c>
      <c r="B715" s="23" t="s">
        <v>9</v>
      </c>
      <c r="C715" s="23" t="s">
        <v>46</v>
      </c>
      <c r="D715" s="23">
        <v>1.0132409355475682</v>
      </c>
      <c r="E715" s="23">
        <v>2024</v>
      </c>
      <c r="F715" s="15" t="s">
        <v>3325</v>
      </c>
      <c r="G715" s="15" t="s">
        <v>3320</v>
      </c>
      <c r="H715" s="23" t="s">
        <v>58</v>
      </c>
    </row>
    <row r="716" spans="1:8" ht="54.95" customHeight="1" x14ac:dyDescent="0.2">
      <c r="A716" s="23" t="s">
        <v>500</v>
      </c>
      <c r="B716" s="23" t="s">
        <v>10</v>
      </c>
      <c r="C716" s="23" t="s">
        <v>46</v>
      </c>
      <c r="D716" s="23">
        <v>4.1940618400326999</v>
      </c>
      <c r="E716" s="23">
        <v>2024</v>
      </c>
      <c r="F716" s="15" t="s">
        <v>3326</v>
      </c>
      <c r="G716" s="15" t="s">
        <v>3320</v>
      </c>
      <c r="H716" s="23" t="s">
        <v>58</v>
      </c>
    </row>
    <row r="717" spans="1:8" ht="54.95" customHeight="1" x14ac:dyDescent="0.2">
      <c r="A717" s="23" t="s">
        <v>500</v>
      </c>
      <c r="B717" s="23" t="s">
        <v>5</v>
      </c>
      <c r="C717" s="23" t="s">
        <v>3562</v>
      </c>
      <c r="D717" s="23">
        <v>10.9869389574</v>
      </c>
      <c r="E717" s="23">
        <v>2024</v>
      </c>
      <c r="F717" s="15" t="s">
        <v>3316</v>
      </c>
      <c r="G717" s="15" t="s">
        <v>3311</v>
      </c>
      <c r="H717" s="23" t="s">
        <v>58</v>
      </c>
    </row>
    <row r="718" spans="1:8" ht="54.95" customHeight="1" x14ac:dyDescent="0.2">
      <c r="A718" s="23" t="s">
        <v>506</v>
      </c>
      <c r="B718" s="23" t="s">
        <v>11</v>
      </c>
      <c r="C718" s="23" t="s">
        <v>46</v>
      </c>
      <c r="D718" s="23">
        <v>0</v>
      </c>
      <c r="E718" s="23">
        <v>2025</v>
      </c>
      <c r="F718" s="15" t="s">
        <v>3299</v>
      </c>
      <c r="G718" s="15" t="s">
        <v>3300</v>
      </c>
      <c r="H718" s="23" t="s">
        <v>58</v>
      </c>
    </row>
    <row r="719" spans="1:8" ht="54.95" customHeight="1" x14ac:dyDescent="0.2">
      <c r="A719" s="23" t="s">
        <v>506</v>
      </c>
      <c r="B719" s="23" t="s">
        <v>13</v>
      </c>
      <c r="C719" s="23" t="s">
        <v>46</v>
      </c>
      <c r="D719" s="23">
        <v>0</v>
      </c>
      <c r="E719" s="23">
        <v>2025</v>
      </c>
      <c r="F719" s="15" t="s">
        <v>3302</v>
      </c>
      <c r="G719" s="15" t="s">
        <v>3300</v>
      </c>
      <c r="H719" s="23" t="s">
        <v>58</v>
      </c>
    </row>
    <row r="720" spans="1:8" ht="54.95" customHeight="1" x14ac:dyDescent="0.2">
      <c r="A720" s="23" t="s">
        <v>506</v>
      </c>
      <c r="B720" s="23" t="s">
        <v>14</v>
      </c>
      <c r="C720" s="23" t="s">
        <v>46</v>
      </c>
      <c r="D720" s="23">
        <v>0</v>
      </c>
      <c r="E720" s="23">
        <v>2025</v>
      </c>
      <c r="F720" s="15" t="s">
        <v>3304</v>
      </c>
      <c r="G720" s="15" t="s">
        <v>3300</v>
      </c>
      <c r="H720" s="23" t="s">
        <v>58</v>
      </c>
    </row>
    <row r="721" spans="1:8" ht="54.95" customHeight="1" x14ac:dyDescent="0.2">
      <c r="A721" s="23" t="s">
        <v>506</v>
      </c>
      <c r="B721" s="23" t="s">
        <v>3</v>
      </c>
      <c r="C721" s="23" t="s">
        <v>46</v>
      </c>
      <c r="D721" s="23">
        <v>18819.424649999997</v>
      </c>
      <c r="E721" s="23">
        <v>2024</v>
      </c>
      <c r="F721" s="15" t="s">
        <v>3316</v>
      </c>
      <c r="G721" s="15" t="s">
        <v>3317</v>
      </c>
      <c r="H721" s="23" t="s">
        <v>58</v>
      </c>
    </row>
    <row r="722" spans="1:8" ht="54.95" customHeight="1" x14ac:dyDescent="0.2">
      <c r="A722" s="23" t="s">
        <v>506</v>
      </c>
      <c r="B722" s="23" t="s">
        <v>6</v>
      </c>
      <c r="C722" s="23" t="s">
        <v>46</v>
      </c>
      <c r="D722" s="23">
        <v>17.484994367242788</v>
      </c>
      <c r="E722" s="23">
        <v>2024</v>
      </c>
      <c r="F722" s="15" t="s">
        <v>3319</v>
      </c>
      <c r="G722" s="15" t="s">
        <v>3320</v>
      </c>
      <c r="H722" s="23" t="s">
        <v>58</v>
      </c>
    </row>
    <row r="723" spans="1:8" ht="54.95" customHeight="1" x14ac:dyDescent="0.2">
      <c r="A723" s="23" t="s">
        <v>506</v>
      </c>
      <c r="B723" s="23" t="s">
        <v>7</v>
      </c>
      <c r="C723" s="23" t="s">
        <v>46</v>
      </c>
      <c r="D723" s="23">
        <v>26.326049027221455</v>
      </c>
      <c r="E723" s="23">
        <v>2024</v>
      </c>
      <c r="F723" s="15" t="s">
        <v>3322</v>
      </c>
      <c r="G723" s="15" t="s">
        <v>3320</v>
      </c>
      <c r="H723" s="23" t="s">
        <v>58</v>
      </c>
    </row>
    <row r="724" spans="1:8" ht="54.95" customHeight="1" x14ac:dyDescent="0.2">
      <c r="A724" s="23" t="s">
        <v>506</v>
      </c>
      <c r="B724" s="23" t="s">
        <v>8</v>
      </c>
      <c r="C724" s="23" t="s">
        <v>46</v>
      </c>
      <c r="D724" s="23">
        <v>37.320809592337888</v>
      </c>
      <c r="E724" s="23">
        <v>2024</v>
      </c>
      <c r="F724" s="15" t="s">
        <v>3324</v>
      </c>
      <c r="G724" s="15" t="s">
        <v>3320</v>
      </c>
      <c r="H724" s="23" t="s">
        <v>58</v>
      </c>
    </row>
    <row r="725" spans="1:8" ht="54.95" customHeight="1" x14ac:dyDescent="0.2">
      <c r="A725" s="23" t="s">
        <v>506</v>
      </c>
      <c r="B725" s="23" t="s">
        <v>9</v>
      </c>
      <c r="C725" s="23" t="s">
        <v>46</v>
      </c>
      <c r="D725" s="23">
        <v>11.659914215283941</v>
      </c>
      <c r="E725" s="23">
        <v>2024</v>
      </c>
      <c r="F725" s="15" t="s">
        <v>3325</v>
      </c>
      <c r="G725" s="15" t="s">
        <v>3320</v>
      </c>
      <c r="H725" s="23" t="s">
        <v>58</v>
      </c>
    </row>
    <row r="726" spans="1:8" ht="54.95" customHeight="1" x14ac:dyDescent="0.2">
      <c r="A726" s="23" t="s">
        <v>506</v>
      </c>
      <c r="B726" s="23" t="s">
        <v>10</v>
      </c>
      <c r="C726" s="23" t="s">
        <v>46</v>
      </c>
      <c r="D726" s="23">
        <v>0</v>
      </c>
      <c r="E726" s="23">
        <v>2024</v>
      </c>
      <c r="F726" s="15" t="s">
        <v>3326</v>
      </c>
      <c r="G726" s="15" t="s">
        <v>3320</v>
      </c>
      <c r="H726" s="23" t="s">
        <v>58</v>
      </c>
    </row>
    <row r="727" spans="1:8" ht="54.95" customHeight="1" x14ac:dyDescent="0.2">
      <c r="A727" s="23" t="s">
        <v>506</v>
      </c>
      <c r="B727" s="23" t="s">
        <v>5</v>
      </c>
      <c r="C727" s="23" t="s">
        <v>46</v>
      </c>
      <c r="D727" s="23">
        <v>6.887909421899999</v>
      </c>
      <c r="E727" s="23">
        <v>2024</v>
      </c>
      <c r="F727" s="15" t="s">
        <v>3316</v>
      </c>
      <c r="G727" s="15" t="s">
        <v>3311</v>
      </c>
      <c r="H727" s="23" t="s">
        <v>58</v>
      </c>
    </row>
    <row r="728" spans="1:8" ht="54.95" customHeight="1" x14ac:dyDescent="0.2">
      <c r="A728" s="23" t="s">
        <v>512</v>
      </c>
      <c r="B728" s="23" t="s">
        <v>11</v>
      </c>
      <c r="C728" s="23" t="s">
        <v>46</v>
      </c>
      <c r="D728" s="23">
        <v>79279.098359592157</v>
      </c>
      <c r="E728" s="23">
        <v>2025</v>
      </c>
      <c r="F728" s="15" t="s">
        <v>3299</v>
      </c>
      <c r="G728" s="15" t="s">
        <v>3300</v>
      </c>
      <c r="H728" s="23" t="s">
        <v>58</v>
      </c>
    </row>
    <row r="729" spans="1:8" ht="54.95" customHeight="1" x14ac:dyDescent="0.2">
      <c r="A729" s="23" t="s">
        <v>512</v>
      </c>
      <c r="B729" s="23" t="s">
        <v>13</v>
      </c>
      <c r="C729" s="23" t="s">
        <v>46</v>
      </c>
      <c r="D729" s="23">
        <v>71810.642177011337</v>
      </c>
      <c r="E729" s="23">
        <v>2025</v>
      </c>
      <c r="F729" s="15" t="s">
        <v>3302</v>
      </c>
      <c r="G729" s="15" t="s">
        <v>3300</v>
      </c>
      <c r="H729" s="23" t="s">
        <v>58</v>
      </c>
    </row>
    <row r="730" spans="1:8" ht="54.95" customHeight="1" x14ac:dyDescent="0.2">
      <c r="A730" s="23" t="s">
        <v>512</v>
      </c>
      <c r="B730" s="23" t="s">
        <v>14</v>
      </c>
      <c r="C730" s="23" t="s">
        <v>46</v>
      </c>
      <c r="D730" s="23">
        <v>0</v>
      </c>
      <c r="E730" s="23">
        <v>2025</v>
      </c>
      <c r="F730" s="15" t="s">
        <v>3304</v>
      </c>
      <c r="G730" s="15" t="s">
        <v>3300</v>
      </c>
      <c r="H730" s="23" t="s">
        <v>58</v>
      </c>
    </row>
    <row r="731" spans="1:8" ht="54.95" customHeight="1" x14ac:dyDescent="0.2">
      <c r="A731" s="23" t="s">
        <v>512</v>
      </c>
      <c r="B731" s="23" t="s">
        <v>3</v>
      </c>
      <c r="C731" s="23" t="s">
        <v>46</v>
      </c>
      <c r="D731" s="23">
        <v>141057.53424657535</v>
      </c>
      <c r="E731" s="23">
        <v>2025</v>
      </c>
      <c r="F731" s="15" t="s">
        <v>3305</v>
      </c>
      <c r="G731" s="15" t="s">
        <v>3306</v>
      </c>
      <c r="H731" s="23" t="s">
        <v>58</v>
      </c>
    </row>
    <row r="732" spans="1:8" ht="54.95" customHeight="1" x14ac:dyDescent="0.2">
      <c r="A732" s="23" t="s">
        <v>512</v>
      </c>
      <c r="B732" s="23" t="s">
        <v>6</v>
      </c>
      <c r="C732" s="23" t="s">
        <v>46</v>
      </c>
      <c r="D732" s="23">
        <v>50.263644485879652</v>
      </c>
      <c r="E732" s="23">
        <v>2025</v>
      </c>
      <c r="F732" s="15" t="s">
        <v>3305</v>
      </c>
      <c r="G732" s="15" t="s">
        <v>3308</v>
      </c>
      <c r="H732" s="23" t="s">
        <v>58</v>
      </c>
    </row>
    <row r="733" spans="1:8" ht="54.95" customHeight="1" x14ac:dyDescent="0.2">
      <c r="A733" s="23" t="s">
        <v>512</v>
      </c>
      <c r="B733" s="23" t="s">
        <v>7</v>
      </c>
      <c r="C733" s="23" t="s">
        <v>46</v>
      </c>
      <c r="D733" s="23">
        <v>18.988948452006372</v>
      </c>
      <c r="E733" s="23">
        <v>2025</v>
      </c>
      <c r="F733" s="15" t="s">
        <v>3305</v>
      </c>
      <c r="G733" s="15" t="s">
        <v>3308</v>
      </c>
      <c r="H733" s="23" t="s">
        <v>58</v>
      </c>
    </row>
    <row r="734" spans="1:8" ht="54.95" customHeight="1" x14ac:dyDescent="0.2">
      <c r="A734" s="23" t="s">
        <v>512</v>
      </c>
      <c r="B734" s="23" t="s">
        <v>8</v>
      </c>
      <c r="C734" s="23" t="s">
        <v>46</v>
      </c>
      <c r="D734" s="23">
        <v>1.3743541933729557</v>
      </c>
      <c r="E734" s="23">
        <v>2025</v>
      </c>
      <c r="F734" s="15" t="s">
        <v>3305</v>
      </c>
      <c r="G734" s="15" t="s">
        <v>3308</v>
      </c>
      <c r="H734" s="23" t="s">
        <v>58</v>
      </c>
    </row>
    <row r="735" spans="1:8" ht="54.95" customHeight="1" x14ac:dyDescent="0.2">
      <c r="A735" s="23" t="s">
        <v>512</v>
      </c>
      <c r="B735" s="23" t="s">
        <v>9</v>
      </c>
      <c r="C735" s="23" t="s">
        <v>46</v>
      </c>
      <c r="D735" s="23">
        <v>32.293827448238353</v>
      </c>
      <c r="E735" s="23">
        <v>2025</v>
      </c>
      <c r="F735" s="15" t="s">
        <v>3305</v>
      </c>
      <c r="G735" s="15" t="s">
        <v>3308</v>
      </c>
      <c r="H735" s="23" t="s">
        <v>58</v>
      </c>
    </row>
    <row r="736" spans="1:8" ht="54.95" customHeight="1" x14ac:dyDescent="0.2">
      <c r="A736" s="23" t="s">
        <v>512</v>
      </c>
      <c r="B736" s="23" t="s">
        <v>10</v>
      </c>
      <c r="C736" s="23" t="s">
        <v>46</v>
      </c>
      <c r="D736" s="23">
        <v>4.3095210348444244</v>
      </c>
      <c r="E736" s="23">
        <v>2025</v>
      </c>
      <c r="F736" s="15" t="s">
        <v>3305</v>
      </c>
      <c r="G736" s="15" t="s">
        <v>3308</v>
      </c>
      <c r="H736" s="23" t="s">
        <v>58</v>
      </c>
    </row>
    <row r="737" spans="1:8" ht="54.95" customHeight="1" x14ac:dyDescent="0.2">
      <c r="A737" s="23" t="s">
        <v>512</v>
      </c>
      <c r="B737" s="23" t="s">
        <v>5</v>
      </c>
      <c r="C737" s="23" t="s">
        <v>46</v>
      </c>
      <c r="D737" s="23">
        <v>51.485999999999997</v>
      </c>
      <c r="E737" s="23">
        <v>2025</v>
      </c>
      <c r="F737" s="15" t="s">
        <v>3305</v>
      </c>
      <c r="G737" s="15" t="s">
        <v>3311</v>
      </c>
      <c r="H737" s="23" t="s">
        <v>58</v>
      </c>
    </row>
    <row r="738" spans="1:8" ht="54.95" customHeight="1" x14ac:dyDescent="0.2">
      <c r="A738" s="23" t="s">
        <v>518</v>
      </c>
      <c r="B738" s="23" t="s">
        <v>11</v>
      </c>
      <c r="C738" s="23" t="s">
        <v>46</v>
      </c>
      <c r="D738" s="23">
        <v>1382021.5295640412</v>
      </c>
      <c r="E738" s="23">
        <v>2025</v>
      </c>
      <c r="F738" s="15" t="s">
        <v>3299</v>
      </c>
      <c r="G738" s="15" t="s">
        <v>3300</v>
      </c>
      <c r="H738" s="23" t="s">
        <v>58</v>
      </c>
    </row>
    <row r="739" spans="1:8" ht="54.95" customHeight="1" x14ac:dyDescent="0.2">
      <c r="A739" s="23" t="s">
        <v>518</v>
      </c>
      <c r="B739" s="23" t="s">
        <v>13</v>
      </c>
      <c r="C739" s="23" t="s">
        <v>46</v>
      </c>
      <c r="D739" s="23">
        <v>1363041.0958904109</v>
      </c>
      <c r="E739" s="23">
        <v>2025</v>
      </c>
      <c r="F739" s="15" t="s">
        <v>3302</v>
      </c>
      <c r="G739" s="15" t="s">
        <v>3300</v>
      </c>
      <c r="H739" s="23" t="s">
        <v>58</v>
      </c>
    </row>
    <row r="740" spans="1:8" ht="54.95" customHeight="1" x14ac:dyDescent="0.2">
      <c r="A740" s="23" t="s">
        <v>518</v>
      </c>
      <c r="B740" s="23" t="s">
        <v>14</v>
      </c>
      <c r="C740" s="23" t="s">
        <v>46</v>
      </c>
      <c r="D740" s="23">
        <v>20000</v>
      </c>
      <c r="E740" s="23">
        <v>2025</v>
      </c>
      <c r="F740" s="15" t="s">
        <v>3304</v>
      </c>
      <c r="G740" s="15" t="s">
        <v>3300</v>
      </c>
      <c r="H740" s="23" t="s">
        <v>58</v>
      </c>
    </row>
    <row r="741" spans="1:8" ht="54.95" customHeight="1" x14ac:dyDescent="0.2">
      <c r="A741" s="23" t="s">
        <v>518</v>
      </c>
      <c r="B741" s="23" t="s">
        <v>3</v>
      </c>
      <c r="C741" s="23" t="s">
        <v>46</v>
      </c>
      <c r="D741" s="23">
        <v>222799.408096</v>
      </c>
      <c r="E741" s="23">
        <v>2024</v>
      </c>
      <c r="F741" s="15" t="s">
        <v>3316</v>
      </c>
      <c r="G741" s="15" t="s">
        <v>3317</v>
      </c>
      <c r="H741" s="23" t="s">
        <v>58</v>
      </c>
    </row>
    <row r="742" spans="1:8" ht="54.95" customHeight="1" x14ac:dyDescent="0.2">
      <c r="A742" s="23" t="s">
        <v>518</v>
      </c>
      <c r="B742" s="23" t="s">
        <v>6</v>
      </c>
      <c r="C742" s="23" t="s">
        <v>46</v>
      </c>
      <c r="D742" s="23">
        <v>23.099559733939877</v>
      </c>
      <c r="E742" s="23">
        <v>2024</v>
      </c>
      <c r="F742" s="15" t="s">
        <v>3319</v>
      </c>
      <c r="G742" s="15" t="s">
        <v>3320</v>
      </c>
      <c r="H742" s="23" t="s">
        <v>58</v>
      </c>
    </row>
    <row r="743" spans="1:8" ht="54.95" customHeight="1" x14ac:dyDescent="0.2">
      <c r="A743" s="23" t="s">
        <v>518</v>
      </c>
      <c r="B743" s="23" t="s">
        <v>7</v>
      </c>
      <c r="C743" s="23" t="s">
        <v>46</v>
      </c>
      <c r="D743" s="23">
        <v>51.043209796589096</v>
      </c>
      <c r="E743" s="23">
        <v>2024</v>
      </c>
      <c r="F743" s="15" t="s">
        <v>3322</v>
      </c>
      <c r="G743" s="15" t="s">
        <v>3320</v>
      </c>
      <c r="H743" s="23" t="s">
        <v>58</v>
      </c>
    </row>
    <row r="744" spans="1:8" ht="54.95" customHeight="1" x14ac:dyDescent="0.2">
      <c r="A744" s="23" t="s">
        <v>518</v>
      </c>
      <c r="B744" s="23" t="s">
        <v>8</v>
      </c>
      <c r="C744" s="23" t="s">
        <v>46</v>
      </c>
      <c r="D744" s="23">
        <v>3.8839121122222391</v>
      </c>
      <c r="E744" s="23">
        <v>2024</v>
      </c>
      <c r="F744" s="15" t="s">
        <v>3324</v>
      </c>
      <c r="G744" s="15" t="s">
        <v>3320</v>
      </c>
      <c r="H744" s="23" t="s">
        <v>58</v>
      </c>
    </row>
    <row r="745" spans="1:8" ht="54.95" customHeight="1" x14ac:dyDescent="0.2">
      <c r="A745" s="23" t="s">
        <v>518</v>
      </c>
      <c r="B745" s="23" t="s">
        <v>9</v>
      </c>
      <c r="C745" s="23" t="s">
        <v>46</v>
      </c>
      <c r="D745" s="23">
        <v>1.8066812153583398</v>
      </c>
      <c r="E745" s="23">
        <v>2024</v>
      </c>
      <c r="F745" s="15" t="s">
        <v>3325</v>
      </c>
      <c r="G745" s="15" t="s">
        <v>3320</v>
      </c>
      <c r="H745" s="23" t="s">
        <v>58</v>
      </c>
    </row>
    <row r="746" spans="1:8" ht="54.95" customHeight="1" x14ac:dyDescent="0.2">
      <c r="A746" s="23" t="s">
        <v>518</v>
      </c>
      <c r="B746" s="23" t="s">
        <v>10</v>
      </c>
      <c r="C746" s="23" t="s">
        <v>46</v>
      </c>
      <c r="D746" s="23">
        <v>11.836919489766579</v>
      </c>
      <c r="E746" s="23">
        <v>2024</v>
      </c>
      <c r="F746" s="15" t="s">
        <v>3326</v>
      </c>
      <c r="G746" s="15" t="s">
        <v>3320</v>
      </c>
      <c r="H746" s="23" t="s">
        <v>58</v>
      </c>
    </row>
    <row r="747" spans="1:8" ht="54.95" customHeight="1" x14ac:dyDescent="0.2">
      <c r="A747" s="23" t="s">
        <v>518</v>
      </c>
      <c r="B747" s="23" t="s">
        <v>5</v>
      </c>
      <c r="C747" s="23" t="s">
        <v>46</v>
      </c>
      <c r="D747" s="23">
        <v>81.544583363135999</v>
      </c>
      <c r="E747" s="23">
        <v>2024</v>
      </c>
      <c r="F747" s="15" t="s">
        <v>3316</v>
      </c>
      <c r="G747" s="15" t="s">
        <v>3311</v>
      </c>
      <c r="H747" s="23" t="s">
        <v>58</v>
      </c>
    </row>
    <row r="748" spans="1:8" ht="54.95" customHeight="1" x14ac:dyDescent="0.2">
      <c r="A748" s="23" t="s">
        <v>524</v>
      </c>
      <c r="B748" s="23" t="s">
        <v>11</v>
      </c>
      <c r="C748" s="23" t="s">
        <v>46</v>
      </c>
      <c r="D748" s="23">
        <v>28112.779225380822</v>
      </c>
      <c r="E748" s="23">
        <v>2025</v>
      </c>
      <c r="F748" s="15" t="s">
        <v>3299</v>
      </c>
      <c r="G748" s="15" t="s">
        <v>3300</v>
      </c>
      <c r="H748" s="23" t="s">
        <v>58</v>
      </c>
    </row>
    <row r="749" spans="1:8" ht="54.95" customHeight="1" x14ac:dyDescent="0.2">
      <c r="A749" s="23" t="s">
        <v>524</v>
      </c>
      <c r="B749" s="23" t="s">
        <v>13</v>
      </c>
      <c r="C749" s="23" t="s">
        <v>46</v>
      </c>
      <c r="D749" s="23">
        <v>25326.027397260274</v>
      </c>
      <c r="E749" s="23">
        <v>2025</v>
      </c>
      <c r="F749" s="15" t="s">
        <v>3302</v>
      </c>
      <c r="G749" s="15" t="s">
        <v>3300</v>
      </c>
      <c r="H749" s="23" t="s">
        <v>58</v>
      </c>
    </row>
    <row r="750" spans="1:8" ht="54.95" customHeight="1" x14ac:dyDescent="0.2">
      <c r="A750" s="23" t="s">
        <v>524</v>
      </c>
      <c r="B750" s="23" t="s">
        <v>14</v>
      </c>
      <c r="C750" s="23" t="s">
        <v>46</v>
      </c>
      <c r="D750" s="23">
        <v>3022.504109589041</v>
      </c>
      <c r="E750" s="23">
        <v>2025</v>
      </c>
      <c r="F750" s="15" t="s">
        <v>3304</v>
      </c>
      <c r="G750" s="15" t="s">
        <v>3300</v>
      </c>
      <c r="H750" s="23" t="s">
        <v>58</v>
      </c>
    </row>
    <row r="751" spans="1:8" ht="54.95" customHeight="1" x14ac:dyDescent="0.2">
      <c r="A751" s="23" t="s">
        <v>524</v>
      </c>
      <c r="B751" s="23" t="s">
        <v>3</v>
      </c>
      <c r="C751" s="23" t="s">
        <v>46</v>
      </c>
      <c r="D751" s="23">
        <v>102583.56164383562</v>
      </c>
      <c r="E751" s="23">
        <v>2025</v>
      </c>
      <c r="F751" s="15" t="s">
        <v>3305</v>
      </c>
      <c r="G751" s="15" t="s">
        <v>3306</v>
      </c>
      <c r="H751" s="23" t="s">
        <v>58</v>
      </c>
    </row>
    <row r="752" spans="1:8" ht="54.95" customHeight="1" x14ac:dyDescent="0.2">
      <c r="A752" s="23" t="s">
        <v>524</v>
      </c>
      <c r="B752" s="23" t="s">
        <v>6</v>
      </c>
      <c r="C752" s="23" t="s">
        <v>46</v>
      </c>
      <c r="D752" s="23">
        <v>39.981304916806884</v>
      </c>
      <c r="E752" s="23">
        <v>2025</v>
      </c>
      <c r="F752" s="15" t="s">
        <v>3305</v>
      </c>
      <c r="G752" s="15" t="s">
        <v>3308</v>
      </c>
      <c r="H752" s="23" t="s">
        <v>58</v>
      </c>
    </row>
    <row r="753" spans="1:8" ht="54.95" customHeight="1" x14ac:dyDescent="0.2">
      <c r="A753" s="23" t="s">
        <v>524</v>
      </c>
      <c r="B753" s="23" t="s">
        <v>7</v>
      </c>
      <c r="C753" s="23" t="s">
        <v>46</v>
      </c>
      <c r="D753" s="23">
        <v>20.47645754880752</v>
      </c>
      <c r="E753" s="23">
        <v>2025</v>
      </c>
      <c r="F753" s="15" t="s">
        <v>3305</v>
      </c>
      <c r="G753" s="15" t="s">
        <v>3308</v>
      </c>
      <c r="H753" s="23" t="s">
        <v>58</v>
      </c>
    </row>
    <row r="754" spans="1:8" ht="54.95" customHeight="1" x14ac:dyDescent="0.2">
      <c r="A754" s="23" t="s">
        <v>524</v>
      </c>
      <c r="B754" s="23" t="s">
        <v>8</v>
      </c>
      <c r="C754" s="23" t="s">
        <v>46</v>
      </c>
      <c r="D754" s="23">
        <v>20.942766338167349</v>
      </c>
      <c r="E754" s="23">
        <v>2025</v>
      </c>
      <c r="F754" s="15" t="s">
        <v>3305</v>
      </c>
      <c r="G754" s="15" t="s">
        <v>3308</v>
      </c>
      <c r="H754" s="23" t="s">
        <v>58</v>
      </c>
    </row>
    <row r="755" spans="1:8" ht="54.95" customHeight="1" x14ac:dyDescent="0.2">
      <c r="A755" s="23" t="s">
        <v>524</v>
      </c>
      <c r="B755" s="23" t="s">
        <v>9</v>
      </c>
      <c r="C755" s="23" t="s">
        <v>46</v>
      </c>
      <c r="D755" s="23">
        <v>12.190796677616644</v>
      </c>
      <c r="E755" s="23">
        <v>2025</v>
      </c>
      <c r="F755" s="15" t="s">
        <v>3305</v>
      </c>
      <c r="G755" s="15" t="s">
        <v>3308</v>
      </c>
      <c r="H755" s="23" t="s">
        <v>58</v>
      </c>
    </row>
    <row r="756" spans="1:8" ht="54.95" customHeight="1" x14ac:dyDescent="0.2">
      <c r="A756" s="23" t="s">
        <v>524</v>
      </c>
      <c r="B756" s="23" t="s">
        <v>10</v>
      </c>
      <c r="C756" s="23" t="s">
        <v>46</v>
      </c>
      <c r="D756" s="23">
        <v>2.5345191357530115</v>
      </c>
      <c r="E756" s="23">
        <v>2025</v>
      </c>
      <c r="F756" s="15" t="s">
        <v>3305</v>
      </c>
      <c r="G756" s="15" t="s">
        <v>3308</v>
      </c>
      <c r="H756" s="23" t="s">
        <v>58</v>
      </c>
    </row>
    <row r="757" spans="1:8" ht="54.95" customHeight="1" x14ac:dyDescent="0.2">
      <c r="A757" s="23" t="s">
        <v>524</v>
      </c>
      <c r="B757" s="23" t="s">
        <v>5</v>
      </c>
      <c r="C757" s="23" t="s">
        <v>46</v>
      </c>
      <c r="D757" s="23">
        <v>37.442999999999998</v>
      </c>
      <c r="E757" s="23">
        <v>2025</v>
      </c>
      <c r="F757" s="15" t="s">
        <v>3305</v>
      </c>
      <c r="G757" s="15" t="s">
        <v>3311</v>
      </c>
      <c r="H757" s="23" t="s">
        <v>58</v>
      </c>
    </row>
    <row r="758" spans="1:8" ht="54.95" customHeight="1" x14ac:dyDescent="0.2">
      <c r="A758" s="23" t="s">
        <v>530</v>
      </c>
      <c r="B758" s="23" t="s">
        <v>11</v>
      </c>
      <c r="C758" s="23" t="s">
        <v>3563</v>
      </c>
      <c r="D758" s="23">
        <v>69525.368214019181</v>
      </c>
      <c r="E758" s="23">
        <v>2025</v>
      </c>
      <c r="F758" s="15" t="s">
        <v>3299</v>
      </c>
      <c r="G758" s="15" t="s">
        <v>3300</v>
      </c>
      <c r="H758" s="23" t="s">
        <v>58</v>
      </c>
    </row>
    <row r="759" spans="1:8" ht="54.95" customHeight="1" x14ac:dyDescent="0.2">
      <c r="A759" s="23" t="s">
        <v>530</v>
      </c>
      <c r="B759" s="23" t="s">
        <v>13</v>
      </c>
      <c r="C759" s="23" t="s">
        <v>3564</v>
      </c>
      <c r="D759" s="23">
        <v>51548.05205479452</v>
      </c>
      <c r="E759" s="23">
        <v>2025</v>
      </c>
      <c r="F759" s="15" t="s">
        <v>3302</v>
      </c>
      <c r="G759" s="15" t="s">
        <v>3300</v>
      </c>
      <c r="H759" s="23" t="s">
        <v>58</v>
      </c>
    </row>
    <row r="760" spans="1:8" ht="54.95" customHeight="1" x14ac:dyDescent="0.2">
      <c r="A760" s="23" t="s">
        <v>530</v>
      </c>
      <c r="B760" s="23" t="s">
        <v>14</v>
      </c>
      <c r="C760" s="23" t="s">
        <v>3565</v>
      </c>
      <c r="D760" s="23">
        <v>2026.1068493150685</v>
      </c>
      <c r="E760" s="23">
        <v>2025</v>
      </c>
      <c r="F760" s="15" t="s">
        <v>3304</v>
      </c>
      <c r="G760" s="15" t="s">
        <v>3300</v>
      </c>
      <c r="H760" s="23" t="s">
        <v>58</v>
      </c>
    </row>
    <row r="761" spans="1:8" ht="54.95" customHeight="1" x14ac:dyDescent="0.2">
      <c r="A761" s="23" t="s">
        <v>530</v>
      </c>
      <c r="B761" s="23" t="s">
        <v>3</v>
      </c>
      <c r="C761" s="23" t="s">
        <v>3566</v>
      </c>
      <c r="D761" s="23">
        <v>229707.22465753424</v>
      </c>
      <c r="E761" s="23">
        <v>2025</v>
      </c>
      <c r="F761" s="15" t="s">
        <v>3305</v>
      </c>
      <c r="G761" s="15" t="s">
        <v>3306</v>
      </c>
      <c r="H761" s="23" t="s">
        <v>58</v>
      </c>
    </row>
    <row r="762" spans="1:8" ht="54.95" customHeight="1" x14ac:dyDescent="0.2">
      <c r="A762" s="23" t="s">
        <v>530</v>
      </c>
      <c r="B762" s="23" t="s">
        <v>6</v>
      </c>
      <c r="C762" s="23" t="s">
        <v>3567</v>
      </c>
      <c r="D762" s="23">
        <v>61.820301404037401</v>
      </c>
      <c r="E762" s="23">
        <v>2025</v>
      </c>
      <c r="F762" s="15" t="s">
        <v>3305</v>
      </c>
      <c r="G762" s="15" t="s">
        <v>3308</v>
      </c>
      <c r="H762" s="23" t="s">
        <v>58</v>
      </c>
    </row>
    <row r="763" spans="1:8" ht="54.95" customHeight="1" x14ac:dyDescent="0.2">
      <c r="A763" s="23" t="s">
        <v>530</v>
      </c>
      <c r="B763" s="23" t="s">
        <v>7</v>
      </c>
      <c r="C763" s="23" t="s">
        <v>3568</v>
      </c>
      <c r="D763" s="23">
        <v>16.135429188437929</v>
      </c>
      <c r="E763" s="23">
        <v>2025</v>
      </c>
      <c r="F763" s="15" t="s">
        <v>3305</v>
      </c>
      <c r="G763" s="15" t="s">
        <v>3308</v>
      </c>
      <c r="H763" s="23" t="s">
        <v>58</v>
      </c>
    </row>
    <row r="764" spans="1:8" ht="54.95" customHeight="1" x14ac:dyDescent="0.2">
      <c r="A764" s="23" t="s">
        <v>530</v>
      </c>
      <c r="B764" s="23" t="s">
        <v>8</v>
      </c>
      <c r="C764" s="23" t="s">
        <v>46</v>
      </c>
      <c r="D764" s="23">
        <v>9.3803742099964609</v>
      </c>
      <c r="E764" s="23">
        <v>2025</v>
      </c>
      <c r="F764" s="15" t="s">
        <v>3305</v>
      </c>
      <c r="G764" s="15" t="s">
        <v>3308</v>
      </c>
      <c r="H764" s="23" t="s">
        <v>58</v>
      </c>
    </row>
    <row r="765" spans="1:8" ht="54.95" customHeight="1" x14ac:dyDescent="0.2">
      <c r="A765" s="23" t="s">
        <v>530</v>
      </c>
      <c r="B765" s="23" t="s">
        <v>9</v>
      </c>
      <c r="C765" s="23" t="s">
        <v>46</v>
      </c>
      <c r="D765" s="23" t="s">
        <v>46</v>
      </c>
      <c r="E765" s="23">
        <v>2025</v>
      </c>
      <c r="F765" s="15" t="s">
        <v>3305</v>
      </c>
      <c r="G765" s="15" t="s">
        <v>3357</v>
      </c>
      <c r="H765" s="23" t="s">
        <v>58</v>
      </c>
    </row>
    <row r="766" spans="1:8" ht="54.95" customHeight="1" x14ac:dyDescent="0.2">
      <c r="A766" s="23" t="s">
        <v>530</v>
      </c>
      <c r="B766" s="23" t="s">
        <v>10</v>
      </c>
      <c r="C766" s="23" t="s">
        <v>46</v>
      </c>
      <c r="D766" s="23">
        <v>0.16155168430780448</v>
      </c>
      <c r="E766" s="23">
        <v>2025</v>
      </c>
      <c r="F766" s="15" t="s">
        <v>3305</v>
      </c>
      <c r="G766" s="15" t="s">
        <v>3308</v>
      </c>
      <c r="H766" s="23" t="s">
        <v>58</v>
      </c>
    </row>
    <row r="767" spans="1:8" ht="54.95" customHeight="1" x14ac:dyDescent="0.2">
      <c r="A767" s="23" t="s">
        <v>530</v>
      </c>
      <c r="B767" s="23" t="s">
        <v>5</v>
      </c>
      <c r="C767" s="23" t="s">
        <v>3569</v>
      </c>
      <c r="D767" s="23">
        <v>83.843136999999999</v>
      </c>
      <c r="E767" s="23">
        <v>2025</v>
      </c>
      <c r="F767" s="15" t="s">
        <v>3305</v>
      </c>
      <c r="G767" s="15" t="s">
        <v>3311</v>
      </c>
      <c r="H767" s="23" t="s">
        <v>58</v>
      </c>
    </row>
    <row r="768" spans="1:8" ht="54.95" customHeight="1" x14ac:dyDescent="0.2">
      <c r="A768" s="23" t="s">
        <v>537</v>
      </c>
      <c r="B768" s="23" t="s">
        <v>11</v>
      </c>
      <c r="C768" s="23" t="s">
        <v>46</v>
      </c>
      <c r="D768" s="23">
        <v>46421.283706227397</v>
      </c>
      <c r="E768" s="23">
        <v>2025</v>
      </c>
      <c r="F768" s="15" t="s">
        <v>3299</v>
      </c>
      <c r="G768" s="15" t="s">
        <v>3300</v>
      </c>
      <c r="H768" s="23" t="s">
        <v>58</v>
      </c>
    </row>
    <row r="769" spans="1:8" ht="54.95" customHeight="1" x14ac:dyDescent="0.2">
      <c r="A769" s="23" t="s">
        <v>537</v>
      </c>
      <c r="B769" s="23" t="s">
        <v>13</v>
      </c>
      <c r="C769" s="23" t="s">
        <v>46</v>
      </c>
      <c r="D769" s="23">
        <v>23419.824657534245</v>
      </c>
      <c r="E769" s="23">
        <v>2025</v>
      </c>
      <c r="F769" s="15" t="s">
        <v>3302</v>
      </c>
      <c r="G769" s="15" t="s">
        <v>3300</v>
      </c>
      <c r="H769" s="23" t="s">
        <v>58</v>
      </c>
    </row>
    <row r="770" spans="1:8" ht="54.95" customHeight="1" x14ac:dyDescent="0.2">
      <c r="A770" s="23" t="s">
        <v>537</v>
      </c>
      <c r="B770" s="23" t="s">
        <v>14</v>
      </c>
      <c r="C770" s="23" t="s">
        <v>46</v>
      </c>
      <c r="D770" s="23">
        <v>5983.4904109589042</v>
      </c>
      <c r="E770" s="23">
        <v>2025</v>
      </c>
      <c r="F770" s="15" t="s">
        <v>3304</v>
      </c>
      <c r="G770" s="15" t="s">
        <v>3300</v>
      </c>
      <c r="H770" s="23" t="s">
        <v>58</v>
      </c>
    </row>
    <row r="771" spans="1:8" ht="54.95" customHeight="1" x14ac:dyDescent="0.2">
      <c r="A771" s="23" t="s">
        <v>537</v>
      </c>
      <c r="B771" s="23" t="s">
        <v>3</v>
      </c>
      <c r="C771" s="23" t="s">
        <v>46</v>
      </c>
      <c r="D771" s="23">
        <v>177671.23287671234</v>
      </c>
      <c r="E771" s="23">
        <v>2025</v>
      </c>
      <c r="F771" s="15" t="s">
        <v>3305</v>
      </c>
      <c r="G771" s="15" t="s">
        <v>3306</v>
      </c>
      <c r="H771" s="23" t="s">
        <v>58</v>
      </c>
    </row>
    <row r="772" spans="1:8" ht="54.95" customHeight="1" x14ac:dyDescent="0.2">
      <c r="A772" s="23" t="s">
        <v>537</v>
      </c>
      <c r="B772" s="23" t="s">
        <v>6</v>
      </c>
      <c r="C772" s="23" t="s">
        <v>46</v>
      </c>
      <c r="D772" s="23">
        <v>43.59814957594449</v>
      </c>
      <c r="E772" s="23">
        <v>2025</v>
      </c>
      <c r="F772" s="15" t="s">
        <v>3305</v>
      </c>
      <c r="G772" s="15" t="s">
        <v>3308</v>
      </c>
      <c r="H772" s="23" t="s">
        <v>58</v>
      </c>
    </row>
    <row r="773" spans="1:8" ht="54.95" customHeight="1" x14ac:dyDescent="0.2">
      <c r="A773" s="23" t="s">
        <v>537</v>
      </c>
      <c r="B773" s="23" t="s">
        <v>7</v>
      </c>
      <c r="C773" s="23" t="s">
        <v>46</v>
      </c>
      <c r="D773" s="23">
        <v>20.079336931380105</v>
      </c>
      <c r="E773" s="23">
        <v>2025</v>
      </c>
      <c r="F773" s="15" t="s">
        <v>3305</v>
      </c>
      <c r="G773" s="15" t="s">
        <v>3308</v>
      </c>
      <c r="H773" s="23" t="s">
        <v>58</v>
      </c>
    </row>
    <row r="774" spans="1:8" ht="54.95" customHeight="1" x14ac:dyDescent="0.2">
      <c r="A774" s="23" t="s">
        <v>537</v>
      </c>
      <c r="B774" s="23" t="s">
        <v>8</v>
      </c>
      <c r="C774" s="23" t="s">
        <v>46</v>
      </c>
      <c r="D774" s="23">
        <v>6.0459521973785657</v>
      </c>
      <c r="E774" s="23">
        <v>2025</v>
      </c>
      <c r="F774" s="15" t="s">
        <v>3305</v>
      </c>
      <c r="G774" s="15" t="s">
        <v>3308</v>
      </c>
      <c r="H774" s="23" t="s">
        <v>58</v>
      </c>
    </row>
    <row r="775" spans="1:8" ht="54.95" customHeight="1" x14ac:dyDescent="0.2">
      <c r="A775" s="23" t="s">
        <v>537</v>
      </c>
      <c r="B775" s="23" t="s">
        <v>9</v>
      </c>
      <c r="C775" s="23" t="s">
        <v>46</v>
      </c>
      <c r="D775" s="23">
        <v>10.522868157286045</v>
      </c>
      <c r="E775" s="23">
        <v>2025</v>
      </c>
      <c r="F775" s="15" t="s">
        <v>3305</v>
      </c>
      <c r="G775" s="15" t="s">
        <v>3308</v>
      </c>
      <c r="H775" s="23" t="s">
        <v>58</v>
      </c>
    </row>
    <row r="776" spans="1:8" ht="54.95" customHeight="1" x14ac:dyDescent="0.2">
      <c r="A776" s="23" t="s">
        <v>537</v>
      </c>
      <c r="B776" s="23" t="s">
        <v>10</v>
      </c>
      <c r="C776" s="23" t="s">
        <v>46</v>
      </c>
      <c r="D776" s="23">
        <v>0.2884348496530455</v>
      </c>
      <c r="E776" s="23">
        <v>2025</v>
      </c>
      <c r="F776" s="15" t="s">
        <v>3305</v>
      </c>
      <c r="G776" s="15" t="s">
        <v>3308</v>
      </c>
      <c r="H776" s="23" t="s">
        <v>58</v>
      </c>
    </row>
    <row r="777" spans="1:8" ht="54.95" customHeight="1" x14ac:dyDescent="0.2">
      <c r="A777" s="23" t="s">
        <v>537</v>
      </c>
      <c r="B777" s="23" t="s">
        <v>5</v>
      </c>
      <c r="C777" s="23" t="s">
        <v>46</v>
      </c>
      <c r="D777" s="23">
        <v>64.850000000000009</v>
      </c>
      <c r="E777" s="23">
        <v>2025</v>
      </c>
      <c r="F777" s="15" t="s">
        <v>3305</v>
      </c>
      <c r="G777" s="15" t="s">
        <v>3311</v>
      </c>
      <c r="H777" s="23" t="s">
        <v>58</v>
      </c>
    </row>
    <row r="778" spans="1:8" ht="54.95" customHeight="1" x14ac:dyDescent="0.2">
      <c r="A778" s="23" t="s">
        <v>543</v>
      </c>
      <c r="B778" s="23" t="s">
        <v>11</v>
      </c>
      <c r="C778" s="23" t="s">
        <v>46</v>
      </c>
      <c r="D778" s="23">
        <v>8949.8330865095886</v>
      </c>
      <c r="E778" s="23">
        <v>2025</v>
      </c>
      <c r="F778" s="15" t="s">
        <v>3299</v>
      </c>
      <c r="G778" s="15" t="s">
        <v>3300</v>
      </c>
      <c r="H778" s="23" t="s">
        <v>58</v>
      </c>
    </row>
    <row r="779" spans="1:8" ht="54.95" customHeight="1" x14ac:dyDescent="0.2">
      <c r="A779" s="23" t="s">
        <v>543</v>
      </c>
      <c r="B779" s="23" t="s">
        <v>13</v>
      </c>
      <c r="C779" s="23" t="s">
        <v>46</v>
      </c>
      <c r="D779" s="23">
        <v>18.556164383561644</v>
      </c>
      <c r="E779" s="23">
        <v>2025</v>
      </c>
      <c r="F779" s="15" t="s">
        <v>3302</v>
      </c>
      <c r="G779" s="15" t="s">
        <v>3300</v>
      </c>
      <c r="H779" s="23" t="s">
        <v>58</v>
      </c>
    </row>
    <row r="780" spans="1:8" ht="54.95" customHeight="1" x14ac:dyDescent="0.2">
      <c r="A780" s="23" t="s">
        <v>543</v>
      </c>
      <c r="B780" s="23" t="s">
        <v>14</v>
      </c>
      <c r="C780" s="23" t="s">
        <v>46</v>
      </c>
      <c r="D780" s="23">
        <v>0</v>
      </c>
      <c r="E780" s="23">
        <v>2025</v>
      </c>
      <c r="F780" s="15" t="s">
        <v>3304</v>
      </c>
      <c r="G780" s="15" t="s">
        <v>3300</v>
      </c>
      <c r="H780" s="23" t="s">
        <v>58</v>
      </c>
    </row>
    <row r="781" spans="1:8" ht="54.95" customHeight="1" x14ac:dyDescent="0.2">
      <c r="A781" s="23" t="s">
        <v>543</v>
      </c>
      <c r="B781" s="23" t="s">
        <v>3</v>
      </c>
      <c r="C781" s="23" t="s">
        <v>46</v>
      </c>
      <c r="D781" s="23">
        <v>96410.95890410959</v>
      </c>
      <c r="E781" s="23">
        <v>2025</v>
      </c>
      <c r="F781" s="15" t="s">
        <v>3305</v>
      </c>
      <c r="G781" s="15" t="s">
        <v>3306</v>
      </c>
      <c r="H781" s="23" t="s">
        <v>58</v>
      </c>
    </row>
    <row r="782" spans="1:8" ht="54.95" customHeight="1" x14ac:dyDescent="0.2">
      <c r="A782" s="23" t="s">
        <v>543</v>
      </c>
      <c r="B782" s="23" t="s">
        <v>6</v>
      </c>
      <c r="C782" s="23" t="s">
        <v>46</v>
      </c>
      <c r="D782" s="23">
        <v>44.369934640522871</v>
      </c>
      <c r="E782" s="23">
        <v>2025</v>
      </c>
      <c r="F782" s="15" t="s">
        <v>3305</v>
      </c>
      <c r="G782" s="15" t="s">
        <v>3308</v>
      </c>
      <c r="H782" s="23" t="s">
        <v>58</v>
      </c>
    </row>
    <row r="783" spans="1:8" ht="54.95" customHeight="1" x14ac:dyDescent="0.2">
      <c r="A783" s="23" t="s">
        <v>543</v>
      </c>
      <c r="B783" s="23" t="s">
        <v>7</v>
      </c>
      <c r="C783" s="23" t="s">
        <v>46</v>
      </c>
      <c r="D783" s="23">
        <v>17.024865018471154</v>
      </c>
      <c r="E783" s="23">
        <v>2025</v>
      </c>
      <c r="F783" s="15" t="s">
        <v>3305</v>
      </c>
      <c r="G783" s="15" t="s">
        <v>3308</v>
      </c>
      <c r="H783" s="23" t="s">
        <v>58</v>
      </c>
    </row>
    <row r="784" spans="1:8" ht="54.95" customHeight="1" x14ac:dyDescent="0.2">
      <c r="A784" s="23" t="s">
        <v>543</v>
      </c>
      <c r="B784" s="23" t="s">
        <v>8</v>
      </c>
      <c r="C784" s="23" t="s">
        <v>46</v>
      </c>
      <c r="D784" s="23">
        <v>4.2193805058255185</v>
      </c>
      <c r="E784" s="23">
        <v>2025</v>
      </c>
      <c r="F784" s="15" t="s">
        <v>3305</v>
      </c>
      <c r="G784" s="15" t="s">
        <v>3308</v>
      </c>
      <c r="H784" s="23" t="s">
        <v>58</v>
      </c>
    </row>
    <row r="785" spans="1:8" ht="54.95" customHeight="1" x14ac:dyDescent="0.2">
      <c r="A785" s="23" t="s">
        <v>543</v>
      </c>
      <c r="B785" s="23" t="s">
        <v>9</v>
      </c>
      <c r="C785" s="23" t="s">
        <v>46</v>
      </c>
      <c r="D785" s="23">
        <v>2.6871270247229329</v>
      </c>
      <c r="E785" s="23">
        <v>2025</v>
      </c>
      <c r="F785" s="15" t="s">
        <v>3305</v>
      </c>
      <c r="G785" s="15" t="s">
        <v>3308</v>
      </c>
      <c r="H785" s="23" t="s">
        <v>58</v>
      </c>
    </row>
    <row r="786" spans="1:8" ht="54.95" customHeight="1" x14ac:dyDescent="0.2">
      <c r="A786" s="23" t="s">
        <v>543</v>
      </c>
      <c r="B786" s="23" t="s">
        <v>10</v>
      </c>
      <c r="C786" s="23" t="s">
        <v>46</v>
      </c>
      <c r="D786" s="23">
        <v>4.5822676896845698</v>
      </c>
      <c r="E786" s="23">
        <v>2025</v>
      </c>
      <c r="F786" s="15" t="s">
        <v>3305</v>
      </c>
      <c r="G786" s="15" t="s">
        <v>3308</v>
      </c>
      <c r="H786" s="23" t="s">
        <v>58</v>
      </c>
    </row>
    <row r="787" spans="1:8" ht="54.95" customHeight="1" x14ac:dyDescent="0.2">
      <c r="A787" s="23" t="s">
        <v>543</v>
      </c>
      <c r="B787" s="23" t="s">
        <v>5</v>
      </c>
      <c r="C787" s="23" t="s">
        <v>46</v>
      </c>
      <c r="D787" s="23">
        <v>35.19</v>
      </c>
      <c r="E787" s="23">
        <v>2025</v>
      </c>
      <c r="F787" s="15" t="s">
        <v>3305</v>
      </c>
      <c r="G787" s="15" t="s">
        <v>3311</v>
      </c>
      <c r="H787" s="23" t="s">
        <v>58</v>
      </c>
    </row>
    <row r="788" spans="1:8" ht="54.95" customHeight="1" x14ac:dyDescent="0.2">
      <c r="A788" s="23" t="s">
        <v>549</v>
      </c>
      <c r="B788" s="23" t="s">
        <v>11</v>
      </c>
      <c r="C788" s="23" t="s">
        <v>46</v>
      </c>
      <c r="D788" s="23">
        <v>44534.861053457535</v>
      </c>
      <c r="E788" s="23">
        <v>2025</v>
      </c>
      <c r="F788" s="15" t="s">
        <v>3299</v>
      </c>
      <c r="G788" s="15" t="s">
        <v>3300</v>
      </c>
      <c r="H788" s="23" t="s">
        <v>58</v>
      </c>
    </row>
    <row r="789" spans="1:8" ht="54.95" customHeight="1" x14ac:dyDescent="0.2">
      <c r="A789" s="23" t="s">
        <v>549</v>
      </c>
      <c r="B789" s="23" t="s">
        <v>13</v>
      </c>
      <c r="C789" s="23" t="s">
        <v>46</v>
      </c>
      <c r="D789" s="23">
        <v>16541.194520547946</v>
      </c>
      <c r="E789" s="23">
        <v>2025</v>
      </c>
      <c r="F789" s="15" t="s">
        <v>3302</v>
      </c>
      <c r="G789" s="15" t="s">
        <v>3300</v>
      </c>
      <c r="H789" s="23" t="s">
        <v>58</v>
      </c>
    </row>
    <row r="790" spans="1:8" ht="54.95" customHeight="1" x14ac:dyDescent="0.2">
      <c r="A790" s="23" t="s">
        <v>549</v>
      </c>
      <c r="B790" s="23" t="s">
        <v>14</v>
      </c>
      <c r="C790" s="23" t="s">
        <v>46</v>
      </c>
      <c r="D790" s="23">
        <v>1000</v>
      </c>
      <c r="E790" s="23">
        <v>2025</v>
      </c>
      <c r="F790" s="15" t="s">
        <v>3304</v>
      </c>
      <c r="G790" s="15" t="s">
        <v>3300</v>
      </c>
      <c r="H790" s="23" t="s">
        <v>58</v>
      </c>
    </row>
    <row r="791" spans="1:8" ht="54.95" customHeight="1" x14ac:dyDescent="0.2">
      <c r="A791" s="23" t="s">
        <v>549</v>
      </c>
      <c r="B791" s="23" t="s">
        <v>3</v>
      </c>
      <c r="C791" s="23" t="s">
        <v>46</v>
      </c>
      <c r="D791" s="23">
        <v>751827.39726027392</v>
      </c>
      <c r="E791" s="23">
        <v>2025</v>
      </c>
      <c r="F791" s="15" t="s">
        <v>3305</v>
      </c>
      <c r="G791" s="15" t="s">
        <v>3306</v>
      </c>
      <c r="H791" s="23" t="s">
        <v>58</v>
      </c>
    </row>
    <row r="792" spans="1:8" ht="54.95" customHeight="1" x14ac:dyDescent="0.2">
      <c r="A792" s="23" t="s">
        <v>549</v>
      </c>
      <c r="B792" s="23" t="s">
        <v>6</v>
      </c>
      <c r="C792" s="23" t="s">
        <v>46</v>
      </c>
      <c r="D792" s="23">
        <v>51.439276721194382</v>
      </c>
      <c r="E792" s="23">
        <v>2025</v>
      </c>
      <c r="F792" s="15" t="s">
        <v>3305</v>
      </c>
      <c r="G792" s="15" t="s">
        <v>3308</v>
      </c>
      <c r="H792" s="23" t="s">
        <v>58</v>
      </c>
    </row>
    <row r="793" spans="1:8" ht="54.95" customHeight="1" x14ac:dyDescent="0.2">
      <c r="A793" s="23" t="s">
        <v>549</v>
      </c>
      <c r="B793" s="23" t="s">
        <v>7</v>
      </c>
      <c r="C793" s="23" t="s">
        <v>46</v>
      </c>
      <c r="D793" s="23">
        <v>18.851200909564643</v>
      </c>
      <c r="E793" s="23">
        <v>2025</v>
      </c>
      <c r="F793" s="15" t="s">
        <v>3305</v>
      </c>
      <c r="G793" s="15" t="s">
        <v>3308</v>
      </c>
      <c r="H793" s="23" t="s">
        <v>58</v>
      </c>
    </row>
    <row r="794" spans="1:8" ht="54.95" customHeight="1" x14ac:dyDescent="0.2">
      <c r="A794" s="23" t="s">
        <v>549</v>
      </c>
      <c r="B794" s="23" t="s">
        <v>8</v>
      </c>
      <c r="C794" s="23" t="s">
        <v>46</v>
      </c>
      <c r="D794" s="23">
        <v>10.758079856568653</v>
      </c>
      <c r="E794" s="23">
        <v>2025</v>
      </c>
      <c r="F794" s="15" t="s">
        <v>3305</v>
      </c>
      <c r="G794" s="15" t="s">
        <v>3308</v>
      </c>
      <c r="H794" s="23" t="s">
        <v>58</v>
      </c>
    </row>
    <row r="795" spans="1:8" ht="54.95" customHeight="1" x14ac:dyDescent="0.2">
      <c r="A795" s="23" t="s">
        <v>549</v>
      </c>
      <c r="B795" s="23" t="s">
        <v>9</v>
      </c>
      <c r="C795" s="23" t="s">
        <v>46</v>
      </c>
      <c r="D795" s="23">
        <v>8.4193617742341029</v>
      </c>
      <c r="E795" s="23">
        <v>2025</v>
      </c>
      <c r="F795" s="15" t="s">
        <v>3305</v>
      </c>
      <c r="G795" s="15" t="s">
        <v>3308</v>
      </c>
      <c r="H795" s="23" t="s">
        <v>58</v>
      </c>
    </row>
    <row r="796" spans="1:8" ht="54.95" customHeight="1" x14ac:dyDescent="0.2">
      <c r="A796" s="23" t="s">
        <v>549</v>
      </c>
      <c r="B796" s="23" t="s">
        <v>10</v>
      </c>
      <c r="C796" s="23" t="s">
        <v>46</v>
      </c>
      <c r="D796" s="23">
        <v>2.9262946537568739</v>
      </c>
      <c r="E796" s="23">
        <v>2025</v>
      </c>
      <c r="F796" s="15" t="s">
        <v>3305</v>
      </c>
      <c r="G796" s="15" t="s">
        <v>3308</v>
      </c>
      <c r="H796" s="23" t="s">
        <v>58</v>
      </c>
    </row>
    <row r="797" spans="1:8" ht="54.95" customHeight="1" x14ac:dyDescent="0.2">
      <c r="A797" s="23" t="s">
        <v>549</v>
      </c>
      <c r="B797" s="23" t="s">
        <v>5</v>
      </c>
      <c r="C797" s="23" t="s">
        <v>46</v>
      </c>
      <c r="D797" s="23">
        <v>274.41699999999997</v>
      </c>
      <c r="E797" s="23">
        <v>2025</v>
      </c>
      <c r="F797" s="15" t="s">
        <v>3305</v>
      </c>
      <c r="G797" s="15" t="s">
        <v>3311</v>
      </c>
      <c r="H797" s="23" t="s">
        <v>58</v>
      </c>
    </row>
    <row r="798" spans="1:8" ht="54.95" customHeight="1" x14ac:dyDescent="0.2">
      <c r="A798" s="23" t="s">
        <v>555</v>
      </c>
      <c r="B798" s="23" t="s">
        <v>11</v>
      </c>
      <c r="C798" s="23" t="s">
        <v>3570</v>
      </c>
      <c r="D798" s="23">
        <v>649.74842168219186</v>
      </c>
      <c r="E798" s="23">
        <v>2025</v>
      </c>
      <c r="F798" s="15" t="s">
        <v>3299</v>
      </c>
      <c r="G798" s="15" t="s">
        <v>3300</v>
      </c>
      <c r="H798" s="23" t="s">
        <v>58</v>
      </c>
    </row>
    <row r="799" spans="1:8" ht="54.95" customHeight="1" x14ac:dyDescent="0.2">
      <c r="A799" s="23" t="s">
        <v>555</v>
      </c>
      <c r="B799" s="23" t="s">
        <v>13</v>
      </c>
      <c r="C799" s="23" t="s">
        <v>46</v>
      </c>
      <c r="D799" s="23">
        <v>0</v>
      </c>
      <c r="E799" s="23">
        <v>2025</v>
      </c>
      <c r="F799" s="15" t="s">
        <v>3302</v>
      </c>
      <c r="G799" s="15" t="s">
        <v>3300</v>
      </c>
      <c r="H799" s="23" t="s">
        <v>58</v>
      </c>
    </row>
    <row r="800" spans="1:8" ht="54.95" customHeight="1" x14ac:dyDescent="0.2">
      <c r="A800" s="23" t="s">
        <v>555</v>
      </c>
      <c r="B800" s="23" t="s">
        <v>14</v>
      </c>
      <c r="C800" s="23" t="s">
        <v>46</v>
      </c>
      <c r="D800" s="23">
        <v>0</v>
      </c>
      <c r="E800" s="23">
        <v>2025</v>
      </c>
      <c r="F800" s="15" t="s">
        <v>3304</v>
      </c>
      <c r="G800" s="15" t="s">
        <v>3300</v>
      </c>
      <c r="H800" s="23" t="s">
        <v>58</v>
      </c>
    </row>
    <row r="801" spans="1:8" ht="54.95" customHeight="1" x14ac:dyDescent="0.2">
      <c r="A801" s="23" t="s">
        <v>555</v>
      </c>
      <c r="B801" s="23" t="s">
        <v>3</v>
      </c>
      <c r="C801" s="23" t="s">
        <v>3571</v>
      </c>
      <c r="D801" s="23">
        <v>156808.21917808219</v>
      </c>
      <c r="E801" s="23">
        <v>2025</v>
      </c>
      <c r="F801" s="15" t="s">
        <v>3305</v>
      </c>
      <c r="G801" s="15" t="s">
        <v>3306</v>
      </c>
      <c r="H801" s="23" t="s">
        <v>58</v>
      </c>
    </row>
    <row r="802" spans="1:8" ht="54.95" customHeight="1" x14ac:dyDescent="0.2">
      <c r="A802" s="23" t="s">
        <v>555</v>
      </c>
      <c r="B802" s="23" t="s">
        <v>6</v>
      </c>
      <c r="C802" s="23" t="s">
        <v>46</v>
      </c>
      <c r="D802" s="23">
        <v>51.536367607233338</v>
      </c>
      <c r="E802" s="23">
        <v>2025</v>
      </c>
      <c r="F802" s="15" t="s">
        <v>3305</v>
      </c>
      <c r="G802" s="15" t="s">
        <v>3308</v>
      </c>
      <c r="H802" s="23" t="s">
        <v>58</v>
      </c>
    </row>
    <row r="803" spans="1:8" ht="54.95" customHeight="1" x14ac:dyDescent="0.2">
      <c r="A803" s="23" t="s">
        <v>555</v>
      </c>
      <c r="B803" s="23" t="s">
        <v>7</v>
      </c>
      <c r="C803" s="23" t="s">
        <v>46</v>
      </c>
      <c r="D803" s="23">
        <v>12.386738883550274</v>
      </c>
      <c r="E803" s="23">
        <v>2025</v>
      </c>
      <c r="F803" s="15" t="s">
        <v>3305</v>
      </c>
      <c r="G803" s="15" t="s">
        <v>3308</v>
      </c>
      <c r="H803" s="23" t="s">
        <v>58</v>
      </c>
    </row>
    <row r="804" spans="1:8" ht="54.95" customHeight="1" x14ac:dyDescent="0.2">
      <c r="A804" s="23" t="s">
        <v>555</v>
      </c>
      <c r="B804" s="23" t="s">
        <v>8</v>
      </c>
      <c r="C804" s="23" t="s">
        <v>46</v>
      </c>
      <c r="D804" s="23">
        <v>3.5265134969861096</v>
      </c>
      <c r="E804" s="23">
        <v>2025</v>
      </c>
      <c r="F804" s="15" t="s">
        <v>3305</v>
      </c>
      <c r="G804" s="15" t="s">
        <v>3308</v>
      </c>
      <c r="H804" s="23" t="s">
        <v>58</v>
      </c>
    </row>
    <row r="805" spans="1:8" ht="54.95" customHeight="1" x14ac:dyDescent="0.2">
      <c r="A805" s="23" t="s">
        <v>555</v>
      </c>
      <c r="B805" s="23" t="s">
        <v>9</v>
      </c>
      <c r="C805" s="23" t="s">
        <v>46</v>
      </c>
      <c r="D805" s="23">
        <v>42.046859439154368</v>
      </c>
      <c r="E805" s="23">
        <v>2025</v>
      </c>
      <c r="F805" s="15" t="s">
        <v>3305</v>
      </c>
      <c r="G805" s="15" t="s">
        <v>3308</v>
      </c>
      <c r="H805" s="23" t="s">
        <v>58</v>
      </c>
    </row>
    <row r="806" spans="1:8" ht="54.95" customHeight="1" x14ac:dyDescent="0.2">
      <c r="A806" s="23" t="s">
        <v>555</v>
      </c>
      <c r="B806" s="23" t="s">
        <v>10</v>
      </c>
      <c r="C806" s="23" t="s">
        <v>46</v>
      </c>
      <c r="D806" s="23">
        <v>1.0367781951603041</v>
      </c>
      <c r="E806" s="23">
        <v>2025</v>
      </c>
      <c r="F806" s="15" t="s">
        <v>3305</v>
      </c>
      <c r="G806" s="15" t="s">
        <v>3308</v>
      </c>
      <c r="H806" s="23" t="s">
        <v>58</v>
      </c>
    </row>
    <row r="807" spans="1:8" ht="54.95" customHeight="1" x14ac:dyDescent="0.2">
      <c r="A807" s="23" t="s">
        <v>555</v>
      </c>
      <c r="B807" s="23" t="s">
        <v>5</v>
      </c>
      <c r="C807" s="23" t="s">
        <v>3572</v>
      </c>
      <c r="D807" s="23">
        <v>57.234999999999999</v>
      </c>
      <c r="E807" s="23">
        <v>2025</v>
      </c>
      <c r="F807" s="15" t="s">
        <v>3305</v>
      </c>
      <c r="G807" s="15" t="s">
        <v>3311</v>
      </c>
      <c r="H807" s="23" t="s">
        <v>58</v>
      </c>
    </row>
    <row r="808" spans="1:8" ht="54.95" customHeight="1" x14ac:dyDescent="0.2">
      <c r="A808" s="23" t="s">
        <v>561</v>
      </c>
      <c r="B808" s="23" t="s">
        <v>11</v>
      </c>
      <c r="C808" s="23" t="s">
        <v>3573</v>
      </c>
      <c r="D808" s="23">
        <v>768514.71574284614</v>
      </c>
      <c r="E808" s="23">
        <v>2025</v>
      </c>
      <c r="F808" s="15" t="s">
        <v>3299</v>
      </c>
      <c r="G808" s="15" t="s">
        <v>3300</v>
      </c>
      <c r="H808" s="23" t="s">
        <v>58</v>
      </c>
    </row>
    <row r="809" spans="1:8" ht="54.95" customHeight="1" x14ac:dyDescent="0.2">
      <c r="A809" s="23" t="s">
        <v>561</v>
      </c>
      <c r="B809" s="23" t="s">
        <v>13</v>
      </c>
      <c r="C809" s="23" t="s">
        <v>46</v>
      </c>
      <c r="D809" s="23">
        <v>615778.71232876717</v>
      </c>
      <c r="E809" s="23">
        <v>2025</v>
      </c>
      <c r="F809" s="15" t="s">
        <v>3302</v>
      </c>
      <c r="G809" s="15" t="s">
        <v>3300</v>
      </c>
      <c r="H809" s="23" t="s">
        <v>58</v>
      </c>
    </row>
    <row r="810" spans="1:8" ht="54.95" customHeight="1" x14ac:dyDescent="0.2">
      <c r="A810" s="23" t="s">
        <v>561</v>
      </c>
      <c r="B810" s="23" t="s">
        <v>14</v>
      </c>
      <c r="C810" s="23" t="s">
        <v>46</v>
      </c>
      <c r="D810" s="23">
        <v>58969.354084243452</v>
      </c>
      <c r="E810" s="23">
        <v>2025</v>
      </c>
      <c r="F810" s="15" t="s">
        <v>3304</v>
      </c>
      <c r="G810" s="15" t="s">
        <v>3300</v>
      </c>
      <c r="H810" s="23" t="s">
        <v>58</v>
      </c>
    </row>
    <row r="811" spans="1:8" ht="54.95" customHeight="1" x14ac:dyDescent="0.2">
      <c r="A811" s="23" t="s">
        <v>561</v>
      </c>
      <c r="B811" s="23" t="s">
        <v>3</v>
      </c>
      <c r="C811" s="23" t="s">
        <v>3574</v>
      </c>
      <c r="D811" s="23">
        <v>1416186.3013698631</v>
      </c>
      <c r="E811" s="23">
        <v>2025</v>
      </c>
      <c r="F811" s="15" t="s">
        <v>3305</v>
      </c>
      <c r="G811" s="15" t="s">
        <v>3306</v>
      </c>
      <c r="H811" s="23" t="s">
        <v>58</v>
      </c>
    </row>
    <row r="812" spans="1:8" ht="54.95" customHeight="1" x14ac:dyDescent="0.2">
      <c r="A812" s="23" t="s">
        <v>561</v>
      </c>
      <c r="B812" s="23" t="s">
        <v>6</v>
      </c>
      <c r="C812" s="23" t="s">
        <v>46</v>
      </c>
      <c r="D812" s="23">
        <v>39.477206775673814</v>
      </c>
      <c r="E812" s="23">
        <v>2025</v>
      </c>
      <c r="F812" s="15" t="s">
        <v>3305</v>
      </c>
      <c r="G812" s="15" t="s">
        <v>3308</v>
      </c>
      <c r="H812" s="23" t="s">
        <v>58</v>
      </c>
    </row>
    <row r="813" spans="1:8" ht="54.95" customHeight="1" x14ac:dyDescent="0.2">
      <c r="A813" s="23" t="s">
        <v>561</v>
      </c>
      <c r="B813" s="23" t="s">
        <v>7</v>
      </c>
      <c r="C813" s="23" t="s">
        <v>46</v>
      </c>
      <c r="D813" s="23">
        <v>22.374416724059213</v>
      </c>
      <c r="E813" s="23">
        <v>2025</v>
      </c>
      <c r="F813" s="15" t="s">
        <v>3305</v>
      </c>
      <c r="G813" s="15" t="s">
        <v>3308</v>
      </c>
      <c r="H813" s="23" t="s">
        <v>58</v>
      </c>
    </row>
    <row r="814" spans="1:8" ht="54.95" customHeight="1" x14ac:dyDescent="0.2">
      <c r="A814" s="23" t="s">
        <v>561</v>
      </c>
      <c r="B814" s="23" t="s">
        <v>8</v>
      </c>
      <c r="C814" s="23" t="s">
        <v>46</v>
      </c>
      <c r="D814" s="23">
        <v>5.2422481369992342</v>
      </c>
      <c r="E814" s="23">
        <v>2025</v>
      </c>
      <c r="F814" s="15" t="s">
        <v>3305</v>
      </c>
      <c r="G814" s="15" t="s">
        <v>3308</v>
      </c>
      <c r="H814" s="23" t="s">
        <v>58</v>
      </c>
    </row>
    <row r="815" spans="1:8" ht="54.95" customHeight="1" x14ac:dyDescent="0.2">
      <c r="A815" s="23" t="s">
        <v>561</v>
      </c>
      <c r="B815" s="23" t="s">
        <v>9</v>
      </c>
      <c r="C815" s="23" t="s">
        <v>46</v>
      </c>
      <c r="D815" s="23">
        <v>40.47107802549003</v>
      </c>
      <c r="E815" s="23">
        <v>2025</v>
      </c>
      <c r="F815" s="15" t="s">
        <v>3305</v>
      </c>
      <c r="G815" s="15" t="s">
        <v>3308</v>
      </c>
      <c r="H815" s="23" t="s">
        <v>58</v>
      </c>
    </row>
    <row r="816" spans="1:8" ht="54.95" customHeight="1" x14ac:dyDescent="0.2">
      <c r="A816" s="23" t="s">
        <v>561</v>
      </c>
      <c r="B816" s="23" t="s">
        <v>10</v>
      </c>
      <c r="C816" s="23" t="s">
        <v>46</v>
      </c>
      <c r="D816" s="23">
        <v>1.3588588298111075</v>
      </c>
      <c r="E816" s="23">
        <v>2025</v>
      </c>
      <c r="F816" s="15" t="s">
        <v>3305</v>
      </c>
      <c r="G816" s="15" t="s">
        <v>3308</v>
      </c>
      <c r="H816" s="23" t="s">
        <v>58</v>
      </c>
    </row>
    <row r="817" spans="1:8" ht="54.95" customHeight="1" x14ac:dyDescent="0.2">
      <c r="A817" s="23" t="s">
        <v>561</v>
      </c>
      <c r="B817" s="23" t="s">
        <v>5</v>
      </c>
      <c r="C817" s="23" t="s">
        <v>3575</v>
      </c>
      <c r="D817" s="23">
        <v>516.90800000000002</v>
      </c>
      <c r="E817" s="23">
        <v>2025</v>
      </c>
      <c r="F817" s="15" t="s">
        <v>3305</v>
      </c>
      <c r="G817" s="15" t="s">
        <v>3311</v>
      </c>
      <c r="H817" s="23" t="s">
        <v>58</v>
      </c>
    </row>
    <row r="818" spans="1:8" ht="54.95" customHeight="1" x14ac:dyDescent="0.2">
      <c r="A818" s="23" t="s">
        <v>567</v>
      </c>
      <c r="B818" s="23" t="s">
        <v>11</v>
      </c>
      <c r="C818" s="23" t="s">
        <v>46</v>
      </c>
      <c r="D818" s="23">
        <v>14384.604168506849</v>
      </c>
      <c r="E818" s="23">
        <v>2025</v>
      </c>
      <c r="F818" s="15" t="s">
        <v>3299</v>
      </c>
      <c r="G818" s="15" t="s">
        <v>3300</v>
      </c>
      <c r="H818" s="23" t="s">
        <v>58</v>
      </c>
    </row>
    <row r="819" spans="1:8" ht="54.95" customHeight="1" x14ac:dyDescent="0.2">
      <c r="A819" s="23" t="s">
        <v>567</v>
      </c>
      <c r="B819" s="23" t="s">
        <v>13</v>
      </c>
      <c r="C819" s="23" t="s">
        <v>46</v>
      </c>
      <c r="D819" s="23">
        <v>1497</v>
      </c>
      <c r="E819" s="23">
        <v>2025</v>
      </c>
      <c r="F819" s="15" t="s">
        <v>3302</v>
      </c>
      <c r="G819" s="15" t="s">
        <v>3300</v>
      </c>
      <c r="H819" s="23" t="s">
        <v>58</v>
      </c>
    </row>
    <row r="820" spans="1:8" ht="54.95" customHeight="1" x14ac:dyDescent="0.2">
      <c r="A820" s="23" t="s">
        <v>567</v>
      </c>
      <c r="B820" s="23" t="s">
        <v>14</v>
      </c>
      <c r="C820" s="23" t="s">
        <v>46</v>
      </c>
      <c r="D820" s="23">
        <v>0</v>
      </c>
      <c r="E820" s="23">
        <v>2025</v>
      </c>
      <c r="F820" s="15" t="s">
        <v>3304</v>
      </c>
      <c r="G820" s="15" t="s">
        <v>3300</v>
      </c>
      <c r="H820" s="23" t="s">
        <v>58</v>
      </c>
    </row>
    <row r="821" spans="1:8" ht="54.95" customHeight="1" x14ac:dyDescent="0.2">
      <c r="A821" s="23" t="s">
        <v>567</v>
      </c>
      <c r="B821" s="23" t="s">
        <v>3</v>
      </c>
      <c r="C821" s="23" t="s">
        <v>46</v>
      </c>
      <c r="D821" s="23">
        <v>307767.12328767125</v>
      </c>
      <c r="E821" s="23">
        <v>2025</v>
      </c>
      <c r="F821" s="15" t="s">
        <v>3305</v>
      </c>
      <c r="G821" s="15" t="s">
        <v>3306</v>
      </c>
      <c r="H821" s="23" t="s">
        <v>58</v>
      </c>
    </row>
    <row r="822" spans="1:8" ht="54.95" customHeight="1" x14ac:dyDescent="0.2">
      <c r="A822" s="23" t="s">
        <v>567</v>
      </c>
      <c r="B822" s="23" t="s">
        <v>6</v>
      </c>
      <c r="C822" s="23" t="s">
        <v>46</v>
      </c>
      <c r="D822" s="23">
        <v>36.777032981706505</v>
      </c>
      <c r="E822" s="23">
        <v>2025</v>
      </c>
      <c r="F822" s="15" t="s">
        <v>3305</v>
      </c>
      <c r="G822" s="15" t="s">
        <v>3308</v>
      </c>
      <c r="H822" s="23" t="s">
        <v>58</v>
      </c>
    </row>
    <row r="823" spans="1:8" ht="54.95" customHeight="1" x14ac:dyDescent="0.2">
      <c r="A823" s="23" t="s">
        <v>567</v>
      </c>
      <c r="B823" s="23" t="s">
        <v>7</v>
      </c>
      <c r="C823" s="23" t="s">
        <v>46</v>
      </c>
      <c r="D823" s="23">
        <v>16.789424489250901</v>
      </c>
      <c r="E823" s="23">
        <v>2025</v>
      </c>
      <c r="F823" s="15" t="s">
        <v>3305</v>
      </c>
      <c r="G823" s="15" t="s">
        <v>3308</v>
      </c>
      <c r="H823" s="23" t="s">
        <v>58</v>
      </c>
    </row>
    <row r="824" spans="1:8" ht="54.95" customHeight="1" x14ac:dyDescent="0.2">
      <c r="A824" s="23" t="s">
        <v>567</v>
      </c>
      <c r="B824" s="23" t="s">
        <v>8</v>
      </c>
      <c r="C824" s="23" t="s">
        <v>46</v>
      </c>
      <c r="D824" s="23">
        <v>7.4865358080740645</v>
      </c>
      <c r="E824" s="23">
        <v>2025</v>
      </c>
      <c r="F824" s="15" t="s">
        <v>3305</v>
      </c>
      <c r="G824" s="15" t="s">
        <v>3308</v>
      </c>
      <c r="H824" s="23" t="s">
        <v>58</v>
      </c>
    </row>
    <row r="825" spans="1:8" ht="54.95" customHeight="1" x14ac:dyDescent="0.2">
      <c r="A825" s="23" t="s">
        <v>567</v>
      </c>
      <c r="B825" s="23" t="s">
        <v>9</v>
      </c>
      <c r="C825" s="23" t="s">
        <v>46</v>
      </c>
      <c r="D825" s="23">
        <v>26.073761516891441</v>
      </c>
      <c r="E825" s="23">
        <v>2025</v>
      </c>
      <c r="F825" s="15" t="s">
        <v>3305</v>
      </c>
      <c r="G825" s="15" t="s">
        <v>3308</v>
      </c>
      <c r="H825" s="23" t="s">
        <v>58</v>
      </c>
    </row>
    <row r="826" spans="1:8" ht="54.95" customHeight="1" x14ac:dyDescent="0.2">
      <c r="A826" s="23" t="s">
        <v>567</v>
      </c>
      <c r="B826" s="23" t="s">
        <v>10</v>
      </c>
      <c r="C826" s="23" t="s">
        <v>46</v>
      </c>
      <c r="D826" s="23">
        <v>13.940980104152759</v>
      </c>
      <c r="E826" s="23">
        <v>2025</v>
      </c>
      <c r="F826" s="15" t="s">
        <v>3305</v>
      </c>
      <c r="G826" s="15" t="s">
        <v>3308</v>
      </c>
      <c r="H826" s="23" t="s">
        <v>58</v>
      </c>
    </row>
    <row r="827" spans="1:8" ht="54.95" customHeight="1" x14ac:dyDescent="0.2">
      <c r="A827" s="23" t="s">
        <v>567</v>
      </c>
      <c r="B827" s="23" t="s">
        <v>5</v>
      </c>
      <c r="C827" s="23" t="s">
        <v>46</v>
      </c>
      <c r="D827" s="23">
        <v>112.33499999999999</v>
      </c>
      <c r="E827" s="23">
        <v>2025</v>
      </c>
      <c r="F827" s="15" t="s">
        <v>3305</v>
      </c>
      <c r="G827" s="15" t="s">
        <v>3311</v>
      </c>
      <c r="H827" s="23" t="s">
        <v>58</v>
      </c>
    </row>
    <row r="828" spans="1:8" ht="54.95" customHeight="1" x14ac:dyDescent="0.2">
      <c r="A828" s="23" t="s">
        <v>573</v>
      </c>
      <c r="B828" s="23" t="s">
        <v>11</v>
      </c>
      <c r="C828" s="23" t="s">
        <v>46</v>
      </c>
      <c r="D828" s="23">
        <v>101.15509353150685</v>
      </c>
      <c r="E828" s="23">
        <v>2025</v>
      </c>
      <c r="F828" s="15" t="s">
        <v>3299</v>
      </c>
      <c r="G828" s="15" t="s">
        <v>3300</v>
      </c>
      <c r="H828" s="23" t="s">
        <v>58</v>
      </c>
    </row>
    <row r="829" spans="1:8" ht="54.95" customHeight="1" x14ac:dyDescent="0.2">
      <c r="A829" s="23" t="s">
        <v>573</v>
      </c>
      <c r="B829" s="23" t="s">
        <v>13</v>
      </c>
      <c r="C829" s="23" t="s">
        <v>46</v>
      </c>
      <c r="D829" s="23">
        <v>0</v>
      </c>
      <c r="E829" s="23">
        <v>2025</v>
      </c>
      <c r="F829" s="15" t="s">
        <v>3302</v>
      </c>
      <c r="G829" s="15" t="s">
        <v>3300</v>
      </c>
      <c r="H829" s="23" t="s">
        <v>58</v>
      </c>
    </row>
    <row r="830" spans="1:8" ht="54.95" customHeight="1" x14ac:dyDescent="0.2">
      <c r="A830" s="23" t="s">
        <v>573</v>
      </c>
      <c r="B830" s="23" t="s">
        <v>14</v>
      </c>
      <c r="C830" s="23" t="s">
        <v>46</v>
      </c>
      <c r="D830" s="23">
        <v>0</v>
      </c>
      <c r="E830" s="23">
        <v>2025</v>
      </c>
      <c r="F830" s="15" t="s">
        <v>3304</v>
      </c>
      <c r="G830" s="15" t="s">
        <v>3300</v>
      </c>
      <c r="H830" s="23" t="s">
        <v>58</v>
      </c>
    </row>
    <row r="831" spans="1:8" ht="54.95" customHeight="1" x14ac:dyDescent="0.2">
      <c r="A831" s="23" t="s">
        <v>573</v>
      </c>
      <c r="B831" s="23" t="s">
        <v>3</v>
      </c>
      <c r="C831" s="23" t="s">
        <v>46</v>
      </c>
      <c r="D831" s="23">
        <v>37129.273203999997</v>
      </c>
      <c r="E831" s="23">
        <v>2024</v>
      </c>
      <c r="F831" s="15" t="s">
        <v>3316</v>
      </c>
      <c r="G831" s="15" t="s">
        <v>3317</v>
      </c>
      <c r="H831" s="23" t="s">
        <v>58</v>
      </c>
    </row>
    <row r="832" spans="1:8" ht="54.95" customHeight="1" x14ac:dyDescent="0.2">
      <c r="A832" s="23" t="s">
        <v>573</v>
      </c>
      <c r="B832" s="23" t="s">
        <v>6</v>
      </c>
      <c r="C832" s="23" t="s">
        <v>46</v>
      </c>
      <c r="D832" s="23">
        <v>65.921626651617672</v>
      </c>
      <c r="E832" s="23">
        <v>2024</v>
      </c>
      <c r="F832" s="15" t="s">
        <v>3319</v>
      </c>
      <c r="G832" s="15" t="s">
        <v>3320</v>
      </c>
      <c r="H832" s="23" t="s">
        <v>58</v>
      </c>
    </row>
    <row r="833" spans="1:8" ht="54.95" customHeight="1" x14ac:dyDescent="0.2">
      <c r="A833" s="23" t="s">
        <v>573</v>
      </c>
      <c r="B833" s="23" t="s">
        <v>7</v>
      </c>
      <c r="C833" s="23" t="s">
        <v>46</v>
      </c>
      <c r="D833" s="23">
        <v>28.735293958974097</v>
      </c>
      <c r="E833" s="23">
        <v>2024</v>
      </c>
      <c r="F833" s="15" t="s">
        <v>3322</v>
      </c>
      <c r="G833" s="15" t="s">
        <v>3320</v>
      </c>
      <c r="H833" s="23" t="s">
        <v>58</v>
      </c>
    </row>
    <row r="834" spans="1:8" ht="54.95" customHeight="1" x14ac:dyDescent="0.2">
      <c r="A834" s="23" t="s">
        <v>573</v>
      </c>
      <c r="B834" s="23" t="s">
        <v>8</v>
      </c>
      <c r="C834" s="23" t="s">
        <v>46</v>
      </c>
      <c r="D834" s="23">
        <v>0.79032751971128534</v>
      </c>
      <c r="E834" s="23">
        <v>2024</v>
      </c>
      <c r="F834" s="15" t="s">
        <v>3324</v>
      </c>
      <c r="G834" s="15" t="s">
        <v>3320</v>
      </c>
      <c r="H834" s="23" t="s">
        <v>58</v>
      </c>
    </row>
    <row r="835" spans="1:8" ht="54.95" customHeight="1" x14ac:dyDescent="0.2">
      <c r="A835" s="23" t="s">
        <v>573</v>
      </c>
      <c r="B835" s="23" t="s">
        <v>9</v>
      </c>
      <c r="C835" s="23" t="s">
        <v>46</v>
      </c>
      <c r="D835" s="23">
        <v>3.1604430971559725</v>
      </c>
      <c r="E835" s="23">
        <v>2024</v>
      </c>
      <c r="F835" s="15" t="s">
        <v>3325</v>
      </c>
      <c r="G835" s="15" t="s">
        <v>3320</v>
      </c>
      <c r="H835" s="23" t="s">
        <v>58</v>
      </c>
    </row>
    <row r="836" spans="1:8" ht="54.95" customHeight="1" x14ac:dyDescent="0.2">
      <c r="A836" s="23" t="s">
        <v>573</v>
      </c>
      <c r="B836" s="23" t="s">
        <v>10</v>
      </c>
      <c r="C836" s="23" t="s">
        <v>46</v>
      </c>
      <c r="D836" s="23">
        <v>0.85709655896446735</v>
      </c>
      <c r="E836" s="23">
        <v>2024</v>
      </c>
      <c r="F836" s="15" t="s">
        <v>3326</v>
      </c>
      <c r="G836" s="15" t="s">
        <v>3320</v>
      </c>
      <c r="H836" s="23" t="s">
        <v>58</v>
      </c>
    </row>
    <row r="837" spans="1:8" ht="54.95" customHeight="1" x14ac:dyDescent="0.2">
      <c r="A837" s="23" t="s">
        <v>573</v>
      </c>
      <c r="B837" s="23" t="s">
        <v>5</v>
      </c>
      <c r="C837" s="23" t="s">
        <v>46</v>
      </c>
      <c r="D837" s="23">
        <v>13.589313992663998</v>
      </c>
      <c r="E837" s="23">
        <v>2024</v>
      </c>
      <c r="F837" s="15" t="s">
        <v>3316</v>
      </c>
      <c r="G837" s="15" t="s">
        <v>3311</v>
      </c>
      <c r="H837" s="23" t="s">
        <v>58</v>
      </c>
    </row>
    <row r="838" spans="1:8" ht="54.95" customHeight="1" x14ac:dyDescent="0.2">
      <c r="A838" s="23" t="s">
        <v>579</v>
      </c>
      <c r="B838" s="23" t="s">
        <v>11</v>
      </c>
      <c r="C838" s="23" t="s">
        <v>46</v>
      </c>
      <c r="D838" s="23">
        <v>0</v>
      </c>
      <c r="E838" s="23">
        <v>2025</v>
      </c>
      <c r="F838" s="15" t="s">
        <v>3299</v>
      </c>
      <c r="G838" s="15" t="s">
        <v>3300</v>
      </c>
      <c r="H838" s="23" t="s">
        <v>58</v>
      </c>
    </row>
    <row r="839" spans="1:8" ht="54.95" customHeight="1" x14ac:dyDescent="0.2">
      <c r="A839" s="23" t="s">
        <v>579</v>
      </c>
      <c r="B839" s="23" t="s">
        <v>13</v>
      </c>
      <c r="C839" s="23" t="s">
        <v>46</v>
      </c>
      <c r="D839" s="23">
        <v>0</v>
      </c>
      <c r="E839" s="23">
        <v>2025</v>
      </c>
      <c r="F839" s="15" t="s">
        <v>3302</v>
      </c>
      <c r="G839" s="15" t="s">
        <v>3300</v>
      </c>
      <c r="H839" s="23" t="s">
        <v>58</v>
      </c>
    </row>
    <row r="840" spans="1:8" ht="54.95" customHeight="1" x14ac:dyDescent="0.2">
      <c r="A840" s="23" t="s">
        <v>579</v>
      </c>
      <c r="B840" s="23" t="s">
        <v>14</v>
      </c>
      <c r="C840" s="23" t="s">
        <v>46</v>
      </c>
      <c r="D840" s="23">
        <v>0</v>
      </c>
      <c r="E840" s="23">
        <v>2025</v>
      </c>
      <c r="F840" s="15" t="s">
        <v>3304</v>
      </c>
      <c r="G840" s="15" t="s">
        <v>3300</v>
      </c>
      <c r="H840" s="23" t="s">
        <v>58</v>
      </c>
    </row>
    <row r="841" spans="1:8" ht="54.95" customHeight="1" x14ac:dyDescent="0.2">
      <c r="A841" s="23" t="s">
        <v>579</v>
      </c>
      <c r="B841" s="23" t="s">
        <v>3</v>
      </c>
      <c r="C841" s="23" t="s">
        <v>46</v>
      </c>
      <c r="D841" s="23">
        <v>11142.278788</v>
      </c>
      <c r="E841" s="23">
        <v>2024</v>
      </c>
      <c r="F841" s="15" t="s">
        <v>3316</v>
      </c>
      <c r="G841" s="15" t="s">
        <v>3317</v>
      </c>
      <c r="H841" s="23" t="s">
        <v>58</v>
      </c>
    </row>
    <row r="842" spans="1:8" ht="54.95" customHeight="1" x14ac:dyDescent="0.2">
      <c r="A842" s="23" t="s">
        <v>579</v>
      </c>
      <c r="B842" s="23" t="s">
        <v>6</v>
      </c>
      <c r="C842" s="23" t="s">
        <v>46</v>
      </c>
      <c r="D842" s="23">
        <v>45.797578593130424</v>
      </c>
      <c r="E842" s="23">
        <v>2024</v>
      </c>
      <c r="F842" s="15" t="s">
        <v>3319</v>
      </c>
      <c r="G842" s="15" t="s">
        <v>3320</v>
      </c>
      <c r="H842" s="23" t="s">
        <v>58</v>
      </c>
    </row>
    <row r="843" spans="1:8" ht="54.95" customHeight="1" x14ac:dyDescent="0.2">
      <c r="A843" s="23" t="s">
        <v>579</v>
      </c>
      <c r="B843" s="23" t="s">
        <v>7</v>
      </c>
      <c r="C843" s="23" t="s">
        <v>46</v>
      </c>
      <c r="D843" s="23">
        <v>36.902713271079932</v>
      </c>
      <c r="E843" s="23">
        <v>2024</v>
      </c>
      <c r="F843" s="15" t="s">
        <v>3322</v>
      </c>
      <c r="G843" s="15" t="s">
        <v>3320</v>
      </c>
      <c r="H843" s="23" t="s">
        <v>58</v>
      </c>
    </row>
    <row r="844" spans="1:8" ht="54.95" customHeight="1" x14ac:dyDescent="0.2">
      <c r="A844" s="23" t="s">
        <v>579</v>
      </c>
      <c r="B844" s="23" t="s">
        <v>8</v>
      </c>
      <c r="C844" s="23" t="s">
        <v>46</v>
      </c>
      <c r="D844" s="23">
        <v>1.1488825350328329</v>
      </c>
      <c r="E844" s="23">
        <v>2024</v>
      </c>
      <c r="F844" s="15" t="s">
        <v>3324</v>
      </c>
      <c r="G844" s="15" t="s">
        <v>3320</v>
      </c>
      <c r="H844" s="23" t="s">
        <v>58</v>
      </c>
    </row>
    <row r="845" spans="1:8" ht="54.95" customHeight="1" x14ac:dyDescent="0.2">
      <c r="A845" s="23" t="s">
        <v>579</v>
      </c>
      <c r="B845" s="23" t="s">
        <v>9</v>
      </c>
      <c r="C845" s="23" t="s">
        <v>46</v>
      </c>
      <c r="D845" s="23">
        <v>0.79251454464684334</v>
      </c>
      <c r="E845" s="23">
        <v>2024</v>
      </c>
      <c r="F845" s="15" t="s">
        <v>3325</v>
      </c>
      <c r="G845" s="15" t="s">
        <v>3320</v>
      </c>
      <c r="H845" s="23" t="s">
        <v>58</v>
      </c>
    </row>
    <row r="846" spans="1:8" ht="54.95" customHeight="1" x14ac:dyDescent="0.2">
      <c r="A846" s="23" t="s">
        <v>579</v>
      </c>
      <c r="B846" s="23" t="s">
        <v>10</v>
      </c>
      <c r="C846" s="23" t="s">
        <v>46</v>
      </c>
      <c r="D846" s="23">
        <v>14.540796383096207</v>
      </c>
      <c r="E846" s="23">
        <v>2024</v>
      </c>
      <c r="F846" s="15" t="s">
        <v>3326</v>
      </c>
      <c r="G846" s="15" t="s">
        <v>3320</v>
      </c>
      <c r="H846" s="23" t="s">
        <v>58</v>
      </c>
    </row>
    <row r="847" spans="1:8" ht="54.95" customHeight="1" x14ac:dyDescent="0.2">
      <c r="A847" s="23" t="s">
        <v>579</v>
      </c>
      <c r="B847" s="23" t="s">
        <v>5</v>
      </c>
      <c r="C847" s="23" t="s">
        <v>46</v>
      </c>
      <c r="D847" s="23">
        <v>4.0780740364079993</v>
      </c>
      <c r="E847" s="23">
        <v>2024</v>
      </c>
      <c r="F847" s="15" t="s">
        <v>3316</v>
      </c>
      <c r="G847" s="15" t="s">
        <v>3311</v>
      </c>
      <c r="H847" s="23" t="s">
        <v>58</v>
      </c>
    </row>
    <row r="848" spans="1:8" ht="54.95" customHeight="1" x14ac:dyDescent="0.2">
      <c r="A848" s="23" t="s">
        <v>585</v>
      </c>
      <c r="B848" s="23" t="s">
        <v>11</v>
      </c>
      <c r="C848" s="23" t="s">
        <v>46</v>
      </c>
      <c r="D848" s="23">
        <v>0</v>
      </c>
      <c r="E848" s="23">
        <v>2025</v>
      </c>
      <c r="F848" s="15" t="s">
        <v>3299</v>
      </c>
      <c r="G848" s="15" t="s">
        <v>3300</v>
      </c>
      <c r="H848" s="23" t="s">
        <v>58</v>
      </c>
    </row>
    <row r="849" spans="1:8" ht="54.95" customHeight="1" x14ac:dyDescent="0.2">
      <c r="A849" s="23" t="s">
        <v>585</v>
      </c>
      <c r="B849" s="23" t="s">
        <v>13</v>
      </c>
      <c r="C849" s="23" t="s">
        <v>46</v>
      </c>
      <c r="D849" s="23">
        <v>0</v>
      </c>
      <c r="E849" s="23">
        <v>2025</v>
      </c>
      <c r="F849" s="15" t="s">
        <v>3302</v>
      </c>
      <c r="G849" s="15" t="s">
        <v>3300</v>
      </c>
      <c r="H849" s="23" t="s">
        <v>58</v>
      </c>
    </row>
    <row r="850" spans="1:8" ht="54.95" customHeight="1" x14ac:dyDescent="0.2">
      <c r="A850" s="23" t="s">
        <v>585</v>
      </c>
      <c r="B850" s="23" t="s">
        <v>14</v>
      </c>
      <c r="C850" s="23" t="s">
        <v>46</v>
      </c>
      <c r="D850" s="23">
        <v>0</v>
      </c>
      <c r="E850" s="23">
        <v>2025</v>
      </c>
      <c r="F850" s="15" t="s">
        <v>3304</v>
      </c>
      <c r="G850" s="15" t="s">
        <v>3300</v>
      </c>
      <c r="H850" s="23" t="s">
        <v>58</v>
      </c>
    </row>
    <row r="851" spans="1:8" ht="54.95" customHeight="1" x14ac:dyDescent="0.2">
      <c r="A851" s="23" t="s">
        <v>585</v>
      </c>
      <c r="B851" s="23" t="s">
        <v>3</v>
      </c>
      <c r="C851" s="23" t="s">
        <v>46</v>
      </c>
      <c r="D851" s="23">
        <v>31268.106188000002</v>
      </c>
      <c r="E851" s="23">
        <v>2024</v>
      </c>
      <c r="F851" s="15" t="s">
        <v>3316</v>
      </c>
      <c r="G851" s="15" t="s">
        <v>3317</v>
      </c>
      <c r="H851" s="23" t="s">
        <v>58</v>
      </c>
    </row>
    <row r="852" spans="1:8" ht="54.95" customHeight="1" x14ac:dyDescent="0.2">
      <c r="A852" s="23" t="s">
        <v>585</v>
      </c>
      <c r="B852" s="23" t="s">
        <v>6</v>
      </c>
      <c r="C852" s="23" t="s">
        <v>46</v>
      </c>
      <c r="D852" s="23">
        <v>46.497312285512436</v>
      </c>
      <c r="E852" s="23">
        <v>2024</v>
      </c>
      <c r="F852" s="15" t="s">
        <v>3319</v>
      </c>
      <c r="G852" s="15" t="s">
        <v>3320</v>
      </c>
      <c r="H852" s="23" t="s">
        <v>58</v>
      </c>
    </row>
    <row r="853" spans="1:8" ht="54.95" customHeight="1" x14ac:dyDescent="0.2">
      <c r="A853" s="23" t="s">
        <v>585</v>
      </c>
      <c r="B853" s="23" t="s">
        <v>7</v>
      </c>
      <c r="C853" s="23" t="s">
        <v>46</v>
      </c>
      <c r="D853" s="23">
        <v>38.916315132222358</v>
      </c>
      <c r="E853" s="23">
        <v>2024</v>
      </c>
      <c r="F853" s="15" t="s">
        <v>3322</v>
      </c>
      <c r="G853" s="15" t="s">
        <v>3320</v>
      </c>
      <c r="H853" s="23" t="s">
        <v>58</v>
      </c>
    </row>
    <row r="854" spans="1:8" ht="54.95" customHeight="1" x14ac:dyDescent="0.2">
      <c r="A854" s="23" t="s">
        <v>585</v>
      </c>
      <c r="B854" s="23" t="s">
        <v>8</v>
      </c>
      <c r="C854" s="23" t="s">
        <v>46</v>
      </c>
      <c r="D854" s="23">
        <v>0</v>
      </c>
      <c r="E854" s="23">
        <v>2024</v>
      </c>
      <c r="F854" s="15" t="s">
        <v>3324</v>
      </c>
      <c r="G854" s="15" t="s">
        <v>3320</v>
      </c>
      <c r="H854" s="23" t="s">
        <v>58</v>
      </c>
    </row>
    <row r="855" spans="1:8" ht="54.95" customHeight="1" x14ac:dyDescent="0.2">
      <c r="A855" s="23" t="s">
        <v>585</v>
      </c>
      <c r="B855" s="23" t="s">
        <v>9</v>
      </c>
      <c r="C855" s="23" t="s">
        <v>46</v>
      </c>
      <c r="D855" s="23">
        <v>2.4446577397557867</v>
      </c>
      <c r="E855" s="23">
        <v>2024</v>
      </c>
      <c r="F855" s="15" t="s">
        <v>3325</v>
      </c>
      <c r="G855" s="15" t="s">
        <v>3320</v>
      </c>
      <c r="H855" s="23" t="s">
        <v>58</v>
      </c>
    </row>
    <row r="856" spans="1:8" ht="54.95" customHeight="1" x14ac:dyDescent="0.2">
      <c r="A856" s="23" t="s">
        <v>585</v>
      </c>
      <c r="B856" s="23" t="s">
        <v>10</v>
      </c>
      <c r="C856" s="23" t="s">
        <v>46</v>
      </c>
      <c r="D856" s="23">
        <v>7.0509552729039751</v>
      </c>
      <c r="E856" s="23">
        <v>2024</v>
      </c>
      <c r="F856" s="15" t="s">
        <v>3326</v>
      </c>
      <c r="G856" s="15" t="s">
        <v>3320</v>
      </c>
      <c r="H856" s="23" t="s">
        <v>58</v>
      </c>
    </row>
    <row r="857" spans="1:8" ht="54.95" customHeight="1" x14ac:dyDescent="0.2">
      <c r="A857" s="23" t="s">
        <v>585</v>
      </c>
      <c r="B857" s="23" t="s">
        <v>5</v>
      </c>
      <c r="C857" s="23" t="s">
        <v>46</v>
      </c>
      <c r="D857" s="23">
        <v>11.444126864808</v>
      </c>
      <c r="E857" s="23">
        <v>2024</v>
      </c>
      <c r="F857" s="15" t="s">
        <v>3316</v>
      </c>
      <c r="G857" s="15" t="s">
        <v>3311</v>
      </c>
      <c r="H857" s="23" t="s">
        <v>58</v>
      </c>
    </row>
    <row r="858" spans="1:8" ht="54.95" customHeight="1" x14ac:dyDescent="0.2">
      <c r="A858" s="23" t="s">
        <v>591</v>
      </c>
      <c r="B858" s="23" t="s">
        <v>11</v>
      </c>
      <c r="C858" s="23" t="s">
        <v>46</v>
      </c>
      <c r="D858" s="23">
        <v>0</v>
      </c>
      <c r="E858" s="23">
        <v>2025</v>
      </c>
      <c r="F858" s="15" t="s">
        <v>3299</v>
      </c>
      <c r="G858" s="15" t="s">
        <v>3300</v>
      </c>
      <c r="H858" s="23" t="s">
        <v>58</v>
      </c>
    </row>
    <row r="859" spans="1:8" ht="54.95" customHeight="1" x14ac:dyDescent="0.2">
      <c r="A859" s="23" t="s">
        <v>591</v>
      </c>
      <c r="B859" s="23" t="s">
        <v>13</v>
      </c>
      <c r="C859" s="23" t="s">
        <v>46</v>
      </c>
      <c r="D859" s="23">
        <v>0</v>
      </c>
      <c r="E859" s="23">
        <v>2025</v>
      </c>
      <c r="F859" s="15" t="s">
        <v>3302</v>
      </c>
      <c r="G859" s="15" t="s">
        <v>3300</v>
      </c>
      <c r="H859" s="23" t="s">
        <v>58</v>
      </c>
    </row>
    <row r="860" spans="1:8" ht="54.95" customHeight="1" x14ac:dyDescent="0.2">
      <c r="A860" s="23" t="s">
        <v>591</v>
      </c>
      <c r="B860" s="23" t="s">
        <v>14</v>
      </c>
      <c r="C860" s="23" t="s">
        <v>46</v>
      </c>
      <c r="D860" s="23">
        <v>0</v>
      </c>
      <c r="E860" s="23">
        <v>2025</v>
      </c>
      <c r="F860" s="15" t="s">
        <v>3304</v>
      </c>
      <c r="G860" s="15" t="s">
        <v>3300</v>
      </c>
      <c r="H860" s="23" t="s">
        <v>58</v>
      </c>
    </row>
    <row r="861" spans="1:8" ht="54.95" customHeight="1" x14ac:dyDescent="0.2">
      <c r="A861" s="23" t="s">
        <v>591</v>
      </c>
      <c r="B861" s="23" t="s">
        <v>3</v>
      </c>
      <c r="C861" s="23" t="s">
        <v>46</v>
      </c>
      <c r="D861" s="23">
        <v>4852.7339240000001</v>
      </c>
      <c r="E861" s="23">
        <v>2024</v>
      </c>
      <c r="F861" s="15" t="s">
        <v>3316</v>
      </c>
      <c r="G861" s="15" t="s">
        <v>3317</v>
      </c>
      <c r="H861" s="23" t="s">
        <v>58</v>
      </c>
    </row>
    <row r="862" spans="1:8" ht="54.95" customHeight="1" x14ac:dyDescent="0.2">
      <c r="A862" s="23" t="s">
        <v>591</v>
      </c>
      <c r="B862" s="23" t="s">
        <v>6</v>
      </c>
      <c r="C862" s="23" t="s">
        <v>46</v>
      </c>
      <c r="D862" s="23">
        <v>50.899741747307878</v>
      </c>
      <c r="E862" s="23">
        <v>2024</v>
      </c>
      <c r="F862" s="15" t="s">
        <v>3319</v>
      </c>
      <c r="G862" s="15" t="s">
        <v>3320</v>
      </c>
      <c r="H862" s="23" t="s">
        <v>58</v>
      </c>
    </row>
    <row r="863" spans="1:8" ht="54.95" customHeight="1" x14ac:dyDescent="0.2">
      <c r="A863" s="23" t="s">
        <v>591</v>
      </c>
      <c r="B863" s="23" t="s">
        <v>7</v>
      </c>
      <c r="C863" s="23" t="s">
        <v>46</v>
      </c>
      <c r="D863" s="23">
        <v>39.672920093114918</v>
      </c>
      <c r="E863" s="23">
        <v>2024</v>
      </c>
      <c r="F863" s="15" t="s">
        <v>3322</v>
      </c>
      <c r="G863" s="15" t="s">
        <v>3320</v>
      </c>
      <c r="H863" s="23" t="s">
        <v>58</v>
      </c>
    </row>
    <row r="864" spans="1:8" ht="54.95" customHeight="1" x14ac:dyDescent="0.2">
      <c r="A864" s="23" t="s">
        <v>591</v>
      </c>
      <c r="B864" s="23" t="s">
        <v>8</v>
      </c>
      <c r="C864" s="23" t="s">
        <v>46</v>
      </c>
      <c r="D864" s="23">
        <v>1.3693260755831211</v>
      </c>
      <c r="E864" s="23">
        <v>2024</v>
      </c>
      <c r="F864" s="15" t="s">
        <v>3324</v>
      </c>
      <c r="G864" s="15" t="s">
        <v>3320</v>
      </c>
      <c r="H864" s="23" t="s">
        <v>58</v>
      </c>
    </row>
    <row r="865" spans="1:8" ht="54.95" customHeight="1" x14ac:dyDescent="0.2">
      <c r="A865" s="23" t="s">
        <v>591</v>
      </c>
      <c r="B865" s="23" t="s">
        <v>9</v>
      </c>
      <c r="C865" s="23" t="s">
        <v>46</v>
      </c>
      <c r="D865" s="23">
        <v>4.9613283310111278</v>
      </c>
      <c r="E865" s="23">
        <v>2024</v>
      </c>
      <c r="F865" s="15" t="s">
        <v>3325</v>
      </c>
      <c r="G865" s="15" t="s">
        <v>3320</v>
      </c>
      <c r="H865" s="23" t="s">
        <v>58</v>
      </c>
    </row>
    <row r="866" spans="1:8" ht="54.95" customHeight="1" x14ac:dyDescent="0.2">
      <c r="A866" s="23" t="s">
        <v>591</v>
      </c>
      <c r="B866" s="23" t="s">
        <v>10</v>
      </c>
      <c r="C866" s="23" t="s">
        <v>46</v>
      </c>
      <c r="D866" s="23">
        <v>0</v>
      </c>
      <c r="E866" s="23">
        <v>2024</v>
      </c>
      <c r="F866" s="15" t="s">
        <v>3326</v>
      </c>
      <c r="G866" s="15" t="s">
        <v>3320</v>
      </c>
      <c r="H866" s="23" t="s">
        <v>58</v>
      </c>
    </row>
    <row r="867" spans="1:8" ht="54.95" customHeight="1" x14ac:dyDescent="0.2">
      <c r="A867" s="23" t="s">
        <v>591</v>
      </c>
      <c r="B867" s="23" t="s">
        <v>5</v>
      </c>
      <c r="C867" s="23" t="s">
        <v>46</v>
      </c>
      <c r="D867" s="23">
        <v>1.7761006161839998</v>
      </c>
      <c r="E867" s="23">
        <v>2024</v>
      </c>
      <c r="F867" s="15" t="s">
        <v>3316</v>
      </c>
      <c r="G867" s="15" t="s">
        <v>3311</v>
      </c>
      <c r="H867" s="23" t="s">
        <v>58</v>
      </c>
    </row>
    <row r="868" spans="1:8" ht="54.95" customHeight="1" x14ac:dyDescent="0.2">
      <c r="A868" s="23" t="s">
        <v>597</v>
      </c>
      <c r="B868" s="23" t="s">
        <v>11</v>
      </c>
      <c r="C868" s="23" t="s">
        <v>46</v>
      </c>
      <c r="D868" s="23">
        <v>0</v>
      </c>
      <c r="E868" s="23">
        <v>2025</v>
      </c>
      <c r="F868" s="15" t="s">
        <v>3299</v>
      </c>
      <c r="G868" s="15" t="s">
        <v>3300</v>
      </c>
      <c r="H868" s="23" t="s">
        <v>58</v>
      </c>
    </row>
    <row r="869" spans="1:8" ht="54.95" customHeight="1" x14ac:dyDescent="0.2">
      <c r="A869" s="23" t="s">
        <v>597</v>
      </c>
      <c r="B869" s="23" t="s">
        <v>13</v>
      </c>
      <c r="C869" s="23" t="s">
        <v>46</v>
      </c>
      <c r="D869" s="23">
        <v>0</v>
      </c>
      <c r="E869" s="23">
        <v>2025</v>
      </c>
      <c r="F869" s="15" t="s">
        <v>3302</v>
      </c>
      <c r="G869" s="15" t="s">
        <v>3300</v>
      </c>
      <c r="H869" s="23" t="s">
        <v>58</v>
      </c>
    </row>
    <row r="870" spans="1:8" ht="54.95" customHeight="1" x14ac:dyDescent="0.2">
      <c r="A870" s="23" t="s">
        <v>597</v>
      </c>
      <c r="B870" s="23" t="s">
        <v>14</v>
      </c>
      <c r="C870" s="23" t="s">
        <v>46</v>
      </c>
      <c r="D870" s="23">
        <v>0</v>
      </c>
      <c r="E870" s="23">
        <v>2025</v>
      </c>
      <c r="F870" s="15" t="s">
        <v>3304</v>
      </c>
      <c r="G870" s="15" t="s">
        <v>3300</v>
      </c>
      <c r="H870" s="23" t="s">
        <v>58</v>
      </c>
    </row>
    <row r="871" spans="1:8" ht="54.95" customHeight="1" x14ac:dyDescent="0.2">
      <c r="A871" s="23" t="s">
        <v>597</v>
      </c>
      <c r="B871" s="23" t="s">
        <v>3</v>
      </c>
      <c r="C871" s="23" t="s">
        <v>46</v>
      </c>
      <c r="D871" s="23">
        <v>2920.453923</v>
      </c>
      <c r="E871" s="23">
        <v>2024</v>
      </c>
      <c r="F871" s="15" t="s">
        <v>3316</v>
      </c>
      <c r="G871" s="15" t="s">
        <v>3317</v>
      </c>
      <c r="H871" s="23" t="s">
        <v>58</v>
      </c>
    </row>
    <row r="872" spans="1:8" ht="54.95" customHeight="1" x14ac:dyDescent="0.2">
      <c r="A872" s="23" t="s">
        <v>597</v>
      </c>
      <c r="B872" s="23" t="s">
        <v>6</v>
      </c>
      <c r="C872" s="23" t="s">
        <v>46</v>
      </c>
      <c r="D872" s="23">
        <v>52.524202005703067</v>
      </c>
      <c r="E872" s="23">
        <v>2024</v>
      </c>
      <c r="F872" s="15" t="s">
        <v>3319</v>
      </c>
      <c r="G872" s="15" t="s">
        <v>3320</v>
      </c>
      <c r="H872" s="23" t="s">
        <v>58</v>
      </c>
    </row>
    <row r="873" spans="1:8" ht="54.95" customHeight="1" x14ac:dyDescent="0.2">
      <c r="A873" s="23" t="s">
        <v>597</v>
      </c>
      <c r="B873" s="23" t="s">
        <v>7</v>
      </c>
      <c r="C873" s="23" t="s">
        <v>46</v>
      </c>
      <c r="D873" s="23">
        <v>30.636377069798403</v>
      </c>
      <c r="E873" s="23">
        <v>2024</v>
      </c>
      <c r="F873" s="15" t="s">
        <v>3322</v>
      </c>
      <c r="G873" s="15" t="s">
        <v>3320</v>
      </c>
      <c r="H873" s="23" t="s">
        <v>58</v>
      </c>
    </row>
    <row r="874" spans="1:8" ht="54.95" customHeight="1" x14ac:dyDescent="0.2">
      <c r="A874" s="23" t="s">
        <v>597</v>
      </c>
      <c r="B874" s="23" t="s">
        <v>8</v>
      </c>
      <c r="C874" s="23" t="s">
        <v>46</v>
      </c>
      <c r="D874" s="23">
        <v>0.15019805535894429</v>
      </c>
      <c r="E874" s="23">
        <v>2024</v>
      </c>
      <c r="F874" s="15" t="s">
        <v>3324</v>
      </c>
      <c r="G874" s="15" t="s">
        <v>3320</v>
      </c>
      <c r="H874" s="23" t="s">
        <v>58</v>
      </c>
    </row>
    <row r="875" spans="1:8" ht="54.95" customHeight="1" x14ac:dyDescent="0.2">
      <c r="A875" s="23" t="s">
        <v>597</v>
      </c>
      <c r="B875" s="23" t="s">
        <v>9</v>
      </c>
      <c r="C875" s="23" t="s">
        <v>46</v>
      </c>
      <c r="D875" s="23">
        <v>13.142838377868152</v>
      </c>
      <c r="E875" s="23">
        <v>2024</v>
      </c>
      <c r="F875" s="15" t="s">
        <v>3325</v>
      </c>
      <c r="G875" s="15" t="s">
        <v>3320</v>
      </c>
      <c r="H875" s="23" t="s">
        <v>58</v>
      </c>
    </row>
    <row r="876" spans="1:8" ht="54.95" customHeight="1" x14ac:dyDescent="0.2">
      <c r="A876" s="23" t="s">
        <v>597</v>
      </c>
      <c r="B876" s="23" t="s">
        <v>10</v>
      </c>
      <c r="C876" s="23" t="s">
        <v>46</v>
      </c>
      <c r="D876" s="23">
        <v>2.0563571480117475</v>
      </c>
      <c r="E876" s="23">
        <v>2024</v>
      </c>
      <c r="F876" s="15" t="s">
        <v>3326</v>
      </c>
      <c r="G876" s="15" t="s">
        <v>3320</v>
      </c>
      <c r="H876" s="23" t="s">
        <v>58</v>
      </c>
    </row>
    <row r="877" spans="1:8" ht="54.95" customHeight="1" x14ac:dyDescent="0.2">
      <c r="A877" s="23" t="s">
        <v>597</v>
      </c>
      <c r="B877" s="23" t="s">
        <v>5</v>
      </c>
      <c r="C877" s="23" t="s">
        <v>46</v>
      </c>
      <c r="D877" s="23">
        <v>1.068886135818</v>
      </c>
      <c r="E877" s="23">
        <v>2024</v>
      </c>
      <c r="F877" s="15" t="s">
        <v>3316</v>
      </c>
      <c r="G877" s="15" t="s">
        <v>3311</v>
      </c>
      <c r="H877" s="23" t="s">
        <v>58</v>
      </c>
    </row>
    <row r="878" spans="1:8" ht="54.95" customHeight="1" x14ac:dyDescent="0.2">
      <c r="A878" s="23" t="s">
        <v>603</v>
      </c>
      <c r="B878" s="23" t="s">
        <v>11</v>
      </c>
      <c r="C878" s="23" t="s">
        <v>46</v>
      </c>
      <c r="D878" s="23">
        <v>31803.65676919726</v>
      </c>
      <c r="E878" s="23">
        <v>2025</v>
      </c>
      <c r="F878" s="15" t="s">
        <v>3299</v>
      </c>
      <c r="G878" s="15" t="s">
        <v>3300</v>
      </c>
      <c r="H878" s="23" t="s">
        <v>58</v>
      </c>
    </row>
    <row r="879" spans="1:8" ht="54.95" customHeight="1" x14ac:dyDescent="0.2">
      <c r="A879" s="23" t="s">
        <v>603</v>
      </c>
      <c r="B879" s="23" t="s">
        <v>13</v>
      </c>
      <c r="C879" s="23" t="s">
        <v>46</v>
      </c>
      <c r="D879" s="23">
        <v>30000</v>
      </c>
      <c r="E879" s="23">
        <v>2025</v>
      </c>
      <c r="F879" s="15" t="s">
        <v>3302</v>
      </c>
      <c r="G879" s="15" t="s">
        <v>3300</v>
      </c>
      <c r="H879" s="23" t="s">
        <v>58</v>
      </c>
    </row>
    <row r="880" spans="1:8" ht="54.95" customHeight="1" x14ac:dyDescent="0.2">
      <c r="A880" s="23" t="s">
        <v>603</v>
      </c>
      <c r="B880" s="23" t="s">
        <v>14</v>
      </c>
      <c r="C880" s="23" t="s">
        <v>46</v>
      </c>
      <c r="D880" s="23">
        <v>0</v>
      </c>
      <c r="E880" s="23">
        <v>2025</v>
      </c>
      <c r="F880" s="15" t="s">
        <v>3304</v>
      </c>
      <c r="G880" s="15" t="s">
        <v>3300</v>
      </c>
      <c r="H880" s="23" t="s">
        <v>58</v>
      </c>
    </row>
    <row r="881" spans="1:8" ht="54.95" customHeight="1" x14ac:dyDescent="0.2">
      <c r="A881" s="23" t="s">
        <v>603</v>
      </c>
      <c r="B881" s="23" t="s">
        <v>3</v>
      </c>
      <c r="C881" s="23" t="s">
        <v>3576</v>
      </c>
      <c r="D881" s="23">
        <v>86185.538849999997</v>
      </c>
      <c r="E881" s="23">
        <v>2024</v>
      </c>
      <c r="F881" s="15" t="s">
        <v>3316</v>
      </c>
      <c r="G881" s="15" t="s">
        <v>3317</v>
      </c>
      <c r="H881" s="23" t="s">
        <v>58</v>
      </c>
    </row>
    <row r="882" spans="1:8" ht="54.95" customHeight="1" x14ac:dyDescent="0.2">
      <c r="A882" s="23" t="s">
        <v>603</v>
      </c>
      <c r="B882" s="23" t="s">
        <v>6</v>
      </c>
      <c r="C882" s="23" t="s">
        <v>46</v>
      </c>
      <c r="D882" s="23">
        <v>54.845154315583891</v>
      </c>
      <c r="E882" s="23">
        <v>2024</v>
      </c>
      <c r="F882" s="15" t="s">
        <v>3319</v>
      </c>
      <c r="G882" s="15" t="s">
        <v>3320</v>
      </c>
      <c r="H882" s="23" t="s">
        <v>58</v>
      </c>
    </row>
    <row r="883" spans="1:8" ht="54.95" customHeight="1" x14ac:dyDescent="0.2">
      <c r="A883" s="23" t="s">
        <v>603</v>
      </c>
      <c r="B883" s="23" t="s">
        <v>7</v>
      </c>
      <c r="C883" s="23" t="s">
        <v>46</v>
      </c>
      <c r="D883" s="23">
        <v>23.023908969851504</v>
      </c>
      <c r="E883" s="23">
        <v>2024</v>
      </c>
      <c r="F883" s="15" t="s">
        <v>3322</v>
      </c>
      <c r="G883" s="15" t="s">
        <v>3320</v>
      </c>
      <c r="H883" s="23" t="s">
        <v>58</v>
      </c>
    </row>
    <row r="884" spans="1:8" ht="54.95" customHeight="1" x14ac:dyDescent="0.2">
      <c r="A884" s="23" t="s">
        <v>603</v>
      </c>
      <c r="B884" s="23" t="s">
        <v>8</v>
      </c>
      <c r="C884" s="23" t="s">
        <v>46</v>
      </c>
      <c r="D884" s="23">
        <v>6.6095445767465888</v>
      </c>
      <c r="E884" s="23">
        <v>2024</v>
      </c>
      <c r="F884" s="15" t="s">
        <v>3324</v>
      </c>
      <c r="G884" s="15" t="s">
        <v>3320</v>
      </c>
      <c r="H884" s="23" t="s">
        <v>58</v>
      </c>
    </row>
    <row r="885" spans="1:8" ht="54.95" customHeight="1" x14ac:dyDescent="0.2">
      <c r="A885" s="23" t="s">
        <v>603</v>
      </c>
      <c r="B885" s="23" t="s">
        <v>9</v>
      </c>
      <c r="C885" s="23" t="s">
        <v>46</v>
      </c>
      <c r="D885" s="23">
        <v>3.175804767855205</v>
      </c>
      <c r="E885" s="23">
        <v>2024</v>
      </c>
      <c r="F885" s="15" t="s">
        <v>3325</v>
      </c>
      <c r="G885" s="15" t="s">
        <v>3320</v>
      </c>
      <c r="H885" s="23" t="s">
        <v>58</v>
      </c>
    </row>
    <row r="886" spans="1:8" ht="54.95" customHeight="1" x14ac:dyDescent="0.2">
      <c r="A886" s="23" t="s">
        <v>603</v>
      </c>
      <c r="B886" s="23" t="s">
        <v>10</v>
      </c>
      <c r="C886" s="23" t="s">
        <v>46</v>
      </c>
      <c r="D886" s="23">
        <v>11.362686220531764</v>
      </c>
      <c r="E886" s="23">
        <v>2024</v>
      </c>
      <c r="F886" s="15" t="s">
        <v>3326</v>
      </c>
      <c r="G886" s="15" t="s">
        <v>3320</v>
      </c>
      <c r="H886" s="23" t="s">
        <v>58</v>
      </c>
    </row>
    <row r="887" spans="1:8" ht="54.95" customHeight="1" x14ac:dyDescent="0.2">
      <c r="A887" s="23" t="s">
        <v>603</v>
      </c>
      <c r="B887" s="23" t="s">
        <v>5</v>
      </c>
      <c r="C887" s="23" t="s">
        <v>3577</v>
      </c>
      <c r="D887" s="23">
        <v>31.543907219099999</v>
      </c>
      <c r="E887" s="23">
        <v>2024</v>
      </c>
      <c r="F887" s="15" t="s">
        <v>3316</v>
      </c>
      <c r="G887" s="15" t="s">
        <v>3311</v>
      </c>
      <c r="H887" s="23" t="s">
        <v>58</v>
      </c>
    </row>
    <row r="888" spans="1:8" ht="54.95" customHeight="1" x14ac:dyDescent="0.2">
      <c r="A888" s="23" t="s">
        <v>610</v>
      </c>
      <c r="B888" s="23" t="s">
        <v>11</v>
      </c>
      <c r="C888" s="23" t="s">
        <v>46</v>
      </c>
      <c r="D888" s="23">
        <v>0</v>
      </c>
      <c r="E888" s="23">
        <v>2025</v>
      </c>
      <c r="F888" s="15" t="s">
        <v>3299</v>
      </c>
      <c r="G888" s="15" t="s">
        <v>3300</v>
      </c>
      <c r="H888" s="23" t="s">
        <v>58</v>
      </c>
    </row>
    <row r="889" spans="1:8" ht="54.95" customHeight="1" x14ac:dyDescent="0.2">
      <c r="A889" s="23" t="s">
        <v>610</v>
      </c>
      <c r="B889" s="23" t="s">
        <v>13</v>
      </c>
      <c r="C889" s="23" t="s">
        <v>46</v>
      </c>
      <c r="D889" s="23">
        <v>0</v>
      </c>
      <c r="E889" s="23">
        <v>2025</v>
      </c>
      <c r="F889" s="15" t="s">
        <v>3302</v>
      </c>
      <c r="G889" s="15" t="s">
        <v>3300</v>
      </c>
      <c r="H889" s="23" t="s">
        <v>58</v>
      </c>
    </row>
    <row r="890" spans="1:8" ht="54.95" customHeight="1" x14ac:dyDescent="0.2">
      <c r="A890" s="23" t="s">
        <v>610</v>
      </c>
      <c r="B890" s="23" t="s">
        <v>14</v>
      </c>
      <c r="C890" s="23" t="s">
        <v>46</v>
      </c>
      <c r="D890" s="23">
        <v>0</v>
      </c>
      <c r="E890" s="23">
        <v>2025</v>
      </c>
      <c r="F890" s="15" t="s">
        <v>3304</v>
      </c>
      <c r="G890" s="15" t="s">
        <v>3300</v>
      </c>
      <c r="H890" s="23" t="s">
        <v>58</v>
      </c>
    </row>
    <row r="891" spans="1:8" ht="54.95" customHeight="1" x14ac:dyDescent="0.2">
      <c r="A891" s="23" t="s">
        <v>610</v>
      </c>
      <c r="B891" s="23" t="s">
        <v>3</v>
      </c>
      <c r="C891" s="23" t="s">
        <v>46</v>
      </c>
      <c r="D891" s="23">
        <v>4775.4279339999994</v>
      </c>
      <c r="E891" s="23">
        <v>2024</v>
      </c>
      <c r="F891" s="15" t="s">
        <v>3316</v>
      </c>
      <c r="G891" s="15" t="s">
        <v>3317</v>
      </c>
      <c r="H891" s="23" t="s">
        <v>58</v>
      </c>
    </row>
    <row r="892" spans="1:8" ht="54.95" customHeight="1" x14ac:dyDescent="0.2">
      <c r="A892" s="23" t="s">
        <v>610</v>
      </c>
      <c r="B892" s="23" t="s">
        <v>6</v>
      </c>
      <c r="C892" s="23" t="s">
        <v>46</v>
      </c>
      <c r="D892" s="23">
        <v>26.171920637762053</v>
      </c>
      <c r="E892" s="23">
        <v>2024</v>
      </c>
      <c r="F892" s="15" t="s">
        <v>3319</v>
      </c>
      <c r="G892" s="15" t="s">
        <v>3320</v>
      </c>
      <c r="H892" s="23" t="s">
        <v>58</v>
      </c>
    </row>
    <row r="893" spans="1:8" ht="54.95" customHeight="1" x14ac:dyDescent="0.2">
      <c r="A893" s="23" t="s">
        <v>610</v>
      </c>
      <c r="B893" s="23" t="s">
        <v>7</v>
      </c>
      <c r="C893" s="23" t="s">
        <v>46</v>
      </c>
      <c r="D893" s="23">
        <v>8.2256916747348416</v>
      </c>
      <c r="E893" s="23">
        <v>2024</v>
      </c>
      <c r="F893" s="15" t="s">
        <v>3322</v>
      </c>
      <c r="G893" s="15" t="s">
        <v>3320</v>
      </c>
      <c r="H893" s="23" t="s">
        <v>58</v>
      </c>
    </row>
    <row r="894" spans="1:8" ht="54.95" customHeight="1" x14ac:dyDescent="0.2">
      <c r="A894" s="23" t="s">
        <v>610</v>
      </c>
      <c r="B894" s="23" t="s">
        <v>8</v>
      </c>
      <c r="C894" s="23" t="s">
        <v>46</v>
      </c>
      <c r="D894" s="23">
        <v>9.6860032732723056</v>
      </c>
      <c r="E894" s="23">
        <v>2024</v>
      </c>
      <c r="F894" s="15" t="s">
        <v>3324</v>
      </c>
      <c r="G894" s="15" t="s">
        <v>3320</v>
      </c>
      <c r="H894" s="23" t="s">
        <v>58</v>
      </c>
    </row>
    <row r="895" spans="1:8" ht="54.95" customHeight="1" x14ac:dyDescent="0.2">
      <c r="A895" s="23" t="s">
        <v>610</v>
      </c>
      <c r="B895" s="23" t="s">
        <v>9</v>
      </c>
      <c r="C895" s="23" t="s">
        <v>46</v>
      </c>
      <c r="D895" s="23">
        <v>42.9370669254874</v>
      </c>
      <c r="E895" s="23">
        <v>2024</v>
      </c>
      <c r="F895" s="15" t="s">
        <v>3325</v>
      </c>
      <c r="G895" s="15" t="s">
        <v>3320</v>
      </c>
      <c r="H895" s="23" t="s">
        <v>58</v>
      </c>
    </row>
    <row r="896" spans="1:8" ht="54.95" customHeight="1" x14ac:dyDescent="0.2">
      <c r="A896" s="23" t="s">
        <v>610</v>
      </c>
      <c r="B896" s="23" t="s">
        <v>10</v>
      </c>
      <c r="C896" s="23" t="s">
        <v>46</v>
      </c>
      <c r="D896" s="23">
        <v>6.3594778561681888</v>
      </c>
      <c r="E896" s="23">
        <v>2024</v>
      </c>
      <c r="F896" s="15" t="s">
        <v>3326</v>
      </c>
      <c r="G896" s="15" t="s">
        <v>3320</v>
      </c>
      <c r="H896" s="23" t="s">
        <v>58</v>
      </c>
    </row>
    <row r="897" spans="1:8" ht="54.95" customHeight="1" x14ac:dyDescent="0.2">
      <c r="A897" s="23" t="s">
        <v>610</v>
      </c>
      <c r="B897" s="23" t="s">
        <v>5</v>
      </c>
      <c r="C897" s="23" t="s">
        <v>46</v>
      </c>
      <c r="D897" s="23">
        <v>1.7478066238439998</v>
      </c>
      <c r="E897" s="23">
        <v>2024</v>
      </c>
      <c r="F897" s="15" t="s">
        <v>3316</v>
      </c>
      <c r="G897" s="15" t="s">
        <v>3311</v>
      </c>
      <c r="H897" s="23" t="s">
        <v>58</v>
      </c>
    </row>
    <row r="898" spans="1:8" ht="54.95" customHeight="1" x14ac:dyDescent="0.2">
      <c r="A898" s="23" t="s">
        <v>615</v>
      </c>
      <c r="B898" s="23" t="s">
        <v>11</v>
      </c>
      <c r="C898" s="23" t="s">
        <v>46</v>
      </c>
      <c r="D898" s="23">
        <v>0</v>
      </c>
      <c r="E898" s="23">
        <v>2025</v>
      </c>
      <c r="F898" s="15" t="s">
        <v>3299</v>
      </c>
      <c r="G898" s="15" t="s">
        <v>3300</v>
      </c>
      <c r="H898" s="23" t="s">
        <v>58</v>
      </c>
    </row>
    <row r="899" spans="1:8" ht="54.95" customHeight="1" x14ac:dyDescent="0.2">
      <c r="A899" s="23" t="s">
        <v>615</v>
      </c>
      <c r="B899" s="23" t="s">
        <v>13</v>
      </c>
      <c r="C899" s="23" t="s">
        <v>46</v>
      </c>
      <c r="D899" s="23">
        <v>0</v>
      </c>
      <c r="E899" s="23">
        <v>2025</v>
      </c>
      <c r="F899" s="15" t="s">
        <v>3302</v>
      </c>
      <c r="G899" s="15" t="s">
        <v>3300</v>
      </c>
      <c r="H899" s="23" t="s">
        <v>58</v>
      </c>
    </row>
    <row r="900" spans="1:8" ht="54.95" customHeight="1" x14ac:dyDescent="0.2">
      <c r="A900" s="23" t="s">
        <v>615</v>
      </c>
      <c r="B900" s="23" t="s">
        <v>14</v>
      </c>
      <c r="C900" s="23" t="s">
        <v>46</v>
      </c>
      <c r="D900" s="23">
        <v>0</v>
      </c>
      <c r="E900" s="23">
        <v>2025</v>
      </c>
      <c r="F900" s="15" t="s">
        <v>3304</v>
      </c>
      <c r="G900" s="15" t="s">
        <v>3300</v>
      </c>
      <c r="H900" s="23" t="s">
        <v>58</v>
      </c>
    </row>
    <row r="901" spans="1:8" ht="54.95" customHeight="1" x14ac:dyDescent="0.2">
      <c r="A901" s="23" t="s">
        <v>615</v>
      </c>
      <c r="B901" s="23" t="s">
        <v>3</v>
      </c>
      <c r="C901" s="23" t="s">
        <v>46</v>
      </c>
      <c r="D901" s="23">
        <v>4919.471896</v>
      </c>
      <c r="E901" s="23">
        <v>2024</v>
      </c>
      <c r="F901" s="15" t="s">
        <v>3316</v>
      </c>
      <c r="G901" s="15" t="s">
        <v>3317</v>
      </c>
      <c r="H901" s="23" t="s">
        <v>58</v>
      </c>
    </row>
    <row r="902" spans="1:8" ht="54.95" customHeight="1" x14ac:dyDescent="0.2">
      <c r="A902" s="23" t="s">
        <v>615</v>
      </c>
      <c r="B902" s="23" t="s">
        <v>6</v>
      </c>
      <c r="C902" s="23" t="s">
        <v>46</v>
      </c>
      <c r="D902" s="23">
        <v>47.373282524389076</v>
      </c>
      <c r="E902" s="23">
        <v>2024</v>
      </c>
      <c r="F902" s="15" t="s">
        <v>3319</v>
      </c>
      <c r="G902" s="15" t="s">
        <v>3320</v>
      </c>
      <c r="H902" s="23" t="s">
        <v>58</v>
      </c>
    </row>
    <row r="903" spans="1:8" ht="54.95" customHeight="1" x14ac:dyDescent="0.2">
      <c r="A903" s="23" t="s">
        <v>615</v>
      </c>
      <c r="B903" s="23" t="s">
        <v>7</v>
      </c>
      <c r="C903" s="23" t="s">
        <v>46</v>
      </c>
      <c r="D903" s="23">
        <v>4.9243736141063223</v>
      </c>
      <c r="E903" s="23">
        <v>2024</v>
      </c>
      <c r="F903" s="15" t="s">
        <v>3322</v>
      </c>
      <c r="G903" s="15" t="s">
        <v>3320</v>
      </c>
      <c r="H903" s="23" t="s">
        <v>58</v>
      </c>
    </row>
    <row r="904" spans="1:8" ht="54.95" customHeight="1" x14ac:dyDescent="0.2">
      <c r="A904" s="23" t="s">
        <v>615</v>
      </c>
      <c r="B904" s="23" t="s">
        <v>8</v>
      </c>
      <c r="C904" s="23" t="s">
        <v>46</v>
      </c>
      <c r="D904" s="23">
        <v>4.687680321692806</v>
      </c>
      <c r="E904" s="23">
        <v>2024</v>
      </c>
      <c r="F904" s="15" t="s">
        <v>3324</v>
      </c>
      <c r="G904" s="15" t="s">
        <v>3320</v>
      </c>
      <c r="H904" s="23" t="s">
        <v>58</v>
      </c>
    </row>
    <row r="905" spans="1:8" ht="54.95" customHeight="1" x14ac:dyDescent="0.2">
      <c r="A905" s="23" t="s">
        <v>615</v>
      </c>
      <c r="B905" s="23" t="s">
        <v>9</v>
      </c>
      <c r="C905" s="23" t="s">
        <v>46</v>
      </c>
      <c r="D905" s="23">
        <v>9.1559866490189616</v>
      </c>
      <c r="E905" s="23">
        <v>2024</v>
      </c>
      <c r="F905" s="15" t="s">
        <v>3325</v>
      </c>
      <c r="G905" s="15" t="s">
        <v>3320</v>
      </c>
      <c r="H905" s="23" t="s">
        <v>58</v>
      </c>
    </row>
    <row r="906" spans="1:8" ht="54.95" customHeight="1" x14ac:dyDescent="0.2">
      <c r="A906" s="23" t="s">
        <v>615</v>
      </c>
      <c r="B906" s="23" t="s">
        <v>10</v>
      </c>
      <c r="C906" s="23" t="s">
        <v>46</v>
      </c>
      <c r="D906" s="23">
        <v>32.296501547083949</v>
      </c>
      <c r="E906" s="23">
        <v>2024</v>
      </c>
      <c r="F906" s="15" t="s">
        <v>3326</v>
      </c>
      <c r="G906" s="15" t="s">
        <v>3320</v>
      </c>
      <c r="H906" s="23" t="s">
        <v>58</v>
      </c>
    </row>
    <row r="907" spans="1:8" ht="54.95" customHeight="1" x14ac:dyDescent="0.2">
      <c r="A907" s="23" t="s">
        <v>615</v>
      </c>
      <c r="B907" s="23" t="s">
        <v>5</v>
      </c>
      <c r="C907" s="23" t="s">
        <v>46</v>
      </c>
      <c r="D907" s="23">
        <v>1.8005267139359999</v>
      </c>
      <c r="E907" s="23">
        <v>2024</v>
      </c>
      <c r="F907" s="15" t="s">
        <v>3316</v>
      </c>
      <c r="G907" s="15" t="s">
        <v>3311</v>
      </c>
      <c r="H907" s="23" t="s">
        <v>58</v>
      </c>
    </row>
    <row r="908" spans="1:8" ht="54.95" customHeight="1" x14ac:dyDescent="0.2">
      <c r="A908" s="23" t="s">
        <v>619</v>
      </c>
      <c r="B908" s="23" t="s">
        <v>11</v>
      </c>
      <c r="C908" s="23" t="s">
        <v>3578</v>
      </c>
      <c r="D908" s="23">
        <v>22705.654136676712</v>
      </c>
      <c r="E908" s="23">
        <v>2025</v>
      </c>
      <c r="F908" s="15" t="s">
        <v>3299</v>
      </c>
      <c r="G908" s="15" t="s">
        <v>3300</v>
      </c>
      <c r="H908" s="23" t="s">
        <v>58</v>
      </c>
    </row>
    <row r="909" spans="1:8" ht="54.95" customHeight="1" x14ac:dyDescent="0.2">
      <c r="A909" s="23" t="s">
        <v>619</v>
      </c>
      <c r="B909" s="23" t="s">
        <v>13</v>
      </c>
      <c r="C909" s="23" t="s">
        <v>3579</v>
      </c>
      <c r="D909" s="23">
        <v>8754.9808219178085</v>
      </c>
      <c r="E909" s="23">
        <v>2025</v>
      </c>
      <c r="F909" s="15" t="s">
        <v>3302</v>
      </c>
      <c r="G909" s="15" t="s">
        <v>3300</v>
      </c>
      <c r="H909" s="23" t="s">
        <v>58</v>
      </c>
    </row>
    <row r="910" spans="1:8" ht="54.95" customHeight="1" x14ac:dyDescent="0.2">
      <c r="A910" s="23" t="s">
        <v>619</v>
      </c>
      <c r="B910" s="23" t="s">
        <v>14</v>
      </c>
      <c r="C910" s="23" t="s">
        <v>1538</v>
      </c>
      <c r="D910" s="23">
        <v>0</v>
      </c>
      <c r="E910" s="23">
        <v>2025</v>
      </c>
      <c r="F910" s="15" t="s">
        <v>3304</v>
      </c>
      <c r="G910" s="15" t="s">
        <v>3300</v>
      </c>
      <c r="H910" s="23" t="s">
        <v>58</v>
      </c>
    </row>
    <row r="911" spans="1:8" ht="54.95" customHeight="1" x14ac:dyDescent="0.2">
      <c r="A911" s="23" t="s">
        <v>619</v>
      </c>
      <c r="B911" s="23" t="s">
        <v>3</v>
      </c>
      <c r="C911" s="23" t="s">
        <v>3580</v>
      </c>
      <c r="D911" s="23">
        <v>231906.84931506848</v>
      </c>
      <c r="E911" s="23">
        <v>2025</v>
      </c>
      <c r="F911" s="15" t="s">
        <v>3305</v>
      </c>
      <c r="G911" s="15" t="s">
        <v>3306</v>
      </c>
      <c r="H911" s="23" t="s">
        <v>58</v>
      </c>
    </row>
    <row r="912" spans="1:8" ht="54.95" customHeight="1" x14ac:dyDescent="0.2">
      <c r="A912" s="23" t="s">
        <v>619</v>
      </c>
      <c r="B912" s="23" t="s">
        <v>6</v>
      </c>
      <c r="C912" s="23" t="s">
        <v>3581</v>
      </c>
      <c r="D912" s="23">
        <v>51.988918554922861</v>
      </c>
      <c r="E912" s="23">
        <v>2025</v>
      </c>
      <c r="F912" s="15" t="s">
        <v>3305</v>
      </c>
      <c r="G912" s="15" t="s">
        <v>3308</v>
      </c>
      <c r="H912" s="23" t="s">
        <v>58</v>
      </c>
    </row>
    <row r="913" spans="1:8" ht="54.95" customHeight="1" x14ac:dyDescent="0.2">
      <c r="A913" s="23" t="s">
        <v>619</v>
      </c>
      <c r="B913" s="23" t="s">
        <v>7</v>
      </c>
      <c r="C913" s="23" t="s">
        <v>3582</v>
      </c>
      <c r="D913" s="23">
        <v>16.75105734470619</v>
      </c>
      <c r="E913" s="23">
        <v>2025</v>
      </c>
      <c r="F913" s="15" t="s">
        <v>3305</v>
      </c>
      <c r="G913" s="15" t="s">
        <v>3308</v>
      </c>
      <c r="H913" s="23" t="s">
        <v>58</v>
      </c>
    </row>
    <row r="914" spans="1:8" ht="54.95" customHeight="1" x14ac:dyDescent="0.2">
      <c r="A914" s="23" t="s">
        <v>619</v>
      </c>
      <c r="B914" s="23" t="s">
        <v>8</v>
      </c>
      <c r="C914" s="23" t="s">
        <v>46</v>
      </c>
      <c r="D914" s="23">
        <v>1.8637620206507099</v>
      </c>
      <c r="E914" s="23">
        <v>2025</v>
      </c>
      <c r="F914" s="15" t="s">
        <v>3305</v>
      </c>
      <c r="G914" s="15" t="s">
        <v>3308</v>
      </c>
      <c r="H914" s="23" t="s">
        <v>58</v>
      </c>
    </row>
    <row r="915" spans="1:8" ht="54.95" customHeight="1" x14ac:dyDescent="0.2">
      <c r="A915" s="23" t="s">
        <v>619</v>
      </c>
      <c r="B915" s="23" t="s">
        <v>9</v>
      </c>
      <c r="C915" s="23" t="s">
        <v>46</v>
      </c>
      <c r="D915" s="23">
        <v>18.711811544550244</v>
      </c>
      <c r="E915" s="23">
        <v>2025</v>
      </c>
      <c r="F915" s="15" t="s">
        <v>3305</v>
      </c>
      <c r="G915" s="15" t="s">
        <v>3308</v>
      </c>
      <c r="H915" s="23" t="s">
        <v>58</v>
      </c>
    </row>
    <row r="916" spans="1:8" ht="54.95" customHeight="1" x14ac:dyDescent="0.2">
      <c r="A916" s="23" t="s">
        <v>619</v>
      </c>
      <c r="B916" s="23" t="s">
        <v>10</v>
      </c>
      <c r="C916" s="23" t="s">
        <v>46</v>
      </c>
      <c r="D916" s="23">
        <v>2.3164709496018716</v>
      </c>
      <c r="E916" s="23">
        <v>2025</v>
      </c>
      <c r="F916" s="15" t="s">
        <v>3305</v>
      </c>
      <c r="G916" s="15" t="s">
        <v>3308</v>
      </c>
      <c r="H916" s="23" t="s">
        <v>58</v>
      </c>
    </row>
    <row r="917" spans="1:8" ht="54.95" customHeight="1" x14ac:dyDescent="0.2">
      <c r="A917" s="23" t="s">
        <v>619</v>
      </c>
      <c r="B917" s="23" t="s">
        <v>5</v>
      </c>
      <c r="C917" s="23" t="s">
        <v>3583</v>
      </c>
      <c r="D917" s="23">
        <v>84.646000000000001</v>
      </c>
      <c r="E917" s="23">
        <v>2025</v>
      </c>
      <c r="F917" s="15" t="s">
        <v>3305</v>
      </c>
      <c r="G917" s="15" t="s">
        <v>3311</v>
      </c>
      <c r="H917" s="23" t="s">
        <v>58</v>
      </c>
    </row>
    <row r="918" spans="1:8" ht="54.95" customHeight="1" x14ac:dyDescent="0.2">
      <c r="A918" s="23" t="s">
        <v>626</v>
      </c>
      <c r="B918" s="23" t="s">
        <v>11</v>
      </c>
      <c r="C918" s="23" t="s">
        <v>46</v>
      </c>
      <c r="D918" s="23">
        <v>4500342.8461867319</v>
      </c>
      <c r="E918" s="23">
        <v>2025</v>
      </c>
      <c r="F918" s="15" t="s">
        <v>3299</v>
      </c>
      <c r="G918" s="15" t="s">
        <v>3300</v>
      </c>
      <c r="H918" s="23" t="s">
        <v>58</v>
      </c>
    </row>
    <row r="919" spans="1:8" ht="54.95" customHeight="1" x14ac:dyDescent="0.2">
      <c r="A919" s="23" t="s">
        <v>626</v>
      </c>
      <c r="B919" s="23" t="s">
        <v>13</v>
      </c>
      <c r="C919" s="23" t="s">
        <v>46</v>
      </c>
      <c r="D919" s="23">
        <v>4388068.493150685</v>
      </c>
      <c r="E919" s="23">
        <v>2025</v>
      </c>
      <c r="F919" s="15" t="s">
        <v>3302</v>
      </c>
      <c r="G919" s="15" t="s">
        <v>3300</v>
      </c>
      <c r="H919" s="23" t="s">
        <v>58</v>
      </c>
    </row>
    <row r="920" spans="1:8" ht="54.95" customHeight="1" x14ac:dyDescent="0.2">
      <c r="A920" s="23" t="s">
        <v>626</v>
      </c>
      <c r="B920" s="23" t="s">
        <v>14</v>
      </c>
      <c r="C920" s="23" t="s">
        <v>46</v>
      </c>
      <c r="D920" s="23">
        <v>125000</v>
      </c>
      <c r="E920" s="23">
        <v>2025</v>
      </c>
      <c r="F920" s="15" t="s">
        <v>3304</v>
      </c>
      <c r="G920" s="15" t="s">
        <v>3300</v>
      </c>
      <c r="H920" s="23" t="s">
        <v>58</v>
      </c>
    </row>
    <row r="921" spans="1:8" ht="54.95" customHeight="1" x14ac:dyDescent="0.2">
      <c r="A921" s="23" t="s">
        <v>626</v>
      </c>
      <c r="B921" s="23" t="s">
        <v>3</v>
      </c>
      <c r="C921" s="23" t="s">
        <v>3584</v>
      </c>
      <c r="D921" s="23">
        <v>1065348.6351950001</v>
      </c>
      <c r="E921" s="23">
        <v>2024</v>
      </c>
      <c r="F921" s="15" t="s">
        <v>3316</v>
      </c>
      <c r="G921" s="15" t="s">
        <v>3317</v>
      </c>
      <c r="H921" s="23" t="s">
        <v>58</v>
      </c>
    </row>
    <row r="922" spans="1:8" ht="54.95" customHeight="1" x14ac:dyDescent="0.2">
      <c r="A922" s="23" t="s">
        <v>626</v>
      </c>
      <c r="B922" s="23" t="s">
        <v>6</v>
      </c>
      <c r="C922" s="23" t="s">
        <v>46</v>
      </c>
      <c r="D922" s="23">
        <v>16.545004637635568</v>
      </c>
      <c r="E922" s="23">
        <v>2024</v>
      </c>
      <c r="F922" s="15" t="s">
        <v>3319</v>
      </c>
      <c r="G922" s="15" t="s">
        <v>3320</v>
      </c>
      <c r="H922" s="23" t="s">
        <v>58</v>
      </c>
    </row>
    <row r="923" spans="1:8" ht="54.95" customHeight="1" x14ac:dyDescent="0.2">
      <c r="A923" s="23" t="s">
        <v>626</v>
      </c>
      <c r="B923" s="23" t="s">
        <v>7</v>
      </c>
      <c r="C923" s="23" t="s">
        <v>46</v>
      </c>
      <c r="D923" s="23">
        <v>18.151252248481555</v>
      </c>
      <c r="E923" s="23">
        <v>2024</v>
      </c>
      <c r="F923" s="15" t="s">
        <v>3322</v>
      </c>
      <c r="G923" s="15" t="s">
        <v>3320</v>
      </c>
      <c r="H923" s="23" t="s">
        <v>58</v>
      </c>
    </row>
    <row r="924" spans="1:8" ht="54.95" customHeight="1" x14ac:dyDescent="0.2">
      <c r="A924" s="23" t="s">
        <v>626</v>
      </c>
      <c r="B924" s="23" t="s">
        <v>8</v>
      </c>
      <c r="C924" s="23" t="s">
        <v>46</v>
      </c>
      <c r="D924" s="23">
        <v>6.3503283896934688</v>
      </c>
      <c r="E924" s="23">
        <v>2024</v>
      </c>
      <c r="F924" s="15" t="s">
        <v>3324</v>
      </c>
      <c r="G924" s="15" t="s">
        <v>3320</v>
      </c>
      <c r="H924" s="23" t="s">
        <v>58</v>
      </c>
    </row>
    <row r="925" spans="1:8" ht="54.95" customHeight="1" x14ac:dyDescent="0.2">
      <c r="A925" s="23" t="s">
        <v>626</v>
      </c>
      <c r="B925" s="23" t="s">
        <v>9</v>
      </c>
      <c r="C925" s="23" t="s">
        <v>46</v>
      </c>
      <c r="D925" s="23">
        <v>3.9064761727866077</v>
      </c>
      <c r="E925" s="23">
        <v>2024</v>
      </c>
      <c r="F925" s="15" t="s">
        <v>3325</v>
      </c>
      <c r="G925" s="15" t="s">
        <v>3320</v>
      </c>
      <c r="H925" s="23" t="s">
        <v>58</v>
      </c>
    </row>
    <row r="926" spans="1:8" ht="54.95" customHeight="1" x14ac:dyDescent="0.2">
      <c r="A926" s="23" t="s">
        <v>626</v>
      </c>
      <c r="B926" s="23" t="s">
        <v>10</v>
      </c>
      <c r="C926" s="23" t="s">
        <v>46</v>
      </c>
      <c r="D926" s="23">
        <v>27.51171715223084</v>
      </c>
      <c r="E926" s="23">
        <v>2024</v>
      </c>
      <c r="F926" s="15" t="s">
        <v>3326</v>
      </c>
      <c r="G926" s="15" t="s">
        <v>3320</v>
      </c>
      <c r="H926" s="23" t="s">
        <v>58</v>
      </c>
    </row>
    <row r="927" spans="1:8" ht="54.95" customHeight="1" x14ac:dyDescent="0.2">
      <c r="A927" s="23" t="s">
        <v>626</v>
      </c>
      <c r="B927" s="23" t="s">
        <v>5</v>
      </c>
      <c r="C927" s="23" t="s">
        <v>3585</v>
      </c>
      <c r="D927" s="23">
        <v>389.91760048137002</v>
      </c>
      <c r="E927" s="23">
        <v>2024</v>
      </c>
      <c r="F927" s="15" t="s">
        <v>3316</v>
      </c>
      <c r="G927" s="15" t="s">
        <v>3311</v>
      </c>
      <c r="H927" s="23" t="s">
        <v>58</v>
      </c>
    </row>
    <row r="928" spans="1:8" ht="54.95" customHeight="1" x14ac:dyDescent="0.2">
      <c r="A928" s="23" t="s">
        <v>634</v>
      </c>
      <c r="B928" s="23" t="s">
        <v>11</v>
      </c>
      <c r="C928" s="23" t="s">
        <v>3586</v>
      </c>
      <c r="D928" s="23">
        <v>137150.99191255614</v>
      </c>
      <c r="E928" s="23">
        <v>2025</v>
      </c>
      <c r="F928" s="15" t="s">
        <v>3299</v>
      </c>
      <c r="G928" s="15" t="s">
        <v>3300</v>
      </c>
      <c r="H928" s="23" t="s">
        <v>58</v>
      </c>
    </row>
    <row r="929" spans="1:8" ht="54.95" customHeight="1" x14ac:dyDescent="0.2">
      <c r="A929" s="23" t="s">
        <v>634</v>
      </c>
      <c r="B929" s="23" t="s">
        <v>13</v>
      </c>
      <c r="C929" s="23" t="s">
        <v>3587</v>
      </c>
      <c r="D929" s="23">
        <v>83703.684931506839</v>
      </c>
      <c r="E929" s="23">
        <v>2025</v>
      </c>
      <c r="F929" s="15" t="s">
        <v>3302</v>
      </c>
      <c r="G929" s="15" t="s">
        <v>3300</v>
      </c>
      <c r="H929" s="23" t="s">
        <v>58</v>
      </c>
    </row>
    <row r="930" spans="1:8" ht="54.95" customHeight="1" x14ac:dyDescent="0.2">
      <c r="A930" s="23" t="s">
        <v>634</v>
      </c>
      <c r="B930" s="23" t="s">
        <v>14</v>
      </c>
      <c r="C930" s="23" t="s">
        <v>1538</v>
      </c>
      <c r="D930" s="23">
        <v>0</v>
      </c>
      <c r="E930" s="23">
        <v>2025</v>
      </c>
      <c r="F930" s="15" t="s">
        <v>3304</v>
      </c>
      <c r="G930" s="15" t="s">
        <v>3300</v>
      </c>
      <c r="H930" s="23" t="s">
        <v>58</v>
      </c>
    </row>
    <row r="931" spans="1:8" ht="54.95" customHeight="1" x14ac:dyDescent="0.2">
      <c r="A931" s="23" t="s">
        <v>634</v>
      </c>
      <c r="B931" s="23" t="s">
        <v>3</v>
      </c>
      <c r="C931" s="23" t="s">
        <v>3588</v>
      </c>
      <c r="D931" s="23">
        <v>1169164.3835616438</v>
      </c>
      <c r="E931" s="23">
        <v>2025</v>
      </c>
      <c r="F931" s="15" t="s">
        <v>3305</v>
      </c>
      <c r="G931" s="15" t="s">
        <v>3306</v>
      </c>
      <c r="H931" s="23" t="s">
        <v>58</v>
      </c>
    </row>
    <row r="932" spans="1:8" ht="54.95" customHeight="1" x14ac:dyDescent="0.2">
      <c r="A932" s="23" t="s">
        <v>634</v>
      </c>
      <c r="B932" s="23" t="s">
        <v>6</v>
      </c>
      <c r="C932" s="23" t="s">
        <v>1528</v>
      </c>
      <c r="D932" s="23">
        <v>46.82155385534687</v>
      </c>
      <c r="E932" s="23">
        <v>2025</v>
      </c>
      <c r="F932" s="15" t="s">
        <v>3305</v>
      </c>
      <c r="G932" s="15" t="s">
        <v>3308</v>
      </c>
      <c r="H932" s="23" t="s">
        <v>58</v>
      </c>
    </row>
    <row r="933" spans="1:8" ht="54.95" customHeight="1" x14ac:dyDescent="0.2">
      <c r="A933" s="23" t="s">
        <v>634</v>
      </c>
      <c r="B933" s="23" t="s">
        <v>7</v>
      </c>
      <c r="C933" s="23" t="s">
        <v>3414</v>
      </c>
      <c r="D933" s="23">
        <v>18.593187969396244</v>
      </c>
      <c r="E933" s="23">
        <v>2025</v>
      </c>
      <c r="F933" s="15" t="s">
        <v>3305</v>
      </c>
      <c r="G933" s="15" t="s">
        <v>3308</v>
      </c>
      <c r="H933" s="23" t="s">
        <v>58</v>
      </c>
    </row>
    <row r="934" spans="1:8" ht="54.95" customHeight="1" x14ac:dyDescent="0.2">
      <c r="A934" s="23" t="s">
        <v>634</v>
      </c>
      <c r="B934" s="23" t="s">
        <v>8</v>
      </c>
      <c r="C934" s="23" t="s">
        <v>46</v>
      </c>
      <c r="D934" s="23">
        <v>9.0708034071869612</v>
      </c>
      <c r="E934" s="23">
        <v>2025</v>
      </c>
      <c r="F934" s="15" t="s">
        <v>3305</v>
      </c>
      <c r="G934" s="15" t="s">
        <v>3308</v>
      </c>
      <c r="H934" s="23" t="s">
        <v>58</v>
      </c>
    </row>
    <row r="935" spans="1:8" ht="54.95" customHeight="1" x14ac:dyDescent="0.2">
      <c r="A935" s="23" t="s">
        <v>634</v>
      </c>
      <c r="B935" s="23" t="s">
        <v>9</v>
      </c>
      <c r="C935" s="23" t="s">
        <v>46</v>
      </c>
      <c r="D935" s="23">
        <v>18.770038313278423</v>
      </c>
      <c r="E935" s="23">
        <v>2025</v>
      </c>
      <c r="F935" s="15" t="s">
        <v>3305</v>
      </c>
      <c r="G935" s="15" t="s">
        <v>3308</v>
      </c>
      <c r="H935" s="23" t="s">
        <v>58</v>
      </c>
    </row>
    <row r="936" spans="1:8" ht="54.95" customHeight="1" x14ac:dyDescent="0.2">
      <c r="A936" s="23" t="s">
        <v>634</v>
      </c>
      <c r="B936" s="23" t="s">
        <v>10</v>
      </c>
      <c r="C936" s="23" t="s">
        <v>46</v>
      </c>
      <c r="D936" s="23">
        <v>3.4294602162884158</v>
      </c>
      <c r="E936" s="23">
        <v>2025</v>
      </c>
      <c r="F936" s="15" t="s">
        <v>3305</v>
      </c>
      <c r="G936" s="15" t="s">
        <v>3308</v>
      </c>
      <c r="H936" s="23" t="s">
        <v>58</v>
      </c>
    </row>
    <row r="937" spans="1:8" ht="54.95" customHeight="1" x14ac:dyDescent="0.2">
      <c r="A937" s="23" t="s">
        <v>634</v>
      </c>
      <c r="B937" s="23" t="s">
        <v>5</v>
      </c>
      <c r="C937" s="23" t="s">
        <v>3589</v>
      </c>
      <c r="D937" s="23">
        <v>426.745</v>
      </c>
      <c r="E937" s="23">
        <v>2025</v>
      </c>
      <c r="F937" s="15" t="s">
        <v>3305</v>
      </c>
      <c r="G937" s="15" t="s">
        <v>3311</v>
      </c>
      <c r="H937" s="23" t="s">
        <v>58</v>
      </c>
    </row>
    <row r="938" spans="1:8" ht="54.95" customHeight="1" x14ac:dyDescent="0.2">
      <c r="A938" s="23" t="s">
        <v>641</v>
      </c>
      <c r="B938" s="23" t="s">
        <v>11</v>
      </c>
      <c r="C938" s="23" t="s">
        <v>46</v>
      </c>
      <c r="D938" s="23">
        <v>1186.5467619945205</v>
      </c>
      <c r="E938" s="23">
        <v>2025</v>
      </c>
      <c r="F938" s="15" t="s">
        <v>3299</v>
      </c>
      <c r="G938" s="15" t="s">
        <v>3300</v>
      </c>
      <c r="H938" s="23" t="s">
        <v>58</v>
      </c>
    </row>
    <row r="939" spans="1:8" ht="54.95" customHeight="1" x14ac:dyDescent="0.2">
      <c r="A939" s="23" t="s">
        <v>641</v>
      </c>
      <c r="B939" s="23" t="s">
        <v>13</v>
      </c>
      <c r="C939" s="23" t="s">
        <v>46</v>
      </c>
      <c r="D939" s="23">
        <v>0</v>
      </c>
      <c r="E939" s="23">
        <v>2025</v>
      </c>
      <c r="F939" s="15" t="s">
        <v>3302</v>
      </c>
      <c r="G939" s="15" t="s">
        <v>3300</v>
      </c>
      <c r="H939" s="23" t="s">
        <v>58</v>
      </c>
    </row>
    <row r="940" spans="1:8" ht="54.95" customHeight="1" x14ac:dyDescent="0.2">
      <c r="A940" s="23" t="s">
        <v>641</v>
      </c>
      <c r="B940" s="23" t="s">
        <v>14</v>
      </c>
      <c r="C940" s="23" t="s">
        <v>46</v>
      </c>
      <c r="D940" s="23">
        <v>0</v>
      </c>
      <c r="E940" s="23">
        <v>2025</v>
      </c>
      <c r="F940" s="15" t="s">
        <v>3304</v>
      </c>
      <c r="G940" s="15" t="s">
        <v>3300</v>
      </c>
      <c r="H940" s="23" t="s">
        <v>58</v>
      </c>
    </row>
    <row r="941" spans="1:8" ht="54.95" customHeight="1" x14ac:dyDescent="0.2">
      <c r="A941" s="23" t="s">
        <v>641</v>
      </c>
      <c r="B941" s="23" t="s">
        <v>3</v>
      </c>
      <c r="C941" s="23" t="s">
        <v>46</v>
      </c>
      <c r="D941" s="23">
        <v>194676.71232876711</v>
      </c>
      <c r="E941" s="23">
        <v>2025</v>
      </c>
      <c r="F941" s="15" t="s">
        <v>3305</v>
      </c>
      <c r="G941" s="15" t="s">
        <v>3306</v>
      </c>
      <c r="H941" s="23" t="s">
        <v>58</v>
      </c>
    </row>
    <row r="942" spans="1:8" ht="54.95" customHeight="1" x14ac:dyDescent="0.2">
      <c r="A942" s="23" t="s">
        <v>641</v>
      </c>
      <c r="B942" s="23" t="s">
        <v>6</v>
      </c>
      <c r="C942" s="23" t="s">
        <v>46</v>
      </c>
      <c r="D942" s="23">
        <v>47.411739870807942</v>
      </c>
      <c r="E942" s="23">
        <v>2025</v>
      </c>
      <c r="F942" s="15" t="s">
        <v>3305</v>
      </c>
      <c r="G942" s="15" t="s">
        <v>3308</v>
      </c>
      <c r="H942" s="23" t="s">
        <v>58</v>
      </c>
    </row>
    <row r="943" spans="1:8" ht="54.95" customHeight="1" x14ac:dyDescent="0.2">
      <c r="A943" s="23" t="s">
        <v>641</v>
      </c>
      <c r="B943" s="23" t="s">
        <v>7</v>
      </c>
      <c r="C943" s="23" t="s">
        <v>46</v>
      </c>
      <c r="D943" s="23">
        <v>25.710204483724336</v>
      </c>
      <c r="E943" s="23">
        <v>2025</v>
      </c>
      <c r="F943" s="15" t="s">
        <v>3305</v>
      </c>
      <c r="G943" s="15" t="s">
        <v>3308</v>
      </c>
      <c r="H943" s="23" t="s">
        <v>58</v>
      </c>
    </row>
    <row r="944" spans="1:8" ht="54.95" customHeight="1" x14ac:dyDescent="0.2">
      <c r="A944" s="23" t="s">
        <v>641</v>
      </c>
      <c r="B944" s="23" t="s">
        <v>8</v>
      </c>
      <c r="C944" s="23" t="s">
        <v>46</v>
      </c>
      <c r="D944" s="23">
        <v>2.5956626370378713</v>
      </c>
      <c r="E944" s="23">
        <v>2025</v>
      </c>
      <c r="F944" s="15" t="s">
        <v>3305</v>
      </c>
      <c r="G944" s="15" t="s">
        <v>3308</v>
      </c>
      <c r="H944" s="23" t="s">
        <v>58</v>
      </c>
    </row>
    <row r="945" spans="1:8" ht="54.95" customHeight="1" x14ac:dyDescent="0.2">
      <c r="A945" s="23" t="s">
        <v>641</v>
      </c>
      <c r="B945" s="23" t="s">
        <v>9</v>
      </c>
      <c r="C945" s="23" t="s">
        <v>46</v>
      </c>
      <c r="D945" s="23">
        <v>41.142744557186482</v>
      </c>
      <c r="E945" s="23">
        <v>2025</v>
      </c>
      <c r="F945" s="15" t="s">
        <v>3305</v>
      </c>
      <c r="G945" s="15" t="s">
        <v>3308</v>
      </c>
      <c r="H945" s="23" t="s">
        <v>58</v>
      </c>
    </row>
    <row r="946" spans="1:8" ht="54.95" customHeight="1" x14ac:dyDescent="0.2">
      <c r="A946" s="23" t="s">
        <v>641</v>
      </c>
      <c r="B946" s="23" t="s">
        <v>10</v>
      </c>
      <c r="C946" s="23" t="s">
        <v>46</v>
      </c>
      <c r="D946" s="23">
        <v>0</v>
      </c>
      <c r="E946" s="23">
        <v>2025</v>
      </c>
      <c r="F946" s="15" t="s">
        <v>3305</v>
      </c>
      <c r="G946" s="15" t="s">
        <v>3308</v>
      </c>
      <c r="H946" s="23" t="s">
        <v>58</v>
      </c>
    </row>
    <row r="947" spans="1:8" ht="54.95" customHeight="1" x14ac:dyDescent="0.2">
      <c r="A947" s="23" t="s">
        <v>641</v>
      </c>
      <c r="B947" s="23" t="s">
        <v>5</v>
      </c>
      <c r="C947" s="23" t="s">
        <v>46</v>
      </c>
      <c r="D947" s="23">
        <v>71.057000000000002</v>
      </c>
      <c r="E947" s="23">
        <v>2025</v>
      </c>
      <c r="F947" s="15" t="s">
        <v>3305</v>
      </c>
      <c r="G947" s="15" t="s">
        <v>3311</v>
      </c>
      <c r="H947" s="23" t="s">
        <v>58</v>
      </c>
    </row>
    <row r="948" spans="1:8" ht="54.95" customHeight="1" x14ac:dyDescent="0.2">
      <c r="A948" s="23" t="s">
        <v>647</v>
      </c>
      <c r="B948" s="23" t="s">
        <v>11</v>
      </c>
      <c r="C948" s="23" t="s">
        <v>3590</v>
      </c>
      <c r="D948" s="23">
        <v>4768756.4697955176</v>
      </c>
      <c r="E948" s="23">
        <v>2025</v>
      </c>
      <c r="F948" s="15" t="s">
        <v>3299</v>
      </c>
      <c r="G948" s="15" t="s">
        <v>3300</v>
      </c>
      <c r="H948" s="23" t="s">
        <v>58</v>
      </c>
    </row>
    <row r="949" spans="1:8" ht="54.95" customHeight="1" x14ac:dyDescent="0.2">
      <c r="A949" s="23" t="s">
        <v>647</v>
      </c>
      <c r="B949" s="23" t="s">
        <v>13</v>
      </c>
      <c r="C949" s="23" t="s">
        <v>46</v>
      </c>
      <c r="D949" s="23">
        <v>4051424.6575342468</v>
      </c>
      <c r="E949" s="23">
        <v>2025</v>
      </c>
      <c r="F949" s="15" t="s">
        <v>3302</v>
      </c>
      <c r="G949" s="15" t="s">
        <v>3300</v>
      </c>
      <c r="H949" s="23" t="s">
        <v>58</v>
      </c>
    </row>
    <row r="950" spans="1:8" ht="54.95" customHeight="1" x14ac:dyDescent="0.2">
      <c r="A950" s="23" t="s">
        <v>647</v>
      </c>
      <c r="B950" s="23" t="s">
        <v>14</v>
      </c>
      <c r="C950" s="23" t="s">
        <v>46</v>
      </c>
      <c r="D950" s="23">
        <v>710000</v>
      </c>
      <c r="E950" s="23">
        <v>2025</v>
      </c>
      <c r="F950" s="15" t="s">
        <v>3304</v>
      </c>
      <c r="G950" s="15" t="s">
        <v>3300</v>
      </c>
      <c r="H950" s="23" t="s">
        <v>58</v>
      </c>
    </row>
    <row r="951" spans="1:8" ht="54.95" customHeight="1" x14ac:dyDescent="0.2">
      <c r="A951" s="23" t="s">
        <v>647</v>
      </c>
      <c r="B951" s="23" t="s">
        <v>3</v>
      </c>
      <c r="C951" s="23" t="s">
        <v>3591</v>
      </c>
      <c r="D951" s="23">
        <v>1998960.9674850001</v>
      </c>
      <c r="E951" s="23">
        <v>2024</v>
      </c>
      <c r="F951" s="15" t="s">
        <v>3316</v>
      </c>
      <c r="G951" s="15" t="s">
        <v>3317</v>
      </c>
      <c r="H951" s="23" t="s">
        <v>58</v>
      </c>
    </row>
    <row r="952" spans="1:8" ht="54.95" customHeight="1" x14ac:dyDescent="0.2">
      <c r="A952" s="23" t="s">
        <v>647</v>
      </c>
      <c r="B952" s="23" t="s">
        <v>6</v>
      </c>
      <c r="C952" s="23" t="s">
        <v>46</v>
      </c>
      <c r="D952" s="23">
        <v>34.475083411310848</v>
      </c>
      <c r="E952" s="23">
        <v>2024</v>
      </c>
      <c r="F952" s="15" t="s">
        <v>3319</v>
      </c>
      <c r="G952" s="15" t="s">
        <v>3320</v>
      </c>
      <c r="H952" s="23" t="s">
        <v>58</v>
      </c>
    </row>
    <row r="953" spans="1:8" ht="54.95" customHeight="1" x14ac:dyDescent="0.2">
      <c r="A953" s="23" t="s">
        <v>647</v>
      </c>
      <c r="B953" s="23" t="s">
        <v>7</v>
      </c>
      <c r="C953" s="23" t="s">
        <v>46</v>
      </c>
      <c r="D953" s="23">
        <v>28.494402130154356</v>
      </c>
      <c r="E953" s="23">
        <v>2024</v>
      </c>
      <c r="F953" s="15" t="s">
        <v>3322</v>
      </c>
      <c r="G953" s="15" t="s">
        <v>3320</v>
      </c>
      <c r="H953" s="23" t="s">
        <v>58</v>
      </c>
    </row>
    <row r="954" spans="1:8" ht="54.95" customHeight="1" x14ac:dyDescent="0.2">
      <c r="A954" s="23" t="s">
        <v>647</v>
      </c>
      <c r="B954" s="23" t="s">
        <v>8</v>
      </c>
      <c r="C954" s="23" t="s">
        <v>46</v>
      </c>
      <c r="D954" s="23">
        <v>2.9486629228262955</v>
      </c>
      <c r="E954" s="23">
        <v>2024</v>
      </c>
      <c r="F954" s="15" t="s">
        <v>3324</v>
      </c>
      <c r="G954" s="15" t="s">
        <v>3320</v>
      </c>
      <c r="H954" s="23" t="s">
        <v>58</v>
      </c>
    </row>
    <row r="955" spans="1:8" ht="54.95" customHeight="1" x14ac:dyDescent="0.2">
      <c r="A955" s="23" t="s">
        <v>647</v>
      </c>
      <c r="B955" s="23" t="s">
        <v>9</v>
      </c>
      <c r="C955" s="23" t="s">
        <v>46</v>
      </c>
      <c r="D955" s="23">
        <v>2.7192487399285792</v>
      </c>
      <c r="E955" s="23">
        <v>2024</v>
      </c>
      <c r="F955" s="15" t="s">
        <v>3325</v>
      </c>
      <c r="G955" s="15" t="s">
        <v>3320</v>
      </c>
      <c r="H955" s="23" t="s">
        <v>58</v>
      </c>
    </row>
    <row r="956" spans="1:8" ht="54.95" customHeight="1" x14ac:dyDescent="0.2">
      <c r="A956" s="23" t="s">
        <v>647</v>
      </c>
      <c r="B956" s="23" t="s">
        <v>10</v>
      </c>
      <c r="C956" s="23" t="s">
        <v>46</v>
      </c>
      <c r="D956" s="23">
        <v>9.4087108682581757</v>
      </c>
      <c r="E956" s="23">
        <v>2024</v>
      </c>
      <c r="F956" s="15" t="s">
        <v>3326</v>
      </c>
      <c r="G956" s="15" t="s">
        <v>3320</v>
      </c>
      <c r="H956" s="23" t="s">
        <v>58</v>
      </c>
    </row>
    <row r="957" spans="1:8" ht="54.95" customHeight="1" x14ac:dyDescent="0.2">
      <c r="A957" s="23" t="s">
        <v>647</v>
      </c>
      <c r="B957" s="23" t="s">
        <v>5</v>
      </c>
      <c r="C957" s="23" t="s">
        <v>3592</v>
      </c>
      <c r="D957" s="23">
        <v>731.61971409951002</v>
      </c>
      <c r="E957" s="23">
        <v>2024</v>
      </c>
      <c r="F957" s="15" t="s">
        <v>3316</v>
      </c>
      <c r="G957" s="15" t="s">
        <v>3311</v>
      </c>
      <c r="H957" s="23" t="s">
        <v>58</v>
      </c>
    </row>
    <row r="958" spans="1:8" ht="54.95" customHeight="1" x14ac:dyDescent="0.2">
      <c r="A958" s="23" t="s">
        <v>653</v>
      </c>
      <c r="B958" s="23" t="s">
        <v>11</v>
      </c>
      <c r="C958" s="23" t="s">
        <v>3593</v>
      </c>
      <c r="D958" s="23">
        <v>79233.034055703916</v>
      </c>
      <c r="E958" s="23">
        <v>2025</v>
      </c>
      <c r="F958" s="15" t="s">
        <v>3299</v>
      </c>
      <c r="G958" s="15" t="s">
        <v>3300</v>
      </c>
      <c r="H958" s="23" t="s">
        <v>58</v>
      </c>
    </row>
    <row r="959" spans="1:8" ht="54.95" customHeight="1" x14ac:dyDescent="0.2">
      <c r="A959" s="23" t="s">
        <v>653</v>
      </c>
      <c r="B959" s="23" t="s">
        <v>13</v>
      </c>
      <c r="C959" s="23" t="s">
        <v>3594</v>
      </c>
      <c r="D959" s="23">
        <v>21469.768621528572</v>
      </c>
      <c r="E959" s="23">
        <v>2025</v>
      </c>
      <c r="F959" s="15" t="s">
        <v>3302</v>
      </c>
      <c r="G959" s="15" t="s">
        <v>3300</v>
      </c>
      <c r="H959" s="23" t="s">
        <v>58</v>
      </c>
    </row>
    <row r="960" spans="1:8" ht="54.95" customHeight="1" x14ac:dyDescent="0.2">
      <c r="A960" s="23" t="s">
        <v>653</v>
      </c>
      <c r="B960" s="23" t="s">
        <v>14</v>
      </c>
      <c r="C960" s="23" t="s">
        <v>3595</v>
      </c>
      <c r="D960" s="23">
        <v>1567.5232876712328</v>
      </c>
      <c r="E960" s="23">
        <v>2025</v>
      </c>
      <c r="F960" s="15" t="s">
        <v>3304</v>
      </c>
      <c r="G960" s="15" t="s">
        <v>3300</v>
      </c>
      <c r="H960" s="23" t="s">
        <v>58</v>
      </c>
    </row>
    <row r="961" spans="1:8" ht="54.95" customHeight="1" x14ac:dyDescent="0.2">
      <c r="A961" s="23" t="s">
        <v>653</v>
      </c>
      <c r="B961" s="23" t="s">
        <v>3</v>
      </c>
      <c r="C961" s="23" t="s">
        <v>3596</v>
      </c>
      <c r="D961" s="23">
        <v>874471.23287671234</v>
      </c>
      <c r="E961" s="23">
        <v>2025</v>
      </c>
      <c r="F961" s="15" t="s">
        <v>3305</v>
      </c>
      <c r="G961" s="15" t="s">
        <v>3306</v>
      </c>
      <c r="H961" s="23" t="s">
        <v>58</v>
      </c>
    </row>
    <row r="962" spans="1:8" ht="54.95" customHeight="1" x14ac:dyDescent="0.2">
      <c r="A962" s="23" t="s">
        <v>653</v>
      </c>
      <c r="B962" s="23" t="s">
        <v>6</v>
      </c>
      <c r="C962" s="23" t="s">
        <v>3597</v>
      </c>
      <c r="D962" s="23">
        <v>16.292792200061406</v>
      </c>
      <c r="E962" s="23">
        <v>2025</v>
      </c>
      <c r="F962" s="15" t="s">
        <v>3305</v>
      </c>
      <c r="G962" s="15" t="s">
        <v>3308</v>
      </c>
      <c r="H962" s="23" t="s">
        <v>58</v>
      </c>
    </row>
    <row r="963" spans="1:8" ht="54.95" customHeight="1" x14ac:dyDescent="0.2">
      <c r="A963" s="23" t="s">
        <v>653</v>
      </c>
      <c r="B963" s="23" t="s">
        <v>7</v>
      </c>
      <c r="C963" s="23" t="s">
        <v>46</v>
      </c>
      <c r="D963" s="23">
        <v>11.35731338233359</v>
      </c>
      <c r="E963" s="23">
        <v>2025</v>
      </c>
      <c r="F963" s="15" t="s">
        <v>3305</v>
      </c>
      <c r="G963" s="15" t="s">
        <v>3308</v>
      </c>
      <c r="H963" s="23" t="s">
        <v>58</v>
      </c>
    </row>
    <row r="964" spans="1:8" ht="54.95" customHeight="1" x14ac:dyDescent="0.2">
      <c r="A964" s="23" t="s">
        <v>653</v>
      </c>
      <c r="B964" s="23" t="s">
        <v>8</v>
      </c>
      <c r="C964" s="23" t="s">
        <v>46</v>
      </c>
      <c r="D964" s="23">
        <v>10.437681322881616</v>
      </c>
      <c r="E964" s="23">
        <v>2025</v>
      </c>
      <c r="F964" s="15" t="s">
        <v>3305</v>
      </c>
      <c r="G964" s="15" t="s">
        <v>3308</v>
      </c>
      <c r="H964" s="23" t="s">
        <v>58</v>
      </c>
    </row>
    <row r="965" spans="1:8" ht="54.95" customHeight="1" x14ac:dyDescent="0.2">
      <c r="A965" s="23" t="s">
        <v>653</v>
      </c>
      <c r="B965" s="23" t="s">
        <v>9</v>
      </c>
      <c r="C965" s="23" t="s">
        <v>46</v>
      </c>
      <c r="D965" s="23">
        <v>17.689030083150055</v>
      </c>
      <c r="E965" s="23">
        <v>2025</v>
      </c>
      <c r="F965" s="15" t="s">
        <v>3305</v>
      </c>
      <c r="G965" s="15" t="s">
        <v>3308</v>
      </c>
      <c r="H965" s="23" t="s">
        <v>58</v>
      </c>
    </row>
    <row r="966" spans="1:8" ht="54.95" customHeight="1" x14ac:dyDescent="0.2">
      <c r="A966" s="23" t="s">
        <v>653</v>
      </c>
      <c r="B966" s="23" t="s">
        <v>10</v>
      </c>
      <c r="C966" s="23" t="s">
        <v>3598</v>
      </c>
      <c r="D966" s="23">
        <v>17.019098821362107</v>
      </c>
      <c r="E966" s="23">
        <v>2025</v>
      </c>
      <c r="F966" s="15" t="s">
        <v>3305</v>
      </c>
      <c r="G966" s="15" t="s">
        <v>3308</v>
      </c>
      <c r="H966" s="23" t="s">
        <v>58</v>
      </c>
    </row>
    <row r="967" spans="1:8" ht="54.95" customHeight="1" x14ac:dyDescent="0.2">
      <c r="A967" s="23" t="s">
        <v>653</v>
      </c>
      <c r="B967" s="23" t="s">
        <v>5</v>
      </c>
      <c r="C967" s="23" t="s">
        <v>3599</v>
      </c>
      <c r="D967" s="23">
        <v>319.18200000000002</v>
      </c>
      <c r="E967" s="23">
        <v>2025</v>
      </c>
      <c r="F967" s="15" t="s">
        <v>3305</v>
      </c>
      <c r="G967" s="15" t="s">
        <v>3311</v>
      </c>
      <c r="H967" s="23" t="s">
        <v>58</v>
      </c>
    </row>
    <row r="968" spans="1:8" ht="54.95" customHeight="1" x14ac:dyDescent="0.2">
      <c r="A968" s="23" t="s">
        <v>666</v>
      </c>
      <c r="B968" s="23" t="s">
        <v>11</v>
      </c>
      <c r="C968" s="23" t="s">
        <v>46</v>
      </c>
      <c r="D968" s="23">
        <v>56187.879137007563</v>
      </c>
      <c r="E968" s="23">
        <v>2025</v>
      </c>
      <c r="F968" s="15" t="s">
        <v>3299</v>
      </c>
      <c r="G968" s="15" t="s">
        <v>3300</v>
      </c>
      <c r="H968" s="23" t="s">
        <v>58</v>
      </c>
    </row>
    <row r="969" spans="1:8" ht="54.95" customHeight="1" x14ac:dyDescent="0.2">
      <c r="A969" s="23" t="s">
        <v>666</v>
      </c>
      <c r="B969" s="23" t="s">
        <v>13</v>
      </c>
      <c r="C969" s="23" t="s">
        <v>46</v>
      </c>
      <c r="D969" s="23">
        <v>55092.308252917152</v>
      </c>
      <c r="E969" s="23">
        <v>2025</v>
      </c>
      <c r="F969" s="15" t="s">
        <v>3302</v>
      </c>
      <c r="G969" s="15" t="s">
        <v>3300</v>
      </c>
      <c r="H969" s="23" t="s">
        <v>58</v>
      </c>
    </row>
    <row r="970" spans="1:8" ht="54.95" customHeight="1" x14ac:dyDescent="0.2">
      <c r="A970" s="23" t="s">
        <v>666</v>
      </c>
      <c r="B970" s="23" t="s">
        <v>14</v>
      </c>
      <c r="C970" s="23" t="s">
        <v>46</v>
      </c>
      <c r="D970" s="23">
        <v>0</v>
      </c>
      <c r="E970" s="23">
        <v>2025</v>
      </c>
      <c r="F970" s="15" t="s">
        <v>3304</v>
      </c>
      <c r="G970" s="15" t="s">
        <v>3300</v>
      </c>
      <c r="H970" s="23" t="s">
        <v>58</v>
      </c>
    </row>
    <row r="971" spans="1:8" ht="54.95" customHeight="1" x14ac:dyDescent="0.2">
      <c r="A971" s="23" t="s">
        <v>666</v>
      </c>
      <c r="B971" s="23" t="s">
        <v>3</v>
      </c>
      <c r="C971" s="23" t="s">
        <v>3600</v>
      </c>
      <c r="D971" s="23">
        <v>93430.871004000001</v>
      </c>
      <c r="E971" s="23">
        <v>2024</v>
      </c>
      <c r="F971" s="15" t="s">
        <v>3316</v>
      </c>
      <c r="G971" s="15" t="s">
        <v>3317</v>
      </c>
      <c r="H971" s="23" t="s">
        <v>58</v>
      </c>
    </row>
    <row r="972" spans="1:8" ht="54.95" customHeight="1" x14ac:dyDescent="0.2">
      <c r="A972" s="23" t="s">
        <v>666</v>
      </c>
      <c r="B972" s="23" t="s">
        <v>6</v>
      </c>
      <c r="C972" s="23" t="s">
        <v>46</v>
      </c>
      <c r="D972" s="23">
        <v>43.500619006602193</v>
      </c>
      <c r="E972" s="23">
        <v>2024</v>
      </c>
      <c r="F972" s="15" t="s">
        <v>3319</v>
      </c>
      <c r="G972" s="15" t="s">
        <v>3320</v>
      </c>
      <c r="H972" s="23" t="s">
        <v>58</v>
      </c>
    </row>
    <row r="973" spans="1:8" ht="54.95" customHeight="1" x14ac:dyDescent="0.2">
      <c r="A973" s="23" t="s">
        <v>666</v>
      </c>
      <c r="B973" s="23" t="s">
        <v>7</v>
      </c>
      <c r="C973" s="23" t="s">
        <v>46</v>
      </c>
      <c r="D973" s="23">
        <v>26.970238454612279</v>
      </c>
      <c r="E973" s="23">
        <v>2024</v>
      </c>
      <c r="F973" s="15" t="s">
        <v>3322</v>
      </c>
      <c r="G973" s="15" t="s">
        <v>3320</v>
      </c>
      <c r="H973" s="23" t="s">
        <v>58</v>
      </c>
    </row>
    <row r="974" spans="1:8" ht="54.95" customHeight="1" x14ac:dyDescent="0.2">
      <c r="A974" s="23" t="s">
        <v>666</v>
      </c>
      <c r="B974" s="23" t="s">
        <v>8</v>
      </c>
      <c r="C974" s="23" t="s">
        <v>46</v>
      </c>
      <c r="D974" s="23">
        <v>22.91876790818235</v>
      </c>
      <c r="E974" s="23">
        <v>2024</v>
      </c>
      <c r="F974" s="15" t="s">
        <v>3324</v>
      </c>
      <c r="G974" s="15" t="s">
        <v>3320</v>
      </c>
      <c r="H974" s="23" t="s">
        <v>58</v>
      </c>
    </row>
    <row r="975" spans="1:8" ht="54.95" customHeight="1" x14ac:dyDescent="0.2">
      <c r="A975" s="23" t="s">
        <v>666</v>
      </c>
      <c r="B975" s="23" t="s">
        <v>9</v>
      </c>
      <c r="C975" s="23" t="s">
        <v>46</v>
      </c>
      <c r="D975" s="23">
        <v>4.6193652254566109</v>
      </c>
      <c r="E975" s="23">
        <v>2024</v>
      </c>
      <c r="F975" s="15" t="s">
        <v>3325</v>
      </c>
      <c r="G975" s="15" t="s">
        <v>3320</v>
      </c>
      <c r="H975" s="23" t="s">
        <v>58</v>
      </c>
    </row>
    <row r="976" spans="1:8" ht="54.95" customHeight="1" x14ac:dyDescent="0.2">
      <c r="A976" s="23" t="s">
        <v>666</v>
      </c>
      <c r="B976" s="23" t="s">
        <v>10</v>
      </c>
      <c r="C976" s="23" t="s">
        <v>46</v>
      </c>
      <c r="D976" s="23">
        <v>0.45994875289303683</v>
      </c>
      <c r="E976" s="23">
        <v>2024</v>
      </c>
      <c r="F976" s="15" t="s">
        <v>3326</v>
      </c>
      <c r="G976" s="15" t="s">
        <v>3320</v>
      </c>
      <c r="H976" s="23" t="s">
        <v>58</v>
      </c>
    </row>
    <row r="977" spans="1:8" ht="54.95" customHeight="1" x14ac:dyDescent="0.2">
      <c r="A977" s="23" t="s">
        <v>666</v>
      </c>
      <c r="B977" s="23" t="s">
        <v>5</v>
      </c>
      <c r="C977" s="23" t="s">
        <v>3601</v>
      </c>
      <c r="D977" s="23">
        <v>34.195698787464003</v>
      </c>
      <c r="E977" s="23">
        <v>2024</v>
      </c>
      <c r="F977" s="15" t="s">
        <v>3316</v>
      </c>
      <c r="G977" s="15" t="s">
        <v>3311</v>
      </c>
      <c r="H977" s="23" t="s">
        <v>58</v>
      </c>
    </row>
    <row r="978" spans="1:8" ht="54.95" customHeight="1" x14ac:dyDescent="0.2">
      <c r="A978" s="23" t="s">
        <v>672</v>
      </c>
      <c r="B978" s="23" t="s">
        <v>11</v>
      </c>
      <c r="C978" s="23" t="s">
        <v>46</v>
      </c>
      <c r="D978" s="23">
        <v>13225.429227969864</v>
      </c>
      <c r="E978" s="23">
        <v>2025</v>
      </c>
      <c r="F978" s="15" t="s">
        <v>3299</v>
      </c>
      <c r="G978" s="15" t="s">
        <v>3300</v>
      </c>
      <c r="H978" s="23" t="s">
        <v>58</v>
      </c>
    </row>
    <row r="979" spans="1:8" ht="54.95" customHeight="1" x14ac:dyDescent="0.2">
      <c r="A979" s="23" t="s">
        <v>672</v>
      </c>
      <c r="B979" s="23" t="s">
        <v>13</v>
      </c>
      <c r="C979" s="23" t="s">
        <v>46</v>
      </c>
      <c r="D979" s="23">
        <v>11480.917808219179</v>
      </c>
      <c r="E979" s="23">
        <v>2025</v>
      </c>
      <c r="F979" s="15" t="s">
        <v>3302</v>
      </c>
      <c r="G979" s="15" t="s">
        <v>3300</v>
      </c>
      <c r="H979" s="23" t="s">
        <v>58</v>
      </c>
    </row>
    <row r="980" spans="1:8" ht="54.95" customHeight="1" x14ac:dyDescent="0.2">
      <c r="A980" s="23" t="s">
        <v>672</v>
      </c>
      <c r="B980" s="23" t="s">
        <v>14</v>
      </c>
      <c r="C980" s="23" t="s">
        <v>46</v>
      </c>
      <c r="D980" s="23">
        <v>0</v>
      </c>
      <c r="E980" s="23">
        <v>2025</v>
      </c>
      <c r="F980" s="15" t="s">
        <v>3304</v>
      </c>
      <c r="G980" s="15" t="s">
        <v>3300</v>
      </c>
      <c r="H980" s="23" t="s">
        <v>58</v>
      </c>
    </row>
    <row r="981" spans="1:8" ht="54.95" customHeight="1" x14ac:dyDescent="0.2">
      <c r="A981" s="23" t="s">
        <v>672</v>
      </c>
      <c r="B981" s="23" t="s">
        <v>3</v>
      </c>
      <c r="C981" s="23" t="s">
        <v>3602</v>
      </c>
      <c r="D981" s="23">
        <v>78982.610958904115</v>
      </c>
      <c r="E981" s="23">
        <v>2025</v>
      </c>
      <c r="F981" s="15" t="s">
        <v>3305</v>
      </c>
      <c r="G981" s="15" t="s">
        <v>3306</v>
      </c>
      <c r="H981" s="23" t="s">
        <v>58</v>
      </c>
    </row>
    <row r="982" spans="1:8" ht="54.95" customHeight="1" x14ac:dyDescent="0.2">
      <c r="A982" s="23" t="s">
        <v>672</v>
      </c>
      <c r="B982" s="23" t="s">
        <v>6</v>
      </c>
      <c r="C982" s="23" t="s">
        <v>46</v>
      </c>
      <c r="D982" s="23">
        <v>55.583866509475833</v>
      </c>
      <c r="E982" s="23">
        <v>2025</v>
      </c>
      <c r="F982" s="15" t="s">
        <v>3305</v>
      </c>
      <c r="G982" s="15" t="s">
        <v>3308</v>
      </c>
      <c r="H982" s="23" t="s">
        <v>58</v>
      </c>
    </row>
    <row r="983" spans="1:8" ht="54.95" customHeight="1" x14ac:dyDescent="0.2">
      <c r="A983" s="23" t="s">
        <v>672</v>
      </c>
      <c r="B983" s="23" t="s">
        <v>7</v>
      </c>
      <c r="C983" s="23" t="s">
        <v>46</v>
      </c>
      <c r="D983" s="23">
        <v>15.74006943716725</v>
      </c>
      <c r="E983" s="23">
        <v>2025</v>
      </c>
      <c r="F983" s="15" t="s">
        <v>3305</v>
      </c>
      <c r="G983" s="15" t="s">
        <v>3308</v>
      </c>
      <c r="H983" s="23" t="s">
        <v>58</v>
      </c>
    </row>
    <row r="984" spans="1:8" ht="54.95" customHeight="1" x14ac:dyDescent="0.2">
      <c r="A984" s="23" t="s">
        <v>672</v>
      </c>
      <c r="B984" s="23" t="s">
        <v>8</v>
      </c>
      <c r="C984" s="23" t="s">
        <v>46</v>
      </c>
      <c r="D984" s="23">
        <v>3.9432990504273646</v>
      </c>
      <c r="E984" s="23">
        <v>2025</v>
      </c>
      <c r="F984" s="15" t="s">
        <v>3305</v>
      </c>
      <c r="G984" s="15" t="s">
        <v>3308</v>
      </c>
      <c r="H984" s="23" t="s">
        <v>58</v>
      </c>
    </row>
    <row r="985" spans="1:8" ht="54.95" customHeight="1" x14ac:dyDescent="0.2">
      <c r="A985" s="23" t="s">
        <v>672</v>
      </c>
      <c r="B985" s="23" t="s">
        <v>9</v>
      </c>
      <c r="C985" s="23" t="s">
        <v>46</v>
      </c>
      <c r="D985" s="23" t="s">
        <v>46</v>
      </c>
      <c r="E985" s="23">
        <v>2025</v>
      </c>
      <c r="F985" s="15" t="s">
        <v>3305</v>
      </c>
      <c r="G985" s="15" t="s">
        <v>3357</v>
      </c>
      <c r="H985" s="23" t="s">
        <v>58</v>
      </c>
    </row>
    <row r="986" spans="1:8" ht="54.95" customHeight="1" x14ac:dyDescent="0.2">
      <c r="A986" s="23" t="s">
        <v>672</v>
      </c>
      <c r="B986" s="23" t="s">
        <v>10</v>
      </c>
      <c r="C986" s="23" t="s">
        <v>46</v>
      </c>
      <c r="D986" s="23">
        <v>2.7743231707704137</v>
      </c>
      <c r="E986" s="23">
        <v>2025</v>
      </c>
      <c r="F986" s="15" t="s">
        <v>3305</v>
      </c>
      <c r="G986" s="15" t="s">
        <v>3308</v>
      </c>
      <c r="H986" s="23" t="s">
        <v>58</v>
      </c>
    </row>
    <row r="987" spans="1:8" ht="54.95" customHeight="1" x14ac:dyDescent="0.2">
      <c r="A987" s="23" t="s">
        <v>672</v>
      </c>
      <c r="B987" s="23" t="s">
        <v>5</v>
      </c>
      <c r="C987" s="23" t="s">
        <v>3603</v>
      </c>
      <c r="D987" s="23">
        <v>28.828653000000003</v>
      </c>
      <c r="E987" s="23">
        <v>2025</v>
      </c>
      <c r="F987" s="15" t="s">
        <v>3305</v>
      </c>
      <c r="G987" s="15" t="s">
        <v>3311</v>
      </c>
      <c r="H987" s="23" t="s">
        <v>58</v>
      </c>
    </row>
    <row r="988" spans="1:8" ht="54.95" customHeight="1" x14ac:dyDescent="0.2">
      <c r="A988" s="23" t="s">
        <v>678</v>
      </c>
      <c r="B988" s="23" t="s">
        <v>11</v>
      </c>
      <c r="C988" s="23" t="s">
        <v>46</v>
      </c>
      <c r="D988" s="23">
        <v>0</v>
      </c>
      <c r="E988" s="23">
        <v>2025</v>
      </c>
      <c r="F988" s="15" t="s">
        <v>3299</v>
      </c>
      <c r="G988" s="15" t="s">
        <v>3300</v>
      </c>
      <c r="H988" s="23" t="s">
        <v>58</v>
      </c>
    </row>
    <row r="989" spans="1:8" ht="54.95" customHeight="1" x14ac:dyDescent="0.2">
      <c r="A989" s="23" t="s">
        <v>678</v>
      </c>
      <c r="B989" s="23" t="s">
        <v>13</v>
      </c>
      <c r="C989" s="23" t="s">
        <v>46</v>
      </c>
      <c r="D989" s="23">
        <v>0</v>
      </c>
      <c r="E989" s="23">
        <v>2025</v>
      </c>
      <c r="F989" s="15" t="s">
        <v>3302</v>
      </c>
      <c r="G989" s="15" t="s">
        <v>3300</v>
      </c>
      <c r="H989" s="23" t="s">
        <v>58</v>
      </c>
    </row>
    <row r="990" spans="1:8" ht="54.95" customHeight="1" x14ac:dyDescent="0.2">
      <c r="A990" s="23" t="s">
        <v>678</v>
      </c>
      <c r="B990" s="23" t="s">
        <v>14</v>
      </c>
      <c r="C990" s="23" t="s">
        <v>46</v>
      </c>
      <c r="D990" s="23">
        <v>0</v>
      </c>
      <c r="E990" s="23">
        <v>2025</v>
      </c>
      <c r="F990" s="15" t="s">
        <v>3304</v>
      </c>
      <c r="G990" s="15" t="s">
        <v>3300</v>
      </c>
      <c r="H990" s="23" t="s">
        <v>58</v>
      </c>
    </row>
    <row r="991" spans="1:8" ht="54.95" customHeight="1" x14ac:dyDescent="0.2">
      <c r="A991" s="23" t="s">
        <v>678</v>
      </c>
      <c r="B991" s="23" t="s">
        <v>3</v>
      </c>
      <c r="C991" s="23" t="s">
        <v>46</v>
      </c>
      <c r="D991" s="23">
        <v>46484.613400000002</v>
      </c>
      <c r="E991" s="23">
        <v>2024</v>
      </c>
      <c r="F991" s="15" t="s">
        <v>3316</v>
      </c>
      <c r="G991" s="15" t="s">
        <v>3317</v>
      </c>
      <c r="H991" s="23" t="s">
        <v>58</v>
      </c>
    </row>
    <row r="992" spans="1:8" ht="54.95" customHeight="1" x14ac:dyDescent="0.2">
      <c r="A992" s="23" t="s">
        <v>678</v>
      </c>
      <c r="B992" s="23" t="s">
        <v>6</v>
      </c>
      <c r="C992" s="23" t="s">
        <v>46</v>
      </c>
      <c r="D992" s="23">
        <v>51.330052795491241</v>
      </c>
      <c r="E992" s="23">
        <v>2024</v>
      </c>
      <c r="F992" s="15" t="s">
        <v>3319</v>
      </c>
      <c r="G992" s="15" t="s">
        <v>3320</v>
      </c>
      <c r="H992" s="23" t="s">
        <v>58</v>
      </c>
    </row>
    <row r="993" spans="1:8" ht="54.95" customHeight="1" x14ac:dyDescent="0.2">
      <c r="A993" s="23" t="s">
        <v>678</v>
      </c>
      <c r="B993" s="23" t="s">
        <v>7</v>
      </c>
      <c r="C993" s="23" t="s">
        <v>46</v>
      </c>
      <c r="D993" s="23">
        <v>31.227039655233536</v>
      </c>
      <c r="E993" s="23">
        <v>2024</v>
      </c>
      <c r="F993" s="15" t="s">
        <v>3322</v>
      </c>
      <c r="G993" s="15" t="s">
        <v>3320</v>
      </c>
      <c r="H993" s="23" t="s">
        <v>58</v>
      </c>
    </row>
    <row r="994" spans="1:8" ht="54.95" customHeight="1" x14ac:dyDescent="0.2">
      <c r="A994" s="23" t="s">
        <v>678</v>
      </c>
      <c r="B994" s="23" t="s">
        <v>8</v>
      </c>
      <c r="C994" s="23" t="s">
        <v>46</v>
      </c>
      <c r="D994" s="23">
        <v>1.0721574894285344</v>
      </c>
      <c r="E994" s="23">
        <v>2024</v>
      </c>
      <c r="F994" s="15" t="s">
        <v>3324</v>
      </c>
      <c r="G994" s="15" t="s">
        <v>3320</v>
      </c>
      <c r="H994" s="23" t="s">
        <v>58</v>
      </c>
    </row>
    <row r="995" spans="1:8" ht="54.95" customHeight="1" x14ac:dyDescent="0.2">
      <c r="A995" s="23" t="s">
        <v>678</v>
      </c>
      <c r="B995" s="23" t="s">
        <v>9</v>
      </c>
      <c r="C995" s="23" t="s">
        <v>46</v>
      </c>
      <c r="D995" s="23">
        <v>2.8685613205508558</v>
      </c>
      <c r="E995" s="23">
        <v>2024</v>
      </c>
      <c r="F995" s="15" t="s">
        <v>3325</v>
      </c>
      <c r="G995" s="15" t="s">
        <v>3320</v>
      </c>
      <c r="H995" s="23" t="s">
        <v>58</v>
      </c>
    </row>
    <row r="996" spans="1:8" ht="54.95" customHeight="1" x14ac:dyDescent="0.2">
      <c r="A996" s="23" t="s">
        <v>678</v>
      </c>
      <c r="B996" s="23" t="s">
        <v>10</v>
      </c>
      <c r="C996" s="23" t="s">
        <v>46</v>
      </c>
      <c r="D996" s="23">
        <v>13.19645351078686</v>
      </c>
      <c r="E996" s="23">
        <v>2024</v>
      </c>
      <c r="F996" s="15" t="s">
        <v>3326</v>
      </c>
      <c r="G996" s="15" t="s">
        <v>3320</v>
      </c>
      <c r="H996" s="23" t="s">
        <v>58</v>
      </c>
    </row>
    <row r="997" spans="1:8" ht="54.95" customHeight="1" x14ac:dyDescent="0.2">
      <c r="A997" s="23" t="s">
        <v>678</v>
      </c>
      <c r="B997" s="23" t="s">
        <v>5</v>
      </c>
      <c r="C997" s="23" t="s">
        <v>46</v>
      </c>
      <c r="D997" s="23">
        <v>17.013368504399999</v>
      </c>
      <c r="E997" s="23">
        <v>2024</v>
      </c>
      <c r="F997" s="15" t="s">
        <v>3316</v>
      </c>
      <c r="G997" s="15" t="s">
        <v>3311</v>
      </c>
      <c r="H997" s="23" t="s">
        <v>58</v>
      </c>
    </row>
    <row r="998" spans="1:8" ht="54.95" customHeight="1" x14ac:dyDescent="0.2">
      <c r="A998" s="23" t="s">
        <v>684</v>
      </c>
      <c r="B998" s="23" t="s">
        <v>11</v>
      </c>
      <c r="C998" s="23" t="s">
        <v>46</v>
      </c>
      <c r="D998" s="23">
        <v>100000</v>
      </c>
      <c r="E998" s="23">
        <v>2025</v>
      </c>
      <c r="F998" s="15" t="s">
        <v>3299</v>
      </c>
      <c r="G998" s="15" t="s">
        <v>3300</v>
      </c>
      <c r="H998" s="23" t="s">
        <v>58</v>
      </c>
    </row>
    <row r="999" spans="1:8" ht="54.95" customHeight="1" x14ac:dyDescent="0.2">
      <c r="A999" s="23" t="s">
        <v>684</v>
      </c>
      <c r="B999" s="23" t="s">
        <v>13</v>
      </c>
      <c r="C999" s="23" t="s">
        <v>46</v>
      </c>
      <c r="D999" s="23">
        <v>100000</v>
      </c>
      <c r="E999" s="23">
        <v>2025</v>
      </c>
      <c r="F999" s="15" t="s">
        <v>3302</v>
      </c>
      <c r="G999" s="15" t="s">
        <v>3300</v>
      </c>
      <c r="H999" s="23" t="s">
        <v>58</v>
      </c>
    </row>
    <row r="1000" spans="1:8" ht="54.95" customHeight="1" x14ac:dyDescent="0.2">
      <c r="A1000" s="23" t="s">
        <v>684</v>
      </c>
      <c r="B1000" s="23" t="s">
        <v>14</v>
      </c>
      <c r="C1000" s="23" t="s">
        <v>46</v>
      </c>
      <c r="D1000" s="23">
        <v>0</v>
      </c>
      <c r="E1000" s="23">
        <v>2025</v>
      </c>
      <c r="F1000" s="15" t="s">
        <v>3304</v>
      </c>
      <c r="G1000" s="15" t="s">
        <v>3300</v>
      </c>
      <c r="H1000" s="23" t="s">
        <v>58</v>
      </c>
    </row>
    <row r="1001" spans="1:8" ht="54.95" customHeight="1" x14ac:dyDescent="0.2">
      <c r="A1001" s="23" t="s">
        <v>684</v>
      </c>
      <c r="B1001" s="23" t="s">
        <v>3</v>
      </c>
      <c r="C1001" s="23" t="s">
        <v>3604</v>
      </c>
      <c r="D1001" s="23">
        <v>76454.420768000011</v>
      </c>
      <c r="E1001" s="23">
        <v>2024</v>
      </c>
      <c r="F1001" s="15" t="s">
        <v>3316</v>
      </c>
      <c r="G1001" s="15" t="s">
        <v>3317</v>
      </c>
      <c r="H1001" s="23" t="s">
        <v>58</v>
      </c>
    </row>
    <row r="1002" spans="1:8" ht="54.95" customHeight="1" x14ac:dyDescent="0.2">
      <c r="A1002" s="23" t="s">
        <v>684</v>
      </c>
      <c r="B1002" s="23" t="s">
        <v>6</v>
      </c>
      <c r="C1002" s="23" t="s">
        <v>46</v>
      </c>
      <c r="D1002" s="23">
        <v>42.025870770115461</v>
      </c>
      <c r="E1002" s="23">
        <v>2024</v>
      </c>
      <c r="F1002" s="15" t="s">
        <v>3319</v>
      </c>
      <c r="G1002" s="15" t="s">
        <v>3320</v>
      </c>
      <c r="H1002" s="23" t="s">
        <v>58</v>
      </c>
    </row>
    <row r="1003" spans="1:8" ht="54.95" customHeight="1" x14ac:dyDescent="0.2">
      <c r="A1003" s="23" t="s">
        <v>684</v>
      </c>
      <c r="B1003" s="23" t="s">
        <v>7</v>
      </c>
      <c r="C1003" s="23" t="s">
        <v>46</v>
      </c>
      <c r="D1003" s="23">
        <v>10.800345277687473</v>
      </c>
      <c r="E1003" s="23">
        <v>2024</v>
      </c>
      <c r="F1003" s="15" t="s">
        <v>3322</v>
      </c>
      <c r="G1003" s="15" t="s">
        <v>3320</v>
      </c>
      <c r="H1003" s="23" t="s">
        <v>58</v>
      </c>
    </row>
    <row r="1004" spans="1:8" ht="54.95" customHeight="1" x14ac:dyDescent="0.2">
      <c r="A1004" s="23" t="s">
        <v>684</v>
      </c>
      <c r="B1004" s="23" t="s">
        <v>8</v>
      </c>
      <c r="C1004" s="23" t="s">
        <v>46</v>
      </c>
      <c r="D1004" s="23">
        <v>9.1530526916619799</v>
      </c>
      <c r="E1004" s="23">
        <v>2024</v>
      </c>
      <c r="F1004" s="15" t="s">
        <v>3324</v>
      </c>
      <c r="G1004" s="15" t="s">
        <v>3320</v>
      </c>
      <c r="H1004" s="23" t="s">
        <v>58</v>
      </c>
    </row>
    <row r="1005" spans="1:8" ht="54.95" customHeight="1" x14ac:dyDescent="0.2">
      <c r="A1005" s="23" t="s">
        <v>684</v>
      </c>
      <c r="B1005" s="23" t="s">
        <v>9</v>
      </c>
      <c r="C1005" s="23" t="s">
        <v>46</v>
      </c>
      <c r="D1005" s="23">
        <v>6.4900428440323923</v>
      </c>
      <c r="E1005" s="23">
        <v>2024</v>
      </c>
      <c r="F1005" s="15" t="s">
        <v>3325</v>
      </c>
      <c r="G1005" s="15" t="s">
        <v>3320</v>
      </c>
      <c r="H1005" s="23" t="s">
        <v>58</v>
      </c>
    </row>
    <row r="1006" spans="1:8" ht="54.95" customHeight="1" x14ac:dyDescent="0.2">
      <c r="A1006" s="23" t="s">
        <v>684</v>
      </c>
      <c r="B1006" s="23" t="s">
        <v>10</v>
      </c>
      <c r="C1006" s="23" t="s">
        <v>46</v>
      </c>
      <c r="D1006" s="23">
        <v>31.16405250430266</v>
      </c>
      <c r="E1006" s="23">
        <v>2024</v>
      </c>
      <c r="F1006" s="15" t="s">
        <v>3326</v>
      </c>
      <c r="G1006" s="15" t="s">
        <v>3320</v>
      </c>
      <c r="H1006" s="23" t="s">
        <v>58</v>
      </c>
    </row>
    <row r="1007" spans="1:8" ht="54.95" customHeight="1" x14ac:dyDescent="0.2">
      <c r="A1007" s="23" t="s">
        <v>684</v>
      </c>
      <c r="B1007" s="23" t="s">
        <v>5</v>
      </c>
      <c r="C1007" s="23" t="s">
        <v>3605</v>
      </c>
      <c r="D1007" s="23">
        <v>27.982318001088004</v>
      </c>
      <c r="E1007" s="23">
        <v>2024</v>
      </c>
      <c r="F1007" s="15" t="s">
        <v>3316</v>
      </c>
      <c r="G1007" s="15" t="s">
        <v>3311</v>
      </c>
      <c r="H1007" s="23" t="s">
        <v>58</v>
      </c>
    </row>
    <row r="1008" spans="1:8" ht="54.95" customHeight="1" x14ac:dyDescent="0.2">
      <c r="A1008" s="23" t="s">
        <v>690</v>
      </c>
      <c r="B1008" s="23" t="s">
        <v>11</v>
      </c>
      <c r="C1008" s="23" t="s">
        <v>46</v>
      </c>
      <c r="D1008" s="23">
        <v>1675089.5032732666</v>
      </c>
      <c r="E1008" s="23">
        <v>2025</v>
      </c>
      <c r="F1008" s="15" t="s">
        <v>3299</v>
      </c>
      <c r="G1008" s="15" t="s">
        <v>3300</v>
      </c>
      <c r="H1008" s="23" t="s">
        <v>58</v>
      </c>
    </row>
    <row r="1009" spans="1:8" ht="54.95" customHeight="1" x14ac:dyDescent="0.2">
      <c r="A1009" s="23" t="s">
        <v>690</v>
      </c>
      <c r="B1009" s="23" t="s">
        <v>13</v>
      </c>
      <c r="C1009" s="23" t="s">
        <v>46</v>
      </c>
      <c r="D1009" s="23">
        <v>1605414.2781736976</v>
      </c>
      <c r="E1009" s="23">
        <v>2025</v>
      </c>
      <c r="F1009" s="15" t="s">
        <v>3302</v>
      </c>
      <c r="G1009" s="15" t="s">
        <v>3300</v>
      </c>
      <c r="H1009" s="23" t="s">
        <v>58</v>
      </c>
    </row>
    <row r="1010" spans="1:8" ht="54.95" customHeight="1" x14ac:dyDescent="0.2">
      <c r="A1010" s="23" t="s">
        <v>690</v>
      </c>
      <c r="B1010" s="23" t="s">
        <v>14</v>
      </c>
      <c r="C1010" s="23" t="s">
        <v>46</v>
      </c>
      <c r="D1010" s="23">
        <v>56178.187253744502</v>
      </c>
      <c r="E1010" s="23">
        <v>2025</v>
      </c>
      <c r="F1010" s="15" t="s">
        <v>3304</v>
      </c>
      <c r="G1010" s="15" t="s">
        <v>3300</v>
      </c>
      <c r="H1010" s="23" t="s">
        <v>58</v>
      </c>
    </row>
    <row r="1011" spans="1:8" ht="54.95" customHeight="1" x14ac:dyDescent="0.2">
      <c r="A1011" s="23" t="s">
        <v>690</v>
      </c>
      <c r="B1011" s="23" t="s">
        <v>3</v>
      </c>
      <c r="C1011" s="23" t="s">
        <v>3606</v>
      </c>
      <c r="D1011" s="23">
        <v>602756.1643835617</v>
      </c>
      <c r="E1011" s="23">
        <v>2025</v>
      </c>
      <c r="F1011" s="15" t="s">
        <v>3305</v>
      </c>
      <c r="G1011" s="15" t="s">
        <v>3306</v>
      </c>
      <c r="H1011" s="23" t="s">
        <v>58</v>
      </c>
    </row>
    <row r="1012" spans="1:8" ht="54.95" customHeight="1" x14ac:dyDescent="0.2">
      <c r="A1012" s="23" t="s">
        <v>690</v>
      </c>
      <c r="B1012" s="23" t="s">
        <v>6</v>
      </c>
      <c r="C1012" s="23" t="s">
        <v>46</v>
      </c>
      <c r="D1012" s="23">
        <v>20.490350263174641</v>
      </c>
      <c r="E1012" s="23">
        <v>2025</v>
      </c>
      <c r="F1012" s="15" t="s">
        <v>3305</v>
      </c>
      <c r="G1012" s="15" t="s">
        <v>3308</v>
      </c>
      <c r="H1012" s="23" t="s">
        <v>58</v>
      </c>
    </row>
    <row r="1013" spans="1:8" ht="54.95" customHeight="1" x14ac:dyDescent="0.2">
      <c r="A1013" s="23" t="s">
        <v>690</v>
      </c>
      <c r="B1013" s="23" t="s">
        <v>7</v>
      </c>
      <c r="C1013" s="23" t="s">
        <v>46</v>
      </c>
      <c r="D1013" s="23">
        <v>58.5984018617674</v>
      </c>
      <c r="E1013" s="23">
        <v>2025</v>
      </c>
      <c r="F1013" s="15" t="s">
        <v>3305</v>
      </c>
      <c r="G1013" s="15" t="s">
        <v>3308</v>
      </c>
      <c r="H1013" s="23" t="s">
        <v>58</v>
      </c>
    </row>
    <row r="1014" spans="1:8" ht="54.95" customHeight="1" x14ac:dyDescent="0.2">
      <c r="A1014" s="23" t="s">
        <v>690</v>
      </c>
      <c r="B1014" s="23" t="s">
        <v>8</v>
      </c>
      <c r="C1014" s="23" t="s">
        <v>46</v>
      </c>
      <c r="D1014" s="23">
        <v>9.6797360071998035</v>
      </c>
      <c r="E1014" s="23">
        <v>2025</v>
      </c>
      <c r="F1014" s="15" t="s">
        <v>3305</v>
      </c>
      <c r="G1014" s="15" t="s">
        <v>3308</v>
      </c>
      <c r="H1014" s="23" t="s">
        <v>58</v>
      </c>
    </row>
    <row r="1015" spans="1:8" ht="54.95" customHeight="1" x14ac:dyDescent="0.2">
      <c r="A1015" s="23" t="s">
        <v>690</v>
      </c>
      <c r="B1015" s="23" t="s">
        <v>9</v>
      </c>
      <c r="C1015" s="23" t="s">
        <v>46</v>
      </c>
      <c r="D1015" s="23">
        <v>6.1252874921593055</v>
      </c>
      <c r="E1015" s="23">
        <v>2025</v>
      </c>
      <c r="F1015" s="15" t="s">
        <v>3305</v>
      </c>
      <c r="G1015" s="15" t="s">
        <v>3308</v>
      </c>
      <c r="H1015" s="23" t="s">
        <v>58</v>
      </c>
    </row>
    <row r="1016" spans="1:8" ht="54.95" customHeight="1" x14ac:dyDescent="0.2">
      <c r="A1016" s="23" t="s">
        <v>690</v>
      </c>
      <c r="B1016" s="23" t="s">
        <v>10</v>
      </c>
      <c r="C1016" s="23" t="s">
        <v>46</v>
      </c>
      <c r="D1016" s="23">
        <v>1.599047298710035</v>
      </c>
      <c r="E1016" s="23">
        <v>2025</v>
      </c>
      <c r="F1016" s="15" t="s">
        <v>3305</v>
      </c>
      <c r="G1016" s="15" t="s">
        <v>3308</v>
      </c>
      <c r="H1016" s="23" t="s">
        <v>58</v>
      </c>
    </row>
    <row r="1017" spans="1:8" ht="54.95" customHeight="1" x14ac:dyDescent="0.2">
      <c r="A1017" s="23" t="s">
        <v>690</v>
      </c>
      <c r="B1017" s="23" t="s">
        <v>5</v>
      </c>
      <c r="C1017" s="23" t="s">
        <v>3607</v>
      </c>
      <c r="D1017" s="23">
        <v>220.00600000000003</v>
      </c>
      <c r="E1017" s="23">
        <v>2025</v>
      </c>
      <c r="F1017" s="15" t="s">
        <v>3305</v>
      </c>
      <c r="G1017" s="15" t="s">
        <v>3311</v>
      </c>
      <c r="H1017" s="23" t="s">
        <v>58</v>
      </c>
    </row>
    <row r="1018" spans="1:8" ht="54.95" customHeight="1" x14ac:dyDescent="0.2">
      <c r="A1018" s="23" t="s">
        <v>696</v>
      </c>
      <c r="B1018" s="23" t="s">
        <v>11</v>
      </c>
      <c r="C1018" s="23" t="s">
        <v>46</v>
      </c>
      <c r="D1018" s="23">
        <v>0</v>
      </c>
      <c r="E1018" s="23">
        <v>2025</v>
      </c>
      <c r="F1018" s="15" t="s">
        <v>3299</v>
      </c>
      <c r="G1018" s="15" t="s">
        <v>3300</v>
      </c>
      <c r="H1018" s="23" t="s">
        <v>58</v>
      </c>
    </row>
    <row r="1019" spans="1:8" ht="54.95" customHeight="1" x14ac:dyDescent="0.2">
      <c r="A1019" s="23" t="s">
        <v>696</v>
      </c>
      <c r="B1019" s="23" t="s">
        <v>13</v>
      </c>
      <c r="C1019" s="23" t="s">
        <v>46</v>
      </c>
      <c r="D1019" s="23">
        <v>0</v>
      </c>
      <c r="E1019" s="23">
        <v>2025</v>
      </c>
      <c r="F1019" s="15" t="s">
        <v>3302</v>
      </c>
      <c r="G1019" s="15" t="s">
        <v>3300</v>
      </c>
      <c r="H1019" s="23" t="s">
        <v>58</v>
      </c>
    </row>
    <row r="1020" spans="1:8" ht="54.95" customHeight="1" x14ac:dyDescent="0.2">
      <c r="A1020" s="23" t="s">
        <v>696</v>
      </c>
      <c r="B1020" s="23" t="s">
        <v>14</v>
      </c>
      <c r="C1020" s="23" t="s">
        <v>46</v>
      </c>
      <c r="D1020" s="23">
        <v>0</v>
      </c>
      <c r="E1020" s="23">
        <v>2025</v>
      </c>
      <c r="F1020" s="15" t="s">
        <v>3304</v>
      </c>
      <c r="G1020" s="15" t="s">
        <v>3300</v>
      </c>
      <c r="H1020" s="23" t="s">
        <v>58</v>
      </c>
    </row>
    <row r="1021" spans="1:8" ht="54.95" customHeight="1" x14ac:dyDescent="0.2">
      <c r="A1021" s="23" t="s">
        <v>696</v>
      </c>
      <c r="B1021" s="23" t="s">
        <v>3</v>
      </c>
      <c r="C1021" s="23" t="s">
        <v>3608</v>
      </c>
      <c r="D1021" s="23">
        <v>47216.901126000004</v>
      </c>
      <c r="E1021" s="23">
        <v>2024</v>
      </c>
      <c r="F1021" s="15" t="s">
        <v>3316</v>
      </c>
      <c r="G1021" s="15" t="s">
        <v>3317</v>
      </c>
      <c r="H1021" s="23" t="s">
        <v>58</v>
      </c>
    </row>
    <row r="1022" spans="1:8" ht="54.95" customHeight="1" x14ac:dyDescent="0.2">
      <c r="A1022" s="23" t="s">
        <v>696</v>
      </c>
      <c r="B1022" s="23" t="s">
        <v>6</v>
      </c>
      <c r="C1022" s="23" t="s">
        <v>46</v>
      </c>
      <c r="D1022" s="23">
        <v>23.080543322651593</v>
      </c>
      <c r="E1022" s="23">
        <v>2024</v>
      </c>
      <c r="F1022" s="15" t="s">
        <v>3319</v>
      </c>
      <c r="G1022" s="15" t="s">
        <v>3320</v>
      </c>
      <c r="H1022" s="23" t="s">
        <v>58</v>
      </c>
    </row>
    <row r="1023" spans="1:8" ht="54.95" customHeight="1" x14ac:dyDescent="0.2">
      <c r="A1023" s="23" t="s">
        <v>696</v>
      </c>
      <c r="B1023" s="23" t="s">
        <v>7</v>
      </c>
      <c r="C1023" s="23" t="s">
        <v>46</v>
      </c>
      <c r="D1023" s="23">
        <v>68.565908854558145</v>
      </c>
      <c r="E1023" s="23">
        <v>2024</v>
      </c>
      <c r="F1023" s="15" t="s">
        <v>3322</v>
      </c>
      <c r="G1023" s="15" t="s">
        <v>3320</v>
      </c>
      <c r="H1023" s="23" t="s">
        <v>58</v>
      </c>
    </row>
    <row r="1024" spans="1:8" ht="54.95" customHeight="1" x14ac:dyDescent="0.2">
      <c r="A1024" s="23" t="s">
        <v>696</v>
      </c>
      <c r="B1024" s="23" t="s">
        <v>8</v>
      </c>
      <c r="C1024" s="23" t="s">
        <v>46</v>
      </c>
      <c r="D1024" s="23">
        <v>2.9677704139469232</v>
      </c>
      <c r="E1024" s="23">
        <v>2024</v>
      </c>
      <c r="F1024" s="15" t="s">
        <v>3324</v>
      </c>
      <c r="G1024" s="15" t="s">
        <v>3320</v>
      </c>
      <c r="H1024" s="23" t="s">
        <v>58</v>
      </c>
    </row>
    <row r="1025" spans="1:8" ht="54.95" customHeight="1" x14ac:dyDescent="0.2">
      <c r="A1025" s="23" t="s">
        <v>696</v>
      </c>
      <c r="B1025" s="23" t="s">
        <v>9</v>
      </c>
      <c r="C1025" s="23" t="s">
        <v>46</v>
      </c>
      <c r="D1025" s="23">
        <v>2.8309245399926501</v>
      </c>
      <c r="E1025" s="23">
        <v>2024</v>
      </c>
      <c r="F1025" s="15" t="s">
        <v>3325</v>
      </c>
      <c r="G1025" s="15" t="s">
        <v>3320</v>
      </c>
      <c r="H1025" s="23" t="s">
        <v>58</v>
      </c>
    </row>
    <row r="1026" spans="1:8" ht="54.95" customHeight="1" x14ac:dyDescent="0.2">
      <c r="A1026" s="23" t="s">
        <v>696</v>
      </c>
      <c r="B1026" s="23" t="s">
        <v>10</v>
      </c>
      <c r="C1026" s="23" t="s">
        <v>46</v>
      </c>
      <c r="D1026" s="23">
        <v>1.5057805426550896</v>
      </c>
      <c r="E1026" s="23">
        <v>2024</v>
      </c>
      <c r="F1026" s="15" t="s">
        <v>3326</v>
      </c>
      <c r="G1026" s="15" t="s">
        <v>3320</v>
      </c>
      <c r="H1026" s="23" t="s">
        <v>58</v>
      </c>
    </row>
    <row r="1027" spans="1:8" ht="54.95" customHeight="1" x14ac:dyDescent="0.2">
      <c r="A1027" s="23" t="s">
        <v>696</v>
      </c>
      <c r="B1027" s="23" t="s">
        <v>5</v>
      </c>
      <c r="C1027" s="23" t="s">
        <v>3609</v>
      </c>
      <c r="D1027" s="23">
        <v>17.281385812116</v>
      </c>
      <c r="E1027" s="23">
        <v>2024</v>
      </c>
      <c r="F1027" s="15" t="s">
        <v>3316</v>
      </c>
      <c r="G1027" s="15" t="s">
        <v>3311</v>
      </c>
      <c r="H1027" s="23" t="s">
        <v>58</v>
      </c>
    </row>
    <row r="1028" spans="1:8" ht="54.95" customHeight="1" x14ac:dyDescent="0.2">
      <c r="A1028" s="23" t="s">
        <v>702</v>
      </c>
      <c r="B1028" s="23" t="s">
        <v>11</v>
      </c>
      <c r="C1028" s="23" t="s">
        <v>46</v>
      </c>
      <c r="D1028" s="23">
        <v>1059432.0669021218</v>
      </c>
      <c r="E1028" s="23">
        <v>2025</v>
      </c>
      <c r="F1028" s="15" t="s">
        <v>3299</v>
      </c>
      <c r="G1028" s="15" t="s">
        <v>3300</v>
      </c>
      <c r="H1028" s="23" t="s">
        <v>58</v>
      </c>
    </row>
    <row r="1029" spans="1:8" ht="54.95" customHeight="1" x14ac:dyDescent="0.2">
      <c r="A1029" s="23" t="s">
        <v>702</v>
      </c>
      <c r="B1029" s="23" t="s">
        <v>13</v>
      </c>
      <c r="C1029" s="23" t="s">
        <v>46</v>
      </c>
      <c r="D1029" s="23">
        <v>1030814.7238615236</v>
      </c>
      <c r="E1029" s="23">
        <v>2025</v>
      </c>
      <c r="F1029" s="15" t="s">
        <v>3302</v>
      </c>
      <c r="G1029" s="15" t="s">
        <v>3300</v>
      </c>
      <c r="H1029" s="23" t="s">
        <v>58</v>
      </c>
    </row>
    <row r="1030" spans="1:8" ht="54.95" customHeight="1" x14ac:dyDescent="0.2">
      <c r="A1030" s="23" t="s">
        <v>702</v>
      </c>
      <c r="B1030" s="23" t="s">
        <v>14</v>
      </c>
      <c r="C1030" s="23" t="s">
        <v>46</v>
      </c>
      <c r="D1030" s="23">
        <v>29510.603660663961</v>
      </c>
      <c r="E1030" s="23">
        <v>2025</v>
      </c>
      <c r="F1030" s="15" t="s">
        <v>3304</v>
      </c>
      <c r="G1030" s="15" t="s">
        <v>3300</v>
      </c>
      <c r="H1030" s="23" t="s">
        <v>58</v>
      </c>
    </row>
    <row r="1031" spans="1:8" ht="54.95" customHeight="1" x14ac:dyDescent="0.2">
      <c r="A1031" s="23" t="s">
        <v>702</v>
      </c>
      <c r="B1031" s="23" t="s">
        <v>3</v>
      </c>
      <c r="C1031" s="23" t="s">
        <v>3610</v>
      </c>
      <c r="D1031" s="23">
        <v>128671.74073399999</v>
      </c>
      <c r="E1031" s="23">
        <v>2024</v>
      </c>
      <c r="F1031" s="15" t="s">
        <v>3316</v>
      </c>
      <c r="G1031" s="15" t="s">
        <v>3317</v>
      </c>
      <c r="H1031" s="23" t="s">
        <v>58</v>
      </c>
    </row>
    <row r="1032" spans="1:8" ht="54.95" customHeight="1" x14ac:dyDescent="0.2">
      <c r="A1032" s="23" t="s">
        <v>702</v>
      </c>
      <c r="B1032" s="23" t="s">
        <v>6</v>
      </c>
      <c r="C1032" s="23" t="s">
        <v>46</v>
      </c>
      <c r="D1032" s="23">
        <v>42.792409581081067</v>
      </c>
      <c r="E1032" s="23">
        <v>2024</v>
      </c>
      <c r="F1032" s="15" t="s">
        <v>3319</v>
      </c>
      <c r="G1032" s="15" t="s">
        <v>3320</v>
      </c>
      <c r="H1032" s="23" t="s">
        <v>58</v>
      </c>
    </row>
    <row r="1033" spans="1:8" ht="54.95" customHeight="1" x14ac:dyDescent="0.2">
      <c r="A1033" s="23" t="s">
        <v>702</v>
      </c>
      <c r="B1033" s="23" t="s">
        <v>7</v>
      </c>
      <c r="C1033" s="23" t="s">
        <v>46</v>
      </c>
      <c r="D1033" s="23">
        <v>24.353554441126633</v>
      </c>
      <c r="E1033" s="23">
        <v>2024</v>
      </c>
      <c r="F1033" s="15" t="s">
        <v>3322</v>
      </c>
      <c r="G1033" s="15" t="s">
        <v>3320</v>
      </c>
      <c r="H1033" s="23" t="s">
        <v>58</v>
      </c>
    </row>
    <row r="1034" spans="1:8" ht="54.95" customHeight="1" x14ac:dyDescent="0.2">
      <c r="A1034" s="23" t="s">
        <v>702</v>
      </c>
      <c r="B1034" s="23" t="s">
        <v>8</v>
      </c>
      <c r="C1034" s="23" t="s">
        <v>46</v>
      </c>
      <c r="D1034" s="23">
        <v>12.270976284249388</v>
      </c>
      <c r="E1034" s="23">
        <v>2024</v>
      </c>
      <c r="F1034" s="15" t="s">
        <v>3324</v>
      </c>
      <c r="G1034" s="15" t="s">
        <v>3320</v>
      </c>
      <c r="H1034" s="23" t="s">
        <v>58</v>
      </c>
    </row>
    <row r="1035" spans="1:8" ht="54.95" customHeight="1" x14ac:dyDescent="0.2">
      <c r="A1035" s="23" t="s">
        <v>702</v>
      </c>
      <c r="B1035" s="23" t="s">
        <v>9</v>
      </c>
      <c r="C1035" s="23" t="s">
        <v>46</v>
      </c>
      <c r="D1035" s="23">
        <v>4.0960340887090743</v>
      </c>
      <c r="E1035" s="23">
        <v>2024</v>
      </c>
      <c r="F1035" s="15" t="s">
        <v>3325</v>
      </c>
      <c r="G1035" s="15" t="s">
        <v>3320</v>
      </c>
      <c r="H1035" s="23" t="s">
        <v>58</v>
      </c>
    </row>
    <row r="1036" spans="1:8" ht="54.95" customHeight="1" x14ac:dyDescent="0.2">
      <c r="A1036" s="23" t="s">
        <v>702</v>
      </c>
      <c r="B1036" s="23" t="s">
        <v>10</v>
      </c>
      <c r="C1036" s="23" t="s">
        <v>46</v>
      </c>
      <c r="D1036" s="23">
        <v>12.178063077885646</v>
      </c>
      <c r="E1036" s="23">
        <v>2024</v>
      </c>
      <c r="F1036" s="15" t="s">
        <v>3326</v>
      </c>
      <c r="G1036" s="15" t="s">
        <v>3320</v>
      </c>
      <c r="H1036" s="23" t="s">
        <v>58</v>
      </c>
    </row>
    <row r="1037" spans="1:8" ht="54.95" customHeight="1" x14ac:dyDescent="0.2">
      <c r="A1037" s="23" t="s">
        <v>702</v>
      </c>
      <c r="B1037" s="23" t="s">
        <v>5</v>
      </c>
      <c r="C1037" s="23" t="s">
        <v>3611</v>
      </c>
      <c r="D1037" s="23">
        <v>47.093857108643995</v>
      </c>
      <c r="E1037" s="23">
        <v>2024</v>
      </c>
      <c r="F1037" s="15" t="s">
        <v>3316</v>
      </c>
      <c r="G1037" s="15" t="s">
        <v>3311</v>
      </c>
      <c r="H1037" s="23" t="s">
        <v>58</v>
      </c>
    </row>
    <row r="1038" spans="1:8" ht="54.95" customHeight="1" x14ac:dyDescent="0.2">
      <c r="A1038" s="23" t="s">
        <v>708</v>
      </c>
      <c r="B1038" s="23" t="s">
        <v>11</v>
      </c>
      <c r="C1038" s="23" t="s">
        <v>46</v>
      </c>
      <c r="D1038" s="23">
        <v>12930.377406843834</v>
      </c>
      <c r="E1038" s="23">
        <v>2025</v>
      </c>
      <c r="F1038" s="15" t="s">
        <v>3299</v>
      </c>
      <c r="G1038" s="15" t="s">
        <v>3300</v>
      </c>
      <c r="H1038" s="23" t="s">
        <v>58</v>
      </c>
    </row>
    <row r="1039" spans="1:8" ht="54.95" customHeight="1" x14ac:dyDescent="0.2">
      <c r="A1039" s="23" t="s">
        <v>708</v>
      </c>
      <c r="B1039" s="23" t="s">
        <v>13</v>
      </c>
      <c r="C1039" s="23" t="s">
        <v>46</v>
      </c>
      <c r="D1039" s="23">
        <v>8996.8767123287671</v>
      </c>
      <c r="E1039" s="23">
        <v>2025</v>
      </c>
      <c r="F1039" s="15" t="s">
        <v>3302</v>
      </c>
      <c r="G1039" s="15" t="s">
        <v>3300</v>
      </c>
      <c r="H1039" s="23" t="s">
        <v>58</v>
      </c>
    </row>
    <row r="1040" spans="1:8" ht="54.95" customHeight="1" x14ac:dyDescent="0.2">
      <c r="A1040" s="23" t="s">
        <v>708</v>
      </c>
      <c r="B1040" s="23" t="s">
        <v>14</v>
      </c>
      <c r="C1040" s="23" t="s">
        <v>46</v>
      </c>
      <c r="D1040" s="23">
        <v>675.23013698630143</v>
      </c>
      <c r="E1040" s="23">
        <v>2025</v>
      </c>
      <c r="F1040" s="15" t="s">
        <v>3304</v>
      </c>
      <c r="G1040" s="15" t="s">
        <v>3300</v>
      </c>
      <c r="H1040" s="23" t="s">
        <v>58</v>
      </c>
    </row>
    <row r="1041" spans="1:8" ht="54.95" customHeight="1" x14ac:dyDescent="0.2">
      <c r="A1041" s="23" t="s">
        <v>708</v>
      </c>
      <c r="B1041" s="23" t="s">
        <v>3</v>
      </c>
      <c r="C1041" s="23" t="s">
        <v>3612</v>
      </c>
      <c r="D1041" s="23">
        <v>75940.698630136991</v>
      </c>
      <c r="E1041" s="23">
        <v>2025</v>
      </c>
      <c r="F1041" s="15" t="s">
        <v>3305</v>
      </c>
      <c r="G1041" s="15" t="s">
        <v>3306</v>
      </c>
      <c r="H1041" s="23" t="s">
        <v>58</v>
      </c>
    </row>
    <row r="1042" spans="1:8" ht="54.95" customHeight="1" x14ac:dyDescent="0.2">
      <c r="A1042" s="23" t="s">
        <v>708</v>
      </c>
      <c r="B1042" s="23" t="s">
        <v>6</v>
      </c>
      <c r="C1042" s="23" t="s">
        <v>46</v>
      </c>
      <c r="D1042" s="23">
        <v>61.255294551209836</v>
      </c>
      <c r="E1042" s="23">
        <v>2025</v>
      </c>
      <c r="F1042" s="15" t="s">
        <v>3305</v>
      </c>
      <c r="G1042" s="15" t="s">
        <v>3308</v>
      </c>
      <c r="H1042" s="23" t="s">
        <v>58</v>
      </c>
    </row>
    <row r="1043" spans="1:8" ht="54.95" customHeight="1" x14ac:dyDescent="0.2">
      <c r="A1043" s="23" t="s">
        <v>708</v>
      </c>
      <c r="B1043" s="23" t="s">
        <v>7</v>
      </c>
      <c r="C1043" s="23" t="s">
        <v>46</v>
      </c>
      <c r="D1043" s="23">
        <v>17.620454027665062</v>
      </c>
      <c r="E1043" s="23">
        <v>2025</v>
      </c>
      <c r="F1043" s="15" t="s">
        <v>3305</v>
      </c>
      <c r="G1043" s="15" t="s">
        <v>3308</v>
      </c>
      <c r="H1043" s="23" t="s">
        <v>58</v>
      </c>
    </row>
    <row r="1044" spans="1:8" ht="54.95" customHeight="1" x14ac:dyDescent="0.2">
      <c r="A1044" s="23" t="s">
        <v>708</v>
      </c>
      <c r="B1044" s="23" t="s">
        <v>8</v>
      </c>
      <c r="C1044" s="23" t="s">
        <v>46</v>
      </c>
      <c r="D1044" s="23">
        <v>4.5197487368929359</v>
      </c>
      <c r="E1044" s="23">
        <v>2025</v>
      </c>
      <c r="F1044" s="15" t="s">
        <v>3305</v>
      </c>
      <c r="G1044" s="15" t="s">
        <v>3308</v>
      </c>
      <c r="H1044" s="23" t="s">
        <v>58</v>
      </c>
    </row>
    <row r="1045" spans="1:8" ht="54.95" customHeight="1" x14ac:dyDescent="0.2">
      <c r="A1045" s="23" t="s">
        <v>708</v>
      </c>
      <c r="B1045" s="23" t="s">
        <v>9</v>
      </c>
      <c r="C1045" s="23" t="s">
        <v>46</v>
      </c>
      <c r="D1045" s="23" t="s">
        <v>46</v>
      </c>
      <c r="E1045" s="23">
        <v>2025</v>
      </c>
      <c r="F1045" s="15" t="s">
        <v>3305</v>
      </c>
      <c r="G1045" s="15" t="s">
        <v>3357</v>
      </c>
      <c r="H1045" s="23" t="s">
        <v>58</v>
      </c>
    </row>
    <row r="1046" spans="1:8" ht="54.95" customHeight="1" x14ac:dyDescent="0.2">
      <c r="A1046" s="23" t="s">
        <v>708</v>
      </c>
      <c r="B1046" s="23" t="s">
        <v>10</v>
      </c>
      <c r="C1046" s="23" t="s">
        <v>46</v>
      </c>
      <c r="D1046" s="23">
        <v>0.18615823341608836</v>
      </c>
      <c r="E1046" s="23">
        <v>2025</v>
      </c>
      <c r="F1046" s="15" t="s">
        <v>3305</v>
      </c>
      <c r="G1046" s="15" t="s">
        <v>3308</v>
      </c>
      <c r="H1046" s="23" t="s">
        <v>58</v>
      </c>
    </row>
    <row r="1047" spans="1:8" ht="54.95" customHeight="1" x14ac:dyDescent="0.2">
      <c r="A1047" s="23" t="s">
        <v>708</v>
      </c>
      <c r="B1047" s="23" t="s">
        <v>5</v>
      </c>
      <c r="C1047" s="23" t="s">
        <v>3613</v>
      </c>
      <c r="D1047" s="23">
        <v>27.718354999999999</v>
      </c>
      <c r="E1047" s="23">
        <v>2025</v>
      </c>
      <c r="F1047" s="15" t="s">
        <v>3305</v>
      </c>
      <c r="G1047" s="15" t="s">
        <v>3311</v>
      </c>
      <c r="H1047" s="23" t="s">
        <v>58</v>
      </c>
    </row>
    <row r="1048" spans="1:8" ht="54.95" customHeight="1" x14ac:dyDescent="0.2">
      <c r="A1048" s="23" t="s">
        <v>714</v>
      </c>
      <c r="B1048" s="23" t="s">
        <v>11</v>
      </c>
      <c r="C1048" s="23" t="s">
        <v>46</v>
      </c>
      <c r="D1048" s="23">
        <v>0</v>
      </c>
      <c r="E1048" s="23">
        <v>2025</v>
      </c>
      <c r="F1048" s="15" t="s">
        <v>3299</v>
      </c>
      <c r="G1048" s="15" t="s">
        <v>3300</v>
      </c>
      <c r="H1048" s="23" t="s">
        <v>58</v>
      </c>
    </row>
    <row r="1049" spans="1:8" ht="54.95" customHeight="1" x14ac:dyDescent="0.2">
      <c r="A1049" s="23" t="s">
        <v>714</v>
      </c>
      <c r="B1049" s="23" t="s">
        <v>13</v>
      </c>
      <c r="C1049" s="23" t="s">
        <v>46</v>
      </c>
      <c r="D1049" s="23">
        <v>0</v>
      </c>
      <c r="E1049" s="23">
        <v>2025</v>
      </c>
      <c r="F1049" s="15" t="s">
        <v>3302</v>
      </c>
      <c r="G1049" s="15" t="s">
        <v>3300</v>
      </c>
      <c r="H1049" s="23" t="s">
        <v>58</v>
      </c>
    </row>
    <row r="1050" spans="1:8" ht="54.95" customHeight="1" x14ac:dyDescent="0.2">
      <c r="A1050" s="23" t="s">
        <v>714</v>
      </c>
      <c r="B1050" s="23" t="s">
        <v>14</v>
      </c>
      <c r="C1050" s="23" t="s">
        <v>46</v>
      </c>
      <c r="D1050" s="23">
        <v>0</v>
      </c>
      <c r="E1050" s="23">
        <v>2025</v>
      </c>
      <c r="F1050" s="15" t="s">
        <v>3304</v>
      </c>
      <c r="G1050" s="15" t="s">
        <v>3300</v>
      </c>
      <c r="H1050" s="23" t="s">
        <v>58</v>
      </c>
    </row>
    <row r="1051" spans="1:8" ht="54.95" customHeight="1" x14ac:dyDescent="0.2">
      <c r="A1051" s="23" t="s">
        <v>714</v>
      </c>
      <c r="B1051" s="23" t="s">
        <v>3</v>
      </c>
      <c r="C1051" s="23" t="s">
        <v>3614</v>
      </c>
      <c r="D1051" s="23">
        <v>47271.232876712325</v>
      </c>
      <c r="E1051" s="23">
        <v>2025</v>
      </c>
      <c r="F1051" s="15" t="s">
        <v>3305</v>
      </c>
      <c r="G1051" s="15" t="s">
        <v>3306</v>
      </c>
      <c r="H1051" s="23" t="s">
        <v>58</v>
      </c>
    </row>
    <row r="1052" spans="1:8" ht="54.95" customHeight="1" x14ac:dyDescent="0.2">
      <c r="A1052" s="23" t="s">
        <v>714</v>
      </c>
      <c r="B1052" s="23" t="s">
        <v>6</v>
      </c>
      <c r="C1052" s="23" t="s">
        <v>46</v>
      </c>
      <c r="D1052" s="23">
        <v>68.702561724817429</v>
      </c>
      <c r="E1052" s="23">
        <v>2025</v>
      </c>
      <c r="F1052" s="15" t="s">
        <v>3305</v>
      </c>
      <c r="G1052" s="15" t="s">
        <v>3308</v>
      </c>
      <c r="H1052" s="23" t="s">
        <v>58</v>
      </c>
    </row>
    <row r="1053" spans="1:8" ht="54.95" customHeight="1" x14ac:dyDescent="0.2">
      <c r="A1053" s="23" t="s">
        <v>714</v>
      </c>
      <c r="B1053" s="23" t="s">
        <v>7</v>
      </c>
      <c r="C1053" s="23" t="s">
        <v>46</v>
      </c>
      <c r="D1053" s="23">
        <v>21.254781499942045</v>
      </c>
      <c r="E1053" s="23">
        <v>2025</v>
      </c>
      <c r="F1053" s="15" t="s">
        <v>3305</v>
      </c>
      <c r="G1053" s="15" t="s">
        <v>3308</v>
      </c>
      <c r="H1053" s="23" t="s">
        <v>58</v>
      </c>
    </row>
    <row r="1054" spans="1:8" ht="54.95" customHeight="1" x14ac:dyDescent="0.2">
      <c r="A1054" s="23" t="s">
        <v>714</v>
      </c>
      <c r="B1054" s="23" t="s">
        <v>8</v>
      </c>
      <c r="C1054" s="23" t="s">
        <v>46</v>
      </c>
      <c r="D1054" s="23">
        <v>3.8993856497044161</v>
      </c>
      <c r="E1054" s="23">
        <v>2025</v>
      </c>
      <c r="F1054" s="15" t="s">
        <v>3305</v>
      </c>
      <c r="G1054" s="15" t="s">
        <v>3308</v>
      </c>
      <c r="H1054" s="23" t="s">
        <v>58</v>
      </c>
    </row>
    <row r="1055" spans="1:8" ht="54.95" customHeight="1" x14ac:dyDescent="0.2">
      <c r="A1055" s="23" t="s">
        <v>714</v>
      </c>
      <c r="B1055" s="23" t="s">
        <v>9</v>
      </c>
      <c r="C1055" s="23" t="s">
        <v>46</v>
      </c>
      <c r="D1055" s="23">
        <v>2.9229164251767705</v>
      </c>
      <c r="E1055" s="23">
        <v>2025</v>
      </c>
      <c r="F1055" s="15" t="s">
        <v>3305</v>
      </c>
      <c r="G1055" s="15" t="s">
        <v>3308</v>
      </c>
      <c r="H1055" s="23" t="s">
        <v>58</v>
      </c>
    </row>
    <row r="1056" spans="1:8" ht="54.95" customHeight="1" x14ac:dyDescent="0.2">
      <c r="A1056" s="23" t="s">
        <v>714</v>
      </c>
      <c r="B1056" s="23" t="s">
        <v>10</v>
      </c>
      <c r="C1056" s="23" t="s">
        <v>46</v>
      </c>
      <c r="D1056" s="23">
        <v>0</v>
      </c>
      <c r="E1056" s="23">
        <v>2025</v>
      </c>
      <c r="F1056" s="15" t="s">
        <v>3305</v>
      </c>
      <c r="G1056" s="15" t="s">
        <v>3308</v>
      </c>
      <c r="H1056" s="23" t="s">
        <v>58</v>
      </c>
    </row>
    <row r="1057" spans="1:8" ht="54.95" customHeight="1" x14ac:dyDescent="0.2">
      <c r="A1057" s="23" t="s">
        <v>714</v>
      </c>
      <c r="B1057" s="23" t="s">
        <v>5</v>
      </c>
      <c r="C1057" s="23" t="s">
        <v>3615</v>
      </c>
      <c r="D1057" s="23">
        <v>17.254000000000001</v>
      </c>
      <c r="E1057" s="23">
        <v>2025</v>
      </c>
      <c r="F1057" s="15" t="s">
        <v>3305</v>
      </c>
      <c r="G1057" s="15" t="s">
        <v>3311</v>
      </c>
      <c r="H1057" s="23" t="s">
        <v>58</v>
      </c>
    </row>
    <row r="1058" spans="1:8" ht="54.95" customHeight="1" x14ac:dyDescent="0.2">
      <c r="A1058" s="23" t="s">
        <v>720</v>
      </c>
      <c r="B1058" s="23" t="s">
        <v>11</v>
      </c>
      <c r="C1058" s="23" t="s">
        <v>46</v>
      </c>
      <c r="D1058" s="23">
        <v>1878329.588249156</v>
      </c>
      <c r="E1058" s="23">
        <v>2025</v>
      </c>
      <c r="F1058" s="15" t="s">
        <v>3299</v>
      </c>
      <c r="G1058" s="15" t="s">
        <v>3300</v>
      </c>
      <c r="H1058" s="23" t="s">
        <v>58</v>
      </c>
    </row>
    <row r="1059" spans="1:8" ht="54.95" customHeight="1" x14ac:dyDescent="0.2">
      <c r="A1059" s="23" t="s">
        <v>720</v>
      </c>
      <c r="B1059" s="23" t="s">
        <v>13</v>
      </c>
      <c r="C1059" s="23" t="s">
        <v>46</v>
      </c>
      <c r="D1059" s="23">
        <v>1297384.4365808221</v>
      </c>
      <c r="E1059" s="23">
        <v>2025</v>
      </c>
      <c r="F1059" s="15" t="s">
        <v>3302</v>
      </c>
      <c r="G1059" s="15" t="s">
        <v>3300</v>
      </c>
      <c r="H1059" s="23" t="s">
        <v>58</v>
      </c>
    </row>
    <row r="1060" spans="1:8" ht="54.95" customHeight="1" x14ac:dyDescent="0.2">
      <c r="A1060" s="23" t="s">
        <v>720</v>
      </c>
      <c r="B1060" s="23" t="s">
        <v>14</v>
      </c>
      <c r="C1060" s="23" t="s">
        <v>46</v>
      </c>
      <c r="D1060" s="23">
        <v>418528.76712328766</v>
      </c>
      <c r="E1060" s="23">
        <v>2025</v>
      </c>
      <c r="F1060" s="15" t="s">
        <v>3304</v>
      </c>
      <c r="G1060" s="15" t="s">
        <v>3300</v>
      </c>
      <c r="H1060" s="23" t="s">
        <v>58</v>
      </c>
    </row>
    <row r="1061" spans="1:8" ht="54.95" customHeight="1" x14ac:dyDescent="0.2">
      <c r="A1061" s="23" t="s">
        <v>720</v>
      </c>
      <c r="B1061" s="23" t="s">
        <v>3</v>
      </c>
      <c r="C1061" s="23" t="s">
        <v>3616</v>
      </c>
      <c r="D1061" s="23">
        <v>276280.90998300002</v>
      </c>
      <c r="E1061" s="23">
        <v>2024</v>
      </c>
      <c r="F1061" s="15" t="s">
        <v>3316</v>
      </c>
      <c r="G1061" s="15" t="s">
        <v>3317</v>
      </c>
      <c r="H1061" s="23" t="s">
        <v>58</v>
      </c>
    </row>
    <row r="1062" spans="1:8" ht="54.95" customHeight="1" x14ac:dyDescent="0.2">
      <c r="A1062" s="23" t="s">
        <v>720</v>
      </c>
      <c r="B1062" s="23" t="s">
        <v>6</v>
      </c>
      <c r="C1062" s="23" t="s">
        <v>46</v>
      </c>
      <c r="D1062" s="23">
        <v>12.437355792014131</v>
      </c>
      <c r="E1062" s="23">
        <v>2024</v>
      </c>
      <c r="F1062" s="15" t="s">
        <v>3319</v>
      </c>
      <c r="G1062" s="15" t="s">
        <v>3320</v>
      </c>
      <c r="H1062" s="23" t="s">
        <v>58</v>
      </c>
    </row>
    <row r="1063" spans="1:8" ht="54.95" customHeight="1" x14ac:dyDescent="0.2">
      <c r="A1063" s="23" t="s">
        <v>720</v>
      </c>
      <c r="B1063" s="23" t="s">
        <v>7</v>
      </c>
      <c r="C1063" s="23" t="s">
        <v>46</v>
      </c>
      <c r="D1063" s="23">
        <v>17.366353760363783</v>
      </c>
      <c r="E1063" s="23">
        <v>2024</v>
      </c>
      <c r="F1063" s="15" t="s">
        <v>3322</v>
      </c>
      <c r="G1063" s="15" t="s">
        <v>3320</v>
      </c>
      <c r="H1063" s="23" t="s">
        <v>58</v>
      </c>
    </row>
    <row r="1064" spans="1:8" ht="54.95" customHeight="1" x14ac:dyDescent="0.2">
      <c r="A1064" s="23" t="s">
        <v>720</v>
      </c>
      <c r="B1064" s="23" t="s">
        <v>8</v>
      </c>
      <c r="C1064" s="23" t="s">
        <v>46</v>
      </c>
      <c r="D1064" s="23">
        <v>11.250433459884206</v>
      </c>
      <c r="E1064" s="23">
        <v>2024</v>
      </c>
      <c r="F1064" s="15" t="s">
        <v>3324</v>
      </c>
      <c r="G1064" s="15" t="s">
        <v>3320</v>
      </c>
      <c r="H1064" s="23" t="s">
        <v>58</v>
      </c>
    </row>
    <row r="1065" spans="1:8" ht="54.95" customHeight="1" x14ac:dyDescent="0.2">
      <c r="A1065" s="23" t="s">
        <v>720</v>
      </c>
      <c r="B1065" s="23" t="s">
        <v>9</v>
      </c>
      <c r="C1065" s="23" t="s">
        <v>46</v>
      </c>
      <c r="D1065" s="23">
        <v>19.71223465397992</v>
      </c>
      <c r="E1065" s="23">
        <v>2024</v>
      </c>
      <c r="F1065" s="15" t="s">
        <v>3325</v>
      </c>
      <c r="G1065" s="15" t="s">
        <v>3320</v>
      </c>
      <c r="H1065" s="23" t="s">
        <v>58</v>
      </c>
    </row>
    <row r="1066" spans="1:8" ht="54.95" customHeight="1" x14ac:dyDescent="0.2">
      <c r="A1066" s="23" t="s">
        <v>720</v>
      </c>
      <c r="B1066" s="23" t="s">
        <v>10</v>
      </c>
      <c r="C1066" s="23" t="s">
        <v>46</v>
      </c>
      <c r="D1066" s="23">
        <v>5.5584683795000309</v>
      </c>
      <c r="E1066" s="23">
        <v>2024</v>
      </c>
      <c r="F1066" s="15" t="s">
        <v>3326</v>
      </c>
      <c r="G1066" s="15" t="s">
        <v>3320</v>
      </c>
      <c r="H1066" s="23" t="s">
        <v>58</v>
      </c>
    </row>
    <row r="1067" spans="1:8" ht="54.95" customHeight="1" x14ac:dyDescent="0.2">
      <c r="A1067" s="23" t="s">
        <v>720</v>
      </c>
      <c r="B1067" s="23" t="s">
        <v>5</v>
      </c>
      <c r="C1067" s="23" t="s">
        <v>3617</v>
      </c>
      <c r="D1067" s="23">
        <v>101.11881305377801</v>
      </c>
      <c r="E1067" s="23">
        <v>2024</v>
      </c>
      <c r="F1067" s="15" t="s">
        <v>3316</v>
      </c>
      <c r="G1067" s="15" t="s">
        <v>3311</v>
      </c>
      <c r="H1067" s="23" t="s">
        <v>58</v>
      </c>
    </row>
    <row r="1068" spans="1:8" ht="54.95" customHeight="1" x14ac:dyDescent="0.2">
      <c r="A1068" s="23" t="s">
        <v>726</v>
      </c>
      <c r="B1068" s="23" t="s">
        <v>11</v>
      </c>
      <c r="C1068" s="23" t="s">
        <v>46</v>
      </c>
      <c r="D1068" s="23">
        <v>11213957.925652532</v>
      </c>
      <c r="E1068" s="23">
        <v>2025</v>
      </c>
      <c r="F1068" s="15" t="s">
        <v>3299</v>
      </c>
      <c r="G1068" s="15" t="s">
        <v>3300</v>
      </c>
      <c r="H1068" s="23" t="s">
        <v>58</v>
      </c>
    </row>
    <row r="1069" spans="1:8" ht="54.95" customHeight="1" x14ac:dyDescent="0.2">
      <c r="A1069" s="23" t="s">
        <v>726</v>
      </c>
      <c r="B1069" s="23" t="s">
        <v>13</v>
      </c>
      <c r="C1069" s="23" t="s">
        <v>46</v>
      </c>
      <c r="D1069" s="23">
        <v>9556054.0356164388</v>
      </c>
      <c r="E1069" s="23">
        <v>2025</v>
      </c>
      <c r="F1069" s="15" t="s">
        <v>3302</v>
      </c>
      <c r="G1069" s="15" t="s">
        <v>3300</v>
      </c>
      <c r="H1069" s="23" t="s">
        <v>58</v>
      </c>
    </row>
    <row r="1070" spans="1:8" ht="54.95" customHeight="1" x14ac:dyDescent="0.2">
      <c r="A1070" s="23" t="s">
        <v>726</v>
      </c>
      <c r="B1070" s="23" t="s">
        <v>14</v>
      </c>
      <c r="C1070" s="23" t="s">
        <v>46</v>
      </c>
      <c r="D1070" s="23">
        <v>1557863.01369863</v>
      </c>
      <c r="E1070" s="23">
        <v>2025</v>
      </c>
      <c r="F1070" s="15" t="s">
        <v>3304</v>
      </c>
      <c r="G1070" s="15" t="s">
        <v>3300</v>
      </c>
      <c r="H1070" s="23" t="s">
        <v>58</v>
      </c>
    </row>
    <row r="1071" spans="1:8" ht="54.95" customHeight="1" x14ac:dyDescent="0.2">
      <c r="A1071" s="23" t="s">
        <v>726</v>
      </c>
      <c r="B1071" s="23" t="s">
        <v>3</v>
      </c>
      <c r="C1071" s="23" t="s">
        <v>3618</v>
      </c>
      <c r="D1071" s="23">
        <v>2382000</v>
      </c>
      <c r="E1071" s="23">
        <v>2025</v>
      </c>
      <c r="F1071" s="15" t="s">
        <v>3305</v>
      </c>
      <c r="G1071" s="15" t="s">
        <v>3306</v>
      </c>
      <c r="H1071" s="23" t="s">
        <v>58</v>
      </c>
    </row>
    <row r="1072" spans="1:8" ht="54.95" customHeight="1" x14ac:dyDescent="0.2">
      <c r="A1072" s="23" t="s">
        <v>726</v>
      </c>
      <c r="B1072" s="23" t="s">
        <v>6</v>
      </c>
      <c r="C1072" s="23" t="s">
        <v>46</v>
      </c>
      <c r="D1072" s="23">
        <v>24.902177288568371</v>
      </c>
      <c r="E1072" s="23">
        <v>2025</v>
      </c>
      <c r="F1072" s="15" t="s">
        <v>3305</v>
      </c>
      <c r="G1072" s="15" t="s">
        <v>3308</v>
      </c>
      <c r="H1072" s="23" t="s">
        <v>58</v>
      </c>
    </row>
    <row r="1073" spans="1:8" ht="54.95" customHeight="1" x14ac:dyDescent="0.2">
      <c r="A1073" s="23" t="s">
        <v>726</v>
      </c>
      <c r="B1073" s="23" t="s">
        <v>7</v>
      </c>
      <c r="C1073" s="23" t="s">
        <v>46</v>
      </c>
      <c r="D1073" s="23">
        <v>22.260101445774819</v>
      </c>
      <c r="E1073" s="23">
        <v>2025</v>
      </c>
      <c r="F1073" s="15" t="s">
        <v>3305</v>
      </c>
      <c r="G1073" s="15" t="s">
        <v>3308</v>
      </c>
      <c r="H1073" s="23" t="s">
        <v>58</v>
      </c>
    </row>
    <row r="1074" spans="1:8" ht="54.95" customHeight="1" x14ac:dyDescent="0.2">
      <c r="A1074" s="23" t="s">
        <v>726</v>
      </c>
      <c r="B1074" s="23" t="s">
        <v>8</v>
      </c>
      <c r="C1074" s="23" t="s">
        <v>46</v>
      </c>
      <c r="D1074" s="23">
        <v>3.3327582439069277</v>
      </c>
      <c r="E1074" s="23">
        <v>2025</v>
      </c>
      <c r="F1074" s="15" t="s">
        <v>3305</v>
      </c>
      <c r="G1074" s="15" t="s">
        <v>3308</v>
      </c>
      <c r="H1074" s="23" t="s">
        <v>58</v>
      </c>
    </row>
    <row r="1075" spans="1:8" ht="54.95" customHeight="1" x14ac:dyDescent="0.2">
      <c r="A1075" s="23" t="s">
        <v>726</v>
      </c>
      <c r="B1075" s="23" t="s">
        <v>9</v>
      </c>
      <c r="C1075" s="23" t="s">
        <v>46</v>
      </c>
      <c r="D1075" s="23">
        <v>4.5585038473482626</v>
      </c>
      <c r="E1075" s="23">
        <v>2025</v>
      </c>
      <c r="F1075" s="15" t="s">
        <v>3305</v>
      </c>
      <c r="G1075" s="15" t="s">
        <v>3308</v>
      </c>
      <c r="H1075" s="23" t="s">
        <v>58</v>
      </c>
    </row>
    <row r="1076" spans="1:8" ht="54.95" customHeight="1" x14ac:dyDescent="0.2">
      <c r="A1076" s="23" t="s">
        <v>726</v>
      </c>
      <c r="B1076" s="23" t="s">
        <v>10</v>
      </c>
      <c r="C1076" s="23" t="s">
        <v>46</v>
      </c>
      <c r="D1076" s="23">
        <v>23.831245758715479</v>
      </c>
      <c r="E1076" s="23">
        <v>2025</v>
      </c>
      <c r="F1076" s="15" t="s">
        <v>3305</v>
      </c>
      <c r="G1076" s="15" t="s">
        <v>3308</v>
      </c>
      <c r="H1076" s="23" t="s">
        <v>58</v>
      </c>
    </row>
    <row r="1077" spans="1:8" ht="54.95" customHeight="1" x14ac:dyDescent="0.2">
      <c r="A1077" s="23" t="s">
        <v>726</v>
      </c>
      <c r="B1077" s="23" t="s">
        <v>5</v>
      </c>
      <c r="C1077" s="23" t="s">
        <v>3619</v>
      </c>
      <c r="D1077" s="23">
        <v>869.43</v>
      </c>
      <c r="E1077" s="23">
        <v>2025</v>
      </c>
      <c r="F1077" s="15" t="s">
        <v>3305</v>
      </c>
      <c r="G1077" s="15" t="s">
        <v>3311</v>
      </c>
      <c r="H1077" s="23" t="s">
        <v>58</v>
      </c>
    </row>
    <row r="1078" spans="1:8" ht="54.95" customHeight="1" x14ac:dyDescent="0.2">
      <c r="A1078" s="23" t="s">
        <v>732</v>
      </c>
      <c r="B1078" s="23" t="s">
        <v>11</v>
      </c>
      <c r="C1078" s="23" t="s">
        <v>46</v>
      </c>
      <c r="D1078" s="23">
        <v>0</v>
      </c>
      <c r="E1078" s="23">
        <v>2025</v>
      </c>
      <c r="F1078" s="15" t="s">
        <v>3299</v>
      </c>
      <c r="G1078" s="15" t="s">
        <v>3300</v>
      </c>
      <c r="H1078" s="23" t="s">
        <v>58</v>
      </c>
    </row>
    <row r="1079" spans="1:8" ht="54.95" customHeight="1" x14ac:dyDescent="0.2">
      <c r="A1079" s="23" t="s">
        <v>732</v>
      </c>
      <c r="B1079" s="23" t="s">
        <v>13</v>
      </c>
      <c r="C1079" s="23" t="s">
        <v>46</v>
      </c>
      <c r="D1079" s="23">
        <v>0</v>
      </c>
      <c r="E1079" s="23">
        <v>2025</v>
      </c>
      <c r="F1079" s="15" t="s">
        <v>3302</v>
      </c>
      <c r="G1079" s="15" t="s">
        <v>3300</v>
      </c>
      <c r="H1079" s="23" t="s">
        <v>58</v>
      </c>
    </row>
    <row r="1080" spans="1:8" ht="54.95" customHeight="1" x14ac:dyDescent="0.2">
      <c r="A1080" s="23" t="s">
        <v>732</v>
      </c>
      <c r="B1080" s="23" t="s">
        <v>14</v>
      </c>
      <c r="C1080" s="23" t="s">
        <v>46</v>
      </c>
      <c r="D1080" s="23">
        <v>0</v>
      </c>
      <c r="E1080" s="23">
        <v>2025</v>
      </c>
      <c r="F1080" s="15" t="s">
        <v>3304</v>
      </c>
      <c r="G1080" s="15" t="s">
        <v>3300</v>
      </c>
      <c r="H1080" s="23" t="s">
        <v>58</v>
      </c>
    </row>
    <row r="1081" spans="1:8" ht="54.95" customHeight="1" x14ac:dyDescent="0.2">
      <c r="A1081" s="23" t="s">
        <v>732</v>
      </c>
      <c r="B1081" s="23" t="s">
        <v>3</v>
      </c>
      <c r="C1081" s="23" t="s">
        <v>3620</v>
      </c>
      <c r="D1081" s="23">
        <v>22610.976568000002</v>
      </c>
      <c r="E1081" s="23">
        <v>2024</v>
      </c>
      <c r="F1081" s="15" t="s">
        <v>3316</v>
      </c>
      <c r="G1081" s="15" t="s">
        <v>3317</v>
      </c>
      <c r="H1081" s="23" t="s">
        <v>58</v>
      </c>
    </row>
    <row r="1082" spans="1:8" ht="54.95" customHeight="1" x14ac:dyDescent="0.2">
      <c r="A1082" s="23" t="s">
        <v>732</v>
      </c>
      <c r="B1082" s="23" t="s">
        <v>6</v>
      </c>
      <c r="C1082" s="23" t="s">
        <v>46</v>
      </c>
      <c r="D1082" s="23">
        <v>41.518687933567541</v>
      </c>
      <c r="E1082" s="23">
        <v>2024</v>
      </c>
      <c r="F1082" s="15" t="s">
        <v>3319</v>
      </c>
      <c r="G1082" s="15" t="s">
        <v>3320</v>
      </c>
      <c r="H1082" s="23" t="s">
        <v>58</v>
      </c>
    </row>
    <row r="1083" spans="1:8" ht="54.95" customHeight="1" x14ac:dyDescent="0.2">
      <c r="A1083" s="23" t="s">
        <v>732</v>
      </c>
      <c r="B1083" s="23" t="s">
        <v>7</v>
      </c>
      <c r="C1083" s="23" t="s">
        <v>46</v>
      </c>
      <c r="D1083" s="23">
        <v>50.652829105174092</v>
      </c>
      <c r="E1083" s="23">
        <v>2024</v>
      </c>
      <c r="F1083" s="15" t="s">
        <v>3322</v>
      </c>
      <c r="G1083" s="15" t="s">
        <v>3320</v>
      </c>
      <c r="H1083" s="23" t="s">
        <v>58</v>
      </c>
    </row>
    <row r="1084" spans="1:8" ht="54.95" customHeight="1" x14ac:dyDescent="0.2">
      <c r="A1084" s="23" t="s">
        <v>732</v>
      </c>
      <c r="B1084" s="23" t="s">
        <v>8</v>
      </c>
      <c r="C1084" s="23" t="s">
        <v>46</v>
      </c>
      <c r="D1084" s="23">
        <v>3.0262448459143436</v>
      </c>
      <c r="E1084" s="23">
        <v>2024</v>
      </c>
      <c r="F1084" s="15" t="s">
        <v>3324</v>
      </c>
      <c r="G1084" s="15" t="s">
        <v>3320</v>
      </c>
      <c r="H1084" s="23" t="s">
        <v>58</v>
      </c>
    </row>
    <row r="1085" spans="1:8" ht="54.95" customHeight="1" x14ac:dyDescent="0.2">
      <c r="A1085" s="23" t="s">
        <v>732</v>
      </c>
      <c r="B1085" s="23" t="s">
        <v>9</v>
      </c>
      <c r="C1085" s="23" t="s">
        <v>46</v>
      </c>
      <c r="D1085" s="23">
        <v>1.2806879531679323</v>
      </c>
      <c r="E1085" s="23">
        <v>2024</v>
      </c>
      <c r="F1085" s="15" t="s">
        <v>3325</v>
      </c>
      <c r="G1085" s="15" t="s">
        <v>3320</v>
      </c>
      <c r="H1085" s="23" t="s">
        <v>58</v>
      </c>
    </row>
    <row r="1086" spans="1:8" ht="54.95" customHeight="1" x14ac:dyDescent="0.2">
      <c r="A1086" s="23" t="s">
        <v>732</v>
      </c>
      <c r="B1086" s="23" t="s">
        <v>10</v>
      </c>
      <c r="C1086" s="23" t="s">
        <v>46</v>
      </c>
      <c r="D1086" s="23">
        <v>1.0755840698370669</v>
      </c>
      <c r="E1086" s="23">
        <v>2024</v>
      </c>
      <c r="F1086" s="15" t="s">
        <v>3326</v>
      </c>
      <c r="G1086" s="15" t="s">
        <v>3320</v>
      </c>
      <c r="H1086" s="23" t="s">
        <v>58</v>
      </c>
    </row>
    <row r="1087" spans="1:8" ht="54.95" customHeight="1" x14ac:dyDescent="0.2">
      <c r="A1087" s="23" t="s">
        <v>732</v>
      </c>
      <c r="B1087" s="23" t="s">
        <v>5</v>
      </c>
      <c r="C1087" s="23" t="s">
        <v>3621</v>
      </c>
      <c r="D1087" s="23">
        <v>8.2756174238880007</v>
      </c>
      <c r="E1087" s="23">
        <v>2024</v>
      </c>
      <c r="F1087" s="15" t="s">
        <v>3316</v>
      </c>
      <c r="G1087" s="15" t="s">
        <v>3311</v>
      </c>
      <c r="H1087" s="23" t="s">
        <v>58</v>
      </c>
    </row>
    <row r="1088" spans="1:8" ht="54.95" customHeight="1" x14ac:dyDescent="0.2">
      <c r="A1088" s="23" t="s">
        <v>738</v>
      </c>
      <c r="B1088" s="23" t="s">
        <v>11</v>
      </c>
      <c r="C1088" s="23" t="s">
        <v>46</v>
      </c>
      <c r="D1088" s="23">
        <v>800</v>
      </c>
      <c r="E1088" s="23">
        <v>2025</v>
      </c>
      <c r="F1088" s="15" t="s">
        <v>3299</v>
      </c>
      <c r="G1088" s="15" t="s">
        <v>3300</v>
      </c>
      <c r="H1088" s="23" t="s">
        <v>58</v>
      </c>
    </row>
    <row r="1089" spans="1:8" ht="54.95" customHeight="1" x14ac:dyDescent="0.2">
      <c r="A1089" s="23" t="s">
        <v>738</v>
      </c>
      <c r="B1089" s="23" t="s">
        <v>13</v>
      </c>
      <c r="C1089" s="23" t="s">
        <v>46</v>
      </c>
      <c r="D1089" s="23">
        <v>0</v>
      </c>
      <c r="E1089" s="23">
        <v>2025</v>
      </c>
      <c r="F1089" s="15" t="s">
        <v>3302</v>
      </c>
      <c r="G1089" s="15" t="s">
        <v>3300</v>
      </c>
      <c r="H1089" s="23" t="s">
        <v>58</v>
      </c>
    </row>
    <row r="1090" spans="1:8" ht="54.95" customHeight="1" x14ac:dyDescent="0.2">
      <c r="A1090" s="23" t="s">
        <v>738</v>
      </c>
      <c r="B1090" s="23" t="s">
        <v>14</v>
      </c>
      <c r="C1090" s="23" t="s">
        <v>46</v>
      </c>
      <c r="D1090" s="23">
        <v>0</v>
      </c>
      <c r="E1090" s="23">
        <v>2025</v>
      </c>
      <c r="F1090" s="15" t="s">
        <v>3304</v>
      </c>
      <c r="G1090" s="15" t="s">
        <v>3300</v>
      </c>
      <c r="H1090" s="23" t="s">
        <v>58</v>
      </c>
    </row>
    <row r="1091" spans="1:8" ht="54.95" customHeight="1" x14ac:dyDescent="0.2">
      <c r="A1091" s="23" t="s">
        <v>738</v>
      </c>
      <c r="B1091" s="23" t="s">
        <v>3</v>
      </c>
      <c r="C1091" s="23" t="s">
        <v>3622</v>
      </c>
      <c r="D1091" s="23">
        <v>37730.330926999995</v>
      </c>
      <c r="E1091" s="23">
        <v>2024</v>
      </c>
      <c r="F1091" s="15" t="s">
        <v>3316</v>
      </c>
      <c r="G1091" s="15" t="s">
        <v>3317</v>
      </c>
      <c r="H1091" s="23" t="s">
        <v>58</v>
      </c>
    </row>
    <row r="1092" spans="1:8" ht="54.95" customHeight="1" x14ac:dyDescent="0.2">
      <c r="A1092" s="23" t="s">
        <v>738</v>
      </c>
      <c r="B1092" s="23" t="s">
        <v>6</v>
      </c>
      <c r="C1092" s="23" t="s">
        <v>46</v>
      </c>
      <c r="D1092" s="23">
        <v>58.59693333402182</v>
      </c>
      <c r="E1092" s="23">
        <v>2024</v>
      </c>
      <c r="F1092" s="15" t="s">
        <v>3319</v>
      </c>
      <c r="G1092" s="15" t="s">
        <v>3320</v>
      </c>
      <c r="H1092" s="23" t="s">
        <v>58</v>
      </c>
    </row>
    <row r="1093" spans="1:8" ht="54.95" customHeight="1" x14ac:dyDescent="0.2">
      <c r="A1093" s="23" t="s">
        <v>738</v>
      </c>
      <c r="B1093" s="23" t="s">
        <v>7</v>
      </c>
      <c r="C1093" s="23" t="s">
        <v>46</v>
      </c>
      <c r="D1093" s="23">
        <v>30.011127657237157</v>
      </c>
      <c r="E1093" s="23">
        <v>2024</v>
      </c>
      <c r="F1093" s="15" t="s">
        <v>3322</v>
      </c>
      <c r="G1093" s="15" t="s">
        <v>3320</v>
      </c>
      <c r="H1093" s="23" t="s">
        <v>58</v>
      </c>
    </row>
    <row r="1094" spans="1:8" ht="54.95" customHeight="1" x14ac:dyDescent="0.2">
      <c r="A1094" s="23" t="s">
        <v>738</v>
      </c>
      <c r="B1094" s="23" t="s">
        <v>8</v>
      </c>
      <c r="C1094" s="23" t="s">
        <v>46</v>
      </c>
      <c r="D1094" s="23">
        <v>5.694742188074529</v>
      </c>
      <c r="E1094" s="23">
        <v>2024</v>
      </c>
      <c r="F1094" s="15" t="s">
        <v>3324</v>
      </c>
      <c r="G1094" s="15" t="s">
        <v>3320</v>
      </c>
      <c r="H1094" s="23" t="s">
        <v>58</v>
      </c>
    </row>
    <row r="1095" spans="1:8" ht="54.95" customHeight="1" x14ac:dyDescent="0.2">
      <c r="A1095" s="23" t="s">
        <v>738</v>
      </c>
      <c r="B1095" s="23" t="s">
        <v>9</v>
      </c>
      <c r="C1095" s="23" t="s">
        <v>46</v>
      </c>
      <c r="D1095" s="23">
        <v>3.7750725769031899</v>
      </c>
      <c r="E1095" s="23">
        <v>2024</v>
      </c>
      <c r="F1095" s="15" t="s">
        <v>3325</v>
      </c>
      <c r="G1095" s="15" t="s">
        <v>3320</v>
      </c>
      <c r="H1095" s="23" t="s">
        <v>58</v>
      </c>
    </row>
    <row r="1096" spans="1:8" ht="54.95" customHeight="1" x14ac:dyDescent="0.2">
      <c r="A1096" s="23" t="s">
        <v>738</v>
      </c>
      <c r="B1096" s="23" t="s">
        <v>10</v>
      </c>
      <c r="C1096" s="23" t="s">
        <v>46</v>
      </c>
      <c r="D1096" s="23">
        <v>0</v>
      </c>
      <c r="E1096" s="23">
        <v>2024</v>
      </c>
      <c r="F1096" s="15" t="s">
        <v>3326</v>
      </c>
      <c r="G1096" s="15" t="s">
        <v>3320</v>
      </c>
      <c r="H1096" s="23" t="s">
        <v>58</v>
      </c>
    </row>
    <row r="1097" spans="1:8" ht="54.95" customHeight="1" x14ac:dyDescent="0.2">
      <c r="A1097" s="23" t="s">
        <v>738</v>
      </c>
      <c r="B1097" s="23" t="s">
        <v>5</v>
      </c>
      <c r="C1097" s="23" t="s">
        <v>3623</v>
      </c>
      <c r="D1097" s="23">
        <v>13.809301119281997</v>
      </c>
      <c r="E1097" s="23">
        <v>2024</v>
      </c>
      <c r="F1097" s="15" t="s">
        <v>3316</v>
      </c>
      <c r="G1097" s="15" t="s">
        <v>3311</v>
      </c>
      <c r="H1097" s="23" t="s">
        <v>58</v>
      </c>
    </row>
    <row r="1098" spans="1:8" ht="54.95" customHeight="1" x14ac:dyDescent="0.2">
      <c r="A1098" s="23" t="s">
        <v>744</v>
      </c>
      <c r="B1098" s="23" t="s">
        <v>11</v>
      </c>
      <c r="C1098" s="23" t="s">
        <v>46</v>
      </c>
      <c r="D1098" s="23">
        <v>79448.425697714818</v>
      </c>
      <c r="E1098" s="23">
        <v>2025</v>
      </c>
      <c r="F1098" s="15" t="s">
        <v>3299</v>
      </c>
      <c r="G1098" s="15" t="s">
        <v>3300</v>
      </c>
      <c r="H1098" s="23" t="s">
        <v>58</v>
      </c>
    </row>
    <row r="1099" spans="1:8" ht="54.95" customHeight="1" x14ac:dyDescent="0.2">
      <c r="A1099" s="23" t="s">
        <v>744</v>
      </c>
      <c r="B1099" s="23" t="s">
        <v>13</v>
      </c>
      <c r="C1099" s="23" t="s">
        <v>46</v>
      </c>
      <c r="D1099" s="23">
        <v>57515.26766573127</v>
      </c>
      <c r="E1099" s="23">
        <v>2025</v>
      </c>
      <c r="F1099" s="15" t="s">
        <v>3302</v>
      </c>
      <c r="G1099" s="15" t="s">
        <v>3300</v>
      </c>
      <c r="H1099" s="23" t="s">
        <v>58</v>
      </c>
    </row>
    <row r="1100" spans="1:8" ht="54.95" customHeight="1" x14ac:dyDescent="0.2">
      <c r="A1100" s="23" t="s">
        <v>744</v>
      </c>
      <c r="B1100" s="23" t="s">
        <v>14</v>
      </c>
      <c r="C1100" s="23" t="s">
        <v>46</v>
      </c>
      <c r="D1100" s="23">
        <v>22853.879452054796</v>
      </c>
      <c r="E1100" s="23">
        <v>2025</v>
      </c>
      <c r="F1100" s="15" t="s">
        <v>3304</v>
      </c>
      <c r="G1100" s="15" t="s">
        <v>3300</v>
      </c>
      <c r="H1100" s="23" t="s">
        <v>58</v>
      </c>
    </row>
    <row r="1101" spans="1:8" ht="54.95" customHeight="1" x14ac:dyDescent="0.2">
      <c r="A1101" s="23" t="s">
        <v>744</v>
      </c>
      <c r="B1101" s="23" t="s">
        <v>3</v>
      </c>
      <c r="C1101" s="23" t="s">
        <v>3624</v>
      </c>
      <c r="D1101" s="23">
        <v>479217.87994300004</v>
      </c>
      <c r="E1101" s="23">
        <v>2024</v>
      </c>
      <c r="F1101" s="15" t="s">
        <v>3316</v>
      </c>
      <c r="G1101" s="15" t="s">
        <v>3317</v>
      </c>
      <c r="H1101" s="23" t="s">
        <v>58</v>
      </c>
    </row>
    <row r="1102" spans="1:8" ht="54.95" customHeight="1" x14ac:dyDescent="0.2">
      <c r="A1102" s="23" t="s">
        <v>744</v>
      </c>
      <c r="B1102" s="23" t="s">
        <v>6</v>
      </c>
      <c r="C1102" s="23" t="s">
        <v>46</v>
      </c>
      <c r="D1102" s="23">
        <v>27.412740362614446</v>
      </c>
      <c r="E1102" s="23">
        <v>2024</v>
      </c>
      <c r="F1102" s="15" t="s">
        <v>3319</v>
      </c>
      <c r="G1102" s="15" t="s">
        <v>3320</v>
      </c>
      <c r="H1102" s="23" t="s">
        <v>58</v>
      </c>
    </row>
    <row r="1103" spans="1:8" ht="54.95" customHeight="1" x14ac:dyDescent="0.2">
      <c r="A1103" s="23" t="s">
        <v>744</v>
      </c>
      <c r="B1103" s="23" t="s">
        <v>7</v>
      </c>
      <c r="C1103" s="23" t="s">
        <v>46</v>
      </c>
      <c r="D1103" s="23">
        <v>37.738491898822915</v>
      </c>
      <c r="E1103" s="23">
        <v>2024</v>
      </c>
      <c r="F1103" s="15" t="s">
        <v>3322</v>
      </c>
      <c r="G1103" s="15" t="s">
        <v>3320</v>
      </c>
      <c r="H1103" s="23" t="s">
        <v>58</v>
      </c>
    </row>
    <row r="1104" spans="1:8" ht="54.95" customHeight="1" x14ac:dyDescent="0.2">
      <c r="A1104" s="23" t="s">
        <v>744</v>
      </c>
      <c r="B1104" s="23" t="s">
        <v>8</v>
      </c>
      <c r="C1104" s="23" t="s">
        <v>46</v>
      </c>
      <c r="D1104" s="23">
        <v>8.0356599537939459</v>
      </c>
      <c r="E1104" s="23">
        <v>2024</v>
      </c>
      <c r="F1104" s="15" t="s">
        <v>3324</v>
      </c>
      <c r="G1104" s="15" t="s">
        <v>3320</v>
      </c>
      <c r="H1104" s="23" t="s">
        <v>58</v>
      </c>
    </row>
    <row r="1105" spans="1:8" ht="54.95" customHeight="1" x14ac:dyDescent="0.2">
      <c r="A1105" s="23" t="s">
        <v>744</v>
      </c>
      <c r="B1105" s="23" t="s">
        <v>9</v>
      </c>
      <c r="C1105" s="23" t="s">
        <v>46</v>
      </c>
      <c r="D1105" s="23">
        <v>3.7784164005219703</v>
      </c>
      <c r="E1105" s="23">
        <v>2024</v>
      </c>
      <c r="F1105" s="15" t="s">
        <v>3325</v>
      </c>
      <c r="G1105" s="15" t="s">
        <v>3320</v>
      </c>
      <c r="H1105" s="23" t="s">
        <v>58</v>
      </c>
    </row>
    <row r="1106" spans="1:8" ht="54.95" customHeight="1" x14ac:dyDescent="0.2">
      <c r="A1106" s="23" t="s">
        <v>744</v>
      </c>
      <c r="B1106" s="23" t="s">
        <v>10</v>
      </c>
      <c r="C1106" s="23" t="s">
        <v>46</v>
      </c>
      <c r="D1106" s="23">
        <v>19.730653674951874</v>
      </c>
      <c r="E1106" s="23">
        <v>2024</v>
      </c>
      <c r="F1106" s="15" t="s">
        <v>3326</v>
      </c>
      <c r="G1106" s="15" t="s">
        <v>3320</v>
      </c>
      <c r="H1106" s="23" t="s">
        <v>58</v>
      </c>
    </row>
    <row r="1107" spans="1:8" ht="54.95" customHeight="1" x14ac:dyDescent="0.2">
      <c r="A1107" s="23" t="s">
        <v>744</v>
      </c>
      <c r="B1107" s="23" t="s">
        <v>5</v>
      </c>
      <c r="C1107" s="23" t="s">
        <v>3625</v>
      </c>
      <c r="D1107" s="23">
        <v>175.39374405913799</v>
      </c>
      <c r="E1107" s="23">
        <v>2024</v>
      </c>
      <c r="F1107" s="15" t="s">
        <v>3316</v>
      </c>
      <c r="G1107" s="15" t="s">
        <v>3311</v>
      </c>
      <c r="H1107" s="23" t="s">
        <v>58</v>
      </c>
    </row>
    <row r="1108" spans="1:8" ht="54.95" customHeight="1" x14ac:dyDescent="0.2">
      <c r="A1108" s="23" t="s">
        <v>750</v>
      </c>
      <c r="B1108" s="23" t="s">
        <v>11</v>
      </c>
      <c r="C1108" s="23" t="s">
        <v>46</v>
      </c>
      <c r="D1108" s="23">
        <v>6098.3562492575347</v>
      </c>
      <c r="E1108" s="23">
        <v>2025</v>
      </c>
      <c r="F1108" s="15" t="s">
        <v>3299</v>
      </c>
      <c r="G1108" s="15" t="s">
        <v>3300</v>
      </c>
      <c r="H1108" s="23" t="s">
        <v>58</v>
      </c>
    </row>
    <row r="1109" spans="1:8" ht="54.95" customHeight="1" x14ac:dyDescent="0.2">
      <c r="A1109" s="23" t="s">
        <v>750</v>
      </c>
      <c r="B1109" s="23" t="s">
        <v>13</v>
      </c>
      <c r="C1109" s="23" t="s">
        <v>46</v>
      </c>
      <c r="D1109" s="23">
        <v>1000</v>
      </c>
      <c r="E1109" s="23">
        <v>2025</v>
      </c>
      <c r="F1109" s="15" t="s">
        <v>3302</v>
      </c>
      <c r="G1109" s="15" t="s">
        <v>3300</v>
      </c>
      <c r="H1109" s="23" t="s">
        <v>58</v>
      </c>
    </row>
    <row r="1110" spans="1:8" ht="54.95" customHeight="1" x14ac:dyDescent="0.2">
      <c r="A1110" s="23" t="s">
        <v>750</v>
      </c>
      <c r="B1110" s="23" t="s">
        <v>14</v>
      </c>
      <c r="C1110" s="23" t="s">
        <v>46</v>
      </c>
      <c r="D1110" s="23">
        <v>0</v>
      </c>
      <c r="E1110" s="23">
        <v>2025</v>
      </c>
      <c r="F1110" s="15" t="s">
        <v>3304</v>
      </c>
      <c r="G1110" s="15" t="s">
        <v>3300</v>
      </c>
      <c r="H1110" s="23" t="s">
        <v>58</v>
      </c>
    </row>
    <row r="1111" spans="1:8" ht="54.95" customHeight="1" x14ac:dyDescent="0.2">
      <c r="A1111" s="23" t="s">
        <v>750</v>
      </c>
      <c r="B1111" s="23" t="s">
        <v>3</v>
      </c>
      <c r="C1111" s="23" t="s">
        <v>3626</v>
      </c>
      <c r="D1111" s="23">
        <v>105995.6493150685</v>
      </c>
      <c r="E1111" s="23">
        <v>2025</v>
      </c>
      <c r="F1111" s="15" t="s">
        <v>3305</v>
      </c>
      <c r="G1111" s="15" t="s">
        <v>3306</v>
      </c>
      <c r="H1111" s="23" t="s">
        <v>58</v>
      </c>
    </row>
    <row r="1112" spans="1:8" ht="54.95" customHeight="1" x14ac:dyDescent="0.2">
      <c r="A1112" s="23" t="s">
        <v>750</v>
      </c>
      <c r="B1112" s="23" t="s">
        <v>6</v>
      </c>
      <c r="C1112" s="23" t="s">
        <v>46</v>
      </c>
      <c r="D1112" s="23">
        <v>55.282237999326512</v>
      </c>
      <c r="E1112" s="23">
        <v>2025</v>
      </c>
      <c r="F1112" s="15" t="s">
        <v>3305</v>
      </c>
      <c r="G1112" s="15" t="s">
        <v>3308</v>
      </c>
      <c r="H1112" s="23" t="s">
        <v>58</v>
      </c>
    </row>
    <row r="1113" spans="1:8" ht="54.95" customHeight="1" x14ac:dyDescent="0.2">
      <c r="A1113" s="23" t="s">
        <v>750</v>
      </c>
      <c r="B1113" s="23" t="s">
        <v>7</v>
      </c>
      <c r="C1113" s="23" t="s">
        <v>46</v>
      </c>
      <c r="D1113" s="23">
        <v>14.393327903972899</v>
      </c>
      <c r="E1113" s="23">
        <v>2025</v>
      </c>
      <c r="F1113" s="15" t="s">
        <v>3305</v>
      </c>
      <c r="G1113" s="15" t="s">
        <v>3308</v>
      </c>
      <c r="H1113" s="23" t="s">
        <v>58</v>
      </c>
    </row>
    <row r="1114" spans="1:8" ht="54.95" customHeight="1" x14ac:dyDescent="0.2">
      <c r="A1114" s="23" t="s">
        <v>750</v>
      </c>
      <c r="B1114" s="23" t="s">
        <v>8</v>
      </c>
      <c r="C1114" s="23" t="s">
        <v>46</v>
      </c>
      <c r="D1114" s="23">
        <v>13.55237842276907</v>
      </c>
      <c r="E1114" s="23">
        <v>2025</v>
      </c>
      <c r="F1114" s="15" t="s">
        <v>3305</v>
      </c>
      <c r="G1114" s="15" t="s">
        <v>3308</v>
      </c>
      <c r="H1114" s="23" t="s">
        <v>58</v>
      </c>
    </row>
    <row r="1115" spans="1:8" ht="54.95" customHeight="1" x14ac:dyDescent="0.2">
      <c r="A1115" s="23" t="s">
        <v>750</v>
      </c>
      <c r="B1115" s="23" t="s">
        <v>9</v>
      </c>
      <c r="C1115" s="23" t="s">
        <v>46</v>
      </c>
      <c r="D1115" s="23" t="s">
        <v>46</v>
      </c>
      <c r="E1115" s="23">
        <v>2025</v>
      </c>
      <c r="F1115" s="15" t="s">
        <v>3305</v>
      </c>
      <c r="G1115" s="15" t="s">
        <v>3357</v>
      </c>
      <c r="H1115" s="23" t="s">
        <v>58</v>
      </c>
    </row>
    <row r="1116" spans="1:8" ht="54.95" customHeight="1" x14ac:dyDescent="0.2">
      <c r="A1116" s="23" t="s">
        <v>750</v>
      </c>
      <c r="B1116" s="23" t="s">
        <v>10</v>
      </c>
      <c r="C1116" s="23" t="s">
        <v>46</v>
      </c>
      <c r="D1116" s="23">
        <v>0.55016473666585231</v>
      </c>
      <c r="E1116" s="23">
        <v>2025</v>
      </c>
      <c r="F1116" s="15" t="s">
        <v>3305</v>
      </c>
      <c r="G1116" s="15" t="s">
        <v>3308</v>
      </c>
      <c r="H1116" s="23" t="s">
        <v>58</v>
      </c>
    </row>
    <row r="1117" spans="1:8" ht="54.95" customHeight="1" x14ac:dyDescent="0.2">
      <c r="A1117" s="23" t="s">
        <v>750</v>
      </c>
      <c r="B1117" s="23" t="s">
        <v>5</v>
      </c>
      <c r="C1117" s="23" t="s">
        <v>3627</v>
      </c>
      <c r="D1117" s="23">
        <v>38.688412</v>
      </c>
      <c r="E1117" s="23">
        <v>2025</v>
      </c>
      <c r="F1117" s="15" t="s">
        <v>3305</v>
      </c>
      <c r="G1117" s="15" t="s">
        <v>3311</v>
      </c>
      <c r="H1117" s="23" t="s">
        <v>58</v>
      </c>
    </row>
    <row r="1118" spans="1:8" ht="54.95" customHeight="1" x14ac:dyDescent="0.2">
      <c r="A1118" s="23" t="s">
        <v>756</v>
      </c>
      <c r="B1118" s="23" t="s">
        <v>11</v>
      </c>
      <c r="C1118" s="23" t="s">
        <v>46</v>
      </c>
      <c r="D1118" s="23">
        <v>395823.79870900273</v>
      </c>
      <c r="E1118" s="23">
        <v>2025</v>
      </c>
      <c r="F1118" s="15" t="s">
        <v>3299</v>
      </c>
      <c r="G1118" s="15" t="s">
        <v>3300</v>
      </c>
      <c r="H1118" s="23" t="s">
        <v>58</v>
      </c>
    </row>
    <row r="1119" spans="1:8" ht="54.95" customHeight="1" x14ac:dyDescent="0.2">
      <c r="A1119" s="23" t="s">
        <v>756</v>
      </c>
      <c r="B1119" s="23" t="s">
        <v>13</v>
      </c>
      <c r="C1119" s="23" t="s">
        <v>46</v>
      </c>
      <c r="D1119" s="23">
        <v>161578.90410958906</v>
      </c>
      <c r="E1119" s="23">
        <v>2025</v>
      </c>
      <c r="F1119" s="15" t="s">
        <v>3302</v>
      </c>
      <c r="G1119" s="15" t="s">
        <v>3300</v>
      </c>
      <c r="H1119" s="23" t="s">
        <v>58</v>
      </c>
    </row>
    <row r="1120" spans="1:8" ht="54.95" customHeight="1" x14ac:dyDescent="0.2">
      <c r="A1120" s="23" t="s">
        <v>756</v>
      </c>
      <c r="B1120" s="23" t="s">
        <v>14</v>
      </c>
      <c r="C1120" s="23" t="s">
        <v>46</v>
      </c>
      <c r="D1120" s="23">
        <v>152736.98630136985</v>
      </c>
      <c r="E1120" s="23">
        <v>2025</v>
      </c>
      <c r="F1120" s="15" t="s">
        <v>3304</v>
      </c>
      <c r="G1120" s="15" t="s">
        <v>3300</v>
      </c>
      <c r="H1120" s="23" t="s">
        <v>58</v>
      </c>
    </row>
    <row r="1121" spans="1:8" ht="54.95" customHeight="1" x14ac:dyDescent="0.2">
      <c r="A1121" s="23" t="s">
        <v>756</v>
      </c>
      <c r="B1121" s="23" t="s">
        <v>3</v>
      </c>
      <c r="C1121" s="23" t="s">
        <v>3628</v>
      </c>
      <c r="D1121" s="23">
        <v>1149944.0356164384</v>
      </c>
      <c r="E1121" s="23">
        <v>2025</v>
      </c>
      <c r="F1121" s="15" t="s">
        <v>3305</v>
      </c>
      <c r="G1121" s="15" t="s">
        <v>3306</v>
      </c>
      <c r="H1121" s="23" t="s">
        <v>58</v>
      </c>
    </row>
    <row r="1122" spans="1:8" ht="54.95" customHeight="1" x14ac:dyDescent="0.2">
      <c r="A1122" s="23" t="s">
        <v>756</v>
      </c>
      <c r="B1122" s="23" t="s">
        <v>6</v>
      </c>
      <c r="C1122" s="23" t="s">
        <v>46</v>
      </c>
      <c r="D1122" s="23">
        <v>36.656488105020898</v>
      </c>
      <c r="E1122" s="23">
        <v>2025</v>
      </c>
      <c r="F1122" s="15" t="s">
        <v>3305</v>
      </c>
      <c r="G1122" s="15" t="s">
        <v>3308</v>
      </c>
      <c r="H1122" s="23" t="s">
        <v>58</v>
      </c>
    </row>
    <row r="1123" spans="1:8" ht="54.95" customHeight="1" x14ac:dyDescent="0.2">
      <c r="A1123" s="23" t="s">
        <v>756</v>
      </c>
      <c r="B1123" s="23" t="s">
        <v>7</v>
      </c>
      <c r="C1123" s="23" t="s">
        <v>46</v>
      </c>
      <c r="D1123" s="23">
        <v>17.348300354333148</v>
      </c>
      <c r="E1123" s="23">
        <v>2025</v>
      </c>
      <c r="F1123" s="15" t="s">
        <v>3305</v>
      </c>
      <c r="G1123" s="15" t="s">
        <v>3308</v>
      </c>
      <c r="H1123" s="23" t="s">
        <v>58</v>
      </c>
    </row>
    <row r="1124" spans="1:8" ht="54.95" customHeight="1" x14ac:dyDescent="0.2">
      <c r="A1124" s="23" t="s">
        <v>756</v>
      </c>
      <c r="B1124" s="23" t="s">
        <v>8</v>
      </c>
      <c r="C1124" s="23" t="s">
        <v>46</v>
      </c>
      <c r="D1124" s="23">
        <v>18.455989757004804</v>
      </c>
      <c r="E1124" s="23">
        <v>2025</v>
      </c>
      <c r="F1124" s="15" t="s">
        <v>3305</v>
      </c>
      <c r="G1124" s="15" t="s">
        <v>3308</v>
      </c>
      <c r="H1124" s="23" t="s">
        <v>58</v>
      </c>
    </row>
    <row r="1125" spans="1:8" ht="54.95" customHeight="1" x14ac:dyDescent="0.2">
      <c r="A1125" s="23" t="s">
        <v>756</v>
      </c>
      <c r="B1125" s="23" t="s">
        <v>9</v>
      </c>
      <c r="C1125" s="23" t="s">
        <v>46</v>
      </c>
      <c r="D1125" s="23">
        <v>19.083998162788497</v>
      </c>
      <c r="E1125" s="23">
        <v>2025</v>
      </c>
      <c r="F1125" s="15" t="s">
        <v>3305</v>
      </c>
      <c r="G1125" s="15" t="s">
        <v>3308</v>
      </c>
      <c r="H1125" s="23" t="s">
        <v>58</v>
      </c>
    </row>
    <row r="1126" spans="1:8" ht="54.95" customHeight="1" x14ac:dyDescent="0.2">
      <c r="A1126" s="23" t="s">
        <v>756</v>
      </c>
      <c r="B1126" s="23" t="s">
        <v>10</v>
      </c>
      <c r="C1126" s="23" t="s">
        <v>46</v>
      </c>
      <c r="D1126" s="23">
        <v>2.9476243266756903</v>
      </c>
      <c r="E1126" s="23">
        <v>2025</v>
      </c>
      <c r="F1126" s="15" t="s">
        <v>3305</v>
      </c>
      <c r="G1126" s="15" t="s">
        <v>3308</v>
      </c>
      <c r="H1126" s="23" t="s">
        <v>58</v>
      </c>
    </row>
    <row r="1127" spans="1:8" ht="54.95" customHeight="1" x14ac:dyDescent="0.2">
      <c r="A1127" s="23" t="s">
        <v>756</v>
      </c>
      <c r="B1127" s="23" t="s">
        <v>5</v>
      </c>
      <c r="C1127" s="23" t="s">
        <v>3629</v>
      </c>
      <c r="D1127" s="23">
        <v>419.72957300000002</v>
      </c>
      <c r="E1127" s="23">
        <v>2025</v>
      </c>
      <c r="F1127" s="15" t="s">
        <v>3305</v>
      </c>
      <c r="G1127" s="15" t="s">
        <v>3311</v>
      </c>
      <c r="H1127" s="23" t="s">
        <v>58</v>
      </c>
    </row>
    <row r="1128" spans="1:8" ht="54.95" customHeight="1" x14ac:dyDescent="0.2">
      <c r="A1128" s="23" t="s">
        <v>768</v>
      </c>
      <c r="B1128" s="23" t="s">
        <v>11</v>
      </c>
      <c r="C1128" s="23" t="s">
        <v>46</v>
      </c>
      <c r="D1128" s="23">
        <v>0</v>
      </c>
      <c r="E1128" s="23">
        <v>2025</v>
      </c>
      <c r="F1128" s="15" t="s">
        <v>3299</v>
      </c>
      <c r="G1128" s="15" t="s">
        <v>3300</v>
      </c>
      <c r="H1128" s="23" t="s">
        <v>58</v>
      </c>
    </row>
    <row r="1129" spans="1:8" ht="54.95" customHeight="1" x14ac:dyDescent="0.2">
      <c r="A1129" s="23" t="s">
        <v>768</v>
      </c>
      <c r="B1129" s="23" t="s">
        <v>13</v>
      </c>
      <c r="C1129" s="23" t="s">
        <v>46</v>
      </c>
      <c r="D1129" s="23">
        <v>0</v>
      </c>
      <c r="E1129" s="23">
        <v>2025</v>
      </c>
      <c r="F1129" s="15" t="s">
        <v>3302</v>
      </c>
      <c r="G1129" s="15" t="s">
        <v>3300</v>
      </c>
      <c r="H1129" s="23" t="s">
        <v>58</v>
      </c>
    </row>
    <row r="1130" spans="1:8" ht="54.95" customHeight="1" x14ac:dyDescent="0.2">
      <c r="A1130" s="23" t="s">
        <v>768</v>
      </c>
      <c r="B1130" s="23" t="s">
        <v>14</v>
      </c>
      <c r="C1130" s="23" t="s">
        <v>46</v>
      </c>
      <c r="D1130" s="23">
        <v>0</v>
      </c>
      <c r="E1130" s="23">
        <v>2025</v>
      </c>
      <c r="F1130" s="15" t="s">
        <v>3304</v>
      </c>
      <c r="G1130" s="15" t="s">
        <v>3300</v>
      </c>
      <c r="H1130" s="23" t="s">
        <v>58</v>
      </c>
    </row>
    <row r="1131" spans="1:8" ht="54.95" customHeight="1" x14ac:dyDescent="0.2">
      <c r="A1131" s="23" t="s">
        <v>768</v>
      </c>
      <c r="B1131" s="23" t="s">
        <v>3</v>
      </c>
      <c r="C1131" s="23" t="s">
        <v>3630</v>
      </c>
      <c r="D1131" s="23">
        <v>11655.784050999999</v>
      </c>
      <c r="E1131" s="23">
        <v>2024</v>
      </c>
      <c r="F1131" s="15" t="s">
        <v>3316</v>
      </c>
      <c r="G1131" s="15" t="s">
        <v>3317</v>
      </c>
      <c r="H1131" s="23" t="s">
        <v>58</v>
      </c>
    </row>
    <row r="1132" spans="1:8" ht="54.95" customHeight="1" x14ac:dyDescent="0.2">
      <c r="A1132" s="23" t="s">
        <v>768</v>
      </c>
      <c r="B1132" s="23" t="s">
        <v>6</v>
      </c>
      <c r="C1132" s="23" t="s">
        <v>46</v>
      </c>
      <c r="D1132" s="23">
        <v>45.432720045509711</v>
      </c>
      <c r="E1132" s="23">
        <v>2024</v>
      </c>
      <c r="F1132" s="15" t="s">
        <v>3319</v>
      </c>
      <c r="G1132" s="15" t="s">
        <v>3320</v>
      </c>
      <c r="H1132" s="23" t="s">
        <v>58</v>
      </c>
    </row>
    <row r="1133" spans="1:8" ht="54.95" customHeight="1" x14ac:dyDescent="0.2">
      <c r="A1133" s="23" t="s">
        <v>768</v>
      </c>
      <c r="B1133" s="23" t="s">
        <v>7</v>
      </c>
      <c r="C1133" s="23" t="s">
        <v>46</v>
      </c>
      <c r="D1133" s="23">
        <v>37.708306431972005</v>
      </c>
      <c r="E1133" s="23">
        <v>2024</v>
      </c>
      <c r="F1133" s="15" t="s">
        <v>3322</v>
      </c>
      <c r="G1133" s="15" t="s">
        <v>3320</v>
      </c>
      <c r="H1133" s="23" t="s">
        <v>58</v>
      </c>
    </row>
    <row r="1134" spans="1:8" ht="54.95" customHeight="1" x14ac:dyDescent="0.2">
      <c r="A1134" s="23" t="s">
        <v>768</v>
      </c>
      <c r="B1134" s="23" t="s">
        <v>8</v>
      </c>
      <c r="C1134" s="23" t="s">
        <v>46</v>
      </c>
      <c r="D1134" s="23">
        <v>6.2735876437009326</v>
      </c>
      <c r="E1134" s="23">
        <v>2024</v>
      </c>
      <c r="F1134" s="15" t="s">
        <v>3324</v>
      </c>
      <c r="G1134" s="15" t="s">
        <v>3320</v>
      </c>
      <c r="H1134" s="23" t="s">
        <v>58</v>
      </c>
    </row>
    <row r="1135" spans="1:8" ht="54.95" customHeight="1" x14ac:dyDescent="0.2">
      <c r="A1135" s="23" t="s">
        <v>768</v>
      </c>
      <c r="B1135" s="23" t="s">
        <v>9</v>
      </c>
      <c r="C1135" s="23" t="s">
        <v>46</v>
      </c>
      <c r="D1135" s="23">
        <v>2.4240784812391856</v>
      </c>
      <c r="E1135" s="23">
        <v>2024</v>
      </c>
      <c r="F1135" s="15" t="s">
        <v>3325</v>
      </c>
      <c r="G1135" s="15" t="s">
        <v>3320</v>
      </c>
      <c r="H1135" s="23" t="s">
        <v>58</v>
      </c>
    </row>
    <row r="1136" spans="1:8" ht="54.95" customHeight="1" x14ac:dyDescent="0.2">
      <c r="A1136" s="23" t="s">
        <v>768</v>
      </c>
      <c r="B1136" s="23" t="s">
        <v>10</v>
      </c>
      <c r="C1136" s="23" t="s">
        <v>46</v>
      </c>
      <c r="D1136" s="23">
        <v>7.3604138447159713</v>
      </c>
      <c r="E1136" s="23">
        <v>2024</v>
      </c>
      <c r="F1136" s="15" t="s">
        <v>3326</v>
      </c>
      <c r="G1136" s="15" t="s">
        <v>3320</v>
      </c>
      <c r="H1136" s="23" t="s">
        <v>58</v>
      </c>
    </row>
    <row r="1137" spans="1:8" ht="54.95" customHeight="1" x14ac:dyDescent="0.2">
      <c r="A1137" s="23" t="s">
        <v>768</v>
      </c>
      <c r="B1137" s="23" t="s">
        <v>5</v>
      </c>
      <c r="C1137" s="23" t="s">
        <v>3631</v>
      </c>
      <c r="D1137" s="23">
        <v>4.2660169626659989</v>
      </c>
      <c r="E1137" s="23">
        <v>2024</v>
      </c>
      <c r="F1137" s="15" t="s">
        <v>3316</v>
      </c>
      <c r="G1137" s="15" t="s">
        <v>3311</v>
      </c>
      <c r="H1137" s="23" t="s">
        <v>58</v>
      </c>
    </row>
    <row r="1138" spans="1:8" ht="54.95" customHeight="1" x14ac:dyDescent="0.2">
      <c r="A1138" s="23" t="s">
        <v>774</v>
      </c>
      <c r="B1138" s="23" t="s">
        <v>11</v>
      </c>
      <c r="C1138" s="23" t="s">
        <v>46</v>
      </c>
      <c r="D1138" s="23">
        <v>0</v>
      </c>
      <c r="E1138" s="23">
        <v>2025</v>
      </c>
      <c r="F1138" s="15" t="s">
        <v>3299</v>
      </c>
      <c r="G1138" s="15" t="s">
        <v>3300</v>
      </c>
      <c r="H1138" s="23" t="s">
        <v>58</v>
      </c>
    </row>
    <row r="1139" spans="1:8" ht="54.95" customHeight="1" x14ac:dyDescent="0.2">
      <c r="A1139" s="23" t="s">
        <v>774</v>
      </c>
      <c r="B1139" s="23" t="s">
        <v>13</v>
      </c>
      <c r="C1139" s="23" t="s">
        <v>46</v>
      </c>
      <c r="D1139" s="23">
        <v>0</v>
      </c>
      <c r="E1139" s="23">
        <v>2025</v>
      </c>
      <c r="F1139" s="15" t="s">
        <v>3302</v>
      </c>
      <c r="G1139" s="15" t="s">
        <v>3300</v>
      </c>
      <c r="H1139" s="23" t="s">
        <v>58</v>
      </c>
    </row>
    <row r="1140" spans="1:8" ht="54.95" customHeight="1" x14ac:dyDescent="0.2">
      <c r="A1140" s="23" t="s">
        <v>774</v>
      </c>
      <c r="B1140" s="23" t="s">
        <v>14</v>
      </c>
      <c r="C1140" s="23" t="s">
        <v>46</v>
      </c>
      <c r="D1140" s="23">
        <v>0</v>
      </c>
      <c r="E1140" s="23">
        <v>2025</v>
      </c>
      <c r="F1140" s="15" t="s">
        <v>3304</v>
      </c>
      <c r="G1140" s="15" t="s">
        <v>3300</v>
      </c>
      <c r="H1140" s="23" t="s">
        <v>58</v>
      </c>
    </row>
    <row r="1141" spans="1:8" ht="54.95" customHeight="1" x14ac:dyDescent="0.2">
      <c r="A1141" s="23" t="s">
        <v>774</v>
      </c>
      <c r="B1141" s="23" t="s">
        <v>3</v>
      </c>
      <c r="C1141" s="23" t="s">
        <v>3632</v>
      </c>
      <c r="D1141" s="23">
        <v>148387.83325299999</v>
      </c>
      <c r="E1141" s="23">
        <v>2024</v>
      </c>
      <c r="F1141" s="15" t="s">
        <v>3316</v>
      </c>
      <c r="G1141" s="15" t="s">
        <v>3317</v>
      </c>
      <c r="H1141" s="23" t="s">
        <v>58</v>
      </c>
    </row>
    <row r="1142" spans="1:8" ht="54.95" customHeight="1" x14ac:dyDescent="0.2">
      <c r="A1142" s="23" t="s">
        <v>774</v>
      </c>
      <c r="B1142" s="23" t="s">
        <v>6</v>
      </c>
      <c r="C1142" s="23" t="s">
        <v>46</v>
      </c>
      <c r="D1142" s="23">
        <v>20.981639786407865</v>
      </c>
      <c r="E1142" s="23">
        <v>2024</v>
      </c>
      <c r="F1142" s="15" t="s">
        <v>3319</v>
      </c>
      <c r="G1142" s="15" t="s">
        <v>3320</v>
      </c>
      <c r="H1142" s="23" t="s">
        <v>58</v>
      </c>
    </row>
    <row r="1143" spans="1:8" ht="54.95" customHeight="1" x14ac:dyDescent="0.2">
      <c r="A1143" s="23" t="s">
        <v>774</v>
      </c>
      <c r="B1143" s="23" t="s">
        <v>7</v>
      </c>
      <c r="C1143" s="23" t="s">
        <v>46</v>
      </c>
      <c r="D1143" s="23">
        <v>20.480566259218953</v>
      </c>
      <c r="E1143" s="23">
        <v>2024</v>
      </c>
      <c r="F1143" s="15" t="s">
        <v>3322</v>
      </c>
      <c r="G1143" s="15" t="s">
        <v>3320</v>
      </c>
      <c r="H1143" s="23" t="s">
        <v>58</v>
      </c>
    </row>
    <row r="1144" spans="1:8" ht="54.95" customHeight="1" x14ac:dyDescent="0.2">
      <c r="A1144" s="23" t="s">
        <v>774</v>
      </c>
      <c r="B1144" s="23" t="s">
        <v>8</v>
      </c>
      <c r="C1144" s="23" t="s">
        <v>46</v>
      </c>
      <c r="D1144" s="23">
        <v>22.071522248161042</v>
      </c>
      <c r="E1144" s="23">
        <v>2024</v>
      </c>
      <c r="F1144" s="15" t="s">
        <v>3324</v>
      </c>
      <c r="G1144" s="15" t="s">
        <v>3320</v>
      </c>
      <c r="H1144" s="23" t="s">
        <v>58</v>
      </c>
    </row>
    <row r="1145" spans="1:8" ht="54.95" customHeight="1" x14ac:dyDescent="0.2">
      <c r="A1145" s="23" t="s">
        <v>774</v>
      </c>
      <c r="B1145" s="23" t="s">
        <v>9</v>
      </c>
      <c r="C1145" s="23" t="s">
        <v>46</v>
      </c>
      <c r="D1145" s="23">
        <v>8.4735887669185264</v>
      </c>
      <c r="E1145" s="23">
        <v>2024</v>
      </c>
      <c r="F1145" s="15" t="s">
        <v>3325</v>
      </c>
      <c r="G1145" s="15" t="s">
        <v>3320</v>
      </c>
      <c r="H1145" s="23" t="s">
        <v>58</v>
      </c>
    </row>
    <row r="1146" spans="1:8" ht="54.95" customHeight="1" x14ac:dyDescent="0.2">
      <c r="A1146" s="23" t="s">
        <v>774</v>
      </c>
      <c r="B1146" s="23" t="s">
        <v>10</v>
      </c>
      <c r="C1146" s="23" t="s">
        <v>46</v>
      </c>
      <c r="D1146" s="23">
        <v>16.949392149367153</v>
      </c>
      <c r="E1146" s="23">
        <v>2024</v>
      </c>
      <c r="F1146" s="15" t="s">
        <v>3326</v>
      </c>
      <c r="G1146" s="15" t="s">
        <v>3320</v>
      </c>
      <c r="H1146" s="23" t="s">
        <v>58</v>
      </c>
    </row>
    <row r="1147" spans="1:8" ht="54.95" customHeight="1" x14ac:dyDescent="0.2">
      <c r="A1147" s="23" t="s">
        <v>774</v>
      </c>
      <c r="B1147" s="23" t="s">
        <v>5</v>
      </c>
      <c r="C1147" s="23" t="s">
        <v>3633</v>
      </c>
      <c r="D1147" s="23">
        <v>54.309946970597998</v>
      </c>
      <c r="E1147" s="23">
        <v>2024</v>
      </c>
      <c r="F1147" s="15" t="s">
        <v>3316</v>
      </c>
      <c r="G1147" s="15" t="s">
        <v>3311</v>
      </c>
      <c r="H1147" s="23" t="s">
        <v>58</v>
      </c>
    </row>
    <row r="1148" spans="1:8" ht="54.95" customHeight="1" x14ac:dyDescent="0.2">
      <c r="A1148" s="23" t="s">
        <v>780</v>
      </c>
      <c r="B1148" s="23" t="s">
        <v>11</v>
      </c>
      <c r="C1148" s="23" t="s">
        <v>46</v>
      </c>
      <c r="D1148" s="23">
        <v>126490.4109589041</v>
      </c>
      <c r="E1148" s="23">
        <v>2025</v>
      </c>
      <c r="F1148" s="15" t="s">
        <v>3299</v>
      </c>
      <c r="G1148" s="15" t="s">
        <v>3300</v>
      </c>
      <c r="H1148" s="23" t="s">
        <v>58</v>
      </c>
    </row>
    <row r="1149" spans="1:8" ht="54.95" customHeight="1" x14ac:dyDescent="0.2">
      <c r="A1149" s="23" t="s">
        <v>780</v>
      </c>
      <c r="B1149" s="23" t="s">
        <v>13</v>
      </c>
      <c r="C1149" s="23" t="s">
        <v>46</v>
      </c>
      <c r="D1149" s="23">
        <v>126490.4109589041</v>
      </c>
      <c r="E1149" s="23">
        <v>2025</v>
      </c>
      <c r="F1149" s="15" t="s">
        <v>3302</v>
      </c>
      <c r="G1149" s="15" t="s">
        <v>3300</v>
      </c>
      <c r="H1149" s="23" t="s">
        <v>58</v>
      </c>
    </row>
    <row r="1150" spans="1:8" ht="54.95" customHeight="1" x14ac:dyDescent="0.2">
      <c r="A1150" s="23" t="s">
        <v>780</v>
      </c>
      <c r="B1150" s="23" t="s">
        <v>14</v>
      </c>
      <c r="C1150" s="23" t="s">
        <v>46</v>
      </c>
      <c r="D1150" s="23">
        <v>0</v>
      </c>
      <c r="E1150" s="23">
        <v>2025</v>
      </c>
      <c r="F1150" s="15" t="s">
        <v>3304</v>
      </c>
      <c r="G1150" s="15" t="s">
        <v>3300</v>
      </c>
      <c r="H1150" s="23" t="s">
        <v>58</v>
      </c>
    </row>
    <row r="1151" spans="1:8" ht="54.95" customHeight="1" x14ac:dyDescent="0.2">
      <c r="A1151" s="23" t="s">
        <v>780</v>
      </c>
      <c r="B1151" s="23" t="s">
        <v>3</v>
      </c>
      <c r="C1151" s="23" t="s">
        <v>3634</v>
      </c>
      <c r="D1151" s="23">
        <v>13284.117802999999</v>
      </c>
      <c r="E1151" s="23">
        <v>2024</v>
      </c>
      <c r="F1151" s="15" t="s">
        <v>3316</v>
      </c>
      <c r="G1151" s="15" t="s">
        <v>3317</v>
      </c>
      <c r="H1151" s="23" t="s">
        <v>58</v>
      </c>
    </row>
    <row r="1152" spans="1:8" ht="54.95" customHeight="1" x14ac:dyDescent="0.2">
      <c r="A1152" s="23" t="s">
        <v>780</v>
      </c>
      <c r="B1152" s="23" t="s">
        <v>6</v>
      </c>
      <c r="C1152" s="23" t="s">
        <v>46</v>
      </c>
      <c r="D1152" s="23">
        <v>45.235434359389203</v>
      </c>
      <c r="E1152" s="23">
        <v>2024</v>
      </c>
      <c r="F1152" s="15" t="s">
        <v>3319</v>
      </c>
      <c r="G1152" s="15" t="s">
        <v>3320</v>
      </c>
      <c r="H1152" s="23" t="s">
        <v>58</v>
      </c>
    </row>
    <row r="1153" spans="1:8" ht="54.95" customHeight="1" x14ac:dyDescent="0.2">
      <c r="A1153" s="23" t="s">
        <v>780</v>
      </c>
      <c r="B1153" s="23" t="s">
        <v>7</v>
      </c>
      <c r="C1153" s="23" t="s">
        <v>46</v>
      </c>
      <c r="D1153" s="23">
        <v>36.659368459531564</v>
      </c>
      <c r="E1153" s="23">
        <v>2024</v>
      </c>
      <c r="F1153" s="15" t="s">
        <v>3322</v>
      </c>
      <c r="G1153" s="15" t="s">
        <v>3320</v>
      </c>
      <c r="H1153" s="23" t="s">
        <v>58</v>
      </c>
    </row>
    <row r="1154" spans="1:8" ht="54.95" customHeight="1" x14ac:dyDescent="0.2">
      <c r="A1154" s="23" t="s">
        <v>780</v>
      </c>
      <c r="B1154" s="23" t="s">
        <v>8</v>
      </c>
      <c r="C1154" s="23" t="s">
        <v>46</v>
      </c>
      <c r="D1154" s="23">
        <v>10.279790342506647</v>
      </c>
      <c r="E1154" s="23">
        <v>2024</v>
      </c>
      <c r="F1154" s="15" t="s">
        <v>3324</v>
      </c>
      <c r="G1154" s="15" t="s">
        <v>3320</v>
      </c>
      <c r="H1154" s="23" t="s">
        <v>58</v>
      </c>
    </row>
    <row r="1155" spans="1:8" ht="54.95" customHeight="1" x14ac:dyDescent="0.2">
      <c r="A1155" s="23" t="s">
        <v>780</v>
      </c>
      <c r="B1155" s="23" t="s">
        <v>9</v>
      </c>
      <c r="C1155" s="23" t="s">
        <v>46</v>
      </c>
      <c r="D1155" s="23">
        <v>6.5075446395452294</v>
      </c>
      <c r="E1155" s="23">
        <v>2024</v>
      </c>
      <c r="F1155" s="15" t="s">
        <v>3325</v>
      </c>
      <c r="G1155" s="15" t="s">
        <v>3320</v>
      </c>
      <c r="H1155" s="23" t="s">
        <v>58</v>
      </c>
    </row>
    <row r="1156" spans="1:8" ht="54.95" customHeight="1" x14ac:dyDescent="0.2">
      <c r="A1156" s="23" t="s">
        <v>780</v>
      </c>
      <c r="B1156" s="23" t="s">
        <v>10</v>
      </c>
      <c r="C1156" s="23" t="s">
        <v>46</v>
      </c>
      <c r="D1156" s="23">
        <v>1.0564470978141025</v>
      </c>
      <c r="E1156" s="23">
        <v>2024</v>
      </c>
      <c r="F1156" s="15" t="s">
        <v>3326</v>
      </c>
      <c r="G1156" s="15" t="s">
        <v>3320</v>
      </c>
      <c r="H1156" s="23" t="s">
        <v>58</v>
      </c>
    </row>
    <row r="1157" spans="1:8" ht="54.95" customHeight="1" x14ac:dyDescent="0.2">
      <c r="A1157" s="23" t="s">
        <v>780</v>
      </c>
      <c r="B1157" s="23" t="s">
        <v>5</v>
      </c>
      <c r="C1157" s="23" t="s">
        <v>3635</v>
      </c>
      <c r="D1157" s="23">
        <v>4.8619871158979997</v>
      </c>
      <c r="E1157" s="23">
        <v>2024</v>
      </c>
      <c r="F1157" s="15" t="s">
        <v>3316</v>
      </c>
      <c r="G1157" s="15" t="s">
        <v>3311</v>
      </c>
      <c r="H1157" s="23" t="s">
        <v>58</v>
      </c>
    </row>
    <row r="1158" spans="1:8" ht="54.95" customHeight="1" x14ac:dyDescent="0.2">
      <c r="A1158" s="23" t="s">
        <v>785</v>
      </c>
      <c r="B1158" s="23" t="s">
        <v>11</v>
      </c>
      <c r="C1158" s="23" t="s">
        <v>46</v>
      </c>
      <c r="D1158" s="23">
        <v>2804974.3500827067</v>
      </c>
      <c r="E1158" s="23">
        <v>2025</v>
      </c>
      <c r="F1158" s="15" t="s">
        <v>3299</v>
      </c>
      <c r="G1158" s="15" t="s">
        <v>3300</v>
      </c>
      <c r="H1158" s="23" t="s">
        <v>58</v>
      </c>
    </row>
    <row r="1159" spans="1:8" ht="54.95" customHeight="1" x14ac:dyDescent="0.2">
      <c r="A1159" s="23" t="s">
        <v>785</v>
      </c>
      <c r="B1159" s="23" t="s">
        <v>13</v>
      </c>
      <c r="C1159" s="23" t="s">
        <v>46</v>
      </c>
      <c r="D1159" s="23">
        <v>2583547.9452054799</v>
      </c>
      <c r="E1159" s="23">
        <v>2025</v>
      </c>
      <c r="F1159" s="15" t="s">
        <v>3302</v>
      </c>
      <c r="G1159" s="15" t="s">
        <v>3300</v>
      </c>
      <c r="H1159" s="23" t="s">
        <v>58</v>
      </c>
    </row>
    <row r="1160" spans="1:8" ht="54.95" customHeight="1" x14ac:dyDescent="0.2">
      <c r="A1160" s="23" t="s">
        <v>785</v>
      </c>
      <c r="B1160" s="23" t="s">
        <v>14</v>
      </c>
      <c r="C1160" s="23" t="s">
        <v>46</v>
      </c>
      <c r="D1160" s="23">
        <v>225000</v>
      </c>
      <c r="E1160" s="23">
        <v>2025</v>
      </c>
      <c r="F1160" s="15" t="s">
        <v>3304</v>
      </c>
      <c r="G1160" s="15" t="s">
        <v>3300</v>
      </c>
      <c r="H1160" s="23" t="s">
        <v>58</v>
      </c>
    </row>
    <row r="1161" spans="1:8" ht="54.95" customHeight="1" x14ac:dyDescent="0.2">
      <c r="A1161" s="23" t="s">
        <v>785</v>
      </c>
      <c r="B1161" s="23" t="s">
        <v>3</v>
      </c>
      <c r="C1161" s="23" t="s">
        <v>3636</v>
      </c>
      <c r="D1161" s="23">
        <v>362854.79452054796</v>
      </c>
      <c r="E1161" s="23">
        <v>2025</v>
      </c>
      <c r="F1161" s="15" t="s">
        <v>3305</v>
      </c>
      <c r="G1161" s="15" t="s">
        <v>3306</v>
      </c>
      <c r="H1161" s="23" t="s">
        <v>58</v>
      </c>
    </row>
    <row r="1162" spans="1:8" ht="54.95" customHeight="1" x14ac:dyDescent="0.2">
      <c r="A1162" s="23" t="s">
        <v>785</v>
      </c>
      <c r="B1162" s="23" t="s">
        <v>6</v>
      </c>
      <c r="C1162" s="23" t="s">
        <v>46</v>
      </c>
      <c r="D1162" s="23">
        <v>16.726567101070657</v>
      </c>
      <c r="E1162" s="23">
        <v>2025</v>
      </c>
      <c r="F1162" s="15" t="s">
        <v>3305</v>
      </c>
      <c r="G1162" s="15" t="s">
        <v>3308</v>
      </c>
      <c r="H1162" s="23" t="s">
        <v>58</v>
      </c>
    </row>
    <row r="1163" spans="1:8" ht="54.95" customHeight="1" x14ac:dyDescent="0.2">
      <c r="A1163" s="23" t="s">
        <v>785</v>
      </c>
      <c r="B1163" s="23" t="s">
        <v>7</v>
      </c>
      <c r="C1163" s="23" t="s">
        <v>46</v>
      </c>
      <c r="D1163" s="23">
        <v>24.699868621736307</v>
      </c>
      <c r="E1163" s="23">
        <v>2025</v>
      </c>
      <c r="F1163" s="15" t="s">
        <v>3305</v>
      </c>
      <c r="G1163" s="15" t="s">
        <v>3308</v>
      </c>
      <c r="H1163" s="23" t="s">
        <v>58</v>
      </c>
    </row>
    <row r="1164" spans="1:8" ht="54.95" customHeight="1" x14ac:dyDescent="0.2">
      <c r="A1164" s="23" t="s">
        <v>785</v>
      </c>
      <c r="B1164" s="23" t="s">
        <v>8</v>
      </c>
      <c r="C1164" s="23" t="s">
        <v>46</v>
      </c>
      <c r="D1164" s="23">
        <v>1.9495326256021503</v>
      </c>
      <c r="E1164" s="23">
        <v>2025</v>
      </c>
      <c r="F1164" s="15" t="s">
        <v>3305</v>
      </c>
      <c r="G1164" s="15" t="s">
        <v>3308</v>
      </c>
      <c r="H1164" s="23" t="s">
        <v>58</v>
      </c>
    </row>
    <row r="1165" spans="1:8" ht="54.95" customHeight="1" x14ac:dyDescent="0.2">
      <c r="A1165" s="23" t="s">
        <v>785</v>
      </c>
      <c r="B1165" s="23" t="s">
        <v>9</v>
      </c>
      <c r="C1165" s="23" t="s">
        <v>46</v>
      </c>
      <c r="D1165" s="23">
        <v>5.3283701544827169</v>
      </c>
      <c r="E1165" s="23">
        <v>2025</v>
      </c>
      <c r="F1165" s="15" t="s">
        <v>3305</v>
      </c>
      <c r="G1165" s="15" t="s">
        <v>3308</v>
      </c>
      <c r="H1165" s="23" t="s">
        <v>58</v>
      </c>
    </row>
    <row r="1166" spans="1:8" ht="54.95" customHeight="1" x14ac:dyDescent="0.2">
      <c r="A1166" s="23" t="s">
        <v>785</v>
      </c>
      <c r="B1166" s="23" t="s">
        <v>10</v>
      </c>
      <c r="C1166" s="23" t="s">
        <v>46</v>
      </c>
      <c r="D1166" s="23">
        <v>28.465290466770359</v>
      </c>
      <c r="E1166" s="23">
        <v>2025</v>
      </c>
      <c r="F1166" s="15" t="s">
        <v>3305</v>
      </c>
      <c r="G1166" s="15" t="s">
        <v>3308</v>
      </c>
      <c r="H1166" s="23" t="s">
        <v>58</v>
      </c>
    </row>
    <row r="1167" spans="1:8" ht="54.95" customHeight="1" x14ac:dyDescent="0.2">
      <c r="A1167" s="23" t="s">
        <v>785</v>
      </c>
      <c r="B1167" s="23" t="s">
        <v>5</v>
      </c>
      <c r="C1167" s="23" t="s">
        <v>3637</v>
      </c>
      <c r="D1167" s="23">
        <v>132.44200000000001</v>
      </c>
      <c r="E1167" s="23">
        <v>2025</v>
      </c>
      <c r="F1167" s="15" t="s">
        <v>3305</v>
      </c>
      <c r="G1167" s="15" t="s">
        <v>3311</v>
      </c>
      <c r="H1167" s="23" t="s">
        <v>58</v>
      </c>
    </row>
    <row r="1168" spans="1:8" ht="54.95" customHeight="1" x14ac:dyDescent="0.2">
      <c r="A1168" s="23" t="s">
        <v>791</v>
      </c>
      <c r="B1168" s="23" t="s">
        <v>11</v>
      </c>
      <c r="C1168" s="23" t="s">
        <v>46</v>
      </c>
      <c r="D1168" s="23">
        <v>3</v>
      </c>
      <c r="E1168" s="23">
        <v>2025</v>
      </c>
      <c r="F1168" s="15" t="s">
        <v>3299</v>
      </c>
      <c r="G1168" s="15" t="s">
        <v>3300</v>
      </c>
      <c r="H1168" s="23" t="s">
        <v>58</v>
      </c>
    </row>
    <row r="1169" spans="1:8" ht="54.95" customHeight="1" x14ac:dyDescent="0.2">
      <c r="A1169" s="23" t="s">
        <v>791</v>
      </c>
      <c r="B1169" s="23" t="s">
        <v>13</v>
      </c>
      <c r="C1169" s="23" t="s">
        <v>46</v>
      </c>
      <c r="D1169" s="23">
        <v>0</v>
      </c>
      <c r="E1169" s="23">
        <v>2025</v>
      </c>
      <c r="F1169" s="15" t="s">
        <v>3302</v>
      </c>
      <c r="G1169" s="15" t="s">
        <v>3300</v>
      </c>
      <c r="H1169" s="23" t="s">
        <v>58</v>
      </c>
    </row>
    <row r="1170" spans="1:8" ht="54.95" customHeight="1" x14ac:dyDescent="0.2">
      <c r="A1170" s="23" t="s">
        <v>791</v>
      </c>
      <c r="B1170" s="23" t="s">
        <v>14</v>
      </c>
      <c r="C1170" s="23" t="s">
        <v>46</v>
      </c>
      <c r="D1170" s="23">
        <v>0</v>
      </c>
      <c r="E1170" s="23">
        <v>2025</v>
      </c>
      <c r="F1170" s="15" t="s">
        <v>3304</v>
      </c>
      <c r="G1170" s="15" t="s">
        <v>3300</v>
      </c>
      <c r="H1170" s="23" t="s">
        <v>58</v>
      </c>
    </row>
    <row r="1171" spans="1:8" ht="54.95" customHeight="1" x14ac:dyDescent="0.2">
      <c r="A1171" s="23" t="s">
        <v>791</v>
      </c>
      <c r="B1171" s="23" t="s">
        <v>3</v>
      </c>
      <c r="C1171" s="23" t="s">
        <v>3638</v>
      </c>
      <c r="D1171" s="23">
        <v>60330.724729000001</v>
      </c>
      <c r="E1171" s="23">
        <v>2024</v>
      </c>
      <c r="F1171" s="15" t="s">
        <v>3316</v>
      </c>
      <c r="G1171" s="15" t="s">
        <v>3317</v>
      </c>
      <c r="H1171" s="23" t="s">
        <v>58</v>
      </c>
    </row>
    <row r="1172" spans="1:8" ht="54.95" customHeight="1" x14ac:dyDescent="0.2">
      <c r="A1172" s="23" t="s">
        <v>791</v>
      </c>
      <c r="B1172" s="23" t="s">
        <v>6</v>
      </c>
      <c r="C1172" s="23" t="s">
        <v>46</v>
      </c>
      <c r="D1172" s="23">
        <v>27.092547028766521</v>
      </c>
      <c r="E1172" s="23">
        <v>2024</v>
      </c>
      <c r="F1172" s="15" t="s">
        <v>3319</v>
      </c>
      <c r="G1172" s="15" t="s">
        <v>3320</v>
      </c>
      <c r="H1172" s="23" t="s">
        <v>58</v>
      </c>
    </row>
    <row r="1173" spans="1:8" ht="54.95" customHeight="1" x14ac:dyDescent="0.2">
      <c r="A1173" s="23" t="s">
        <v>791</v>
      </c>
      <c r="B1173" s="23" t="s">
        <v>7</v>
      </c>
      <c r="C1173" s="23" t="s">
        <v>46</v>
      </c>
      <c r="D1173" s="23">
        <v>34.468578594753915</v>
      </c>
      <c r="E1173" s="23">
        <v>2024</v>
      </c>
      <c r="F1173" s="15" t="s">
        <v>3322</v>
      </c>
      <c r="G1173" s="15" t="s">
        <v>3320</v>
      </c>
      <c r="H1173" s="23" t="s">
        <v>58</v>
      </c>
    </row>
    <row r="1174" spans="1:8" ht="54.95" customHeight="1" x14ac:dyDescent="0.2">
      <c r="A1174" s="23" t="s">
        <v>791</v>
      </c>
      <c r="B1174" s="23" t="s">
        <v>8</v>
      </c>
      <c r="C1174" s="23" t="s">
        <v>46</v>
      </c>
      <c r="D1174" s="23">
        <v>17.715652278353058</v>
      </c>
      <c r="E1174" s="23">
        <v>2024</v>
      </c>
      <c r="F1174" s="15" t="s">
        <v>3324</v>
      </c>
      <c r="G1174" s="15" t="s">
        <v>3320</v>
      </c>
      <c r="H1174" s="23" t="s">
        <v>58</v>
      </c>
    </row>
    <row r="1175" spans="1:8" ht="54.95" customHeight="1" x14ac:dyDescent="0.2">
      <c r="A1175" s="23" t="s">
        <v>791</v>
      </c>
      <c r="B1175" s="23" t="s">
        <v>9</v>
      </c>
      <c r="C1175" s="23" t="s">
        <v>46</v>
      </c>
      <c r="D1175" s="23">
        <v>6.3989286492762965</v>
      </c>
      <c r="E1175" s="23">
        <v>2024</v>
      </c>
      <c r="F1175" s="15" t="s">
        <v>3325</v>
      </c>
      <c r="G1175" s="15" t="s">
        <v>3320</v>
      </c>
      <c r="H1175" s="23" t="s">
        <v>58</v>
      </c>
    </row>
    <row r="1176" spans="1:8" ht="54.95" customHeight="1" x14ac:dyDescent="0.2">
      <c r="A1176" s="23" t="s">
        <v>791</v>
      </c>
      <c r="B1176" s="23" t="s">
        <v>10</v>
      </c>
      <c r="C1176" s="23" t="s">
        <v>46</v>
      </c>
      <c r="D1176" s="23">
        <v>11.076043432291057</v>
      </c>
      <c r="E1176" s="23">
        <v>2024</v>
      </c>
      <c r="F1176" s="15" t="s">
        <v>3326</v>
      </c>
      <c r="G1176" s="15" t="s">
        <v>3320</v>
      </c>
      <c r="H1176" s="23" t="s">
        <v>58</v>
      </c>
    </row>
    <row r="1177" spans="1:8" ht="54.95" customHeight="1" x14ac:dyDescent="0.2">
      <c r="A1177" s="23" t="s">
        <v>791</v>
      </c>
      <c r="B1177" s="23" t="s">
        <v>5</v>
      </c>
      <c r="C1177" s="23" t="s">
        <v>3639</v>
      </c>
      <c r="D1177" s="23">
        <v>22.081045250814</v>
      </c>
      <c r="E1177" s="23">
        <v>2024</v>
      </c>
      <c r="F1177" s="15" t="s">
        <v>3316</v>
      </c>
      <c r="G1177" s="15" t="s">
        <v>3311</v>
      </c>
      <c r="H1177" s="23" t="s">
        <v>58</v>
      </c>
    </row>
    <row r="1178" spans="1:8" ht="54.95" customHeight="1" x14ac:dyDescent="0.2">
      <c r="A1178" s="23" t="s">
        <v>797</v>
      </c>
      <c r="B1178" s="23" t="s">
        <v>11</v>
      </c>
      <c r="C1178" s="23" t="s">
        <v>46</v>
      </c>
      <c r="D1178" s="23">
        <v>5776.5519342595235</v>
      </c>
      <c r="E1178" s="23">
        <v>2025</v>
      </c>
      <c r="F1178" s="15" t="s">
        <v>3299</v>
      </c>
      <c r="G1178" s="15" t="s">
        <v>3300</v>
      </c>
      <c r="H1178" s="23" t="s">
        <v>58</v>
      </c>
    </row>
    <row r="1179" spans="1:8" ht="54.95" customHeight="1" x14ac:dyDescent="0.2">
      <c r="A1179" s="23" t="s">
        <v>797</v>
      </c>
      <c r="B1179" s="23" t="s">
        <v>13</v>
      </c>
      <c r="C1179" s="23" t="s">
        <v>46</v>
      </c>
      <c r="D1179" s="23">
        <v>5384.6250742595239</v>
      </c>
      <c r="E1179" s="23">
        <v>2025</v>
      </c>
      <c r="F1179" s="15" t="s">
        <v>3302</v>
      </c>
      <c r="G1179" s="15" t="s">
        <v>3300</v>
      </c>
      <c r="H1179" s="23" t="s">
        <v>58</v>
      </c>
    </row>
    <row r="1180" spans="1:8" ht="54.95" customHeight="1" x14ac:dyDescent="0.2">
      <c r="A1180" s="23" t="s">
        <v>797</v>
      </c>
      <c r="B1180" s="23" t="s">
        <v>14</v>
      </c>
      <c r="C1180" s="23" t="s">
        <v>46</v>
      </c>
      <c r="D1180" s="23">
        <v>0</v>
      </c>
      <c r="E1180" s="23">
        <v>2025</v>
      </c>
      <c r="F1180" s="15" t="s">
        <v>3304</v>
      </c>
      <c r="G1180" s="15" t="s">
        <v>3300</v>
      </c>
      <c r="H1180" s="23" t="s">
        <v>58</v>
      </c>
    </row>
    <row r="1181" spans="1:8" ht="54.95" customHeight="1" x14ac:dyDescent="0.2">
      <c r="A1181" s="23" t="s">
        <v>797</v>
      </c>
      <c r="B1181" s="23" t="s">
        <v>3</v>
      </c>
      <c r="C1181" s="23" t="s">
        <v>3640</v>
      </c>
      <c r="D1181" s="23">
        <v>124148.582155</v>
      </c>
      <c r="E1181" s="23">
        <v>2024</v>
      </c>
      <c r="F1181" s="15" t="s">
        <v>3316</v>
      </c>
      <c r="G1181" s="15" t="s">
        <v>3317</v>
      </c>
      <c r="H1181" s="23" t="s">
        <v>58</v>
      </c>
    </row>
    <row r="1182" spans="1:8" ht="54.95" customHeight="1" x14ac:dyDescent="0.2">
      <c r="A1182" s="23" t="s">
        <v>797</v>
      </c>
      <c r="B1182" s="23" t="s">
        <v>6</v>
      </c>
      <c r="C1182" s="23" t="s">
        <v>46</v>
      </c>
      <c r="D1182" s="23">
        <v>32.928172888000717</v>
      </c>
      <c r="E1182" s="23">
        <v>2024</v>
      </c>
      <c r="F1182" s="15" t="s">
        <v>3319</v>
      </c>
      <c r="G1182" s="15" t="s">
        <v>3320</v>
      </c>
      <c r="H1182" s="23" t="s">
        <v>58</v>
      </c>
    </row>
    <row r="1183" spans="1:8" ht="54.95" customHeight="1" x14ac:dyDescent="0.2">
      <c r="A1183" s="23" t="s">
        <v>797</v>
      </c>
      <c r="B1183" s="23" t="s">
        <v>7</v>
      </c>
      <c r="C1183" s="23" t="s">
        <v>46</v>
      </c>
      <c r="D1183" s="23">
        <v>37.782827621371155</v>
      </c>
      <c r="E1183" s="23">
        <v>2024</v>
      </c>
      <c r="F1183" s="15" t="s">
        <v>3322</v>
      </c>
      <c r="G1183" s="15" t="s">
        <v>3320</v>
      </c>
      <c r="H1183" s="23" t="s">
        <v>58</v>
      </c>
    </row>
    <row r="1184" spans="1:8" ht="54.95" customHeight="1" x14ac:dyDescent="0.2">
      <c r="A1184" s="23" t="s">
        <v>797</v>
      </c>
      <c r="B1184" s="23" t="s">
        <v>8</v>
      </c>
      <c r="C1184" s="23" t="s">
        <v>46</v>
      </c>
      <c r="D1184" s="23">
        <v>14.150273619772053</v>
      </c>
      <c r="E1184" s="23">
        <v>2024</v>
      </c>
      <c r="F1184" s="15" t="s">
        <v>3324</v>
      </c>
      <c r="G1184" s="15" t="s">
        <v>3320</v>
      </c>
      <c r="H1184" s="23" t="s">
        <v>58</v>
      </c>
    </row>
    <row r="1185" spans="1:8" ht="54.95" customHeight="1" x14ac:dyDescent="0.2">
      <c r="A1185" s="23" t="s">
        <v>797</v>
      </c>
      <c r="B1185" s="23" t="s">
        <v>9</v>
      </c>
      <c r="C1185" s="23" t="s">
        <v>46</v>
      </c>
      <c r="D1185" s="23">
        <v>2.1167821584293147</v>
      </c>
      <c r="E1185" s="23">
        <v>2024</v>
      </c>
      <c r="F1185" s="15" t="s">
        <v>3325</v>
      </c>
      <c r="G1185" s="15" t="s">
        <v>3320</v>
      </c>
      <c r="H1185" s="23" t="s">
        <v>58</v>
      </c>
    </row>
    <row r="1186" spans="1:8" ht="54.95" customHeight="1" x14ac:dyDescent="0.2">
      <c r="A1186" s="23" t="s">
        <v>797</v>
      </c>
      <c r="B1186" s="23" t="s">
        <v>10</v>
      </c>
      <c r="C1186" s="23" t="s">
        <v>46</v>
      </c>
      <c r="D1186" s="23">
        <v>4.5101846431151458</v>
      </c>
      <c r="E1186" s="23">
        <v>2024</v>
      </c>
      <c r="F1186" s="15" t="s">
        <v>3326</v>
      </c>
      <c r="G1186" s="15" t="s">
        <v>3320</v>
      </c>
      <c r="H1186" s="23" t="s">
        <v>58</v>
      </c>
    </row>
    <row r="1187" spans="1:8" ht="54.95" customHeight="1" x14ac:dyDescent="0.2">
      <c r="A1187" s="23" t="s">
        <v>797</v>
      </c>
      <c r="B1187" s="23" t="s">
        <v>5</v>
      </c>
      <c r="C1187" s="23" t="s">
        <v>3641</v>
      </c>
      <c r="D1187" s="23">
        <v>45.438381068729996</v>
      </c>
      <c r="E1187" s="23">
        <v>2024</v>
      </c>
      <c r="F1187" s="15" t="s">
        <v>3316</v>
      </c>
      <c r="G1187" s="15" t="s">
        <v>3311</v>
      </c>
      <c r="H1187" s="23" t="s">
        <v>58</v>
      </c>
    </row>
    <row r="1188" spans="1:8" ht="54.95" customHeight="1" x14ac:dyDescent="0.2">
      <c r="A1188" s="23" t="s">
        <v>803</v>
      </c>
      <c r="B1188" s="23" t="s">
        <v>11</v>
      </c>
      <c r="C1188" s="23" t="s">
        <v>46</v>
      </c>
      <c r="D1188" s="23">
        <v>2000</v>
      </c>
      <c r="E1188" s="23">
        <v>2025</v>
      </c>
      <c r="F1188" s="15" t="s">
        <v>3299</v>
      </c>
      <c r="G1188" s="15" t="s">
        <v>3300</v>
      </c>
      <c r="H1188" s="23" t="s">
        <v>58</v>
      </c>
    </row>
    <row r="1189" spans="1:8" ht="54.95" customHeight="1" x14ac:dyDescent="0.2">
      <c r="A1189" s="23" t="s">
        <v>803</v>
      </c>
      <c r="B1189" s="23" t="s">
        <v>13</v>
      </c>
      <c r="C1189" s="23" t="s">
        <v>46</v>
      </c>
      <c r="D1189" s="23">
        <v>2000</v>
      </c>
      <c r="E1189" s="23">
        <v>2025</v>
      </c>
      <c r="F1189" s="15" t="s">
        <v>3302</v>
      </c>
      <c r="G1189" s="15" t="s">
        <v>3300</v>
      </c>
      <c r="H1189" s="23" t="s">
        <v>58</v>
      </c>
    </row>
    <row r="1190" spans="1:8" ht="54.95" customHeight="1" x14ac:dyDescent="0.2">
      <c r="A1190" s="23" t="s">
        <v>803</v>
      </c>
      <c r="B1190" s="23" t="s">
        <v>14</v>
      </c>
      <c r="C1190" s="23" t="s">
        <v>46</v>
      </c>
      <c r="D1190" s="23">
        <v>0</v>
      </c>
      <c r="E1190" s="23">
        <v>2025</v>
      </c>
      <c r="F1190" s="15" t="s">
        <v>3304</v>
      </c>
      <c r="G1190" s="15" t="s">
        <v>3300</v>
      </c>
      <c r="H1190" s="23" t="s">
        <v>58</v>
      </c>
    </row>
    <row r="1191" spans="1:8" ht="54.95" customHeight="1" x14ac:dyDescent="0.2">
      <c r="A1191" s="23" t="s">
        <v>803</v>
      </c>
      <c r="B1191" s="23" t="s">
        <v>3</v>
      </c>
      <c r="C1191" s="23" t="s">
        <v>46</v>
      </c>
      <c r="D1191" s="23">
        <v>4555.5270630000005</v>
      </c>
      <c r="E1191" s="23">
        <v>2024</v>
      </c>
      <c r="F1191" s="15" t="s">
        <v>3316</v>
      </c>
      <c r="G1191" s="15" t="s">
        <v>3317</v>
      </c>
      <c r="H1191" s="23" t="s">
        <v>58</v>
      </c>
    </row>
    <row r="1192" spans="1:8" ht="54.95" customHeight="1" x14ac:dyDescent="0.2">
      <c r="A1192" s="23" t="s">
        <v>803</v>
      </c>
      <c r="B1192" s="23" t="s">
        <v>6</v>
      </c>
      <c r="C1192" s="23" t="s">
        <v>46</v>
      </c>
      <c r="D1192" s="23">
        <v>72.833096831939486</v>
      </c>
      <c r="E1192" s="23">
        <v>2024</v>
      </c>
      <c r="F1192" s="15" t="s">
        <v>3319</v>
      </c>
      <c r="G1192" s="15" t="s">
        <v>3320</v>
      </c>
      <c r="H1192" s="23" t="s">
        <v>58</v>
      </c>
    </row>
    <row r="1193" spans="1:8" ht="54.95" customHeight="1" x14ac:dyDescent="0.2">
      <c r="A1193" s="23" t="s">
        <v>803</v>
      </c>
      <c r="B1193" s="23" t="s">
        <v>7</v>
      </c>
      <c r="C1193" s="23" t="s">
        <v>46</v>
      </c>
      <c r="D1193" s="23">
        <v>22.002806330381354</v>
      </c>
      <c r="E1193" s="23">
        <v>2024</v>
      </c>
      <c r="F1193" s="15" t="s">
        <v>3322</v>
      </c>
      <c r="G1193" s="15" t="s">
        <v>3320</v>
      </c>
      <c r="H1193" s="23" t="s">
        <v>58</v>
      </c>
    </row>
    <row r="1194" spans="1:8" ht="54.95" customHeight="1" x14ac:dyDescent="0.2">
      <c r="A1194" s="23" t="s">
        <v>803</v>
      </c>
      <c r="B1194" s="23" t="s">
        <v>8</v>
      </c>
      <c r="C1194" s="23" t="s">
        <v>46</v>
      </c>
      <c r="D1194" s="23">
        <v>0.78627567139095711</v>
      </c>
      <c r="E1194" s="23">
        <v>2024</v>
      </c>
      <c r="F1194" s="15" t="s">
        <v>3324</v>
      </c>
      <c r="G1194" s="15" t="s">
        <v>3320</v>
      </c>
      <c r="H1194" s="23" t="s">
        <v>58</v>
      </c>
    </row>
    <row r="1195" spans="1:8" ht="54.95" customHeight="1" x14ac:dyDescent="0.2">
      <c r="A1195" s="23" t="s">
        <v>803</v>
      </c>
      <c r="B1195" s="23" t="s">
        <v>9</v>
      </c>
      <c r="C1195" s="23" t="s">
        <v>46</v>
      </c>
      <c r="D1195" s="23">
        <v>1.8936282850922441</v>
      </c>
      <c r="E1195" s="23">
        <v>2024</v>
      </c>
      <c r="F1195" s="15" t="s">
        <v>3325</v>
      </c>
      <c r="G1195" s="15" t="s">
        <v>3320</v>
      </c>
      <c r="H1195" s="23" t="s">
        <v>58</v>
      </c>
    </row>
    <row r="1196" spans="1:8" ht="54.95" customHeight="1" x14ac:dyDescent="0.2">
      <c r="A1196" s="23" t="s">
        <v>803</v>
      </c>
      <c r="B1196" s="23" t="s">
        <v>10</v>
      </c>
      <c r="C1196" s="23" t="s">
        <v>46</v>
      </c>
      <c r="D1196" s="23">
        <v>0</v>
      </c>
      <c r="E1196" s="23">
        <v>2024</v>
      </c>
      <c r="F1196" s="15" t="s">
        <v>3326</v>
      </c>
      <c r="G1196" s="15" t="s">
        <v>3320</v>
      </c>
      <c r="H1196" s="23" t="s">
        <v>58</v>
      </c>
    </row>
    <row r="1197" spans="1:8" ht="54.95" customHeight="1" x14ac:dyDescent="0.2">
      <c r="A1197" s="23" t="s">
        <v>803</v>
      </c>
      <c r="B1197" s="23" t="s">
        <v>5</v>
      </c>
      <c r="C1197" s="23" t="s">
        <v>46</v>
      </c>
      <c r="D1197" s="23">
        <v>1.6673229050580003</v>
      </c>
      <c r="E1197" s="23">
        <v>2024</v>
      </c>
      <c r="F1197" s="15" t="s">
        <v>3316</v>
      </c>
      <c r="G1197" s="15" t="s">
        <v>3311</v>
      </c>
      <c r="H1197" s="23" t="s">
        <v>58</v>
      </c>
    </row>
    <row r="1198" spans="1:8" ht="54.95" customHeight="1" x14ac:dyDescent="0.2">
      <c r="A1198" s="23" t="s">
        <v>808</v>
      </c>
      <c r="B1198" s="23" t="s">
        <v>11</v>
      </c>
      <c r="C1198" s="23" t="s">
        <v>46</v>
      </c>
      <c r="D1198" s="23">
        <v>109724.83283563577</v>
      </c>
      <c r="E1198" s="23">
        <v>2025</v>
      </c>
      <c r="F1198" s="15" t="s">
        <v>3299</v>
      </c>
      <c r="G1198" s="15" t="s">
        <v>3300</v>
      </c>
      <c r="H1198" s="23" t="s">
        <v>58</v>
      </c>
    </row>
    <row r="1199" spans="1:8" ht="54.95" customHeight="1" x14ac:dyDescent="0.2">
      <c r="A1199" s="23" t="s">
        <v>808</v>
      </c>
      <c r="B1199" s="23" t="s">
        <v>13</v>
      </c>
      <c r="C1199" s="23" t="s">
        <v>46</v>
      </c>
      <c r="D1199" s="23">
        <v>100875.73253662481</v>
      </c>
      <c r="E1199" s="23">
        <v>2025</v>
      </c>
      <c r="F1199" s="15" t="s">
        <v>3302</v>
      </c>
      <c r="G1199" s="15" t="s">
        <v>3300</v>
      </c>
      <c r="H1199" s="23" t="s">
        <v>58</v>
      </c>
    </row>
    <row r="1200" spans="1:8" ht="54.95" customHeight="1" x14ac:dyDescent="0.2">
      <c r="A1200" s="23" t="s">
        <v>808</v>
      </c>
      <c r="B1200" s="23" t="s">
        <v>14</v>
      </c>
      <c r="C1200" s="23" t="s">
        <v>46</v>
      </c>
      <c r="D1200" s="23">
        <v>8747.945205479451</v>
      </c>
      <c r="E1200" s="23">
        <v>2025</v>
      </c>
      <c r="F1200" s="15" t="s">
        <v>3304</v>
      </c>
      <c r="G1200" s="15" t="s">
        <v>3300</v>
      </c>
      <c r="H1200" s="23" t="s">
        <v>58</v>
      </c>
    </row>
    <row r="1201" spans="1:8" ht="54.95" customHeight="1" x14ac:dyDescent="0.2">
      <c r="A1201" s="23" t="s">
        <v>808</v>
      </c>
      <c r="B1201" s="23" t="s">
        <v>3</v>
      </c>
      <c r="C1201" s="23" t="s">
        <v>3642</v>
      </c>
      <c r="D1201" s="23">
        <v>13527.106849315069</v>
      </c>
      <c r="E1201" s="23">
        <v>2025</v>
      </c>
      <c r="F1201" s="15" t="s">
        <v>3305</v>
      </c>
      <c r="G1201" s="15" t="s">
        <v>3306</v>
      </c>
      <c r="H1201" s="23" t="s">
        <v>58</v>
      </c>
    </row>
    <row r="1202" spans="1:8" ht="54.95" customHeight="1" x14ac:dyDescent="0.2">
      <c r="A1202" s="23" t="s">
        <v>808</v>
      </c>
      <c r="B1202" s="23" t="s">
        <v>6</v>
      </c>
      <c r="C1202" s="23" t="s">
        <v>46</v>
      </c>
      <c r="D1202" s="23">
        <v>36.81525112235321</v>
      </c>
      <c r="E1202" s="23">
        <v>2025</v>
      </c>
      <c r="F1202" s="15" t="s">
        <v>3305</v>
      </c>
      <c r="G1202" s="15" t="s">
        <v>3308</v>
      </c>
      <c r="H1202" s="23" t="s">
        <v>58</v>
      </c>
    </row>
    <row r="1203" spans="1:8" ht="54.95" customHeight="1" x14ac:dyDescent="0.2">
      <c r="A1203" s="23" t="s">
        <v>808</v>
      </c>
      <c r="B1203" s="23" t="s">
        <v>7</v>
      </c>
      <c r="C1203" s="23" t="s">
        <v>46</v>
      </c>
      <c r="D1203" s="23">
        <v>47.771516715093021</v>
      </c>
      <c r="E1203" s="23">
        <v>2025</v>
      </c>
      <c r="F1203" s="15" t="s">
        <v>3305</v>
      </c>
      <c r="G1203" s="15" t="s">
        <v>3308</v>
      </c>
      <c r="H1203" s="23" t="s">
        <v>58</v>
      </c>
    </row>
    <row r="1204" spans="1:8" ht="54.95" customHeight="1" x14ac:dyDescent="0.2">
      <c r="A1204" s="23" t="s">
        <v>808</v>
      </c>
      <c r="B1204" s="23" t="s">
        <v>8</v>
      </c>
      <c r="C1204" s="23" t="s">
        <v>46</v>
      </c>
      <c r="D1204" s="23">
        <v>4.5861237729863165</v>
      </c>
      <c r="E1204" s="23">
        <v>2025</v>
      </c>
      <c r="F1204" s="15" t="s">
        <v>3305</v>
      </c>
      <c r="G1204" s="15" t="s">
        <v>3308</v>
      </c>
      <c r="H1204" s="23" t="s">
        <v>58</v>
      </c>
    </row>
    <row r="1205" spans="1:8" ht="54.95" customHeight="1" x14ac:dyDescent="0.2">
      <c r="A1205" s="23" t="s">
        <v>808</v>
      </c>
      <c r="B1205" s="23" t="s">
        <v>9</v>
      </c>
      <c r="C1205" s="23" t="s">
        <v>46</v>
      </c>
      <c r="D1205" s="23">
        <v>20.764982498864786</v>
      </c>
      <c r="E1205" s="23">
        <v>2025</v>
      </c>
      <c r="F1205" s="15" t="s">
        <v>3305</v>
      </c>
      <c r="G1205" s="15" t="s">
        <v>3308</v>
      </c>
      <c r="H1205" s="23" t="s">
        <v>58</v>
      </c>
    </row>
    <row r="1206" spans="1:8" ht="54.95" customHeight="1" x14ac:dyDescent="0.2">
      <c r="A1206" s="23" t="s">
        <v>808</v>
      </c>
      <c r="B1206" s="23" t="s">
        <v>10</v>
      </c>
      <c r="C1206" s="23" t="s">
        <v>46</v>
      </c>
      <c r="D1206" s="23">
        <v>0</v>
      </c>
      <c r="E1206" s="23">
        <v>2025</v>
      </c>
      <c r="F1206" s="15" t="s">
        <v>3305</v>
      </c>
      <c r="G1206" s="15" t="s">
        <v>3308</v>
      </c>
      <c r="H1206" s="23" t="s">
        <v>58</v>
      </c>
    </row>
    <row r="1207" spans="1:8" ht="54.95" customHeight="1" x14ac:dyDescent="0.2">
      <c r="A1207" s="23" t="s">
        <v>808</v>
      </c>
      <c r="B1207" s="23" t="s">
        <v>5</v>
      </c>
      <c r="C1207" s="23" t="s">
        <v>3643</v>
      </c>
      <c r="D1207" s="23">
        <v>4.9373940000000003</v>
      </c>
      <c r="E1207" s="23">
        <v>2025</v>
      </c>
      <c r="F1207" s="15" t="s">
        <v>3305</v>
      </c>
      <c r="G1207" s="15" t="s">
        <v>3311</v>
      </c>
      <c r="H1207" s="23" t="s">
        <v>58</v>
      </c>
    </row>
    <row r="1208" spans="1:8" ht="54.95" customHeight="1" x14ac:dyDescent="0.2">
      <c r="A1208" s="23" t="s">
        <v>819</v>
      </c>
      <c r="B1208" s="23" t="s">
        <v>11</v>
      </c>
      <c r="C1208" s="23" t="s">
        <v>46</v>
      </c>
      <c r="D1208" s="23">
        <v>1404096.4847374272</v>
      </c>
      <c r="E1208" s="23">
        <v>2025</v>
      </c>
      <c r="F1208" s="15" t="s">
        <v>3299</v>
      </c>
      <c r="G1208" s="15" t="s">
        <v>3300</v>
      </c>
      <c r="H1208" s="23" t="s">
        <v>58</v>
      </c>
    </row>
    <row r="1209" spans="1:8" ht="54.95" customHeight="1" x14ac:dyDescent="0.2">
      <c r="A1209" s="23" t="s">
        <v>819</v>
      </c>
      <c r="B1209" s="23" t="s">
        <v>13</v>
      </c>
      <c r="C1209" s="23" t="s">
        <v>46</v>
      </c>
      <c r="D1209" s="23">
        <v>1142958.9041095891</v>
      </c>
      <c r="E1209" s="23">
        <v>2025</v>
      </c>
      <c r="F1209" s="15" t="s">
        <v>3302</v>
      </c>
      <c r="G1209" s="15" t="s">
        <v>3300</v>
      </c>
      <c r="H1209" s="23" t="s">
        <v>58</v>
      </c>
    </row>
    <row r="1210" spans="1:8" ht="54.95" customHeight="1" x14ac:dyDescent="0.2">
      <c r="A1210" s="23" t="s">
        <v>819</v>
      </c>
      <c r="B1210" s="23" t="s">
        <v>14</v>
      </c>
      <c r="C1210" s="23" t="s">
        <v>46</v>
      </c>
      <c r="D1210" s="23">
        <v>260000</v>
      </c>
      <c r="E1210" s="23">
        <v>2025</v>
      </c>
      <c r="F1210" s="15" t="s">
        <v>3304</v>
      </c>
      <c r="G1210" s="15" t="s">
        <v>3300</v>
      </c>
      <c r="H1210" s="23" t="s">
        <v>58</v>
      </c>
    </row>
    <row r="1211" spans="1:8" ht="54.95" customHeight="1" x14ac:dyDescent="0.2">
      <c r="A1211" s="23" t="s">
        <v>819</v>
      </c>
      <c r="B1211" s="23" t="s">
        <v>3</v>
      </c>
      <c r="C1211" s="23" t="s">
        <v>3644</v>
      </c>
      <c r="D1211" s="23">
        <v>471838.35616438359</v>
      </c>
      <c r="E1211" s="23">
        <v>2025</v>
      </c>
      <c r="F1211" s="15" t="s">
        <v>3305</v>
      </c>
      <c r="G1211" s="15" t="s">
        <v>3306</v>
      </c>
      <c r="H1211" s="23" t="s">
        <v>58</v>
      </c>
    </row>
    <row r="1212" spans="1:8" ht="54.95" customHeight="1" x14ac:dyDescent="0.2">
      <c r="A1212" s="23" t="s">
        <v>819</v>
      </c>
      <c r="B1212" s="23" t="s">
        <v>6</v>
      </c>
      <c r="C1212" s="23" t="s">
        <v>46</v>
      </c>
      <c r="D1212" s="23">
        <v>48.322213899582508</v>
      </c>
      <c r="E1212" s="23">
        <v>2025</v>
      </c>
      <c r="F1212" s="15" t="s">
        <v>3305</v>
      </c>
      <c r="G1212" s="15" t="s">
        <v>3308</v>
      </c>
      <c r="H1212" s="23" t="s">
        <v>58</v>
      </c>
    </row>
    <row r="1213" spans="1:8" ht="54.95" customHeight="1" x14ac:dyDescent="0.2">
      <c r="A1213" s="23" t="s">
        <v>819</v>
      </c>
      <c r="B1213" s="23" t="s">
        <v>7</v>
      </c>
      <c r="C1213" s="23" t="s">
        <v>46</v>
      </c>
      <c r="D1213" s="23">
        <v>18.299162123086035</v>
      </c>
      <c r="E1213" s="23">
        <v>2025</v>
      </c>
      <c r="F1213" s="15" t="s">
        <v>3305</v>
      </c>
      <c r="G1213" s="15" t="s">
        <v>3308</v>
      </c>
      <c r="H1213" s="23" t="s">
        <v>58</v>
      </c>
    </row>
    <row r="1214" spans="1:8" ht="54.95" customHeight="1" x14ac:dyDescent="0.2">
      <c r="A1214" s="23" t="s">
        <v>819</v>
      </c>
      <c r="B1214" s="23" t="s">
        <v>8</v>
      </c>
      <c r="C1214" s="23" t="s">
        <v>46</v>
      </c>
      <c r="D1214" s="23">
        <v>20.252466307825408</v>
      </c>
      <c r="E1214" s="23">
        <v>2025</v>
      </c>
      <c r="F1214" s="15" t="s">
        <v>3305</v>
      </c>
      <c r="G1214" s="15" t="s">
        <v>3308</v>
      </c>
      <c r="H1214" s="23" t="s">
        <v>58</v>
      </c>
    </row>
    <row r="1215" spans="1:8" ht="54.95" customHeight="1" x14ac:dyDescent="0.2">
      <c r="A1215" s="23" t="s">
        <v>819</v>
      </c>
      <c r="B1215" s="23" t="s">
        <v>9</v>
      </c>
      <c r="C1215" s="23" t="s">
        <v>46</v>
      </c>
      <c r="D1215" s="23">
        <v>6.1101723947718334</v>
      </c>
      <c r="E1215" s="23">
        <v>2025</v>
      </c>
      <c r="F1215" s="15" t="s">
        <v>3305</v>
      </c>
      <c r="G1215" s="15" t="s">
        <v>3308</v>
      </c>
      <c r="H1215" s="23" t="s">
        <v>58</v>
      </c>
    </row>
    <row r="1216" spans="1:8" ht="54.95" customHeight="1" x14ac:dyDescent="0.2">
      <c r="A1216" s="23" t="s">
        <v>819</v>
      </c>
      <c r="B1216" s="23" t="s">
        <v>10</v>
      </c>
      <c r="C1216" s="23" t="s">
        <v>46</v>
      </c>
      <c r="D1216" s="23">
        <v>0.52839084664471814</v>
      </c>
      <c r="E1216" s="23">
        <v>2025</v>
      </c>
      <c r="F1216" s="15" t="s">
        <v>3305</v>
      </c>
      <c r="G1216" s="15" t="s">
        <v>3308</v>
      </c>
      <c r="H1216" s="23" t="s">
        <v>58</v>
      </c>
    </row>
    <row r="1217" spans="1:8" ht="54.95" customHeight="1" x14ac:dyDescent="0.2">
      <c r="A1217" s="23" t="s">
        <v>819</v>
      </c>
      <c r="B1217" s="23" t="s">
        <v>5</v>
      </c>
      <c r="C1217" s="23" t="s">
        <v>3645</v>
      </c>
      <c r="D1217" s="23">
        <v>172.221</v>
      </c>
      <c r="E1217" s="23">
        <v>2025</v>
      </c>
      <c r="F1217" s="15" t="s">
        <v>3305</v>
      </c>
      <c r="G1217" s="15" t="s">
        <v>3311</v>
      </c>
      <c r="H1217" s="23" t="s">
        <v>58</v>
      </c>
    </row>
    <row r="1218" spans="1:8" ht="54.95" customHeight="1" x14ac:dyDescent="0.2">
      <c r="A1218" s="23" t="s">
        <v>825</v>
      </c>
      <c r="B1218" s="23" t="s">
        <v>11</v>
      </c>
      <c r="C1218" s="23" t="s">
        <v>46</v>
      </c>
      <c r="D1218" s="23">
        <v>0</v>
      </c>
      <c r="E1218" s="23">
        <v>2025</v>
      </c>
      <c r="F1218" s="15" t="s">
        <v>3299</v>
      </c>
      <c r="G1218" s="15" t="s">
        <v>3300</v>
      </c>
      <c r="H1218" s="23" t="s">
        <v>58</v>
      </c>
    </row>
    <row r="1219" spans="1:8" ht="54.95" customHeight="1" x14ac:dyDescent="0.2">
      <c r="A1219" s="23" t="s">
        <v>825</v>
      </c>
      <c r="B1219" s="23" t="s">
        <v>13</v>
      </c>
      <c r="C1219" s="23" t="s">
        <v>46</v>
      </c>
      <c r="D1219" s="23">
        <v>0</v>
      </c>
      <c r="E1219" s="23">
        <v>2025</v>
      </c>
      <c r="F1219" s="15" t="s">
        <v>3302</v>
      </c>
      <c r="G1219" s="15" t="s">
        <v>3300</v>
      </c>
      <c r="H1219" s="23" t="s">
        <v>58</v>
      </c>
    </row>
    <row r="1220" spans="1:8" ht="54.95" customHeight="1" x14ac:dyDescent="0.2">
      <c r="A1220" s="23" t="s">
        <v>825</v>
      </c>
      <c r="B1220" s="23" t="s">
        <v>14</v>
      </c>
      <c r="C1220" s="23" t="s">
        <v>46</v>
      </c>
      <c r="D1220" s="23">
        <v>0</v>
      </c>
      <c r="E1220" s="23">
        <v>2025</v>
      </c>
      <c r="F1220" s="15" t="s">
        <v>3304</v>
      </c>
      <c r="G1220" s="15" t="s">
        <v>3300</v>
      </c>
      <c r="H1220" s="23" t="s">
        <v>58</v>
      </c>
    </row>
    <row r="1221" spans="1:8" ht="54.95" customHeight="1" x14ac:dyDescent="0.2">
      <c r="A1221" s="23" t="s">
        <v>825</v>
      </c>
      <c r="B1221" s="23" t="s">
        <v>3</v>
      </c>
      <c r="C1221" s="23" t="s">
        <v>3646</v>
      </c>
      <c r="D1221" s="23">
        <v>42455.148111000002</v>
      </c>
      <c r="E1221" s="23">
        <v>2024</v>
      </c>
      <c r="F1221" s="15" t="s">
        <v>3316</v>
      </c>
      <c r="G1221" s="15" t="s">
        <v>3317</v>
      </c>
      <c r="H1221" s="23" t="s">
        <v>58</v>
      </c>
    </row>
    <row r="1222" spans="1:8" ht="54.95" customHeight="1" x14ac:dyDescent="0.2">
      <c r="A1222" s="23" t="s">
        <v>825</v>
      </c>
      <c r="B1222" s="23" t="s">
        <v>6</v>
      </c>
      <c r="C1222" s="23" t="s">
        <v>46</v>
      </c>
      <c r="D1222" s="23">
        <v>58.151090335269316</v>
      </c>
      <c r="E1222" s="23">
        <v>2024</v>
      </c>
      <c r="F1222" s="15" t="s">
        <v>3319</v>
      </c>
      <c r="G1222" s="15" t="s">
        <v>3320</v>
      </c>
      <c r="H1222" s="23" t="s">
        <v>58</v>
      </c>
    </row>
    <row r="1223" spans="1:8" ht="54.95" customHeight="1" x14ac:dyDescent="0.2">
      <c r="A1223" s="23" t="s">
        <v>825</v>
      </c>
      <c r="B1223" s="23" t="s">
        <v>7</v>
      </c>
      <c r="C1223" s="23" t="s">
        <v>46</v>
      </c>
      <c r="D1223" s="23">
        <v>24.101865062976412</v>
      </c>
      <c r="E1223" s="23">
        <v>2024</v>
      </c>
      <c r="F1223" s="15" t="s">
        <v>3322</v>
      </c>
      <c r="G1223" s="15" t="s">
        <v>3320</v>
      </c>
      <c r="H1223" s="23" t="s">
        <v>58</v>
      </c>
    </row>
    <row r="1224" spans="1:8" ht="54.95" customHeight="1" x14ac:dyDescent="0.2">
      <c r="A1224" s="23" t="s">
        <v>825</v>
      </c>
      <c r="B1224" s="23" t="s">
        <v>8</v>
      </c>
      <c r="C1224" s="23" t="s">
        <v>46</v>
      </c>
      <c r="D1224" s="23">
        <v>3.761211994420687</v>
      </c>
      <c r="E1224" s="23">
        <v>2024</v>
      </c>
      <c r="F1224" s="15" t="s">
        <v>3324</v>
      </c>
      <c r="G1224" s="15" t="s">
        <v>3320</v>
      </c>
      <c r="H1224" s="23" t="s">
        <v>58</v>
      </c>
    </row>
    <row r="1225" spans="1:8" ht="54.95" customHeight="1" x14ac:dyDescent="0.2">
      <c r="A1225" s="23" t="s">
        <v>825</v>
      </c>
      <c r="B1225" s="23" t="s">
        <v>9</v>
      </c>
      <c r="C1225" s="23" t="s">
        <v>46</v>
      </c>
      <c r="D1225" s="23">
        <v>3.8831006894376108</v>
      </c>
      <c r="E1225" s="23">
        <v>2024</v>
      </c>
      <c r="F1225" s="15" t="s">
        <v>3325</v>
      </c>
      <c r="G1225" s="15" t="s">
        <v>3320</v>
      </c>
      <c r="H1225" s="23" t="s">
        <v>58</v>
      </c>
    </row>
    <row r="1226" spans="1:8" ht="54.95" customHeight="1" x14ac:dyDescent="0.2">
      <c r="A1226" s="23" t="s">
        <v>825</v>
      </c>
      <c r="B1226" s="23" t="s">
        <v>10</v>
      </c>
      <c r="C1226" s="23" t="s">
        <v>46</v>
      </c>
      <c r="D1226" s="23">
        <v>1.4543264938935028</v>
      </c>
      <c r="E1226" s="23">
        <v>2024</v>
      </c>
      <c r="F1226" s="15" t="s">
        <v>3326</v>
      </c>
      <c r="G1226" s="15" t="s">
        <v>3320</v>
      </c>
      <c r="H1226" s="23" t="s">
        <v>58</v>
      </c>
    </row>
    <row r="1227" spans="1:8" ht="54.95" customHeight="1" x14ac:dyDescent="0.2">
      <c r="A1227" s="23" t="s">
        <v>825</v>
      </c>
      <c r="B1227" s="23" t="s">
        <v>5</v>
      </c>
      <c r="C1227" s="23" t="s">
        <v>3647</v>
      </c>
      <c r="D1227" s="23">
        <v>15.538584208626</v>
      </c>
      <c r="E1227" s="23">
        <v>2024</v>
      </c>
      <c r="F1227" s="15" t="s">
        <v>3316</v>
      </c>
      <c r="G1227" s="15" t="s">
        <v>3311</v>
      </c>
      <c r="H1227" s="23" t="s">
        <v>58</v>
      </c>
    </row>
    <row r="1228" spans="1:8" ht="54.95" customHeight="1" x14ac:dyDescent="0.2">
      <c r="A1228" s="23" t="s">
        <v>831</v>
      </c>
      <c r="B1228" s="23" t="s">
        <v>11</v>
      </c>
      <c r="C1228" s="23" t="s">
        <v>46</v>
      </c>
      <c r="D1228" s="23">
        <v>0</v>
      </c>
      <c r="E1228" s="23">
        <v>2025</v>
      </c>
      <c r="F1228" s="15" t="s">
        <v>3299</v>
      </c>
      <c r="G1228" s="15" t="s">
        <v>3300</v>
      </c>
      <c r="H1228" s="23" t="s">
        <v>58</v>
      </c>
    </row>
    <row r="1229" spans="1:8" ht="54.95" customHeight="1" x14ac:dyDescent="0.2">
      <c r="A1229" s="23" t="s">
        <v>831</v>
      </c>
      <c r="B1229" s="23" t="s">
        <v>13</v>
      </c>
      <c r="C1229" s="23" t="s">
        <v>46</v>
      </c>
      <c r="D1229" s="23">
        <v>0</v>
      </c>
      <c r="E1229" s="23">
        <v>2025</v>
      </c>
      <c r="F1229" s="15" t="s">
        <v>3302</v>
      </c>
      <c r="G1229" s="15" t="s">
        <v>3300</v>
      </c>
      <c r="H1229" s="23" t="s">
        <v>58</v>
      </c>
    </row>
    <row r="1230" spans="1:8" ht="54.95" customHeight="1" x14ac:dyDescent="0.2">
      <c r="A1230" s="23" t="s">
        <v>831</v>
      </c>
      <c r="B1230" s="23" t="s">
        <v>14</v>
      </c>
      <c r="C1230" s="23" t="s">
        <v>46</v>
      </c>
      <c r="D1230" s="23">
        <v>0</v>
      </c>
      <c r="E1230" s="23">
        <v>2025</v>
      </c>
      <c r="F1230" s="15" t="s">
        <v>3304</v>
      </c>
      <c r="G1230" s="15" t="s">
        <v>3300</v>
      </c>
      <c r="H1230" s="23" t="s">
        <v>58</v>
      </c>
    </row>
    <row r="1231" spans="1:8" ht="54.95" customHeight="1" x14ac:dyDescent="0.2">
      <c r="A1231" s="23" t="s">
        <v>831</v>
      </c>
      <c r="B1231" s="23" t="s">
        <v>3</v>
      </c>
      <c r="C1231" s="23" t="s">
        <v>46</v>
      </c>
      <c r="D1231" s="23">
        <v>6254.9072900000001</v>
      </c>
      <c r="E1231" s="23">
        <v>2024</v>
      </c>
      <c r="F1231" s="15" t="s">
        <v>3316</v>
      </c>
      <c r="G1231" s="15" t="s">
        <v>3317</v>
      </c>
      <c r="H1231" s="23" t="s">
        <v>58</v>
      </c>
    </row>
    <row r="1232" spans="1:8" ht="54.95" customHeight="1" x14ac:dyDescent="0.2">
      <c r="A1232" s="23" t="s">
        <v>831</v>
      </c>
      <c r="B1232" s="23" t="s">
        <v>6</v>
      </c>
      <c r="C1232" s="23" t="s">
        <v>46</v>
      </c>
      <c r="D1232" s="23">
        <v>52.808597519596489</v>
      </c>
      <c r="E1232" s="23">
        <v>2024</v>
      </c>
      <c r="F1232" s="15" t="s">
        <v>3319</v>
      </c>
      <c r="G1232" s="15" t="s">
        <v>3320</v>
      </c>
      <c r="H1232" s="23" t="s">
        <v>58</v>
      </c>
    </row>
    <row r="1233" spans="1:8" ht="54.95" customHeight="1" x14ac:dyDescent="0.2">
      <c r="A1233" s="23" t="s">
        <v>831</v>
      </c>
      <c r="B1233" s="23" t="s">
        <v>7</v>
      </c>
      <c r="C1233" s="23" t="s">
        <v>46</v>
      </c>
      <c r="D1233" s="23">
        <v>42.616537342794089</v>
      </c>
      <c r="E1233" s="23">
        <v>2024</v>
      </c>
      <c r="F1233" s="15" t="s">
        <v>3322</v>
      </c>
      <c r="G1233" s="15" t="s">
        <v>3320</v>
      </c>
      <c r="H1233" s="23" t="s">
        <v>58</v>
      </c>
    </row>
    <row r="1234" spans="1:8" ht="54.95" customHeight="1" x14ac:dyDescent="0.2">
      <c r="A1234" s="23" t="s">
        <v>831</v>
      </c>
      <c r="B1234" s="23" t="s">
        <v>8</v>
      </c>
      <c r="C1234" s="23" t="s">
        <v>46</v>
      </c>
      <c r="D1234" s="23">
        <v>1.7220405676068782</v>
      </c>
      <c r="E1234" s="23">
        <v>2024</v>
      </c>
      <c r="F1234" s="15" t="s">
        <v>3324</v>
      </c>
      <c r="G1234" s="15" t="s">
        <v>3320</v>
      </c>
      <c r="H1234" s="23" t="s">
        <v>58</v>
      </c>
    </row>
    <row r="1235" spans="1:8" ht="54.95" customHeight="1" x14ac:dyDescent="0.2">
      <c r="A1235" s="23" t="s">
        <v>831</v>
      </c>
      <c r="B1235" s="23" t="s">
        <v>9</v>
      </c>
      <c r="C1235" s="23" t="s">
        <v>46</v>
      </c>
      <c r="D1235" s="23">
        <v>2.1867800058152422</v>
      </c>
      <c r="E1235" s="23">
        <v>2024</v>
      </c>
      <c r="F1235" s="15" t="s">
        <v>3325</v>
      </c>
      <c r="G1235" s="15" t="s">
        <v>3320</v>
      </c>
      <c r="H1235" s="23" t="s">
        <v>58</v>
      </c>
    </row>
    <row r="1236" spans="1:8" ht="54.95" customHeight="1" x14ac:dyDescent="0.2">
      <c r="A1236" s="23" t="s">
        <v>831</v>
      </c>
      <c r="B1236" s="23" t="s">
        <v>10</v>
      </c>
      <c r="C1236" s="23" t="s">
        <v>46</v>
      </c>
      <c r="D1236" s="23">
        <v>6.8908583295724593E-2</v>
      </c>
      <c r="E1236" s="23">
        <v>2024</v>
      </c>
      <c r="F1236" s="15" t="s">
        <v>3326</v>
      </c>
      <c r="G1236" s="15" t="s">
        <v>3320</v>
      </c>
      <c r="H1236" s="23" t="s">
        <v>58</v>
      </c>
    </row>
    <row r="1237" spans="1:8" ht="54.95" customHeight="1" x14ac:dyDescent="0.2">
      <c r="A1237" s="23" t="s">
        <v>831</v>
      </c>
      <c r="B1237" s="23" t="s">
        <v>5</v>
      </c>
      <c r="C1237" s="23" t="s">
        <v>46</v>
      </c>
      <c r="D1237" s="23">
        <v>2.2892960681400001</v>
      </c>
      <c r="E1237" s="23">
        <v>2024</v>
      </c>
      <c r="F1237" s="15" t="s">
        <v>3316</v>
      </c>
      <c r="G1237" s="15" t="s">
        <v>3311</v>
      </c>
      <c r="H1237" s="23" t="s">
        <v>58</v>
      </c>
    </row>
    <row r="1238" spans="1:8" ht="54.95" customHeight="1" x14ac:dyDescent="0.2">
      <c r="A1238" s="23" t="s">
        <v>837</v>
      </c>
      <c r="B1238" s="23" t="s">
        <v>11</v>
      </c>
      <c r="C1238" s="23" t="s">
        <v>46</v>
      </c>
      <c r="D1238" s="23">
        <v>0</v>
      </c>
      <c r="E1238" s="23">
        <v>2025</v>
      </c>
      <c r="F1238" s="15" t="s">
        <v>3299</v>
      </c>
      <c r="G1238" s="15" t="s">
        <v>3300</v>
      </c>
      <c r="H1238" s="23" t="s">
        <v>58</v>
      </c>
    </row>
    <row r="1239" spans="1:8" ht="54.95" customHeight="1" x14ac:dyDescent="0.2">
      <c r="A1239" s="23" t="s">
        <v>837</v>
      </c>
      <c r="B1239" s="23" t="s">
        <v>13</v>
      </c>
      <c r="C1239" s="23" t="s">
        <v>46</v>
      </c>
      <c r="D1239" s="23">
        <v>0</v>
      </c>
      <c r="E1239" s="23">
        <v>2025</v>
      </c>
      <c r="F1239" s="15" t="s">
        <v>3302</v>
      </c>
      <c r="G1239" s="15" t="s">
        <v>3300</v>
      </c>
      <c r="H1239" s="23" t="s">
        <v>58</v>
      </c>
    </row>
    <row r="1240" spans="1:8" ht="54.95" customHeight="1" x14ac:dyDescent="0.2">
      <c r="A1240" s="23" t="s">
        <v>837</v>
      </c>
      <c r="B1240" s="23" t="s">
        <v>14</v>
      </c>
      <c r="C1240" s="23" t="s">
        <v>46</v>
      </c>
      <c r="D1240" s="23">
        <v>0</v>
      </c>
      <c r="E1240" s="23">
        <v>2025</v>
      </c>
      <c r="F1240" s="15" t="s">
        <v>3304</v>
      </c>
      <c r="G1240" s="15" t="s">
        <v>3300</v>
      </c>
      <c r="H1240" s="23" t="s">
        <v>58</v>
      </c>
    </row>
    <row r="1241" spans="1:8" ht="54.95" customHeight="1" x14ac:dyDescent="0.2">
      <c r="A1241" s="23" t="s">
        <v>837</v>
      </c>
      <c r="B1241" s="23" t="s">
        <v>3</v>
      </c>
      <c r="C1241" s="23" t="s">
        <v>46</v>
      </c>
      <c r="D1241" s="23">
        <v>5727.4750970000005</v>
      </c>
      <c r="E1241" s="23">
        <v>2024</v>
      </c>
      <c r="F1241" s="15" t="s">
        <v>3316</v>
      </c>
      <c r="G1241" s="15" t="s">
        <v>3317</v>
      </c>
      <c r="H1241" s="23" t="s">
        <v>58</v>
      </c>
    </row>
    <row r="1242" spans="1:8" ht="54.95" customHeight="1" x14ac:dyDescent="0.2">
      <c r="A1242" s="23" t="s">
        <v>837</v>
      </c>
      <c r="B1242" s="23" t="s">
        <v>6</v>
      </c>
      <c r="C1242" s="23" t="s">
        <v>46</v>
      </c>
      <c r="D1242" s="23">
        <v>37.441628198841912</v>
      </c>
      <c r="E1242" s="23">
        <v>2024</v>
      </c>
      <c r="F1242" s="15" t="s">
        <v>3319</v>
      </c>
      <c r="G1242" s="15" t="s">
        <v>3320</v>
      </c>
      <c r="H1242" s="23" t="s">
        <v>58</v>
      </c>
    </row>
    <row r="1243" spans="1:8" ht="54.95" customHeight="1" x14ac:dyDescent="0.2">
      <c r="A1243" s="23" t="s">
        <v>837</v>
      </c>
      <c r="B1243" s="23" t="s">
        <v>7</v>
      </c>
      <c r="C1243" s="23" t="s">
        <v>46</v>
      </c>
      <c r="D1243" s="23">
        <v>49.025943377227051</v>
      </c>
      <c r="E1243" s="23">
        <v>2024</v>
      </c>
      <c r="F1243" s="15" t="s">
        <v>3322</v>
      </c>
      <c r="G1243" s="15" t="s">
        <v>3320</v>
      </c>
      <c r="H1243" s="23" t="s">
        <v>58</v>
      </c>
    </row>
    <row r="1244" spans="1:8" ht="54.95" customHeight="1" x14ac:dyDescent="0.2">
      <c r="A1244" s="23" t="s">
        <v>837</v>
      </c>
      <c r="B1244" s="23" t="s">
        <v>8</v>
      </c>
      <c r="C1244" s="23" t="s">
        <v>46</v>
      </c>
      <c r="D1244" s="23">
        <v>1.7287722482086942E-3</v>
      </c>
      <c r="E1244" s="23">
        <v>2024</v>
      </c>
      <c r="F1244" s="15" t="s">
        <v>3324</v>
      </c>
      <c r="G1244" s="15" t="s">
        <v>3320</v>
      </c>
      <c r="H1244" s="23" t="s">
        <v>58</v>
      </c>
    </row>
    <row r="1245" spans="1:8" ht="54.95" customHeight="1" x14ac:dyDescent="0.2">
      <c r="A1245" s="23" t="s">
        <v>837</v>
      </c>
      <c r="B1245" s="23" t="s">
        <v>9</v>
      </c>
      <c r="C1245" s="23" t="s">
        <v>46</v>
      </c>
      <c r="D1245" s="23">
        <v>1.968970935536134</v>
      </c>
      <c r="E1245" s="23">
        <v>2024</v>
      </c>
      <c r="F1245" s="15" t="s">
        <v>3325</v>
      </c>
      <c r="G1245" s="15" t="s">
        <v>3320</v>
      </c>
      <c r="H1245" s="23" t="s">
        <v>58</v>
      </c>
    </row>
    <row r="1246" spans="1:8" ht="54.95" customHeight="1" x14ac:dyDescent="0.2">
      <c r="A1246" s="23" t="s">
        <v>837</v>
      </c>
      <c r="B1246" s="23" t="s">
        <v>10</v>
      </c>
      <c r="C1246" s="23" t="s">
        <v>46</v>
      </c>
      <c r="D1246" s="23">
        <v>8.00680843187261</v>
      </c>
      <c r="E1246" s="23">
        <v>2024</v>
      </c>
      <c r="F1246" s="15" t="s">
        <v>3326</v>
      </c>
      <c r="G1246" s="15" t="s">
        <v>3320</v>
      </c>
      <c r="H1246" s="23" t="s">
        <v>58</v>
      </c>
    </row>
    <row r="1247" spans="1:8" ht="54.95" customHeight="1" x14ac:dyDescent="0.2">
      <c r="A1247" s="23" t="s">
        <v>837</v>
      </c>
      <c r="B1247" s="23" t="s">
        <v>5</v>
      </c>
      <c r="C1247" s="23" t="s">
        <v>46</v>
      </c>
      <c r="D1247" s="23">
        <v>2.0962558855019999</v>
      </c>
      <c r="E1247" s="23">
        <v>2024</v>
      </c>
      <c r="F1247" s="15" t="s">
        <v>3316</v>
      </c>
      <c r="G1247" s="15" t="s">
        <v>3311</v>
      </c>
      <c r="H1247" s="23" t="s">
        <v>58</v>
      </c>
    </row>
    <row r="1248" spans="1:8" ht="54.95" customHeight="1" x14ac:dyDescent="0.2">
      <c r="A1248" s="23" t="s">
        <v>843</v>
      </c>
      <c r="B1248" s="23" t="s">
        <v>11</v>
      </c>
      <c r="C1248" s="23" t="s">
        <v>46</v>
      </c>
      <c r="D1248" s="23">
        <v>0</v>
      </c>
      <c r="E1248" s="23">
        <v>2025</v>
      </c>
      <c r="F1248" s="15" t="s">
        <v>3299</v>
      </c>
      <c r="G1248" s="15" t="s">
        <v>3300</v>
      </c>
      <c r="H1248" s="23" t="s">
        <v>58</v>
      </c>
    </row>
    <row r="1249" spans="1:8" ht="54.95" customHeight="1" x14ac:dyDescent="0.2">
      <c r="A1249" s="23" t="s">
        <v>843</v>
      </c>
      <c r="B1249" s="23" t="s">
        <v>13</v>
      </c>
      <c r="C1249" s="23" t="s">
        <v>46</v>
      </c>
      <c r="D1249" s="23">
        <v>0</v>
      </c>
      <c r="E1249" s="23">
        <v>2025</v>
      </c>
      <c r="F1249" s="15" t="s">
        <v>3302</v>
      </c>
      <c r="G1249" s="15" t="s">
        <v>3300</v>
      </c>
      <c r="H1249" s="23" t="s">
        <v>58</v>
      </c>
    </row>
    <row r="1250" spans="1:8" ht="54.95" customHeight="1" x14ac:dyDescent="0.2">
      <c r="A1250" s="23" t="s">
        <v>843</v>
      </c>
      <c r="B1250" s="23" t="s">
        <v>14</v>
      </c>
      <c r="C1250" s="23" t="s">
        <v>46</v>
      </c>
      <c r="D1250" s="23">
        <v>0</v>
      </c>
      <c r="E1250" s="23">
        <v>2025</v>
      </c>
      <c r="F1250" s="15" t="s">
        <v>3304</v>
      </c>
      <c r="G1250" s="15" t="s">
        <v>3300</v>
      </c>
      <c r="H1250" s="23" t="s">
        <v>58</v>
      </c>
    </row>
    <row r="1251" spans="1:8" ht="54.95" customHeight="1" x14ac:dyDescent="0.2">
      <c r="A1251" s="23" t="s">
        <v>843</v>
      </c>
      <c r="B1251" s="23" t="s">
        <v>3</v>
      </c>
      <c r="C1251" s="23" t="s">
        <v>46</v>
      </c>
      <c r="D1251" s="23">
        <v>9824.4694039999995</v>
      </c>
      <c r="E1251" s="23">
        <v>2024</v>
      </c>
      <c r="F1251" s="15" t="s">
        <v>3316</v>
      </c>
      <c r="G1251" s="15" t="s">
        <v>3317</v>
      </c>
      <c r="H1251" s="23" t="s">
        <v>58</v>
      </c>
    </row>
    <row r="1252" spans="1:8" ht="54.95" customHeight="1" x14ac:dyDescent="0.2">
      <c r="A1252" s="23" t="s">
        <v>843</v>
      </c>
      <c r="B1252" s="23" t="s">
        <v>6</v>
      </c>
      <c r="C1252" s="23" t="s">
        <v>46</v>
      </c>
      <c r="D1252" s="23">
        <v>34.804485335440305</v>
      </c>
      <c r="E1252" s="23">
        <v>2024</v>
      </c>
      <c r="F1252" s="15" t="s">
        <v>3319</v>
      </c>
      <c r="G1252" s="15" t="s">
        <v>3320</v>
      </c>
      <c r="H1252" s="23" t="s">
        <v>58</v>
      </c>
    </row>
    <row r="1253" spans="1:8" ht="54.95" customHeight="1" x14ac:dyDescent="0.2">
      <c r="A1253" s="23" t="s">
        <v>843</v>
      </c>
      <c r="B1253" s="23" t="s">
        <v>7</v>
      </c>
      <c r="C1253" s="23" t="s">
        <v>46</v>
      </c>
      <c r="D1253" s="23">
        <v>39.626219909799417</v>
      </c>
      <c r="E1253" s="23">
        <v>2024</v>
      </c>
      <c r="F1253" s="15" t="s">
        <v>3322</v>
      </c>
      <c r="G1253" s="15" t="s">
        <v>3320</v>
      </c>
      <c r="H1253" s="23" t="s">
        <v>58</v>
      </c>
    </row>
    <row r="1254" spans="1:8" ht="54.95" customHeight="1" x14ac:dyDescent="0.2">
      <c r="A1254" s="23" t="s">
        <v>843</v>
      </c>
      <c r="B1254" s="23" t="s">
        <v>8</v>
      </c>
      <c r="C1254" s="23" t="s">
        <v>46</v>
      </c>
      <c r="D1254" s="23">
        <v>10.634488184925491</v>
      </c>
      <c r="E1254" s="23">
        <v>2024</v>
      </c>
      <c r="F1254" s="15" t="s">
        <v>3324</v>
      </c>
      <c r="G1254" s="15" t="s">
        <v>3320</v>
      </c>
      <c r="H1254" s="23" t="s">
        <v>58</v>
      </c>
    </row>
    <row r="1255" spans="1:8" ht="54.95" customHeight="1" x14ac:dyDescent="0.2">
      <c r="A1255" s="23" t="s">
        <v>843</v>
      </c>
      <c r="B1255" s="23" t="s">
        <v>9</v>
      </c>
      <c r="C1255" s="23" t="s">
        <v>46</v>
      </c>
      <c r="D1255" s="23">
        <v>6.8678367273991041</v>
      </c>
      <c r="E1255" s="23">
        <v>2024</v>
      </c>
      <c r="F1255" s="15" t="s">
        <v>3325</v>
      </c>
      <c r="G1255" s="15" t="s">
        <v>3320</v>
      </c>
      <c r="H1255" s="23" t="s">
        <v>58</v>
      </c>
    </row>
    <row r="1256" spans="1:8" ht="54.95" customHeight="1" x14ac:dyDescent="0.2">
      <c r="A1256" s="23" t="s">
        <v>843</v>
      </c>
      <c r="B1256" s="23" t="s">
        <v>10</v>
      </c>
      <c r="C1256" s="23" t="s">
        <v>46</v>
      </c>
      <c r="D1256" s="23">
        <v>6.2964650564043838</v>
      </c>
      <c r="E1256" s="23">
        <v>2024</v>
      </c>
      <c r="F1256" s="15" t="s">
        <v>3326</v>
      </c>
      <c r="G1256" s="15" t="s">
        <v>3320</v>
      </c>
      <c r="H1256" s="23" t="s">
        <v>58</v>
      </c>
    </row>
    <row r="1257" spans="1:8" ht="54.95" customHeight="1" x14ac:dyDescent="0.2">
      <c r="A1257" s="23" t="s">
        <v>843</v>
      </c>
      <c r="B1257" s="23" t="s">
        <v>5</v>
      </c>
      <c r="C1257" s="23" t="s">
        <v>46</v>
      </c>
      <c r="D1257" s="23">
        <v>3.5957558018640001</v>
      </c>
      <c r="E1257" s="23">
        <v>2024</v>
      </c>
      <c r="F1257" s="15" t="s">
        <v>3316</v>
      </c>
      <c r="G1257" s="15" t="s">
        <v>3311</v>
      </c>
      <c r="H1257" s="23" t="s">
        <v>58</v>
      </c>
    </row>
    <row r="1258" spans="1:8" ht="54.95" customHeight="1" x14ac:dyDescent="0.2">
      <c r="A1258" s="23" t="s">
        <v>849</v>
      </c>
      <c r="B1258" s="23" t="s">
        <v>11</v>
      </c>
      <c r="C1258" s="23" t="s">
        <v>46</v>
      </c>
      <c r="D1258" s="23">
        <v>6058.7749465150682</v>
      </c>
      <c r="E1258" s="23">
        <v>2025</v>
      </c>
      <c r="F1258" s="15" t="s">
        <v>3299</v>
      </c>
      <c r="G1258" s="15" t="s">
        <v>3300</v>
      </c>
      <c r="H1258" s="23" t="s">
        <v>58</v>
      </c>
    </row>
    <row r="1259" spans="1:8" ht="54.95" customHeight="1" x14ac:dyDescent="0.2">
      <c r="A1259" s="23" t="s">
        <v>849</v>
      </c>
      <c r="B1259" s="23" t="s">
        <v>13</v>
      </c>
      <c r="C1259" s="23" t="s">
        <v>46</v>
      </c>
      <c r="D1259" s="23">
        <v>5555.3095890410959</v>
      </c>
      <c r="E1259" s="23">
        <v>2025</v>
      </c>
      <c r="F1259" s="15" t="s">
        <v>3302</v>
      </c>
      <c r="G1259" s="15" t="s">
        <v>3300</v>
      </c>
      <c r="H1259" s="23" t="s">
        <v>58</v>
      </c>
    </row>
    <row r="1260" spans="1:8" ht="54.95" customHeight="1" x14ac:dyDescent="0.2">
      <c r="A1260" s="23" t="s">
        <v>849</v>
      </c>
      <c r="B1260" s="23" t="s">
        <v>14</v>
      </c>
      <c r="C1260" s="23" t="s">
        <v>46</v>
      </c>
      <c r="D1260" s="23">
        <v>200</v>
      </c>
      <c r="E1260" s="23">
        <v>2025</v>
      </c>
      <c r="F1260" s="15" t="s">
        <v>3304</v>
      </c>
      <c r="G1260" s="15" t="s">
        <v>3300</v>
      </c>
      <c r="H1260" s="23" t="s">
        <v>58</v>
      </c>
    </row>
    <row r="1261" spans="1:8" ht="54.95" customHeight="1" x14ac:dyDescent="0.2">
      <c r="A1261" s="23" t="s">
        <v>849</v>
      </c>
      <c r="B1261" s="23" t="s">
        <v>3</v>
      </c>
      <c r="C1261" s="23" t="s">
        <v>46</v>
      </c>
      <c r="D1261" s="23">
        <v>125314.578288</v>
      </c>
      <c r="E1261" s="23">
        <v>2024</v>
      </c>
      <c r="F1261" s="15" t="s">
        <v>3316</v>
      </c>
      <c r="G1261" s="15" t="s">
        <v>3317</v>
      </c>
      <c r="H1261" s="23" t="s">
        <v>58</v>
      </c>
    </row>
    <row r="1262" spans="1:8" ht="54.95" customHeight="1" x14ac:dyDescent="0.2">
      <c r="A1262" s="23" t="s">
        <v>849</v>
      </c>
      <c r="B1262" s="23" t="s">
        <v>6</v>
      </c>
      <c r="C1262" s="23" t="s">
        <v>46</v>
      </c>
      <c r="D1262" s="23">
        <v>57.877939758382723</v>
      </c>
      <c r="E1262" s="23">
        <v>2024</v>
      </c>
      <c r="F1262" s="15" t="s">
        <v>3319</v>
      </c>
      <c r="G1262" s="15" t="s">
        <v>3320</v>
      </c>
      <c r="H1262" s="23" t="s">
        <v>58</v>
      </c>
    </row>
    <row r="1263" spans="1:8" ht="54.95" customHeight="1" x14ac:dyDescent="0.2">
      <c r="A1263" s="23" t="s">
        <v>849</v>
      </c>
      <c r="B1263" s="23" t="s">
        <v>7</v>
      </c>
      <c r="C1263" s="23" t="s">
        <v>46</v>
      </c>
      <c r="D1263" s="23">
        <v>36.79823066875835</v>
      </c>
      <c r="E1263" s="23">
        <v>2024</v>
      </c>
      <c r="F1263" s="15" t="s">
        <v>3322</v>
      </c>
      <c r="G1263" s="15" t="s">
        <v>3320</v>
      </c>
      <c r="H1263" s="23" t="s">
        <v>58</v>
      </c>
    </row>
    <row r="1264" spans="1:8" ht="54.95" customHeight="1" x14ac:dyDescent="0.2">
      <c r="A1264" s="23" t="s">
        <v>849</v>
      </c>
      <c r="B1264" s="23" t="s">
        <v>8</v>
      </c>
      <c r="C1264" s="23" t="s">
        <v>46</v>
      </c>
      <c r="D1264" s="23">
        <v>0.57191019815180533</v>
      </c>
      <c r="E1264" s="23">
        <v>2024</v>
      </c>
      <c r="F1264" s="15" t="s">
        <v>3324</v>
      </c>
      <c r="G1264" s="15" t="s">
        <v>3320</v>
      </c>
      <c r="H1264" s="23" t="s">
        <v>58</v>
      </c>
    </row>
    <row r="1265" spans="1:8" ht="54.95" customHeight="1" x14ac:dyDescent="0.2">
      <c r="A1265" s="23" t="s">
        <v>849</v>
      </c>
      <c r="B1265" s="23" t="s">
        <v>9</v>
      </c>
      <c r="C1265" s="23" t="s">
        <v>46</v>
      </c>
      <c r="D1265" s="23">
        <v>1.5105645407428767</v>
      </c>
      <c r="E1265" s="23">
        <v>2024</v>
      </c>
      <c r="F1265" s="15" t="s">
        <v>3325</v>
      </c>
      <c r="G1265" s="15" t="s">
        <v>3320</v>
      </c>
      <c r="H1265" s="23" t="s">
        <v>58</v>
      </c>
    </row>
    <row r="1266" spans="1:8" ht="54.95" customHeight="1" x14ac:dyDescent="0.2">
      <c r="A1266" s="23" t="s">
        <v>849</v>
      </c>
      <c r="B1266" s="23" t="s">
        <v>10</v>
      </c>
      <c r="C1266" s="23" t="s">
        <v>46</v>
      </c>
      <c r="D1266" s="23">
        <v>0.4029815492331732</v>
      </c>
      <c r="E1266" s="23">
        <v>2024</v>
      </c>
      <c r="F1266" s="15" t="s">
        <v>3326</v>
      </c>
      <c r="G1266" s="15" t="s">
        <v>3320</v>
      </c>
      <c r="H1266" s="23" t="s">
        <v>58</v>
      </c>
    </row>
    <row r="1267" spans="1:8" ht="54.95" customHeight="1" x14ac:dyDescent="0.2">
      <c r="A1267" s="23" t="s">
        <v>849</v>
      </c>
      <c r="B1267" s="23" t="s">
        <v>5</v>
      </c>
      <c r="C1267" s="23" t="s">
        <v>46</v>
      </c>
      <c r="D1267" s="23">
        <v>45.865135653407997</v>
      </c>
      <c r="E1267" s="23">
        <v>2024</v>
      </c>
      <c r="F1267" s="15" t="s">
        <v>3316</v>
      </c>
      <c r="G1267" s="15" t="s">
        <v>3311</v>
      </c>
      <c r="H1267" s="23" t="s">
        <v>58</v>
      </c>
    </row>
    <row r="1268" spans="1:8" ht="54.95" customHeight="1" x14ac:dyDescent="0.2">
      <c r="A1268" s="23" t="s">
        <v>855</v>
      </c>
      <c r="B1268" s="23" t="s">
        <v>11</v>
      </c>
      <c r="C1268" s="23" t="s">
        <v>46</v>
      </c>
      <c r="D1268" s="23">
        <v>9489.7452054794521</v>
      </c>
      <c r="E1268" s="23">
        <v>2025</v>
      </c>
      <c r="F1268" s="15" t="s">
        <v>3299</v>
      </c>
      <c r="G1268" s="15" t="s">
        <v>3300</v>
      </c>
      <c r="H1268" s="23" t="s">
        <v>58</v>
      </c>
    </row>
    <row r="1269" spans="1:8" ht="54.95" customHeight="1" x14ac:dyDescent="0.2">
      <c r="A1269" s="23" t="s">
        <v>855</v>
      </c>
      <c r="B1269" s="23" t="s">
        <v>13</v>
      </c>
      <c r="C1269" s="23" t="s">
        <v>46</v>
      </c>
      <c r="D1269" s="23">
        <v>3000</v>
      </c>
      <c r="E1269" s="23">
        <v>2025</v>
      </c>
      <c r="F1269" s="15" t="s">
        <v>3302</v>
      </c>
      <c r="G1269" s="15" t="s">
        <v>3300</v>
      </c>
      <c r="H1269" s="23" t="s">
        <v>58</v>
      </c>
    </row>
    <row r="1270" spans="1:8" ht="54.95" customHeight="1" x14ac:dyDescent="0.2">
      <c r="A1270" s="23" t="s">
        <v>855</v>
      </c>
      <c r="B1270" s="23" t="s">
        <v>14</v>
      </c>
      <c r="C1270" s="23" t="s">
        <v>46</v>
      </c>
      <c r="D1270" s="23">
        <v>6489.7452054794521</v>
      </c>
      <c r="E1270" s="23">
        <v>2025</v>
      </c>
      <c r="F1270" s="15" t="s">
        <v>3304</v>
      </c>
      <c r="G1270" s="15" t="s">
        <v>3300</v>
      </c>
      <c r="H1270" s="23" t="s">
        <v>58</v>
      </c>
    </row>
    <row r="1271" spans="1:8" ht="54.95" customHeight="1" x14ac:dyDescent="0.2">
      <c r="A1271" s="23" t="s">
        <v>855</v>
      </c>
      <c r="B1271" s="23" t="s">
        <v>3</v>
      </c>
      <c r="C1271" s="23" t="s">
        <v>3648</v>
      </c>
      <c r="D1271" s="23">
        <v>291106.39745399996</v>
      </c>
      <c r="E1271" s="23">
        <v>2024</v>
      </c>
      <c r="F1271" s="15" t="s">
        <v>3316</v>
      </c>
      <c r="G1271" s="15" t="s">
        <v>3317</v>
      </c>
      <c r="H1271" s="23" t="s">
        <v>58</v>
      </c>
    </row>
    <row r="1272" spans="1:8" ht="54.95" customHeight="1" x14ac:dyDescent="0.2">
      <c r="A1272" s="23" t="s">
        <v>855</v>
      </c>
      <c r="B1272" s="23" t="s">
        <v>6</v>
      </c>
      <c r="C1272" s="23" t="s">
        <v>46</v>
      </c>
      <c r="D1272" s="23">
        <v>36.670281118390172</v>
      </c>
      <c r="E1272" s="23">
        <v>2024</v>
      </c>
      <c r="F1272" s="15" t="s">
        <v>3319</v>
      </c>
      <c r="G1272" s="15" t="s">
        <v>3320</v>
      </c>
      <c r="H1272" s="23" t="s">
        <v>58</v>
      </c>
    </row>
    <row r="1273" spans="1:8" ht="54.95" customHeight="1" x14ac:dyDescent="0.2">
      <c r="A1273" s="23" t="s">
        <v>855</v>
      </c>
      <c r="B1273" s="23" t="s">
        <v>7</v>
      </c>
      <c r="C1273" s="23" t="s">
        <v>46</v>
      </c>
      <c r="D1273" s="23">
        <v>6.9796348028423632</v>
      </c>
      <c r="E1273" s="23">
        <v>2024</v>
      </c>
      <c r="F1273" s="15" t="s">
        <v>3322</v>
      </c>
      <c r="G1273" s="15" t="s">
        <v>3320</v>
      </c>
      <c r="H1273" s="23" t="s">
        <v>58</v>
      </c>
    </row>
    <row r="1274" spans="1:8" ht="54.95" customHeight="1" x14ac:dyDescent="0.2">
      <c r="A1274" s="23" t="s">
        <v>855</v>
      </c>
      <c r="B1274" s="23" t="s">
        <v>8</v>
      </c>
      <c r="C1274" s="23" t="s">
        <v>46</v>
      </c>
      <c r="D1274" s="23">
        <v>14.461332742318799</v>
      </c>
      <c r="E1274" s="23">
        <v>2024</v>
      </c>
      <c r="F1274" s="15" t="s">
        <v>3324</v>
      </c>
      <c r="G1274" s="15" t="s">
        <v>3320</v>
      </c>
      <c r="H1274" s="23" t="s">
        <v>58</v>
      </c>
    </row>
    <row r="1275" spans="1:8" ht="54.95" customHeight="1" x14ac:dyDescent="0.2">
      <c r="A1275" s="23" t="s">
        <v>855</v>
      </c>
      <c r="B1275" s="23" t="s">
        <v>9</v>
      </c>
      <c r="C1275" s="23" t="s">
        <v>46</v>
      </c>
      <c r="D1275" s="23">
        <v>4.5374901646011567</v>
      </c>
      <c r="E1275" s="23">
        <v>2024</v>
      </c>
      <c r="F1275" s="15" t="s">
        <v>3325</v>
      </c>
      <c r="G1275" s="15" t="s">
        <v>3320</v>
      </c>
      <c r="H1275" s="23" t="s">
        <v>58</v>
      </c>
    </row>
    <row r="1276" spans="1:8" ht="54.95" customHeight="1" x14ac:dyDescent="0.2">
      <c r="A1276" s="23" t="s">
        <v>855</v>
      </c>
      <c r="B1276" s="23" t="s">
        <v>10</v>
      </c>
      <c r="C1276" s="23" t="s">
        <v>46</v>
      </c>
      <c r="D1276" s="23">
        <v>35.928227896993228</v>
      </c>
      <c r="E1276" s="23">
        <v>2024</v>
      </c>
      <c r="F1276" s="15" t="s">
        <v>3326</v>
      </c>
      <c r="G1276" s="15" t="s">
        <v>3320</v>
      </c>
      <c r="H1276" s="23" t="s">
        <v>58</v>
      </c>
    </row>
    <row r="1277" spans="1:8" ht="54.95" customHeight="1" x14ac:dyDescent="0.2">
      <c r="A1277" s="23" t="s">
        <v>855</v>
      </c>
      <c r="B1277" s="23" t="s">
        <v>5</v>
      </c>
      <c r="C1277" s="23" t="s">
        <v>3649</v>
      </c>
      <c r="D1277" s="23">
        <v>106.54494146816398</v>
      </c>
      <c r="E1277" s="23">
        <v>2024</v>
      </c>
      <c r="F1277" s="15" t="s">
        <v>3316</v>
      </c>
      <c r="G1277" s="15" t="s">
        <v>3311</v>
      </c>
      <c r="H1277" s="23" t="s">
        <v>58</v>
      </c>
    </row>
    <row r="1278" spans="1:8" ht="54.95" customHeight="1" x14ac:dyDescent="0.2">
      <c r="A1278" s="23" t="s">
        <v>867</v>
      </c>
      <c r="B1278" s="23" t="s">
        <v>11</v>
      </c>
      <c r="C1278" s="23" t="s">
        <v>46</v>
      </c>
      <c r="D1278" s="23">
        <v>0</v>
      </c>
      <c r="E1278" s="23">
        <v>2025</v>
      </c>
      <c r="F1278" s="15" t="s">
        <v>3299</v>
      </c>
      <c r="G1278" s="15" t="s">
        <v>3300</v>
      </c>
      <c r="H1278" s="23" t="s">
        <v>58</v>
      </c>
    </row>
    <row r="1279" spans="1:8" ht="54.95" customHeight="1" x14ac:dyDescent="0.2">
      <c r="A1279" s="23" t="s">
        <v>867</v>
      </c>
      <c r="B1279" s="23" t="s">
        <v>13</v>
      </c>
      <c r="C1279" s="23" t="s">
        <v>46</v>
      </c>
      <c r="D1279" s="23">
        <v>0</v>
      </c>
      <c r="E1279" s="23">
        <v>2025</v>
      </c>
      <c r="F1279" s="15" t="s">
        <v>3302</v>
      </c>
      <c r="G1279" s="15" t="s">
        <v>3300</v>
      </c>
      <c r="H1279" s="23" t="s">
        <v>58</v>
      </c>
    </row>
    <row r="1280" spans="1:8" ht="54.95" customHeight="1" x14ac:dyDescent="0.2">
      <c r="A1280" s="23" t="s">
        <v>867</v>
      </c>
      <c r="B1280" s="23" t="s">
        <v>14</v>
      </c>
      <c r="C1280" s="23" t="s">
        <v>46</v>
      </c>
      <c r="D1280" s="23">
        <v>0</v>
      </c>
      <c r="E1280" s="23">
        <v>2025</v>
      </c>
      <c r="F1280" s="15" t="s">
        <v>3304</v>
      </c>
      <c r="G1280" s="15" t="s">
        <v>3300</v>
      </c>
      <c r="H1280" s="23" t="s">
        <v>58</v>
      </c>
    </row>
    <row r="1281" spans="1:8" ht="54.95" customHeight="1" x14ac:dyDescent="0.2">
      <c r="A1281" s="23" t="s">
        <v>867</v>
      </c>
      <c r="B1281" s="23" t="s">
        <v>3</v>
      </c>
      <c r="C1281" s="23" t="s">
        <v>3650</v>
      </c>
      <c r="D1281" s="23">
        <v>57739.966693000002</v>
      </c>
      <c r="E1281" s="23">
        <v>2024</v>
      </c>
      <c r="F1281" s="15" t="s">
        <v>3316</v>
      </c>
      <c r="G1281" s="15" t="s">
        <v>3317</v>
      </c>
      <c r="H1281" s="23" t="s">
        <v>58</v>
      </c>
    </row>
    <row r="1282" spans="1:8" ht="54.95" customHeight="1" x14ac:dyDescent="0.2">
      <c r="A1282" s="23" t="s">
        <v>867</v>
      </c>
      <c r="B1282" s="23" t="s">
        <v>6</v>
      </c>
      <c r="C1282" s="23" t="s">
        <v>46</v>
      </c>
      <c r="D1282" s="23">
        <v>20.243862526192054</v>
      </c>
      <c r="E1282" s="23">
        <v>2024</v>
      </c>
      <c r="F1282" s="15" t="s">
        <v>3319</v>
      </c>
      <c r="G1282" s="15" t="s">
        <v>3320</v>
      </c>
      <c r="H1282" s="23" t="s">
        <v>58</v>
      </c>
    </row>
    <row r="1283" spans="1:8" ht="54.95" customHeight="1" x14ac:dyDescent="0.2">
      <c r="A1283" s="23" t="s">
        <v>867</v>
      </c>
      <c r="B1283" s="23" t="s">
        <v>7</v>
      </c>
      <c r="C1283" s="23" t="s">
        <v>46</v>
      </c>
      <c r="D1283" s="23">
        <v>37.23543207829124</v>
      </c>
      <c r="E1283" s="23">
        <v>2024</v>
      </c>
      <c r="F1283" s="15" t="s">
        <v>3322</v>
      </c>
      <c r="G1283" s="15" t="s">
        <v>3320</v>
      </c>
      <c r="H1283" s="23" t="s">
        <v>58</v>
      </c>
    </row>
    <row r="1284" spans="1:8" ht="54.95" customHeight="1" x14ac:dyDescent="0.2">
      <c r="A1284" s="23" t="s">
        <v>867</v>
      </c>
      <c r="B1284" s="23" t="s">
        <v>8</v>
      </c>
      <c r="C1284" s="23" t="s">
        <v>46</v>
      </c>
      <c r="D1284" s="23">
        <v>34.473643110731395</v>
      </c>
      <c r="E1284" s="23">
        <v>2024</v>
      </c>
      <c r="F1284" s="15" t="s">
        <v>3324</v>
      </c>
      <c r="G1284" s="15" t="s">
        <v>3320</v>
      </c>
      <c r="H1284" s="23" t="s">
        <v>58</v>
      </c>
    </row>
    <row r="1285" spans="1:8" ht="54.95" customHeight="1" x14ac:dyDescent="0.2">
      <c r="A1285" s="23" t="s">
        <v>867</v>
      </c>
      <c r="B1285" s="23" t="s">
        <v>9</v>
      </c>
      <c r="C1285" s="23" t="s">
        <v>46</v>
      </c>
      <c r="D1285" s="23">
        <v>2.2987381843448689</v>
      </c>
      <c r="E1285" s="23">
        <v>2024</v>
      </c>
      <c r="F1285" s="15" t="s">
        <v>3325</v>
      </c>
      <c r="G1285" s="15" t="s">
        <v>3320</v>
      </c>
      <c r="H1285" s="23" t="s">
        <v>58</v>
      </c>
    </row>
    <row r="1286" spans="1:8" ht="54.95" customHeight="1" x14ac:dyDescent="0.2">
      <c r="A1286" s="23" t="s">
        <v>867</v>
      </c>
      <c r="B1286" s="23" t="s">
        <v>10</v>
      </c>
      <c r="C1286" s="23" t="s">
        <v>46</v>
      </c>
      <c r="D1286" s="23">
        <v>0.36340558718306015</v>
      </c>
      <c r="E1286" s="23">
        <v>2024</v>
      </c>
      <c r="F1286" s="15" t="s">
        <v>3326</v>
      </c>
      <c r="G1286" s="15" t="s">
        <v>3320</v>
      </c>
      <c r="H1286" s="23" t="s">
        <v>58</v>
      </c>
    </row>
    <row r="1287" spans="1:8" ht="54.95" customHeight="1" x14ac:dyDescent="0.2">
      <c r="A1287" s="23" t="s">
        <v>867</v>
      </c>
      <c r="B1287" s="23" t="s">
        <v>5</v>
      </c>
      <c r="C1287" s="23" t="s">
        <v>3651</v>
      </c>
      <c r="D1287" s="23">
        <v>21.132827809638002</v>
      </c>
      <c r="E1287" s="23">
        <v>2024</v>
      </c>
      <c r="F1287" s="15" t="s">
        <v>3316</v>
      </c>
      <c r="G1287" s="15" t="s">
        <v>3311</v>
      </c>
      <c r="H1287" s="23" t="s">
        <v>58</v>
      </c>
    </row>
    <row r="1288" spans="1:8" ht="54.95" customHeight="1" x14ac:dyDescent="0.2">
      <c r="A1288" s="23" t="s">
        <v>873</v>
      </c>
      <c r="B1288" s="23" t="s">
        <v>11</v>
      </c>
      <c r="C1288" s="23" t="s">
        <v>46</v>
      </c>
      <c r="D1288" s="23">
        <v>0</v>
      </c>
      <c r="E1288" s="23">
        <v>2025</v>
      </c>
      <c r="F1288" s="15" t="s">
        <v>3299</v>
      </c>
      <c r="G1288" s="15" t="s">
        <v>3300</v>
      </c>
      <c r="H1288" s="23" t="s">
        <v>58</v>
      </c>
    </row>
    <row r="1289" spans="1:8" ht="54.95" customHeight="1" x14ac:dyDescent="0.2">
      <c r="A1289" s="23" t="s">
        <v>873</v>
      </c>
      <c r="B1289" s="23" t="s">
        <v>13</v>
      </c>
      <c r="C1289" s="23" t="s">
        <v>46</v>
      </c>
      <c r="D1289" s="23">
        <v>0</v>
      </c>
      <c r="E1289" s="23">
        <v>2025</v>
      </c>
      <c r="F1289" s="15" t="s">
        <v>3302</v>
      </c>
      <c r="G1289" s="15" t="s">
        <v>3300</v>
      </c>
      <c r="H1289" s="23" t="s">
        <v>58</v>
      </c>
    </row>
    <row r="1290" spans="1:8" ht="54.95" customHeight="1" x14ac:dyDescent="0.2">
      <c r="A1290" s="23" t="s">
        <v>873</v>
      </c>
      <c r="B1290" s="23" t="s">
        <v>14</v>
      </c>
      <c r="C1290" s="23" t="s">
        <v>46</v>
      </c>
      <c r="D1290" s="23">
        <v>0</v>
      </c>
      <c r="E1290" s="23">
        <v>2025</v>
      </c>
      <c r="F1290" s="15" t="s">
        <v>3304</v>
      </c>
      <c r="G1290" s="15" t="s">
        <v>3300</v>
      </c>
      <c r="H1290" s="23" t="s">
        <v>58</v>
      </c>
    </row>
    <row r="1291" spans="1:8" ht="54.95" customHeight="1" x14ac:dyDescent="0.2">
      <c r="A1291" s="23" t="s">
        <v>873</v>
      </c>
      <c r="B1291" s="23" t="s">
        <v>3</v>
      </c>
      <c r="C1291" s="23" t="s">
        <v>46</v>
      </c>
      <c r="D1291" s="23">
        <v>9287.3149400000002</v>
      </c>
      <c r="E1291" s="23">
        <v>2024</v>
      </c>
      <c r="F1291" s="15" t="s">
        <v>3316</v>
      </c>
      <c r="G1291" s="15" t="s">
        <v>3317</v>
      </c>
      <c r="H1291" s="23" t="s">
        <v>58</v>
      </c>
    </row>
    <row r="1292" spans="1:8" ht="54.95" customHeight="1" x14ac:dyDescent="0.2">
      <c r="A1292" s="23" t="s">
        <v>873</v>
      </c>
      <c r="B1292" s="23" t="s">
        <v>6</v>
      </c>
      <c r="C1292" s="23" t="s">
        <v>46</v>
      </c>
      <c r="D1292" s="23">
        <v>69.54131082799266</v>
      </c>
      <c r="E1292" s="23">
        <v>2024</v>
      </c>
      <c r="F1292" s="15" t="s">
        <v>3319</v>
      </c>
      <c r="G1292" s="15" t="s">
        <v>3320</v>
      </c>
      <c r="H1292" s="23" t="s">
        <v>58</v>
      </c>
    </row>
    <row r="1293" spans="1:8" ht="54.95" customHeight="1" x14ac:dyDescent="0.2">
      <c r="A1293" s="23" t="s">
        <v>873</v>
      </c>
      <c r="B1293" s="23" t="s">
        <v>7</v>
      </c>
      <c r="C1293" s="23" t="s">
        <v>46</v>
      </c>
      <c r="D1293" s="23">
        <v>11.323443285751223</v>
      </c>
      <c r="E1293" s="23">
        <v>2024</v>
      </c>
      <c r="F1293" s="15" t="s">
        <v>3322</v>
      </c>
      <c r="G1293" s="15" t="s">
        <v>3320</v>
      </c>
      <c r="H1293" s="23" t="s">
        <v>58</v>
      </c>
    </row>
    <row r="1294" spans="1:8" ht="54.95" customHeight="1" x14ac:dyDescent="0.2">
      <c r="A1294" s="23" t="s">
        <v>873</v>
      </c>
      <c r="B1294" s="23" t="s">
        <v>8</v>
      </c>
      <c r="C1294" s="23" t="s">
        <v>46</v>
      </c>
      <c r="D1294" s="23">
        <v>4.7907442880363869</v>
      </c>
      <c r="E1294" s="23">
        <v>2024</v>
      </c>
      <c r="F1294" s="15" t="s">
        <v>3324</v>
      </c>
      <c r="G1294" s="15" t="s">
        <v>3320</v>
      </c>
      <c r="H1294" s="23" t="s">
        <v>58</v>
      </c>
    </row>
    <row r="1295" spans="1:8" ht="54.95" customHeight="1" x14ac:dyDescent="0.2">
      <c r="A1295" s="23" t="s">
        <v>873</v>
      </c>
      <c r="B1295" s="23" t="s">
        <v>9</v>
      </c>
      <c r="C1295" s="23" t="s">
        <v>46</v>
      </c>
      <c r="D1295" s="23">
        <v>7.7197651272930763</v>
      </c>
      <c r="E1295" s="23">
        <v>2024</v>
      </c>
      <c r="F1295" s="15" t="s">
        <v>3325</v>
      </c>
      <c r="G1295" s="15" t="s">
        <v>3320</v>
      </c>
      <c r="H1295" s="23" t="s">
        <v>58</v>
      </c>
    </row>
    <row r="1296" spans="1:8" ht="54.95" customHeight="1" x14ac:dyDescent="0.2">
      <c r="A1296" s="23" t="s">
        <v>873</v>
      </c>
      <c r="B1296" s="23" t="s">
        <v>10</v>
      </c>
      <c r="C1296" s="23" t="s">
        <v>46</v>
      </c>
      <c r="D1296" s="23">
        <v>0.98233860474640045</v>
      </c>
      <c r="E1296" s="23">
        <v>2024</v>
      </c>
      <c r="F1296" s="15" t="s">
        <v>3326</v>
      </c>
      <c r="G1296" s="15" t="s">
        <v>3320</v>
      </c>
      <c r="H1296" s="23" t="s">
        <v>58</v>
      </c>
    </row>
    <row r="1297" spans="1:8" ht="54.95" customHeight="1" x14ac:dyDescent="0.2">
      <c r="A1297" s="23" t="s">
        <v>873</v>
      </c>
      <c r="B1297" s="23" t="s">
        <v>5</v>
      </c>
      <c r="C1297" s="23" t="s">
        <v>46</v>
      </c>
      <c r="D1297" s="23">
        <v>3.3991572680400002</v>
      </c>
      <c r="E1297" s="23">
        <v>2024</v>
      </c>
      <c r="F1297" s="15" t="s">
        <v>3316</v>
      </c>
      <c r="G1297" s="15" t="s">
        <v>3311</v>
      </c>
      <c r="H1297" s="23" t="s">
        <v>58</v>
      </c>
    </row>
    <row r="1298" spans="1:8" ht="54.95" customHeight="1" x14ac:dyDescent="0.2">
      <c r="A1298" s="23" t="s">
        <v>879</v>
      </c>
      <c r="B1298" s="23" t="s">
        <v>11</v>
      </c>
      <c r="C1298" s="23" t="s">
        <v>46</v>
      </c>
      <c r="D1298" s="23">
        <v>185.1746579917808</v>
      </c>
      <c r="E1298" s="23">
        <v>2025</v>
      </c>
      <c r="F1298" s="15" t="s">
        <v>3299</v>
      </c>
      <c r="G1298" s="15" t="s">
        <v>3300</v>
      </c>
      <c r="H1298" s="23" t="s">
        <v>58</v>
      </c>
    </row>
    <row r="1299" spans="1:8" ht="54.95" customHeight="1" x14ac:dyDescent="0.2">
      <c r="A1299" s="23" t="s">
        <v>879</v>
      </c>
      <c r="B1299" s="23" t="s">
        <v>13</v>
      </c>
      <c r="C1299" s="23" t="s">
        <v>46</v>
      </c>
      <c r="D1299" s="23">
        <v>0</v>
      </c>
      <c r="E1299" s="23">
        <v>2025</v>
      </c>
      <c r="F1299" s="15" t="s">
        <v>3302</v>
      </c>
      <c r="G1299" s="15" t="s">
        <v>3300</v>
      </c>
      <c r="H1299" s="23" t="s">
        <v>58</v>
      </c>
    </row>
    <row r="1300" spans="1:8" ht="54.95" customHeight="1" x14ac:dyDescent="0.2">
      <c r="A1300" s="23" t="s">
        <v>879</v>
      </c>
      <c r="B1300" s="23" t="s">
        <v>14</v>
      </c>
      <c r="C1300" s="23" t="s">
        <v>46</v>
      </c>
      <c r="D1300" s="23">
        <v>0</v>
      </c>
      <c r="E1300" s="23">
        <v>2025</v>
      </c>
      <c r="F1300" s="15" t="s">
        <v>3304</v>
      </c>
      <c r="G1300" s="15" t="s">
        <v>3300</v>
      </c>
      <c r="H1300" s="23" t="s">
        <v>58</v>
      </c>
    </row>
    <row r="1301" spans="1:8" ht="54.95" customHeight="1" x14ac:dyDescent="0.2">
      <c r="A1301" s="23" t="s">
        <v>879</v>
      </c>
      <c r="B1301" s="23" t="s">
        <v>3</v>
      </c>
      <c r="C1301" s="23" t="s">
        <v>3652</v>
      </c>
      <c r="D1301" s="23">
        <v>37151.479459999995</v>
      </c>
      <c r="E1301" s="23">
        <v>2024</v>
      </c>
      <c r="F1301" s="15" t="s">
        <v>3316</v>
      </c>
      <c r="G1301" s="15" t="s">
        <v>3317</v>
      </c>
      <c r="H1301" s="23" t="s">
        <v>58</v>
      </c>
    </row>
    <row r="1302" spans="1:8" ht="54.95" customHeight="1" x14ac:dyDescent="0.2">
      <c r="A1302" s="23" t="s">
        <v>879</v>
      </c>
      <c r="B1302" s="23" t="s">
        <v>6</v>
      </c>
      <c r="C1302" s="23" t="s">
        <v>46</v>
      </c>
      <c r="D1302" s="23">
        <v>73.608160287245823</v>
      </c>
      <c r="E1302" s="23">
        <v>2024</v>
      </c>
      <c r="F1302" s="15" t="s">
        <v>3319</v>
      </c>
      <c r="G1302" s="15" t="s">
        <v>3320</v>
      </c>
      <c r="H1302" s="23" t="s">
        <v>58</v>
      </c>
    </row>
    <row r="1303" spans="1:8" ht="54.95" customHeight="1" x14ac:dyDescent="0.2">
      <c r="A1303" s="23" t="s">
        <v>879</v>
      </c>
      <c r="B1303" s="23" t="s">
        <v>7</v>
      </c>
      <c r="C1303" s="23" t="s">
        <v>46</v>
      </c>
      <c r="D1303" s="23">
        <v>10.630819841918621</v>
      </c>
      <c r="E1303" s="23">
        <v>2024</v>
      </c>
      <c r="F1303" s="15" t="s">
        <v>3322</v>
      </c>
      <c r="G1303" s="15" t="s">
        <v>3320</v>
      </c>
      <c r="H1303" s="23" t="s">
        <v>58</v>
      </c>
    </row>
    <row r="1304" spans="1:8" ht="54.95" customHeight="1" x14ac:dyDescent="0.2">
      <c r="A1304" s="23" t="s">
        <v>879</v>
      </c>
      <c r="B1304" s="23" t="s">
        <v>8</v>
      </c>
      <c r="C1304" s="23" t="s">
        <v>46</v>
      </c>
      <c r="D1304" s="23">
        <v>7.2712309153353969</v>
      </c>
      <c r="E1304" s="23">
        <v>2024</v>
      </c>
      <c r="F1304" s="15" t="s">
        <v>3324</v>
      </c>
      <c r="G1304" s="15" t="s">
        <v>3320</v>
      </c>
      <c r="H1304" s="23" t="s">
        <v>58</v>
      </c>
    </row>
    <row r="1305" spans="1:8" ht="54.95" customHeight="1" x14ac:dyDescent="0.2">
      <c r="A1305" s="23" t="s">
        <v>879</v>
      </c>
      <c r="B1305" s="23" t="s">
        <v>9</v>
      </c>
      <c r="C1305" s="23" t="s">
        <v>46</v>
      </c>
      <c r="D1305" s="23">
        <v>1.871346417707372</v>
      </c>
      <c r="E1305" s="23">
        <v>2024</v>
      </c>
      <c r="F1305" s="15" t="s">
        <v>3325</v>
      </c>
      <c r="G1305" s="15" t="s">
        <v>3320</v>
      </c>
      <c r="H1305" s="23" t="s">
        <v>58</v>
      </c>
    </row>
    <row r="1306" spans="1:8" ht="54.95" customHeight="1" x14ac:dyDescent="0.2">
      <c r="A1306" s="23" t="s">
        <v>879</v>
      </c>
      <c r="B1306" s="23" t="s">
        <v>10</v>
      </c>
      <c r="C1306" s="23" t="s">
        <v>46</v>
      </c>
      <c r="D1306" s="23">
        <v>1.2278498370196536</v>
      </c>
      <c r="E1306" s="23">
        <v>2024</v>
      </c>
      <c r="F1306" s="15" t="s">
        <v>3326</v>
      </c>
      <c r="G1306" s="15" t="s">
        <v>3320</v>
      </c>
      <c r="H1306" s="23" t="s">
        <v>58</v>
      </c>
    </row>
    <row r="1307" spans="1:8" ht="54.95" customHeight="1" x14ac:dyDescent="0.2">
      <c r="A1307" s="23" t="s">
        <v>879</v>
      </c>
      <c r="B1307" s="23" t="s">
        <v>5</v>
      </c>
      <c r="C1307" s="23" t="s">
        <v>3653</v>
      </c>
      <c r="D1307" s="23">
        <v>13.597441482359997</v>
      </c>
      <c r="E1307" s="23">
        <v>2024</v>
      </c>
      <c r="F1307" s="15" t="s">
        <v>3316</v>
      </c>
      <c r="G1307" s="15" t="s">
        <v>3311</v>
      </c>
      <c r="H1307" s="23" t="s">
        <v>58</v>
      </c>
    </row>
    <row r="1308" spans="1:8" ht="54.95" customHeight="1" x14ac:dyDescent="0.2">
      <c r="A1308" s="23" t="s">
        <v>885</v>
      </c>
      <c r="B1308" s="23" t="s">
        <v>11</v>
      </c>
      <c r="C1308" s="23" t="s">
        <v>46</v>
      </c>
      <c r="D1308" s="23">
        <v>0</v>
      </c>
      <c r="E1308" s="23">
        <v>2025</v>
      </c>
      <c r="F1308" s="15" t="s">
        <v>3299</v>
      </c>
      <c r="G1308" s="15" t="s">
        <v>3300</v>
      </c>
      <c r="H1308" s="23" t="s">
        <v>58</v>
      </c>
    </row>
    <row r="1309" spans="1:8" ht="54.95" customHeight="1" x14ac:dyDescent="0.2">
      <c r="A1309" s="23" t="s">
        <v>885</v>
      </c>
      <c r="B1309" s="23" t="s">
        <v>13</v>
      </c>
      <c r="C1309" s="23" t="s">
        <v>46</v>
      </c>
      <c r="D1309" s="23">
        <v>0</v>
      </c>
      <c r="E1309" s="23">
        <v>2025</v>
      </c>
      <c r="F1309" s="15" t="s">
        <v>3302</v>
      </c>
      <c r="G1309" s="15" t="s">
        <v>3300</v>
      </c>
      <c r="H1309" s="23" t="s">
        <v>58</v>
      </c>
    </row>
    <row r="1310" spans="1:8" ht="54.95" customHeight="1" x14ac:dyDescent="0.2">
      <c r="A1310" s="23" t="s">
        <v>885</v>
      </c>
      <c r="B1310" s="23" t="s">
        <v>14</v>
      </c>
      <c r="C1310" s="23" t="s">
        <v>46</v>
      </c>
      <c r="D1310" s="23">
        <v>0</v>
      </c>
      <c r="E1310" s="23">
        <v>2025</v>
      </c>
      <c r="F1310" s="15" t="s">
        <v>3304</v>
      </c>
      <c r="G1310" s="15" t="s">
        <v>3300</v>
      </c>
      <c r="H1310" s="23" t="s">
        <v>58</v>
      </c>
    </row>
    <row r="1311" spans="1:8" ht="54.95" customHeight="1" x14ac:dyDescent="0.2">
      <c r="A1311" s="23" t="s">
        <v>885</v>
      </c>
      <c r="B1311" s="23" t="s">
        <v>3</v>
      </c>
      <c r="C1311" s="23" t="s">
        <v>3654</v>
      </c>
      <c r="D1311" s="23">
        <v>44015.420276999997</v>
      </c>
      <c r="E1311" s="23">
        <v>2024</v>
      </c>
      <c r="F1311" s="15" t="s">
        <v>3316</v>
      </c>
      <c r="G1311" s="15" t="s">
        <v>3317</v>
      </c>
      <c r="H1311" s="23" t="s">
        <v>58</v>
      </c>
    </row>
    <row r="1312" spans="1:8" ht="54.95" customHeight="1" x14ac:dyDescent="0.2">
      <c r="A1312" s="23" t="s">
        <v>885</v>
      </c>
      <c r="B1312" s="23" t="s">
        <v>6</v>
      </c>
      <c r="C1312" s="23" t="s">
        <v>46</v>
      </c>
      <c r="D1312" s="23">
        <v>40.378524408381175</v>
      </c>
      <c r="E1312" s="23">
        <v>2024</v>
      </c>
      <c r="F1312" s="15" t="s">
        <v>3319</v>
      </c>
      <c r="G1312" s="15" t="s">
        <v>3320</v>
      </c>
      <c r="H1312" s="23" t="s">
        <v>58</v>
      </c>
    </row>
    <row r="1313" spans="1:8" ht="54.95" customHeight="1" x14ac:dyDescent="0.2">
      <c r="A1313" s="23" t="s">
        <v>885</v>
      </c>
      <c r="B1313" s="23" t="s">
        <v>7</v>
      </c>
      <c r="C1313" s="23" t="s">
        <v>46</v>
      </c>
      <c r="D1313" s="23">
        <v>47.041215805042491</v>
      </c>
      <c r="E1313" s="23">
        <v>2024</v>
      </c>
      <c r="F1313" s="15" t="s">
        <v>3322</v>
      </c>
      <c r="G1313" s="15" t="s">
        <v>3320</v>
      </c>
      <c r="H1313" s="23" t="s">
        <v>58</v>
      </c>
    </row>
    <row r="1314" spans="1:8" ht="54.95" customHeight="1" x14ac:dyDescent="0.2">
      <c r="A1314" s="23" t="s">
        <v>885</v>
      </c>
      <c r="B1314" s="23" t="s">
        <v>8</v>
      </c>
      <c r="C1314" s="23" t="s">
        <v>46</v>
      </c>
      <c r="D1314" s="23">
        <v>2.5322108160862169</v>
      </c>
      <c r="E1314" s="23">
        <v>2024</v>
      </c>
      <c r="F1314" s="15" t="s">
        <v>3324</v>
      </c>
      <c r="G1314" s="15" t="s">
        <v>3320</v>
      </c>
      <c r="H1314" s="23" t="s">
        <v>58</v>
      </c>
    </row>
    <row r="1315" spans="1:8" ht="54.95" customHeight="1" x14ac:dyDescent="0.2">
      <c r="A1315" s="23" t="s">
        <v>885</v>
      </c>
      <c r="B1315" s="23" t="s">
        <v>9</v>
      </c>
      <c r="C1315" s="23" t="s">
        <v>46</v>
      </c>
      <c r="D1315" s="23">
        <v>8.5035101435934894</v>
      </c>
      <c r="E1315" s="23">
        <v>2024</v>
      </c>
      <c r="F1315" s="15" t="s">
        <v>3325</v>
      </c>
      <c r="G1315" s="15" t="s">
        <v>3320</v>
      </c>
      <c r="H1315" s="23" t="s">
        <v>58</v>
      </c>
    </row>
    <row r="1316" spans="1:8" ht="54.95" customHeight="1" x14ac:dyDescent="0.2">
      <c r="A1316" s="23" t="s">
        <v>885</v>
      </c>
      <c r="B1316" s="23" t="s">
        <v>10</v>
      </c>
      <c r="C1316" s="23" t="s">
        <v>46</v>
      </c>
      <c r="D1316" s="23">
        <v>0.4676088055157116</v>
      </c>
      <c r="E1316" s="23">
        <v>2024</v>
      </c>
      <c r="F1316" s="15" t="s">
        <v>3326</v>
      </c>
      <c r="G1316" s="15" t="s">
        <v>3320</v>
      </c>
      <c r="H1316" s="23" t="s">
        <v>58</v>
      </c>
    </row>
    <row r="1317" spans="1:8" ht="54.95" customHeight="1" x14ac:dyDescent="0.2">
      <c r="A1317" s="23" t="s">
        <v>885</v>
      </c>
      <c r="B1317" s="23" t="s">
        <v>5</v>
      </c>
      <c r="C1317" s="23" t="s">
        <v>3655</v>
      </c>
      <c r="D1317" s="23">
        <v>16.109643821382001</v>
      </c>
      <c r="E1317" s="23">
        <v>2024</v>
      </c>
      <c r="F1317" s="15" t="s">
        <v>3316</v>
      </c>
      <c r="G1317" s="15" t="s">
        <v>3311</v>
      </c>
      <c r="H1317" s="23" t="s">
        <v>58</v>
      </c>
    </row>
    <row r="1318" spans="1:8" ht="54.95" customHeight="1" x14ac:dyDescent="0.2">
      <c r="A1318" s="23" t="s">
        <v>893</v>
      </c>
      <c r="B1318" s="23" t="s">
        <v>11</v>
      </c>
      <c r="C1318" s="23" t="s">
        <v>46</v>
      </c>
      <c r="D1318" s="23">
        <v>27702.316237190629</v>
      </c>
      <c r="E1318" s="23">
        <v>2025</v>
      </c>
      <c r="F1318" s="15" t="s">
        <v>3299</v>
      </c>
      <c r="G1318" s="15" t="s">
        <v>3300</v>
      </c>
      <c r="H1318" s="23" t="s">
        <v>58</v>
      </c>
    </row>
    <row r="1319" spans="1:8" ht="54.95" customHeight="1" x14ac:dyDescent="0.2">
      <c r="A1319" s="23" t="s">
        <v>893</v>
      </c>
      <c r="B1319" s="23" t="s">
        <v>13</v>
      </c>
      <c r="C1319" s="23" t="s">
        <v>46</v>
      </c>
      <c r="D1319" s="23">
        <v>25463.089782244322</v>
      </c>
      <c r="E1319" s="23">
        <v>2025</v>
      </c>
      <c r="F1319" s="15" t="s">
        <v>3302</v>
      </c>
      <c r="G1319" s="15" t="s">
        <v>3300</v>
      </c>
      <c r="H1319" s="23" t="s">
        <v>58</v>
      </c>
    </row>
    <row r="1320" spans="1:8" ht="54.95" customHeight="1" x14ac:dyDescent="0.2">
      <c r="A1320" s="23" t="s">
        <v>893</v>
      </c>
      <c r="B1320" s="23" t="s">
        <v>14</v>
      </c>
      <c r="C1320" s="23" t="s">
        <v>46</v>
      </c>
      <c r="D1320" s="23">
        <v>3232.1480056143296</v>
      </c>
      <c r="E1320" s="23">
        <v>2025</v>
      </c>
      <c r="F1320" s="15" t="s">
        <v>3304</v>
      </c>
      <c r="G1320" s="15" t="s">
        <v>3300</v>
      </c>
      <c r="H1320" s="23" t="s">
        <v>58</v>
      </c>
    </row>
    <row r="1321" spans="1:8" ht="54.95" customHeight="1" x14ac:dyDescent="0.2">
      <c r="A1321" s="23" t="s">
        <v>893</v>
      </c>
      <c r="B1321" s="23" t="s">
        <v>3</v>
      </c>
      <c r="C1321" s="23" t="s">
        <v>46</v>
      </c>
      <c r="D1321" s="23">
        <v>117294.54753</v>
      </c>
      <c r="E1321" s="23">
        <v>2024</v>
      </c>
      <c r="F1321" s="15" t="s">
        <v>3316</v>
      </c>
      <c r="G1321" s="15" t="s">
        <v>3317</v>
      </c>
      <c r="H1321" s="23" t="s">
        <v>58</v>
      </c>
    </row>
    <row r="1322" spans="1:8" ht="54.95" customHeight="1" x14ac:dyDescent="0.2">
      <c r="A1322" s="23" t="s">
        <v>893</v>
      </c>
      <c r="B1322" s="23" t="s">
        <v>6</v>
      </c>
      <c r="C1322" s="23" t="s">
        <v>46</v>
      </c>
      <c r="D1322" s="23">
        <v>20.996900281064583</v>
      </c>
      <c r="E1322" s="23">
        <v>2024</v>
      </c>
      <c r="F1322" s="15" t="s">
        <v>3319</v>
      </c>
      <c r="G1322" s="15" t="s">
        <v>3320</v>
      </c>
      <c r="H1322" s="23" t="s">
        <v>58</v>
      </c>
    </row>
    <row r="1323" spans="1:8" ht="54.95" customHeight="1" x14ac:dyDescent="0.2">
      <c r="A1323" s="23" t="s">
        <v>893</v>
      </c>
      <c r="B1323" s="23" t="s">
        <v>7</v>
      </c>
      <c r="C1323" s="23" t="s">
        <v>46</v>
      </c>
      <c r="D1323" s="23">
        <v>7.8700127877973163</v>
      </c>
      <c r="E1323" s="23">
        <v>2024</v>
      </c>
      <c r="F1323" s="15" t="s">
        <v>3322</v>
      </c>
      <c r="G1323" s="15" t="s">
        <v>3320</v>
      </c>
      <c r="H1323" s="23" t="s">
        <v>58</v>
      </c>
    </row>
    <row r="1324" spans="1:8" ht="54.95" customHeight="1" x14ac:dyDescent="0.2">
      <c r="A1324" s="23" t="s">
        <v>893</v>
      </c>
      <c r="B1324" s="23" t="s">
        <v>8</v>
      </c>
      <c r="C1324" s="23" t="s">
        <v>46</v>
      </c>
      <c r="D1324" s="23">
        <v>4.904174056793857</v>
      </c>
      <c r="E1324" s="23">
        <v>2024</v>
      </c>
      <c r="F1324" s="15" t="s">
        <v>3324</v>
      </c>
      <c r="G1324" s="15" t="s">
        <v>3320</v>
      </c>
      <c r="H1324" s="23" t="s">
        <v>58</v>
      </c>
    </row>
    <row r="1325" spans="1:8" ht="54.95" customHeight="1" x14ac:dyDescent="0.2">
      <c r="A1325" s="23" t="s">
        <v>893</v>
      </c>
      <c r="B1325" s="23" t="s">
        <v>9</v>
      </c>
      <c r="C1325" s="23" t="s">
        <v>46</v>
      </c>
      <c r="D1325" s="23">
        <v>3.9453187956724109</v>
      </c>
      <c r="E1325" s="23">
        <v>2024</v>
      </c>
      <c r="F1325" s="15" t="s">
        <v>3325</v>
      </c>
      <c r="G1325" s="15" t="s">
        <v>3320</v>
      </c>
      <c r="H1325" s="23" t="s">
        <v>58</v>
      </c>
    </row>
    <row r="1326" spans="1:8" ht="54.95" customHeight="1" x14ac:dyDescent="0.2">
      <c r="A1326" s="23" t="s">
        <v>893</v>
      </c>
      <c r="B1326" s="23" t="s">
        <v>10</v>
      </c>
      <c r="C1326" s="23" t="s">
        <v>46</v>
      </c>
      <c r="D1326" s="23">
        <v>28.265282963404935</v>
      </c>
      <c r="E1326" s="23">
        <v>2024</v>
      </c>
      <c r="F1326" s="15" t="s">
        <v>3326</v>
      </c>
      <c r="G1326" s="15" t="s">
        <v>3320</v>
      </c>
      <c r="H1326" s="23" t="s">
        <v>58</v>
      </c>
    </row>
    <row r="1327" spans="1:8" ht="54.95" customHeight="1" x14ac:dyDescent="0.2">
      <c r="A1327" s="23" t="s">
        <v>893</v>
      </c>
      <c r="B1327" s="23" t="s">
        <v>5</v>
      </c>
      <c r="C1327" s="23" t="s">
        <v>46</v>
      </c>
      <c r="D1327" s="23">
        <v>42.92980439598</v>
      </c>
      <c r="E1327" s="23">
        <v>2024</v>
      </c>
      <c r="F1327" s="15" t="s">
        <v>3316</v>
      </c>
      <c r="G1327" s="15" t="s">
        <v>3311</v>
      </c>
      <c r="H1327" s="23" t="s">
        <v>58</v>
      </c>
    </row>
    <row r="1328" spans="1:8" ht="54.95" customHeight="1" x14ac:dyDescent="0.2">
      <c r="A1328" s="23" t="s">
        <v>899</v>
      </c>
      <c r="B1328" s="23" t="s">
        <v>11</v>
      </c>
      <c r="C1328" s="23" t="s">
        <v>46</v>
      </c>
      <c r="D1328" s="23">
        <v>20</v>
      </c>
      <c r="E1328" s="23">
        <v>2025</v>
      </c>
      <c r="F1328" s="15" t="s">
        <v>3299</v>
      </c>
      <c r="G1328" s="15" t="s">
        <v>3300</v>
      </c>
      <c r="H1328" s="23" t="s">
        <v>58</v>
      </c>
    </row>
    <row r="1329" spans="1:8" ht="54.95" customHeight="1" x14ac:dyDescent="0.2">
      <c r="A1329" s="23" t="s">
        <v>899</v>
      </c>
      <c r="B1329" s="23" t="s">
        <v>13</v>
      </c>
      <c r="C1329" s="23" t="s">
        <v>46</v>
      </c>
      <c r="D1329" s="23">
        <v>0</v>
      </c>
      <c r="E1329" s="23">
        <v>2025</v>
      </c>
      <c r="F1329" s="15" t="s">
        <v>3302</v>
      </c>
      <c r="G1329" s="15" t="s">
        <v>3300</v>
      </c>
      <c r="H1329" s="23" t="s">
        <v>58</v>
      </c>
    </row>
    <row r="1330" spans="1:8" ht="54.95" customHeight="1" x14ac:dyDescent="0.2">
      <c r="A1330" s="23" t="s">
        <v>899</v>
      </c>
      <c r="B1330" s="23" t="s">
        <v>14</v>
      </c>
      <c r="C1330" s="23" t="s">
        <v>46</v>
      </c>
      <c r="D1330" s="23">
        <v>0</v>
      </c>
      <c r="E1330" s="23">
        <v>2025</v>
      </c>
      <c r="F1330" s="15" t="s">
        <v>3304</v>
      </c>
      <c r="G1330" s="15" t="s">
        <v>3300</v>
      </c>
      <c r="H1330" s="23" t="s">
        <v>58</v>
      </c>
    </row>
    <row r="1331" spans="1:8" ht="54.95" customHeight="1" x14ac:dyDescent="0.2">
      <c r="A1331" s="23" t="s">
        <v>899</v>
      </c>
      <c r="B1331" s="23" t="s">
        <v>3</v>
      </c>
      <c r="C1331" s="23" t="s">
        <v>3656</v>
      </c>
      <c r="D1331" s="23">
        <v>80930.998676000003</v>
      </c>
      <c r="E1331" s="23">
        <v>2024</v>
      </c>
      <c r="F1331" s="15" t="s">
        <v>3316</v>
      </c>
      <c r="G1331" s="15" t="s">
        <v>3317</v>
      </c>
      <c r="H1331" s="23" t="s">
        <v>58</v>
      </c>
    </row>
    <row r="1332" spans="1:8" ht="54.95" customHeight="1" x14ac:dyDescent="0.2">
      <c r="A1332" s="23" t="s">
        <v>899</v>
      </c>
      <c r="B1332" s="23" t="s">
        <v>6</v>
      </c>
      <c r="C1332" s="23" t="s">
        <v>46</v>
      </c>
      <c r="D1332" s="23">
        <v>24.082942047989217</v>
      </c>
      <c r="E1332" s="23">
        <v>2024</v>
      </c>
      <c r="F1332" s="15" t="s">
        <v>3319</v>
      </c>
      <c r="G1332" s="15" t="s">
        <v>3320</v>
      </c>
      <c r="H1332" s="23" t="s">
        <v>58</v>
      </c>
    </row>
    <row r="1333" spans="1:8" ht="54.95" customHeight="1" x14ac:dyDescent="0.2">
      <c r="A1333" s="23" t="s">
        <v>899</v>
      </c>
      <c r="B1333" s="23" t="s">
        <v>7</v>
      </c>
      <c r="C1333" s="23" t="s">
        <v>46</v>
      </c>
      <c r="D1333" s="23">
        <v>30.738889346459196</v>
      </c>
      <c r="E1333" s="23">
        <v>2024</v>
      </c>
      <c r="F1333" s="15" t="s">
        <v>3322</v>
      </c>
      <c r="G1333" s="15" t="s">
        <v>3320</v>
      </c>
      <c r="H1333" s="23" t="s">
        <v>58</v>
      </c>
    </row>
    <row r="1334" spans="1:8" ht="54.95" customHeight="1" x14ac:dyDescent="0.2">
      <c r="A1334" s="23" t="s">
        <v>899</v>
      </c>
      <c r="B1334" s="23" t="s">
        <v>8</v>
      </c>
      <c r="C1334" s="23" t="s">
        <v>46</v>
      </c>
      <c r="D1334" s="23">
        <v>12.22242447618947</v>
      </c>
      <c r="E1334" s="23">
        <v>2024</v>
      </c>
      <c r="F1334" s="15" t="s">
        <v>3324</v>
      </c>
      <c r="G1334" s="15" t="s">
        <v>3320</v>
      </c>
      <c r="H1334" s="23" t="s">
        <v>58</v>
      </c>
    </row>
    <row r="1335" spans="1:8" ht="54.95" customHeight="1" x14ac:dyDescent="0.2">
      <c r="A1335" s="23" t="s">
        <v>899</v>
      </c>
      <c r="B1335" s="23" t="s">
        <v>9</v>
      </c>
      <c r="C1335" s="23" t="s">
        <v>46</v>
      </c>
      <c r="D1335" s="23">
        <v>2.083432261537165</v>
      </c>
      <c r="E1335" s="23">
        <v>2024</v>
      </c>
      <c r="F1335" s="15" t="s">
        <v>3325</v>
      </c>
      <c r="G1335" s="15" t="s">
        <v>3320</v>
      </c>
      <c r="H1335" s="23" t="s">
        <v>58</v>
      </c>
    </row>
    <row r="1336" spans="1:8" ht="54.95" customHeight="1" x14ac:dyDescent="0.2">
      <c r="A1336" s="23" t="s">
        <v>899</v>
      </c>
      <c r="B1336" s="23" t="s">
        <v>10</v>
      </c>
      <c r="C1336" s="23" t="s">
        <v>46</v>
      </c>
      <c r="D1336" s="23">
        <v>21.997089682867461</v>
      </c>
      <c r="E1336" s="23">
        <v>2024</v>
      </c>
      <c r="F1336" s="15" t="s">
        <v>3326</v>
      </c>
      <c r="G1336" s="15" t="s">
        <v>3320</v>
      </c>
      <c r="H1336" s="23" t="s">
        <v>58</v>
      </c>
    </row>
    <row r="1337" spans="1:8" ht="54.95" customHeight="1" x14ac:dyDescent="0.2">
      <c r="A1337" s="23" t="s">
        <v>899</v>
      </c>
      <c r="B1337" s="23" t="s">
        <v>5</v>
      </c>
      <c r="C1337" s="23" t="s">
        <v>3657</v>
      </c>
      <c r="D1337" s="23">
        <v>29.620745515416001</v>
      </c>
      <c r="E1337" s="23">
        <v>2024</v>
      </c>
      <c r="F1337" s="15" t="s">
        <v>3316</v>
      </c>
      <c r="G1337" s="15" t="s">
        <v>3311</v>
      </c>
      <c r="H1337" s="23" t="s">
        <v>58</v>
      </c>
    </row>
    <row r="1338" spans="1:8" ht="54.95" customHeight="1" x14ac:dyDescent="0.2">
      <c r="A1338" s="23" t="s">
        <v>905</v>
      </c>
      <c r="B1338" s="23" t="s">
        <v>11</v>
      </c>
      <c r="C1338" s="23" t="s">
        <v>46</v>
      </c>
      <c r="D1338" s="23">
        <v>443482.76002987399</v>
      </c>
      <c r="E1338" s="23">
        <v>2025</v>
      </c>
      <c r="F1338" s="15" t="s">
        <v>3299</v>
      </c>
      <c r="G1338" s="15" t="s">
        <v>3300</v>
      </c>
      <c r="H1338" s="23" t="s">
        <v>58</v>
      </c>
    </row>
    <row r="1339" spans="1:8" ht="54.95" customHeight="1" x14ac:dyDescent="0.2">
      <c r="A1339" s="23" t="s">
        <v>905</v>
      </c>
      <c r="B1339" s="23" t="s">
        <v>13</v>
      </c>
      <c r="C1339" s="23" t="s">
        <v>46</v>
      </c>
      <c r="D1339" s="23">
        <v>440700.20742739731</v>
      </c>
      <c r="E1339" s="23">
        <v>2025</v>
      </c>
      <c r="F1339" s="15" t="s">
        <v>3302</v>
      </c>
      <c r="G1339" s="15" t="s">
        <v>3300</v>
      </c>
      <c r="H1339" s="23" t="s">
        <v>58</v>
      </c>
    </row>
    <row r="1340" spans="1:8" ht="54.95" customHeight="1" x14ac:dyDescent="0.2">
      <c r="A1340" s="23" t="s">
        <v>905</v>
      </c>
      <c r="B1340" s="23" t="s">
        <v>14</v>
      </c>
      <c r="C1340" s="23" t="s">
        <v>46</v>
      </c>
      <c r="D1340" s="23">
        <v>5000</v>
      </c>
      <c r="E1340" s="23">
        <v>2025</v>
      </c>
      <c r="F1340" s="15" t="s">
        <v>3304</v>
      </c>
      <c r="G1340" s="15" t="s">
        <v>3300</v>
      </c>
      <c r="H1340" s="23" t="s">
        <v>58</v>
      </c>
    </row>
    <row r="1341" spans="1:8" ht="54.95" customHeight="1" x14ac:dyDescent="0.2">
      <c r="A1341" s="23" t="s">
        <v>905</v>
      </c>
      <c r="B1341" s="23" t="s">
        <v>3</v>
      </c>
      <c r="C1341" s="23" t="s">
        <v>3658</v>
      </c>
      <c r="D1341" s="23">
        <v>287951.038665</v>
      </c>
      <c r="E1341" s="23">
        <v>2024</v>
      </c>
      <c r="F1341" s="15" t="s">
        <v>3316</v>
      </c>
      <c r="G1341" s="15" t="s">
        <v>3317</v>
      </c>
      <c r="H1341" s="23" t="s">
        <v>58</v>
      </c>
    </row>
    <row r="1342" spans="1:8" ht="54.95" customHeight="1" x14ac:dyDescent="0.2">
      <c r="A1342" s="23" t="s">
        <v>905</v>
      </c>
      <c r="B1342" s="23" t="s">
        <v>6</v>
      </c>
      <c r="C1342" s="23" t="s">
        <v>46</v>
      </c>
      <c r="D1342" s="23">
        <v>40.748489932174699</v>
      </c>
      <c r="E1342" s="23">
        <v>2024</v>
      </c>
      <c r="F1342" s="15" t="s">
        <v>3319</v>
      </c>
      <c r="G1342" s="15" t="s">
        <v>3320</v>
      </c>
      <c r="H1342" s="23" t="s">
        <v>58</v>
      </c>
    </row>
    <row r="1343" spans="1:8" ht="54.95" customHeight="1" x14ac:dyDescent="0.2">
      <c r="A1343" s="23" t="s">
        <v>905</v>
      </c>
      <c r="B1343" s="23" t="s">
        <v>7</v>
      </c>
      <c r="C1343" s="23" t="s">
        <v>46</v>
      </c>
      <c r="D1343" s="23">
        <v>29.72095476257865</v>
      </c>
      <c r="E1343" s="23">
        <v>2024</v>
      </c>
      <c r="F1343" s="15" t="s">
        <v>3322</v>
      </c>
      <c r="G1343" s="15" t="s">
        <v>3320</v>
      </c>
      <c r="H1343" s="23" t="s">
        <v>58</v>
      </c>
    </row>
    <row r="1344" spans="1:8" ht="54.95" customHeight="1" x14ac:dyDescent="0.2">
      <c r="A1344" s="23" t="s">
        <v>905</v>
      </c>
      <c r="B1344" s="23" t="s">
        <v>8</v>
      </c>
      <c r="C1344" s="23" t="s">
        <v>46</v>
      </c>
      <c r="D1344" s="23">
        <v>15.01323819508578</v>
      </c>
      <c r="E1344" s="23">
        <v>2024</v>
      </c>
      <c r="F1344" s="15" t="s">
        <v>3324</v>
      </c>
      <c r="G1344" s="15" t="s">
        <v>3320</v>
      </c>
      <c r="H1344" s="23" t="s">
        <v>58</v>
      </c>
    </row>
    <row r="1345" spans="1:8" ht="54.95" customHeight="1" x14ac:dyDescent="0.2">
      <c r="A1345" s="23" t="s">
        <v>905</v>
      </c>
      <c r="B1345" s="23" t="s">
        <v>9</v>
      </c>
      <c r="C1345" s="23" t="s">
        <v>46</v>
      </c>
      <c r="D1345" s="23">
        <v>2.858055497613428</v>
      </c>
      <c r="E1345" s="23">
        <v>2024</v>
      </c>
      <c r="F1345" s="15" t="s">
        <v>3325</v>
      </c>
      <c r="G1345" s="15" t="s">
        <v>3320</v>
      </c>
      <c r="H1345" s="23" t="s">
        <v>58</v>
      </c>
    </row>
    <row r="1346" spans="1:8" ht="54.95" customHeight="1" x14ac:dyDescent="0.2">
      <c r="A1346" s="23" t="s">
        <v>905</v>
      </c>
      <c r="B1346" s="23" t="s">
        <v>10</v>
      </c>
      <c r="C1346" s="23" t="s">
        <v>46</v>
      </c>
      <c r="D1346" s="23">
        <v>8.5183361496870393</v>
      </c>
      <c r="E1346" s="23">
        <v>2024</v>
      </c>
      <c r="F1346" s="15" t="s">
        <v>3326</v>
      </c>
      <c r="G1346" s="15" t="s">
        <v>3320</v>
      </c>
      <c r="H1346" s="23" t="s">
        <v>58</v>
      </c>
    </row>
    <row r="1347" spans="1:8" ht="54.95" customHeight="1" x14ac:dyDescent="0.2">
      <c r="A1347" s="23" t="s">
        <v>905</v>
      </c>
      <c r="B1347" s="23" t="s">
        <v>5</v>
      </c>
      <c r="C1347" s="23" t="s">
        <v>3659</v>
      </c>
      <c r="D1347" s="23">
        <v>105.39008015138999</v>
      </c>
      <c r="E1347" s="23">
        <v>2024</v>
      </c>
      <c r="F1347" s="15" t="s">
        <v>3316</v>
      </c>
      <c r="G1347" s="15" t="s">
        <v>3311</v>
      </c>
      <c r="H1347" s="23" t="s">
        <v>58</v>
      </c>
    </row>
    <row r="1348" spans="1:8" ht="54.95" customHeight="1" x14ac:dyDescent="0.2">
      <c r="A1348" s="23" t="s">
        <v>911</v>
      </c>
      <c r="B1348" s="23" t="s">
        <v>11</v>
      </c>
      <c r="C1348" s="23" t="s">
        <v>46</v>
      </c>
      <c r="D1348" s="23">
        <v>776912.21361583017</v>
      </c>
      <c r="E1348" s="23">
        <v>2025</v>
      </c>
      <c r="F1348" s="15" t="s">
        <v>3299</v>
      </c>
      <c r="G1348" s="15" t="s">
        <v>3300</v>
      </c>
      <c r="H1348" s="23" t="s">
        <v>58</v>
      </c>
    </row>
    <row r="1349" spans="1:8" ht="54.95" customHeight="1" x14ac:dyDescent="0.2">
      <c r="A1349" s="23" t="s">
        <v>911</v>
      </c>
      <c r="B1349" s="23" t="s">
        <v>13</v>
      </c>
      <c r="C1349" s="23" t="s">
        <v>46</v>
      </c>
      <c r="D1349" s="23">
        <v>746478.96986301371</v>
      </c>
      <c r="E1349" s="23">
        <v>2025</v>
      </c>
      <c r="F1349" s="15" t="s">
        <v>3302</v>
      </c>
      <c r="G1349" s="15" t="s">
        <v>3300</v>
      </c>
      <c r="H1349" s="23" t="s">
        <v>58</v>
      </c>
    </row>
    <row r="1350" spans="1:8" ht="54.95" customHeight="1" x14ac:dyDescent="0.2">
      <c r="A1350" s="23" t="s">
        <v>911</v>
      </c>
      <c r="B1350" s="23" t="s">
        <v>14</v>
      </c>
      <c r="C1350" s="23" t="s">
        <v>46</v>
      </c>
      <c r="D1350" s="23">
        <v>7000</v>
      </c>
      <c r="E1350" s="23">
        <v>2025</v>
      </c>
      <c r="F1350" s="15" t="s">
        <v>3304</v>
      </c>
      <c r="G1350" s="15" t="s">
        <v>3300</v>
      </c>
      <c r="H1350" s="23" t="s">
        <v>58</v>
      </c>
    </row>
    <row r="1351" spans="1:8" ht="54.95" customHeight="1" x14ac:dyDescent="0.2">
      <c r="A1351" s="23" t="s">
        <v>911</v>
      </c>
      <c r="B1351" s="23" t="s">
        <v>3</v>
      </c>
      <c r="C1351" s="23" t="s">
        <v>3660</v>
      </c>
      <c r="D1351" s="23">
        <v>371583.76759999996</v>
      </c>
      <c r="E1351" s="23">
        <v>2024</v>
      </c>
      <c r="F1351" s="15" t="s">
        <v>3316</v>
      </c>
      <c r="G1351" s="15" t="s">
        <v>3317</v>
      </c>
      <c r="H1351" s="23" t="s">
        <v>58</v>
      </c>
    </row>
    <row r="1352" spans="1:8" ht="54.95" customHeight="1" x14ac:dyDescent="0.2">
      <c r="A1352" s="23" t="s">
        <v>911</v>
      </c>
      <c r="B1352" s="23" t="s">
        <v>6</v>
      </c>
      <c r="C1352" s="23" t="s">
        <v>46</v>
      </c>
      <c r="D1352" s="23">
        <v>39.184394474609448</v>
      </c>
      <c r="E1352" s="23">
        <v>2024</v>
      </c>
      <c r="F1352" s="15" t="s">
        <v>3319</v>
      </c>
      <c r="G1352" s="15" t="s">
        <v>3320</v>
      </c>
      <c r="H1352" s="23" t="s">
        <v>58</v>
      </c>
    </row>
    <row r="1353" spans="1:8" ht="54.95" customHeight="1" x14ac:dyDescent="0.2">
      <c r="A1353" s="23" t="s">
        <v>911</v>
      </c>
      <c r="B1353" s="23" t="s">
        <v>7</v>
      </c>
      <c r="C1353" s="23" t="s">
        <v>46</v>
      </c>
      <c r="D1353" s="23">
        <v>39.867608468696737</v>
      </c>
      <c r="E1353" s="23">
        <v>2024</v>
      </c>
      <c r="F1353" s="15" t="s">
        <v>3322</v>
      </c>
      <c r="G1353" s="15" t="s">
        <v>3320</v>
      </c>
      <c r="H1353" s="23" t="s">
        <v>58</v>
      </c>
    </row>
    <row r="1354" spans="1:8" ht="54.95" customHeight="1" x14ac:dyDescent="0.2">
      <c r="A1354" s="23" t="s">
        <v>911</v>
      </c>
      <c r="B1354" s="23" t="s">
        <v>8</v>
      </c>
      <c r="C1354" s="23" t="s">
        <v>46</v>
      </c>
      <c r="D1354" s="23">
        <v>7.6525934525241093</v>
      </c>
      <c r="E1354" s="23">
        <v>2024</v>
      </c>
      <c r="F1354" s="15" t="s">
        <v>3324</v>
      </c>
      <c r="G1354" s="15" t="s">
        <v>3320</v>
      </c>
      <c r="H1354" s="23" t="s">
        <v>58</v>
      </c>
    </row>
    <row r="1355" spans="1:8" ht="54.95" customHeight="1" x14ac:dyDescent="0.2">
      <c r="A1355" s="23" t="s">
        <v>911</v>
      </c>
      <c r="B1355" s="23" t="s">
        <v>9</v>
      </c>
      <c r="C1355" s="23" t="s">
        <v>46</v>
      </c>
      <c r="D1355" s="23">
        <v>6.2970811806796476</v>
      </c>
      <c r="E1355" s="23">
        <v>2024</v>
      </c>
      <c r="F1355" s="15" t="s">
        <v>3325</v>
      </c>
      <c r="G1355" s="15" t="s">
        <v>3320</v>
      </c>
      <c r="H1355" s="23" t="s">
        <v>58</v>
      </c>
    </row>
    <row r="1356" spans="1:8" ht="54.95" customHeight="1" x14ac:dyDescent="0.2">
      <c r="A1356" s="23" t="s">
        <v>911</v>
      </c>
      <c r="B1356" s="23" t="s">
        <v>10</v>
      </c>
      <c r="C1356" s="23" t="s">
        <v>46</v>
      </c>
      <c r="D1356" s="23">
        <v>0.96245559732033914</v>
      </c>
      <c r="E1356" s="23">
        <v>2024</v>
      </c>
      <c r="F1356" s="15" t="s">
        <v>3326</v>
      </c>
      <c r="G1356" s="15" t="s">
        <v>3320</v>
      </c>
      <c r="H1356" s="23" t="s">
        <v>58</v>
      </c>
    </row>
    <row r="1357" spans="1:8" ht="54.95" customHeight="1" x14ac:dyDescent="0.2">
      <c r="A1357" s="23" t="s">
        <v>911</v>
      </c>
      <c r="B1357" s="23" t="s">
        <v>5</v>
      </c>
      <c r="C1357" s="23" t="s">
        <v>3661</v>
      </c>
      <c r="D1357" s="23">
        <v>135.99965894159999</v>
      </c>
      <c r="E1357" s="23">
        <v>2024</v>
      </c>
      <c r="F1357" s="15" t="s">
        <v>3316</v>
      </c>
      <c r="G1357" s="15" t="s">
        <v>3311</v>
      </c>
      <c r="H1357" s="23" t="s">
        <v>58</v>
      </c>
    </row>
    <row r="1358" spans="1:8" ht="54.95" customHeight="1" x14ac:dyDescent="0.2">
      <c r="A1358" s="23" t="s">
        <v>917</v>
      </c>
      <c r="B1358" s="23" t="s">
        <v>11</v>
      </c>
      <c r="C1358" s="23" t="s">
        <v>46</v>
      </c>
      <c r="D1358" s="23">
        <v>2044.037165955257</v>
      </c>
      <c r="E1358" s="23">
        <v>2025</v>
      </c>
      <c r="F1358" s="15" t="s">
        <v>3299</v>
      </c>
      <c r="G1358" s="15" t="s">
        <v>3300</v>
      </c>
      <c r="H1358" s="23" t="s">
        <v>58</v>
      </c>
    </row>
    <row r="1359" spans="1:8" ht="54.95" customHeight="1" x14ac:dyDescent="0.2">
      <c r="A1359" s="23" t="s">
        <v>917</v>
      </c>
      <c r="B1359" s="23" t="s">
        <v>13</v>
      </c>
      <c r="C1359" s="23" t="s">
        <v>46</v>
      </c>
      <c r="D1359" s="23">
        <v>0</v>
      </c>
      <c r="E1359" s="23">
        <v>2025</v>
      </c>
      <c r="F1359" s="15" t="s">
        <v>3302</v>
      </c>
      <c r="G1359" s="15" t="s">
        <v>3300</v>
      </c>
      <c r="H1359" s="23" t="s">
        <v>58</v>
      </c>
    </row>
    <row r="1360" spans="1:8" ht="54.95" customHeight="1" x14ac:dyDescent="0.2">
      <c r="A1360" s="23" t="s">
        <v>917</v>
      </c>
      <c r="B1360" s="23" t="s">
        <v>14</v>
      </c>
      <c r="C1360" s="23" t="s">
        <v>46</v>
      </c>
      <c r="D1360" s="23">
        <v>0</v>
      </c>
      <c r="E1360" s="23">
        <v>2025</v>
      </c>
      <c r="F1360" s="15" t="s">
        <v>3304</v>
      </c>
      <c r="G1360" s="15" t="s">
        <v>3300</v>
      </c>
      <c r="H1360" s="23" t="s">
        <v>58</v>
      </c>
    </row>
    <row r="1361" spans="1:8" ht="54.95" customHeight="1" x14ac:dyDescent="0.2">
      <c r="A1361" s="23" t="s">
        <v>917</v>
      </c>
      <c r="B1361" s="23" t="s">
        <v>3</v>
      </c>
      <c r="C1361" s="23" t="s">
        <v>3662</v>
      </c>
      <c r="D1361" s="23">
        <v>52113.068782000002</v>
      </c>
      <c r="E1361" s="23">
        <v>2024</v>
      </c>
      <c r="F1361" s="15" t="s">
        <v>3316</v>
      </c>
      <c r="G1361" s="15" t="s">
        <v>3317</v>
      </c>
      <c r="H1361" s="23" t="s">
        <v>58</v>
      </c>
    </row>
    <row r="1362" spans="1:8" ht="54.95" customHeight="1" x14ac:dyDescent="0.2">
      <c r="A1362" s="23" t="s">
        <v>917</v>
      </c>
      <c r="B1362" s="23" t="s">
        <v>6</v>
      </c>
      <c r="C1362" s="23" t="s">
        <v>46</v>
      </c>
      <c r="D1362" s="23">
        <v>57.70644886755769</v>
      </c>
      <c r="E1362" s="23">
        <v>2024</v>
      </c>
      <c r="F1362" s="15" t="s">
        <v>3319</v>
      </c>
      <c r="G1362" s="15" t="s">
        <v>3320</v>
      </c>
      <c r="H1362" s="23" t="s">
        <v>58</v>
      </c>
    </row>
    <row r="1363" spans="1:8" ht="54.95" customHeight="1" x14ac:dyDescent="0.2">
      <c r="A1363" s="23" t="s">
        <v>917</v>
      </c>
      <c r="B1363" s="23" t="s">
        <v>7</v>
      </c>
      <c r="C1363" s="23" t="s">
        <v>46</v>
      </c>
      <c r="D1363" s="23">
        <v>30.163830488964578</v>
      </c>
      <c r="E1363" s="23">
        <v>2024</v>
      </c>
      <c r="F1363" s="15" t="s">
        <v>3322</v>
      </c>
      <c r="G1363" s="15" t="s">
        <v>3320</v>
      </c>
      <c r="H1363" s="23" t="s">
        <v>58</v>
      </c>
    </row>
    <row r="1364" spans="1:8" ht="54.95" customHeight="1" x14ac:dyDescent="0.2">
      <c r="A1364" s="23" t="s">
        <v>917</v>
      </c>
      <c r="B1364" s="23" t="s">
        <v>8</v>
      </c>
      <c r="C1364" s="23" t="s">
        <v>46</v>
      </c>
      <c r="D1364" s="23">
        <v>4.6391644696906615</v>
      </c>
      <c r="E1364" s="23">
        <v>2024</v>
      </c>
      <c r="F1364" s="15" t="s">
        <v>3324</v>
      </c>
      <c r="G1364" s="15" t="s">
        <v>3320</v>
      </c>
      <c r="H1364" s="23" t="s">
        <v>58</v>
      </c>
    </row>
    <row r="1365" spans="1:8" ht="54.95" customHeight="1" x14ac:dyDescent="0.2">
      <c r="A1365" s="23" t="s">
        <v>917</v>
      </c>
      <c r="B1365" s="23" t="s">
        <v>9</v>
      </c>
      <c r="C1365" s="23" t="s">
        <v>46</v>
      </c>
      <c r="D1365" s="23">
        <v>2.1699249659052633</v>
      </c>
      <c r="E1365" s="23">
        <v>2024</v>
      </c>
      <c r="F1365" s="15" t="s">
        <v>3325</v>
      </c>
      <c r="G1365" s="15" t="s">
        <v>3320</v>
      </c>
      <c r="H1365" s="23" t="s">
        <v>58</v>
      </c>
    </row>
    <row r="1366" spans="1:8" ht="54.95" customHeight="1" x14ac:dyDescent="0.2">
      <c r="A1366" s="23" t="s">
        <v>917</v>
      </c>
      <c r="B1366" s="23" t="s">
        <v>10</v>
      </c>
      <c r="C1366" s="23" t="s">
        <v>46</v>
      </c>
      <c r="D1366" s="23">
        <v>7.0092638667666934E-2</v>
      </c>
      <c r="E1366" s="23">
        <v>2024</v>
      </c>
      <c r="F1366" s="15" t="s">
        <v>3326</v>
      </c>
      <c r="G1366" s="15" t="s">
        <v>3320</v>
      </c>
      <c r="H1366" s="23" t="s">
        <v>58</v>
      </c>
    </row>
    <row r="1367" spans="1:8" ht="54.95" customHeight="1" x14ac:dyDescent="0.2">
      <c r="A1367" s="23" t="s">
        <v>917</v>
      </c>
      <c r="B1367" s="23" t="s">
        <v>5</v>
      </c>
      <c r="C1367" s="23" t="s">
        <v>3663</v>
      </c>
      <c r="D1367" s="23">
        <v>19.073383174212001</v>
      </c>
      <c r="E1367" s="23">
        <v>2024</v>
      </c>
      <c r="F1367" s="15" t="s">
        <v>3316</v>
      </c>
      <c r="G1367" s="15" t="s">
        <v>3311</v>
      </c>
      <c r="H1367" s="23" t="s">
        <v>58</v>
      </c>
    </row>
    <row r="1368" spans="1:8" ht="54.95" customHeight="1" x14ac:dyDescent="0.2">
      <c r="A1368" s="23" t="s">
        <v>925</v>
      </c>
      <c r="B1368" s="23" t="s">
        <v>11</v>
      </c>
      <c r="C1368" s="23" t="s">
        <v>46</v>
      </c>
      <c r="D1368" s="23">
        <v>12374.98223359726</v>
      </c>
      <c r="E1368" s="23">
        <v>2025</v>
      </c>
      <c r="F1368" s="15" t="s">
        <v>3299</v>
      </c>
      <c r="G1368" s="15" t="s">
        <v>3300</v>
      </c>
      <c r="H1368" s="23" t="s">
        <v>58</v>
      </c>
    </row>
    <row r="1369" spans="1:8" ht="54.95" customHeight="1" x14ac:dyDescent="0.2">
      <c r="A1369" s="23" t="s">
        <v>925</v>
      </c>
      <c r="B1369" s="23" t="s">
        <v>13</v>
      </c>
      <c r="C1369" s="23" t="s">
        <v>46</v>
      </c>
      <c r="D1369" s="23">
        <v>0</v>
      </c>
      <c r="E1369" s="23">
        <v>2025</v>
      </c>
      <c r="F1369" s="15" t="s">
        <v>3302</v>
      </c>
      <c r="G1369" s="15" t="s">
        <v>3300</v>
      </c>
      <c r="H1369" s="23" t="s">
        <v>58</v>
      </c>
    </row>
    <row r="1370" spans="1:8" ht="54.95" customHeight="1" x14ac:dyDescent="0.2">
      <c r="A1370" s="23" t="s">
        <v>925</v>
      </c>
      <c r="B1370" s="23" t="s">
        <v>14</v>
      </c>
      <c r="C1370" s="23" t="s">
        <v>46</v>
      </c>
      <c r="D1370" s="23">
        <v>0</v>
      </c>
      <c r="E1370" s="23">
        <v>2025</v>
      </c>
      <c r="F1370" s="15" t="s">
        <v>3304</v>
      </c>
      <c r="G1370" s="15" t="s">
        <v>3300</v>
      </c>
      <c r="H1370" s="23" t="s">
        <v>58</v>
      </c>
    </row>
    <row r="1371" spans="1:8" ht="54.95" customHeight="1" x14ac:dyDescent="0.2">
      <c r="A1371" s="23" t="s">
        <v>925</v>
      </c>
      <c r="B1371" s="23" t="s">
        <v>3</v>
      </c>
      <c r="C1371" s="23" t="s">
        <v>3664</v>
      </c>
      <c r="D1371" s="23">
        <v>214079.45205479453</v>
      </c>
      <c r="E1371" s="23">
        <v>2025</v>
      </c>
      <c r="F1371" s="15" t="s">
        <v>3305</v>
      </c>
      <c r="G1371" s="15" t="s">
        <v>3306</v>
      </c>
      <c r="H1371" s="23" t="s">
        <v>58</v>
      </c>
    </row>
    <row r="1372" spans="1:8" ht="54.95" customHeight="1" x14ac:dyDescent="0.2">
      <c r="A1372" s="23" t="s">
        <v>925</v>
      </c>
      <c r="B1372" s="23" t="s">
        <v>6</v>
      </c>
      <c r="C1372" s="23" t="s">
        <v>46</v>
      </c>
      <c r="D1372" s="23">
        <v>46.427494592968941</v>
      </c>
      <c r="E1372" s="23">
        <v>2025</v>
      </c>
      <c r="F1372" s="15" t="s">
        <v>3305</v>
      </c>
      <c r="G1372" s="15" t="s">
        <v>3308</v>
      </c>
      <c r="H1372" s="23" t="s">
        <v>58</v>
      </c>
    </row>
    <row r="1373" spans="1:8" ht="54.95" customHeight="1" x14ac:dyDescent="0.2">
      <c r="A1373" s="23" t="s">
        <v>925</v>
      </c>
      <c r="B1373" s="23" t="s">
        <v>7</v>
      </c>
      <c r="C1373" s="23" t="s">
        <v>46</v>
      </c>
      <c r="D1373" s="23">
        <v>14.415144806050757</v>
      </c>
      <c r="E1373" s="23">
        <v>2025</v>
      </c>
      <c r="F1373" s="15" t="s">
        <v>3305</v>
      </c>
      <c r="G1373" s="15" t="s">
        <v>3308</v>
      </c>
      <c r="H1373" s="23" t="s">
        <v>58</v>
      </c>
    </row>
    <row r="1374" spans="1:8" ht="54.95" customHeight="1" x14ac:dyDescent="0.2">
      <c r="A1374" s="23" t="s">
        <v>925</v>
      </c>
      <c r="B1374" s="23" t="s">
        <v>8</v>
      </c>
      <c r="C1374" s="23" t="s">
        <v>46</v>
      </c>
      <c r="D1374" s="23">
        <v>6.4874134555087721</v>
      </c>
      <c r="E1374" s="23">
        <v>2025</v>
      </c>
      <c r="F1374" s="15" t="s">
        <v>3305</v>
      </c>
      <c r="G1374" s="15" t="s">
        <v>3308</v>
      </c>
      <c r="H1374" s="23" t="s">
        <v>58</v>
      </c>
    </row>
    <row r="1375" spans="1:8" ht="54.95" customHeight="1" x14ac:dyDescent="0.2">
      <c r="A1375" s="23" t="s">
        <v>925</v>
      </c>
      <c r="B1375" s="23" t="s">
        <v>9</v>
      </c>
      <c r="C1375" s="23" t="s">
        <v>46</v>
      </c>
      <c r="D1375" s="23">
        <v>37.464262404177177</v>
      </c>
      <c r="E1375" s="23">
        <v>2025</v>
      </c>
      <c r="F1375" s="15" t="s">
        <v>3305</v>
      </c>
      <c r="G1375" s="15" t="s">
        <v>3308</v>
      </c>
      <c r="H1375" s="23" t="s">
        <v>58</v>
      </c>
    </row>
    <row r="1376" spans="1:8" ht="54.95" customHeight="1" x14ac:dyDescent="0.2">
      <c r="A1376" s="23" t="s">
        <v>925</v>
      </c>
      <c r="B1376" s="23" t="s">
        <v>10</v>
      </c>
      <c r="C1376" s="23" t="s">
        <v>46</v>
      </c>
      <c r="D1376" s="23">
        <v>5.8111826360716154</v>
      </c>
      <c r="E1376" s="23">
        <v>2025</v>
      </c>
      <c r="F1376" s="15" t="s">
        <v>3305</v>
      </c>
      <c r="G1376" s="15" t="s">
        <v>3308</v>
      </c>
      <c r="H1376" s="23" t="s">
        <v>58</v>
      </c>
    </row>
    <row r="1377" spans="1:8" ht="54.95" customHeight="1" x14ac:dyDescent="0.2">
      <c r="A1377" s="23" t="s">
        <v>925</v>
      </c>
      <c r="B1377" s="23" t="s">
        <v>5</v>
      </c>
      <c r="C1377" s="23" t="s">
        <v>3665</v>
      </c>
      <c r="D1377" s="23">
        <v>78.138999999999996</v>
      </c>
      <c r="E1377" s="23">
        <v>2025</v>
      </c>
      <c r="F1377" s="15" t="s">
        <v>3305</v>
      </c>
      <c r="G1377" s="15" t="s">
        <v>3311</v>
      </c>
      <c r="H1377" s="23" t="s">
        <v>58</v>
      </c>
    </row>
    <row r="1378" spans="1:8" ht="54.95" customHeight="1" x14ac:dyDescent="0.2">
      <c r="A1378" s="23" t="s">
        <v>931</v>
      </c>
      <c r="B1378" s="23" t="s">
        <v>11</v>
      </c>
      <c r="C1378" s="23" t="s">
        <v>46</v>
      </c>
      <c r="D1378" s="23">
        <v>0</v>
      </c>
      <c r="E1378" s="23">
        <v>2025</v>
      </c>
      <c r="F1378" s="15" t="s">
        <v>3299</v>
      </c>
      <c r="G1378" s="15" t="s">
        <v>3300</v>
      </c>
      <c r="H1378" s="23" t="s">
        <v>58</v>
      </c>
    </row>
    <row r="1379" spans="1:8" ht="54.95" customHeight="1" x14ac:dyDescent="0.2">
      <c r="A1379" s="23" t="s">
        <v>931</v>
      </c>
      <c r="B1379" s="23" t="s">
        <v>13</v>
      </c>
      <c r="C1379" s="23" t="s">
        <v>46</v>
      </c>
      <c r="D1379" s="23">
        <v>0</v>
      </c>
      <c r="E1379" s="23">
        <v>2025</v>
      </c>
      <c r="F1379" s="15" t="s">
        <v>3302</v>
      </c>
      <c r="G1379" s="15" t="s">
        <v>3300</v>
      </c>
      <c r="H1379" s="23" t="s">
        <v>58</v>
      </c>
    </row>
    <row r="1380" spans="1:8" ht="54.95" customHeight="1" x14ac:dyDescent="0.2">
      <c r="A1380" s="23" t="s">
        <v>931</v>
      </c>
      <c r="B1380" s="23" t="s">
        <v>14</v>
      </c>
      <c r="C1380" s="23" t="s">
        <v>46</v>
      </c>
      <c r="D1380" s="23">
        <v>0</v>
      </c>
      <c r="E1380" s="23">
        <v>2025</v>
      </c>
      <c r="F1380" s="15" t="s">
        <v>3304</v>
      </c>
      <c r="G1380" s="15" t="s">
        <v>3300</v>
      </c>
      <c r="H1380" s="23" t="s">
        <v>58</v>
      </c>
    </row>
    <row r="1381" spans="1:8" ht="54.95" customHeight="1" x14ac:dyDescent="0.2">
      <c r="A1381" s="23" t="s">
        <v>931</v>
      </c>
      <c r="B1381" s="23" t="s">
        <v>3</v>
      </c>
      <c r="C1381" s="23" t="s">
        <v>3666</v>
      </c>
      <c r="D1381" s="23">
        <v>25101.369863013697</v>
      </c>
      <c r="E1381" s="23">
        <v>2025</v>
      </c>
      <c r="F1381" s="15" t="s">
        <v>3305</v>
      </c>
      <c r="G1381" s="15" t="s">
        <v>3306</v>
      </c>
      <c r="H1381" s="23" t="s">
        <v>58</v>
      </c>
    </row>
    <row r="1382" spans="1:8" ht="54.95" customHeight="1" x14ac:dyDescent="0.2">
      <c r="A1382" s="23" t="s">
        <v>931</v>
      </c>
      <c r="B1382" s="23" t="s">
        <v>6</v>
      </c>
      <c r="C1382" s="23" t="s">
        <v>46</v>
      </c>
      <c r="D1382" s="23">
        <v>60.657061776904605</v>
      </c>
      <c r="E1382" s="23">
        <v>2025</v>
      </c>
      <c r="F1382" s="15" t="s">
        <v>3305</v>
      </c>
      <c r="G1382" s="15" t="s">
        <v>3308</v>
      </c>
      <c r="H1382" s="23" t="s">
        <v>58</v>
      </c>
    </row>
    <row r="1383" spans="1:8" ht="54.95" customHeight="1" x14ac:dyDescent="0.2">
      <c r="A1383" s="23" t="s">
        <v>931</v>
      </c>
      <c r="B1383" s="23" t="s">
        <v>7</v>
      </c>
      <c r="C1383" s="23" t="s">
        <v>46</v>
      </c>
      <c r="D1383" s="23">
        <v>17.534381139489195</v>
      </c>
      <c r="E1383" s="23">
        <v>2025</v>
      </c>
      <c r="F1383" s="15" t="s">
        <v>3305</v>
      </c>
      <c r="G1383" s="15" t="s">
        <v>3308</v>
      </c>
      <c r="H1383" s="23" t="s">
        <v>58</v>
      </c>
    </row>
    <row r="1384" spans="1:8" ht="54.95" customHeight="1" x14ac:dyDescent="0.2">
      <c r="A1384" s="23" t="s">
        <v>931</v>
      </c>
      <c r="B1384" s="23" t="s">
        <v>8</v>
      </c>
      <c r="C1384" s="23" t="s">
        <v>46</v>
      </c>
      <c r="D1384" s="23">
        <v>6.8369351669941052</v>
      </c>
      <c r="E1384" s="23">
        <v>2025</v>
      </c>
      <c r="F1384" s="15" t="s">
        <v>3305</v>
      </c>
      <c r="G1384" s="15" t="s">
        <v>3308</v>
      </c>
      <c r="H1384" s="23" t="s">
        <v>58</v>
      </c>
    </row>
    <row r="1385" spans="1:8" ht="54.95" customHeight="1" x14ac:dyDescent="0.2">
      <c r="A1385" s="23" t="s">
        <v>931</v>
      </c>
      <c r="B1385" s="23" t="s">
        <v>9</v>
      </c>
      <c r="C1385" s="23" t="s">
        <v>46</v>
      </c>
      <c r="D1385" s="23">
        <v>15.289893036454922</v>
      </c>
      <c r="E1385" s="23">
        <v>2025</v>
      </c>
      <c r="F1385" s="15" t="s">
        <v>3305</v>
      </c>
      <c r="G1385" s="15" t="s">
        <v>3308</v>
      </c>
      <c r="H1385" s="23" t="s">
        <v>58</v>
      </c>
    </row>
    <row r="1386" spans="1:8" ht="54.95" customHeight="1" x14ac:dyDescent="0.2">
      <c r="A1386" s="23" t="s">
        <v>931</v>
      </c>
      <c r="B1386" s="23" t="s">
        <v>10</v>
      </c>
      <c r="C1386" s="23" t="s">
        <v>46</v>
      </c>
      <c r="D1386" s="23">
        <v>0.28378083387906572</v>
      </c>
      <c r="E1386" s="23">
        <v>2025</v>
      </c>
      <c r="F1386" s="15" t="s">
        <v>3305</v>
      </c>
      <c r="G1386" s="15" t="s">
        <v>3308</v>
      </c>
      <c r="H1386" s="23" t="s">
        <v>58</v>
      </c>
    </row>
    <row r="1387" spans="1:8" ht="54.95" customHeight="1" x14ac:dyDescent="0.2">
      <c r="A1387" s="23" t="s">
        <v>931</v>
      </c>
      <c r="B1387" s="23" t="s">
        <v>5</v>
      </c>
      <c r="C1387" s="23" t="s">
        <v>3667</v>
      </c>
      <c r="D1387" s="23">
        <v>9.1620000000000008</v>
      </c>
      <c r="E1387" s="23">
        <v>2025</v>
      </c>
      <c r="F1387" s="15" t="s">
        <v>3305</v>
      </c>
      <c r="G1387" s="15" t="s">
        <v>3311</v>
      </c>
      <c r="H1387" s="23" t="s">
        <v>58</v>
      </c>
    </row>
    <row r="1388" spans="1:8" ht="54.95" customHeight="1" x14ac:dyDescent="0.2">
      <c r="A1388" s="23" t="s">
        <v>937</v>
      </c>
      <c r="B1388" s="23" t="s">
        <v>11</v>
      </c>
      <c r="C1388" s="23" t="s">
        <v>46</v>
      </c>
      <c r="D1388" s="23">
        <v>274641.82948766247</v>
      </c>
      <c r="E1388" s="23">
        <v>2025</v>
      </c>
      <c r="F1388" s="15" t="s">
        <v>3299</v>
      </c>
      <c r="G1388" s="15" t="s">
        <v>3300</v>
      </c>
      <c r="H1388" s="23" t="s">
        <v>58</v>
      </c>
    </row>
    <row r="1389" spans="1:8" ht="54.95" customHeight="1" x14ac:dyDescent="0.2">
      <c r="A1389" s="23" t="s">
        <v>937</v>
      </c>
      <c r="B1389" s="23" t="s">
        <v>13</v>
      </c>
      <c r="C1389" s="23" t="s">
        <v>46</v>
      </c>
      <c r="D1389" s="23">
        <v>190657.93</v>
      </c>
      <c r="E1389" s="23">
        <v>2025</v>
      </c>
      <c r="F1389" s="15" t="s">
        <v>3302</v>
      </c>
      <c r="G1389" s="15" t="s">
        <v>3300</v>
      </c>
      <c r="H1389" s="23" t="s">
        <v>58</v>
      </c>
    </row>
    <row r="1390" spans="1:8" ht="54.95" customHeight="1" x14ac:dyDescent="0.2">
      <c r="A1390" s="23" t="s">
        <v>937</v>
      </c>
      <c r="B1390" s="23" t="s">
        <v>14</v>
      </c>
      <c r="C1390" s="23" t="s">
        <v>46</v>
      </c>
      <c r="D1390" s="23">
        <v>44321.9</v>
      </c>
      <c r="E1390" s="23">
        <v>2025</v>
      </c>
      <c r="F1390" s="15" t="s">
        <v>3304</v>
      </c>
      <c r="G1390" s="15" t="s">
        <v>3300</v>
      </c>
      <c r="H1390" s="23" t="s">
        <v>58</v>
      </c>
    </row>
    <row r="1391" spans="1:8" ht="54.95" customHeight="1" x14ac:dyDescent="0.2">
      <c r="A1391" s="23" t="s">
        <v>937</v>
      </c>
      <c r="B1391" s="23" t="s">
        <v>3</v>
      </c>
      <c r="C1391" s="23" t="s">
        <v>3668</v>
      </c>
      <c r="D1391" s="23">
        <v>146281.31507000001</v>
      </c>
      <c r="E1391" s="23">
        <v>2024</v>
      </c>
      <c r="F1391" s="15" t="s">
        <v>3316</v>
      </c>
      <c r="G1391" s="15" t="s">
        <v>3317</v>
      </c>
      <c r="H1391" s="23" t="s">
        <v>58</v>
      </c>
    </row>
    <row r="1392" spans="1:8" ht="54.95" customHeight="1" x14ac:dyDescent="0.2">
      <c r="A1392" s="23" t="s">
        <v>937</v>
      </c>
      <c r="B1392" s="23" t="s">
        <v>6</v>
      </c>
      <c r="C1392" s="23" t="s">
        <v>46</v>
      </c>
      <c r="D1392" s="23">
        <v>25.764280798244808</v>
      </c>
      <c r="E1392" s="23">
        <v>2024</v>
      </c>
      <c r="F1392" s="15" t="s">
        <v>3319</v>
      </c>
      <c r="G1392" s="15" t="s">
        <v>3320</v>
      </c>
      <c r="H1392" s="23" t="s">
        <v>58</v>
      </c>
    </row>
    <row r="1393" spans="1:8" ht="54.95" customHeight="1" x14ac:dyDescent="0.2">
      <c r="A1393" s="23" t="s">
        <v>937</v>
      </c>
      <c r="B1393" s="23" t="s">
        <v>7</v>
      </c>
      <c r="C1393" s="23" t="s">
        <v>46</v>
      </c>
      <c r="D1393" s="23">
        <v>21.327923600543549</v>
      </c>
      <c r="E1393" s="23">
        <v>2024</v>
      </c>
      <c r="F1393" s="15" t="s">
        <v>3322</v>
      </c>
      <c r="G1393" s="15" t="s">
        <v>3320</v>
      </c>
      <c r="H1393" s="23" t="s">
        <v>58</v>
      </c>
    </row>
    <row r="1394" spans="1:8" ht="54.95" customHeight="1" x14ac:dyDescent="0.2">
      <c r="A1394" s="23" t="s">
        <v>937</v>
      </c>
      <c r="B1394" s="23" t="s">
        <v>8</v>
      </c>
      <c r="C1394" s="23" t="s">
        <v>46</v>
      </c>
      <c r="D1394" s="23">
        <v>26.353425228336647</v>
      </c>
      <c r="E1394" s="23">
        <v>2024</v>
      </c>
      <c r="F1394" s="15" t="s">
        <v>3324</v>
      </c>
      <c r="G1394" s="15" t="s">
        <v>3320</v>
      </c>
      <c r="H1394" s="23" t="s">
        <v>58</v>
      </c>
    </row>
    <row r="1395" spans="1:8" ht="54.95" customHeight="1" x14ac:dyDescent="0.2">
      <c r="A1395" s="23" t="s">
        <v>937</v>
      </c>
      <c r="B1395" s="23" t="s">
        <v>9</v>
      </c>
      <c r="C1395" s="23" t="s">
        <v>46</v>
      </c>
      <c r="D1395" s="23">
        <v>4.1437702669676986</v>
      </c>
      <c r="E1395" s="23">
        <v>2024</v>
      </c>
      <c r="F1395" s="15" t="s">
        <v>3325</v>
      </c>
      <c r="G1395" s="15" t="s">
        <v>3320</v>
      </c>
      <c r="H1395" s="23" t="s">
        <v>58</v>
      </c>
    </row>
    <row r="1396" spans="1:8" ht="54.95" customHeight="1" x14ac:dyDescent="0.2">
      <c r="A1396" s="23" t="s">
        <v>937</v>
      </c>
      <c r="B1396" s="23" t="s">
        <v>10</v>
      </c>
      <c r="C1396" s="23" t="s">
        <v>46</v>
      </c>
      <c r="D1396" s="23">
        <v>10.303210100885238</v>
      </c>
      <c r="E1396" s="23">
        <v>2024</v>
      </c>
      <c r="F1396" s="15" t="s">
        <v>3326</v>
      </c>
      <c r="G1396" s="15" t="s">
        <v>3320</v>
      </c>
      <c r="H1396" s="23" t="s">
        <v>58</v>
      </c>
    </row>
    <row r="1397" spans="1:8" ht="54.95" customHeight="1" x14ac:dyDescent="0.2">
      <c r="A1397" s="23" t="s">
        <v>937</v>
      </c>
      <c r="B1397" s="23" t="s">
        <v>5</v>
      </c>
      <c r="C1397" s="23" t="s">
        <v>3669</v>
      </c>
      <c r="D1397" s="23">
        <v>53.538961315620007</v>
      </c>
      <c r="E1397" s="23">
        <v>2024</v>
      </c>
      <c r="F1397" s="15" t="s">
        <v>3316</v>
      </c>
      <c r="G1397" s="15" t="s">
        <v>3311</v>
      </c>
      <c r="H1397" s="23" t="s">
        <v>58</v>
      </c>
    </row>
    <row r="1398" spans="1:8" ht="54.95" customHeight="1" x14ac:dyDescent="0.2">
      <c r="A1398" s="23" t="s">
        <v>943</v>
      </c>
      <c r="B1398" s="23" t="s">
        <v>11</v>
      </c>
      <c r="C1398" s="23" t="s">
        <v>46</v>
      </c>
      <c r="D1398" s="23">
        <v>323.46535747397257</v>
      </c>
      <c r="E1398" s="23">
        <v>2025</v>
      </c>
      <c r="F1398" s="15" t="s">
        <v>3299</v>
      </c>
      <c r="G1398" s="15" t="s">
        <v>3300</v>
      </c>
      <c r="H1398" s="23" t="s">
        <v>58</v>
      </c>
    </row>
    <row r="1399" spans="1:8" ht="54.95" customHeight="1" x14ac:dyDescent="0.2">
      <c r="A1399" s="23" t="s">
        <v>943</v>
      </c>
      <c r="B1399" s="23" t="s">
        <v>13</v>
      </c>
      <c r="C1399" s="23" t="s">
        <v>46</v>
      </c>
      <c r="D1399" s="23">
        <v>20</v>
      </c>
      <c r="E1399" s="23">
        <v>2025</v>
      </c>
      <c r="F1399" s="15" t="s">
        <v>3302</v>
      </c>
      <c r="G1399" s="15" t="s">
        <v>3300</v>
      </c>
      <c r="H1399" s="23" t="s">
        <v>58</v>
      </c>
    </row>
    <row r="1400" spans="1:8" ht="54.95" customHeight="1" x14ac:dyDescent="0.2">
      <c r="A1400" s="23" t="s">
        <v>943</v>
      </c>
      <c r="B1400" s="23" t="s">
        <v>14</v>
      </c>
      <c r="C1400" s="23" t="s">
        <v>46</v>
      </c>
      <c r="D1400" s="23">
        <v>0</v>
      </c>
      <c r="E1400" s="23">
        <v>2025</v>
      </c>
      <c r="F1400" s="15" t="s">
        <v>3304</v>
      </c>
      <c r="G1400" s="15" t="s">
        <v>3300</v>
      </c>
      <c r="H1400" s="23" t="s">
        <v>58</v>
      </c>
    </row>
    <row r="1401" spans="1:8" ht="54.95" customHeight="1" x14ac:dyDescent="0.2">
      <c r="A1401" s="23" t="s">
        <v>943</v>
      </c>
      <c r="B1401" s="23" t="s">
        <v>3</v>
      </c>
      <c r="C1401" s="23" t="s">
        <v>3670</v>
      </c>
      <c r="D1401" s="23">
        <v>100694.897497</v>
      </c>
      <c r="E1401" s="23">
        <v>2024</v>
      </c>
      <c r="F1401" s="15" t="s">
        <v>3316</v>
      </c>
      <c r="G1401" s="15" t="s">
        <v>3317</v>
      </c>
      <c r="H1401" s="23" t="s">
        <v>58</v>
      </c>
    </row>
    <row r="1402" spans="1:8" ht="54.95" customHeight="1" x14ac:dyDescent="0.2">
      <c r="A1402" s="23" t="s">
        <v>943</v>
      </c>
      <c r="B1402" s="23" t="s">
        <v>6</v>
      </c>
      <c r="C1402" s="23" t="s">
        <v>46</v>
      </c>
      <c r="D1402" s="23">
        <v>32.827535527294046</v>
      </c>
      <c r="E1402" s="23">
        <v>2024</v>
      </c>
      <c r="F1402" s="15" t="s">
        <v>3319</v>
      </c>
      <c r="G1402" s="15" t="s">
        <v>3320</v>
      </c>
      <c r="H1402" s="23" t="s">
        <v>58</v>
      </c>
    </row>
    <row r="1403" spans="1:8" ht="54.95" customHeight="1" x14ac:dyDescent="0.2">
      <c r="A1403" s="23" t="s">
        <v>943</v>
      </c>
      <c r="B1403" s="23" t="s">
        <v>7</v>
      </c>
      <c r="C1403" s="23" t="s">
        <v>46</v>
      </c>
      <c r="D1403" s="23">
        <v>31.835256161768339</v>
      </c>
      <c r="E1403" s="23">
        <v>2024</v>
      </c>
      <c r="F1403" s="15" t="s">
        <v>3322</v>
      </c>
      <c r="G1403" s="15" t="s">
        <v>3320</v>
      </c>
      <c r="H1403" s="23" t="s">
        <v>58</v>
      </c>
    </row>
    <row r="1404" spans="1:8" ht="54.95" customHeight="1" x14ac:dyDescent="0.2">
      <c r="A1404" s="23" t="s">
        <v>943</v>
      </c>
      <c r="B1404" s="23" t="s">
        <v>8</v>
      </c>
      <c r="C1404" s="23" t="s">
        <v>46</v>
      </c>
      <c r="D1404" s="23">
        <v>15.696490510326896</v>
      </c>
      <c r="E1404" s="23">
        <v>2024</v>
      </c>
      <c r="F1404" s="15" t="s">
        <v>3324</v>
      </c>
      <c r="G1404" s="15" t="s">
        <v>3320</v>
      </c>
      <c r="H1404" s="23" t="s">
        <v>58</v>
      </c>
    </row>
    <row r="1405" spans="1:8" ht="54.95" customHeight="1" x14ac:dyDescent="0.2">
      <c r="A1405" s="23" t="s">
        <v>943</v>
      </c>
      <c r="B1405" s="23" t="s">
        <v>9</v>
      </c>
      <c r="C1405" s="23" t="s">
        <v>46</v>
      </c>
      <c r="D1405" s="23">
        <v>10.054340353543365</v>
      </c>
      <c r="E1405" s="23">
        <v>2024</v>
      </c>
      <c r="F1405" s="15" t="s">
        <v>3325</v>
      </c>
      <c r="G1405" s="15" t="s">
        <v>3320</v>
      </c>
      <c r="H1405" s="23" t="s">
        <v>58</v>
      </c>
    </row>
    <row r="1406" spans="1:8" ht="54.95" customHeight="1" x14ac:dyDescent="0.2">
      <c r="A1406" s="23" t="s">
        <v>943</v>
      </c>
      <c r="B1406" s="23" t="s">
        <v>10</v>
      </c>
      <c r="C1406" s="23" t="s">
        <v>46</v>
      </c>
      <c r="D1406" s="23">
        <v>8.517392319958935</v>
      </c>
      <c r="E1406" s="23">
        <v>2024</v>
      </c>
      <c r="F1406" s="15" t="s">
        <v>3326</v>
      </c>
      <c r="G1406" s="15" t="s">
        <v>3320</v>
      </c>
      <c r="H1406" s="23" t="s">
        <v>58</v>
      </c>
    </row>
    <row r="1407" spans="1:8" ht="54.95" customHeight="1" x14ac:dyDescent="0.2">
      <c r="A1407" s="23" t="s">
        <v>943</v>
      </c>
      <c r="B1407" s="23" t="s">
        <v>5</v>
      </c>
      <c r="C1407" s="23" t="s">
        <v>3671</v>
      </c>
      <c r="D1407" s="23">
        <v>36.854332483901999</v>
      </c>
      <c r="E1407" s="23">
        <v>2024</v>
      </c>
      <c r="F1407" s="15" t="s">
        <v>3316</v>
      </c>
      <c r="G1407" s="15" t="s">
        <v>3311</v>
      </c>
      <c r="H1407" s="23" t="s">
        <v>58</v>
      </c>
    </row>
    <row r="1408" spans="1:8" ht="54.95" customHeight="1" x14ac:dyDescent="0.2">
      <c r="A1408" s="23" t="s">
        <v>949</v>
      </c>
      <c r="B1408" s="23" t="s">
        <v>11</v>
      </c>
      <c r="C1408" s="23" t="s">
        <v>46</v>
      </c>
      <c r="D1408" s="23">
        <v>0</v>
      </c>
      <c r="E1408" s="23">
        <v>2025</v>
      </c>
      <c r="F1408" s="15" t="s">
        <v>3299</v>
      </c>
      <c r="G1408" s="15" t="s">
        <v>3300</v>
      </c>
      <c r="H1408" s="23" t="s">
        <v>58</v>
      </c>
    </row>
    <row r="1409" spans="1:8" ht="54.95" customHeight="1" x14ac:dyDescent="0.2">
      <c r="A1409" s="23" t="s">
        <v>949</v>
      </c>
      <c r="B1409" s="23" t="s">
        <v>13</v>
      </c>
      <c r="C1409" s="23" t="s">
        <v>46</v>
      </c>
      <c r="D1409" s="23">
        <v>0</v>
      </c>
      <c r="E1409" s="23">
        <v>2025</v>
      </c>
      <c r="F1409" s="15" t="s">
        <v>3302</v>
      </c>
      <c r="G1409" s="15" t="s">
        <v>3300</v>
      </c>
      <c r="H1409" s="23" t="s">
        <v>58</v>
      </c>
    </row>
    <row r="1410" spans="1:8" ht="54.95" customHeight="1" x14ac:dyDescent="0.2">
      <c r="A1410" s="23" t="s">
        <v>949</v>
      </c>
      <c r="B1410" s="23" t="s">
        <v>14</v>
      </c>
      <c r="C1410" s="23" t="s">
        <v>46</v>
      </c>
      <c r="D1410" s="23">
        <v>0</v>
      </c>
      <c r="E1410" s="23">
        <v>2025</v>
      </c>
      <c r="F1410" s="15" t="s">
        <v>3304</v>
      </c>
      <c r="G1410" s="15" t="s">
        <v>3300</v>
      </c>
      <c r="H1410" s="23" t="s">
        <v>58</v>
      </c>
    </row>
    <row r="1411" spans="1:8" ht="54.95" customHeight="1" x14ac:dyDescent="0.2">
      <c r="A1411" s="23" t="s">
        <v>949</v>
      </c>
      <c r="B1411" s="23" t="s">
        <v>3</v>
      </c>
      <c r="C1411" s="23" t="s">
        <v>3672</v>
      </c>
      <c r="D1411" s="23">
        <v>60691.424394000001</v>
      </c>
      <c r="E1411" s="23">
        <v>2024</v>
      </c>
      <c r="F1411" s="15" t="s">
        <v>3316</v>
      </c>
      <c r="G1411" s="15" t="s">
        <v>3317</v>
      </c>
      <c r="H1411" s="23" t="s">
        <v>58</v>
      </c>
    </row>
    <row r="1412" spans="1:8" ht="54.95" customHeight="1" x14ac:dyDescent="0.2">
      <c r="A1412" s="23" t="s">
        <v>949</v>
      </c>
      <c r="B1412" s="23" t="s">
        <v>6</v>
      </c>
      <c r="C1412" s="23" t="s">
        <v>46</v>
      </c>
      <c r="D1412" s="23">
        <v>38.4444893376183</v>
      </c>
      <c r="E1412" s="23">
        <v>2024</v>
      </c>
      <c r="F1412" s="15" t="s">
        <v>3319</v>
      </c>
      <c r="G1412" s="15" t="s">
        <v>3320</v>
      </c>
      <c r="H1412" s="23" t="s">
        <v>58</v>
      </c>
    </row>
    <row r="1413" spans="1:8" ht="54.95" customHeight="1" x14ac:dyDescent="0.2">
      <c r="A1413" s="23" t="s">
        <v>949</v>
      </c>
      <c r="B1413" s="23" t="s">
        <v>7</v>
      </c>
      <c r="C1413" s="23" t="s">
        <v>46</v>
      </c>
      <c r="D1413" s="23">
        <v>23.50934942204217</v>
      </c>
      <c r="E1413" s="23">
        <v>2024</v>
      </c>
      <c r="F1413" s="15" t="s">
        <v>3322</v>
      </c>
      <c r="G1413" s="15" t="s">
        <v>3320</v>
      </c>
      <c r="H1413" s="23" t="s">
        <v>58</v>
      </c>
    </row>
    <row r="1414" spans="1:8" ht="54.95" customHeight="1" x14ac:dyDescent="0.2">
      <c r="A1414" s="23" t="s">
        <v>949</v>
      </c>
      <c r="B1414" s="23" t="s">
        <v>8</v>
      </c>
      <c r="C1414" s="23" t="s">
        <v>46</v>
      </c>
      <c r="D1414" s="23">
        <v>27.645294697777302</v>
      </c>
      <c r="E1414" s="23">
        <v>2024</v>
      </c>
      <c r="F1414" s="15" t="s">
        <v>3324</v>
      </c>
      <c r="G1414" s="15" t="s">
        <v>3320</v>
      </c>
      <c r="H1414" s="23" t="s">
        <v>58</v>
      </c>
    </row>
    <row r="1415" spans="1:8" ht="54.95" customHeight="1" x14ac:dyDescent="0.2">
      <c r="A1415" s="23" t="s">
        <v>949</v>
      </c>
      <c r="B1415" s="23" t="s">
        <v>9</v>
      </c>
      <c r="C1415" s="23" t="s">
        <v>46</v>
      </c>
      <c r="D1415" s="23">
        <v>5.525037659738139</v>
      </c>
      <c r="E1415" s="23">
        <v>2024</v>
      </c>
      <c r="F1415" s="15" t="s">
        <v>3325</v>
      </c>
      <c r="G1415" s="15" t="s">
        <v>3320</v>
      </c>
      <c r="H1415" s="23" t="s">
        <v>58</v>
      </c>
    </row>
    <row r="1416" spans="1:8" ht="54.95" customHeight="1" x14ac:dyDescent="0.2">
      <c r="A1416" s="23" t="s">
        <v>949</v>
      </c>
      <c r="B1416" s="23" t="s">
        <v>10</v>
      </c>
      <c r="C1416" s="23" t="s">
        <v>46</v>
      </c>
      <c r="D1416" s="23">
        <v>1.4004614465499803</v>
      </c>
      <c r="E1416" s="23">
        <v>2024</v>
      </c>
      <c r="F1416" s="15" t="s">
        <v>3326</v>
      </c>
      <c r="G1416" s="15" t="s">
        <v>3320</v>
      </c>
      <c r="H1416" s="23" t="s">
        <v>58</v>
      </c>
    </row>
    <row r="1417" spans="1:8" ht="54.95" customHeight="1" x14ac:dyDescent="0.2">
      <c r="A1417" s="23" t="s">
        <v>949</v>
      </c>
      <c r="B1417" s="23" t="s">
        <v>5</v>
      </c>
      <c r="C1417" s="23" t="s">
        <v>3673</v>
      </c>
      <c r="D1417" s="23">
        <v>22.213061328204002</v>
      </c>
      <c r="E1417" s="23">
        <v>2024</v>
      </c>
      <c r="F1417" s="15" t="s">
        <v>3316</v>
      </c>
      <c r="G1417" s="15" t="s">
        <v>3311</v>
      </c>
      <c r="H1417" s="23" t="s">
        <v>58</v>
      </c>
    </row>
    <row r="1418" spans="1:8" ht="54.95" customHeight="1" x14ac:dyDescent="0.2">
      <c r="A1418" s="23" t="s">
        <v>955</v>
      </c>
      <c r="B1418" s="23" t="s">
        <v>11</v>
      </c>
      <c r="C1418" s="23" t="s">
        <v>46</v>
      </c>
      <c r="D1418" s="23">
        <v>0</v>
      </c>
      <c r="E1418" s="23">
        <v>2025</v>
      </c>
      <c r="F1418" s="15" t="s">
        <v>3299</v>
      </c>
      <c r="G1418" s="15" t="s">
        <v>3300</v>
      </c>
      <c r="H1418" s="23" t="s">
        <v>58</v>
      </c>
    </row>
    <row r="1419" spans="1:8" ht="54.95" customHeight="1" x14ac:dyDescent="0.2">
      <c r="A1419" s="23" t="s">
        <v>955</v>
      </c>
      <c r="B1419" s="23" t="s">
        <v>13</v>
      </c>
      <c r="C1419" s="23" t="s">
        <v>46</v>
      </c>
      <c r="D1419" s="23">
        <v>0</v>
      </c>
      <c r="E1419" s="23">
        <v>2025</v>
      </c>
      <c r="F1419" s="15" t="s">
        <v>3302</v>
      </c>
      <c r="G1419" s="15" t="s">
        <v>3300</v>
      </c>
      <c r="H1419" s="23" t="s">
        <v>58</v>
      </c>
    </row>
    <row r="1420" spans="1:8" ht="54.95" customHeight="1" x14ac:dyDescent="0.2">
      <c r="A1420" s="23" t="s">
        <v>955</v>
      </c>
      <c r="B1420" s="23" t="s">
        <v>14</v>
      </c>
      <c r="C1420" s="23" t="s">
        <v>46</v>
      </c>
      <c r="D1420" s="23">
        <v>0</v>
      </c>
      <c r="E1420" s="23">
        <v>2025</v>
      </c>
      <c r="F1420" s="15" t="s">
        <v>3304</v>
      </c>
      <c r="G1420" s="15" t="s">
        <v>3300</v>
      </c>
      <c r="H1420" s="23" t="s">
        <v>58</v>
      </c>
    </row>
    <row r="1421" spans="1:8" ht="54.95" customHeight="1" x14ac:dyDescent="0.2">
      <c r="A1421" s="23" t="s">
        <v>955</v>
      </c>
      <c r="B1421" s="23" t="s">
        <v>3</v>
      </c>
      <c r="C1421" s="23" t="s">
        <v>3674</v>
      </c>
      <c r="D1421" s="23">
        <v>5714.9880370000001</v>
      </c>
      <c r="E1421" s="23">
        <v>2024</v>
      </c>
      <c r="F1421" s="15" t="s">
        <v>3316</v>
      </c>
      <c r="G1421" s="15" t="s">
        <v>3317</v>
      </c>
      <c r="H1421" s="23" t="s">
        <v>58</v>
      </c>
    </row>
    <row r="1422" spans="1:8" ht="54.95" customHeight="1" x14ac:dyDescent="0.2">
      <c r="A1422" s="23" t="s">
        <v>955</v>
      </c>
      <c r="B1422" s="23" t="s">
        <v>6</v>
      </c>
      <c r="C1422" s="23" t="s">
        <v>46</v>
      </c>
      <c r="D1422" s="23">
        <v>40.827940494252331</v>
      </c>
      <c r="E1422" s="23">
        <v>2024</v>
      </c>
      <c r="F1422" s="15" t="s">
        <v>3319</v>
      </c>
      <c r="G1422" s="15" t="s">
        <v>3320</v>
      </c>
      <c r="H1422" s="23" t="s">
        <v>58</v>
      </c>
    </row>
    <row r="1423" spans="1:8" ht="54.95" customHeight="1" x14ac:dyDescent="0.2">
      <c r="A1423" s="23" t="s">
        <v>955</v>
      </c>
      <c r="B1423" s="23" t="s">
        <v>7</v>
      </c>
      <c r="C1423" s="23" t="s">
        <v>46</v>
      </c>
      <c r="D1423" s="23">
        <v>39.763156200636494</v>
      </c>
      <c r="E1423" s="23">
        <v>2024</v>
      </c>
      <c r="F1423" s="15" t="s">
        <v>3322</v>
      </c>
      <c r="G1423" s="15" t="s">
        <v>3320</v>
      </c>
      <c r="H1423" s="23" t="s">
        <v>58</v>
      </c>
    </row>
    <row r="1424" spans="1:8" ht="54.95" customHeight="1" x14ac:dyDescent="0.2">
      <c r="A1424" s="23" t="s">
        <v>955</v>
      </c>
      <c r="B1424" s="23" t="s">
        <v>8</v>
      </c>
      <c r="C1424" s="23" t="s">
        <v>46</v>
      </c>
      <c r="D1424" s="23">
        <v>5.9664108969682523</v>
      </c>
      <c r="E1424" s="23">
        <v>2024</v>
      </c>
      <c r="F1424" s="15" t="s">
        <v>3324</v>
      </c>
      <c r="G1424" s="15" t="s">
        <v>3320</v>
      </c>
      <c r="H1424" s="23" t="s">
        <v>58</v>
      </c>
    </row>
    <row r="1425" spans="1:8" ht="54.95" customHeight="1" x14ac:dyDescent="0.2">
      <c r="A1425" s="23" t="s">
        <v>955</v>
      </c>
      <c r="B1425" s="23" t="s">
        <v>9</v>
      </c>
      <c r="C1425" s="23" t="s">
        <v>46</v>
      </c>
      <c r="D1425" s="23">
        <v>13.425599564382781</v>
      </c>
      <c r="E1425" s="23">
        <v>2024</v>
      </c>
      <c r="F1425" s="15" t="s">
        <v>3325</v>
      </c>
      <c r="G1425" s="15" t="s">
        <v>3320</v>
      </c>
      <c r="H1425" s="23" t="s">
        <v>58</v>
      </c>
    </row>
    <row r="1426" spans="1:8" ht="54.95" customHeight="1" x14ac:dyDescent="0.2">
      <c r="A1426" s="23" t="s">
        <v>955</v>
      </c>
      <c r="B1426" s="23" t="s">
        <v>10</v>
      </c>
      <c r="C1426" s="23" t="s">
        <v>46</v>
      </c>
      <c r="D1426" s="23">
        <v>0</v>
      </c>
      <c r="E1426" s="23">
        <v>2024</v>
      </c>
      <c r="F1426" s="15" t="s">
        <v>3326</v>
      </c>
      <c r="G1426" s="15" t="s">
        <v>3320</v>
      </c>
      <c r="H1426" s="23" t="s">
        <v>58</v>
      </c>
    </row>
    <row r="1427" spans="1:8" ht="54.95" customHeight="1" x14ac:dyDescent="0.2">
      <c r="A1427" s="23" t="s">
        <v>955</v>
      </c>
      <c r="B1427" s="23" t="s">
        <v>5</v>
      </c>
      <c r="C1427" s="23" t="s">
        <v>3675</v>
      </c>
      <c r="D1427" s="23">
        <v>2.0916856215420001</v>
      </c>
      <c r="E1427" s="23">
        <v>2024</v>
      </c>
      <c r="F1427" s="15" t="s">
        <v>3316</v>
      </c>
      <c r="G1427" s="15" t="s">
        <v>3311</v>
      </c>
      <c r="H1427" s="23" t="s">
        <v>58</v>
      </c>
    </row>
    <row r="1428" spans="1:8" ht="54.95" customHeight="1" x14ac:dyDescent="0.2">
      <c r="A1428" s="23" t="s">
        <v>961</v>
      </c>
      <c r="B1428" s="23" t="s">
        <v>11</v>
      </c>
      <c r="C1428" s="23" t="s">
        <v>46</v>
      </c>
      <c r="D1428" s="23">
        <v>59555.316057531505</v>
      </c>
      <c r="E1428" s="23">
        <v>2025</v>
      </c>
      <c r="F1428" s="15" t="s">
        <v>3299</v>
      </c>
      <c r="G1428" s="15" t="s">
        <v>3300</v>
      </c>
      <c r="H1428" s="23" t="s">
        <v>58</v>
      </c>
    </row>
    <row r="1429" spans="1:8" ht="54.95" customHeight="1" x14ac:dyDescent="0.2">
      <c r="A1429" s="23" t="s">
        <v>961</v>
      </c>
      <c r="B1429" s="23" t="s">
        <v>13</v>
      </c>
      <c r="C1429" s="23" t="s">
        <v>46</v>
      </c>
      <c r="D1429" s="23">
        <v>59243.835616438351</v>
      </c>
      <c r="E1429" s="23">
        <v>2025</v>
      </c>
      <c r="F1429" s="15" t="s">
        <v>3302</v>
      </c>
      <c r="G1429" s="15" t="s">
        <v>3300</v>
      </c>
      <c r="H1429" s="23" t="s">
        <v>58</v>
      </c>
    </row>
    <row r="1430" spans="1:8" ht="54.95" customHeight="1" x14ac:dyDescent="0.2">
      <c r="A1430" s="23" t="s">
        <v>961</v>
      </c>
      <c r="B1430" s="23" t="s">
        <v>14</v>
      </c>
      <c r="C1430" s="23" t="s">
        <v>46</v>
      </c>
      <c r="D1430" s="23">
        <v>0</v>
      </c>
      <c r="E1430" s="23">
        <v>2025</v>
      </c>
      <c r="F1430" s="15" t="s">
        <v>3304</v>
      </c>
      <c r="G1430" s="15" t="s">
        <v>3300</v>
      </c>
      <c r="H1430" s="23" t="s">
        <v>58</v>
      </c>
    </row>
    <row r="1431" spans="1:8" ht="54.95" customHeight="1" x14ac:dyDescent="0.2">
      <c r="A1431" s="23" t="s">
        <v>961</v>
      </c>
      <c r="B1431" s="23" t="s">
        <v>3</v>
      </c>
      <c r="C1431" s="23" t="s">
        <v>3676</v>
      </c>
      <c r="D1431" s="23">
        <v>39088.865718000001</v>
      </c>
      <c r="E1431" s="23">
        <v>2024</v>
      </c>
      <c r="F1431" s="15" t="s">
        <v>3316</v>
      </c>
      <c r="G1431" s="15" t="s">
        <v>3317</v>
      </c>
      <c r="H1431" s="23" t="s">
        <v>58</v>
      </c>
    </row>
    <row r="1432" spans="1:8" ht="54.95" customHeight="1" x14ac:dyDescent="0.2">
      <c r="A1432" s="23" t="s">
        <v>961</v>
      </c>
      <c r="B1432" s="23" t="s">
        <v>6</v>
      </c>
      <c r="C1432" s="23" t="s">
        <v>46</v>
      </c>
      <c r="D1432" s="23">
        <v>39.6245509699392</v>
      </c>
      <c r="E1432" s="23">
        <v>2024</v>
      </c>
      <c r="F1432" s="15" t="s">
        <v>3319</v>
      </c>
      <c r="G1432" s="15" t="s">
        <v>3320</v>
      </c>
      <c r="H1432" s="23" t="s">
        <v>58</v>
      </c>
    </row>
    <row r="1433" spans="1:8" ht="54.95" customHeight="1" x14ac:dyDescent="0.2">
      <c r="A1433" s="23" t="s">
        <v>961</v>
      </c>
      <c r="B1433" s="23" t="s">
        <v>7</v>
      </c>
      <c r="C1433" s="23" t="s">
        <v>46</v>
      </c>
      <c r="D1433" s="23">
        <v>34.394815180858352</v>
      </c>
      <c r="E1433" s="23">
        <v>2024</v>
      </c>
      <c r="F1433" s="15" t="s">
        <v>3322</v>
      </c>
      <c r="G1433" s="15" t="s">
        <v>3320</v>
      </c>
      <c r="H1433" s="23" t="s">
        <v>58</v>
      </c>
    </row>
    <row r="1434" spans="1:8" ht="54.95" customHeight="1" x14ac:dyDescent="0.2">
      <c r="A1434" s="23" t="s">
        <v>961</v>
      </c>
      <c r="B1434" s="23" t="s">
        <v>8</v>
      </c>
      <c r="C1434" s="23" t="s">
        <v>46</v>
      </c>
      <c r="D1434" s="23">
        <v>10.922206228240597</v>
      </c>
      <c r="E1434" s="23">
        <v>2024</v>
      </c>
      <c r="F1434" s="15" t="s">
        <v>3324</v>
      </c>
      <c r="G1434" s="15" t="s">
        <v>3320</v>
      </c>
      <c r="H1434" s="23" t="s">
        <v>58</v>
      </c>
    </row>
    <row r="1435" spans="1:8" ht="54.95" customHeight="1" x14ac:dyDescent="0.2">
      <c r="A1435" s="23" t="s">
        <v>961</v>
      </c>
      <c r="B1435" s="23" t="s">
        <v>9</v>
      </c>
      <c r="C1435" s="23" t="s">
        <v>46</v>
      </c>
      <c r="D1435" s="23">
        <v>7.4666461571331917</v>
      </c>
      <c r="E1435" s="23">
        <v>2024</v>
      </c>
      <c r="F1435" s="15" t="s">
        <v>3325</v>
      </c>
      <c r="G1435" s="15" t="s">
        <v>3320</v>
      </c>
      <c r="H1435" s="23" t="s">
        <v>58</v>
      </c>
    </row>
    <row r="1436" spans="1:8" ht="54.95" customHeight="1" x14ac:dyDescent="0.2">
      <c r="A1436" s="23" t="s">
        <v>961</v>
      </c>
      <c r="B1436" s="23" t="s">
        <v>10</v>
      </c>
      <c r="C1436" s="23" t="s">
        <v>46</v>
      </c>
      <c r="D1436" s="23">
        <v>3.3508374109634218</v>
      </c>
      <c r="E1436" s="23">
        <v>2024</v>
      </c>
      <c r="F1436" s="15" t="s">
        <v>3326</v>
      </c>
      <c r="G1436" s="15" t="s">
        <v>3320</v>
      </c>
      <c r="H1436" s="23" t="s">
        <v>58</v>
      </c>
    </row>
    <row r="1437" spans="1:8" ht="54.95" customHeight="1" x14ac:dyDescent="0.2">
      <c r="A1437" s="23" t="s">
        <v>961</v>
      </c>
      <c r="B1437" s="23" t="s">
        <v>5</v>
      </c>
      <c r="C1437" s="23" t="s">
        <v>3677</v>
      </c>
      <c r="D1437" s="23">
        <v>14.306524852788</v>
      </c>
      <c r="E1437" s="23">
        <v>2024</v>
      </c>
      <c r="F1437" s="15" t="s">
        <v>3316</v>
      </c>
      <c r="G1437" s="15" t="s">
        <v>3311</v>
      </c>
      <c r="H1437" s="23" t="s">
        <v>58</v>
      </c>
    </row>
    <row r="1438" spans="1:8" ht="54.95" customHeight="1" x14ac:dyDescent="0.2">
      <c r="A1438" s="23" t="s">
        <v>967</v>
      </c>
      <c r="B1438" s="23" t="s">
        <v>11</v>
      </c>
      <c r="C1438" s="23" t="s">
        <v>3678</v>
      </c>
      <c r="D1438" s="23">
        <v>239011.60313567673</v>
      </c>
      <c r="E1438" s="23">
        <v>2025</v>
      </c>
      <c r="F1438" s="15" t="s">
        <v>3299</v>
      </c>
      <c r="G1438" s="15" t="s">
        <v>3300</v>
      </c>
      <c r="H1438" s="23" t="s">
        <v>58</v>
      </c>
    </row>
    <row r="1439" spans="1:8" ht="54.95" customHeight="1" x14ac:dyDescent="0.2">
      <c r="A1439" s="23" t="s">
        <v>967</v>
      </c>
      <c r="B1439" s="23" t="s">
        <v>13</v>
      </c>
      <c r="C1439" s="23" t="s">
        <v>46</v>
      </c>
      <c r="D1439" s="23">
        <v>239315.06849315067</v>
      </c>
      <c r="E1439" s="23">
        <v>2025</v>
      </c>
      <c r="F1439" s="15" t="s">
        <v>3302</v>
      </c>
      <c r="G1439" s="15" t="s">
        <v>3300</v>
      </c>
      <c r="H1439" s="23" t="s">
        <v>58</v>
      </c>
    </row>
    <row r="1440" spans="1:8" ht="54.95" customHeight="1" x14ac:dyDescent="0.2">
      <c r="A1440" s="23" t="s">
        <v>967</v>
      </c>
      <c r="B1440" s="23" t="s">
        <v>14</v>
      </c>
      <c r="C1440" s="23" t="s">
        <v>46</v>
      </c>
      <c r="D1440" s="23">
        <v>0</v>
      </c>
      <c r="E1440" s="23">
        <v>2025</v>
      </c>
      <c r="F1440" s="15" t="s">
        <v>3304</v>
      </c>
      <c r="G1440" s="15" t="s">
        <v>3300</v>
      </c>
      <c r="H1440" s="23" t="s">
        <v>58</v>
      </c>
    </row>
    <row r="1441" spans="1:8" ht="54.95" customHeight="1" x14ac:dyDescent="0.2">
      <c r="A1441" s="23" t="s">
        <v>967</v>
      </c>
      <c r="B1441" s="23" t="s">
        <v>3</v>
      </c>
      <c r="C1441" s="23" t="s">
        <v>3679</v>
      </c>
      <c r="D1441" s="23">
        <v>16084.192737999998</v>
      </c>
      <c r="E1441" s="23">
        <v>2024</v>
      </c>
      <c r="F1441" s="15" t="s">
        <v>3316</v>
      </c>
      <c r="G1441" s="15" t="s">
        <v>3317</v>
      </c>
      <c r="H1441" s="23" t="s">
        <v>58</v>
      </c>
    </row>
    <row r="1442" spans="1:8" ht="54.95" customHeight="1" x14ac:dyDescent="0.2">
      <c r="A1442" s="23" t="s">
        <v>967</v>
      </c>
      <c r="B1442" s="23" t="s">
        <v>6</v>
      </c>
      <c r="C1442" s="23" t="s">
        <v>3680</v>
      </c>
      <c r="D1442" s="23">
        <v>50.455265217178116</v>
      </c>
      <c r="E1442" s="23">
        <v>2024</v>
      </c>
      <c r="F1442" s="15" t="s">
        <v>3319</v>
      </c>
      <c r="G1442" s="15" t="s">
        <v>3320</v>
      </c>
      <c r="H1442" s="23" t="s">
        <v>58</v>
      </c>
    </row>
    <row r="1443" spans="1:8" ht="54.95" customHeight="1" x14ac:dyDescent="0.2">
      <c r="A1443" s="23" t="s">
        <v>967</v>
      </c>
      <c r="B1443" s="23" t="s">
        <v>7</v>
      </c>
      <c r="C1443" s="23" t="s">
        <v>3681</v>
      </c>
      <c r="D1443" s="23">
        <v>11.329723845541253</v>
      </c>
      <c r="E1443" s="23">
        <v>2024</v>
      </c>
      <c r="F1443" s="15" t="s">
        <v>3322</v>
      </c>
      <c r="G1443" s="15" t="s">
        <v>3320</v>
      </c>
      <c r="H1443" s="23" t="s">
        <v>58</v>
      </c>
    </row>
    <row r="1444" spans="1:8" ht="54.95" customHeight="1" x14ac:dyDescent="0.2">
      <c r="A1444" s="23" t="s">
        <v>967</v>
      </c>
      <c r="B1444" s="23" t="s">
        <v>8</v>
      </c>
      <c r="C1444" s="23" t="s">
        <v>46</v>
      </c>
      <c r="D1444" s="23">
        <v>9.933693795058776</v>
      </c>
      <c r="E1444" s="23">
        <v>2024</v>
      </c>
      <c r="F1444" s="15" t="s">
        <v>3324</v>
      </c>
      <c r="G1444" s="15" t="s">
        <v>3320</v>
      </c>
      <c r="H1444" s="23" t="s">
        <v>58</v>
      </c>
    </row>
    <row r="1445" spans="1:8" ht="54.95" customHeight="1" x14ac:dyDescent="0.2">
      <c r="A1445" s="23" t="s">
        <v>967</v>
      </c>
      <c r="B1445" s="23" t="s">
        <v>9</v>
      </c>
      <c r="C1445" s="23" t="s">
        <v>46</v>
      </c>
      <c r="D1445" s="23">
        <v>4.7120382125826277</v>
      </c>
      <c r="E1445" s="23">
        <v>2024</v>
      </c>
      <c r="F1445" s="15" t="s">
        <v>3325</v>
      </c>
      <c r="G1445" s="15" t="s">
        <v>3320</v>
      </c>
      <c r="H1445" s="23" t="s">
        <v>58</v>
      </c>
    </row>
    <row r="1446" spans="1:8" ht="54.95" customHeight="1" x14ac:dyDescent="0.2">
      <c r="A1446" s="23" t="s">
        <v>967</v>
      </c>
      <c r="B1446" s="23" t="s">
        <v>10</v>
      </c>
      <c r="C1446" s="23" t="s">
        <v>3682</v>
      </c>
      <c r="D1446" s="23">
        <v>18.623054397521859</v>
      </c>
      <c r="E1446" s="23">
        <v>2024</v>
      </c>
      <c r="F1446" s="15" t="s">
        <v>3326</v>
      </c>
      <c r="G1446" s="15" t="s">
        <v>3320</v>
      </c>
      <c r="H1446" s="23" t="s">
        <v>58</v>
      </c>
    </row>
    <row r="1447" spans="1:8" ht="54.95" customHeight="1" x14ac:dyDescent="0.2">
      <c r="A1447" s="23" t="s">
        <v>967</v>
      </c>
      <c r="B1447" s="23" t="s">
        <v>5</v>
      </c>
      <c r="C1447" s="23" t="s">
        <v>3683</v>
      </c>
      <c r="D1447" s="23">
        <v>5.8868145421079996</v>
      </c>
      <c r="E1447" s="23">
        <v>2024</v>
      </c>
      <c r="F1447" s="15" t="s">
        <v>3316</v>
      </c>
      <c r="G1447" s="15" t="s">
        <v>3311</v>
      </c>
      <c r="H1447" s="23" t="s">
        <v>58</v>
      </c>
    </row>
    <row r="1448" spans="1:8" ht="54.95" customHeight="1" x14ac:dyDescent="0.2">
      <c r="A1448" s="23" t="s">
        <v>974</v>
      </c>
      <c r="B1448" s="23" t="s">
        <v>11</v>
      </c>
      <c r="C1448" s="23" t="s">
        <v>46</v>
      </c>
      <c r="D1448" s="23">
        <v>101798.44382604383</v>
      </c>
      <c r="E1448" s="23">
        <v>2025</v>
      </c>
      <c r="F1448" s="15" t="s">
        <v>3299</v>
      </c>
      <c r="G1448" s="15" t="s">
        <v>3300</v>
      </c>
      <c r="H1448" s="23" t="s">
        <v>58</v>
      </c>
    </row>
    <row r="1449" spans="1:8" ht="54.95" customHeight="1" x14ac:dyDescent="0.2">
      <c r="A1449" s="23" t="s">
        <v>974</v>
      </c>
      <c r="B1449" s="23" t="s">
        <v>13</v>
      </c>
      <c r="C1449" s="23" t="s">
        <v>46</v>
      </c>
      <c r="D1449" s="23">
        <v>101410.95890410959</v>
      </c>
      <c r="E1449" s="23">
        <v>2025</v>
      </c>
      <c r="F1449" s="15" t="s">
        <v>3302</v>
      </c>
      <c r="G1449" s="15" t="s">
        <v>3300</v>
      </c>
      <c r="H1449" s="23" t="s">
        <v>58</v>
      </c>
    </row>
    <row r="1450" spans="1:8" ht="54.95" customHeight="1" x14ac:dyDescent="0.2">
      <c r="A1450" s="23" t="s">
        <v>974</v>
      </c>
      <c r="B1450" s="23" t="s">
        <v>14</v>
      </c>
      <c r="C1450" s="23" t="s">
        <v>46</v>
      </c>
      <c r="D1450" s="23">
        <v>0</v>
      </c>
      <c r="E1450" s="23">
        <v>2025</v>
      </c>
      <c r="F1450" s="15" t="s">
        <v>3304</v>
      </c>
      <c r="G1450" s="15" t="s">
        <v>3300</v>
      </c>
      <c r="H1450" s="23" t="s">
        <v>58</v>
      </c>
    </row>
    <row r="1451" spans="1:8" ht="54.95" customHeight="1" x14ac:dyDescent="0.2">
      <c r="A1451" s="23" t="s">
        <v>974</v>
      </c>
      <c r="B1451" s="23" t="s">
        <v>3</v>
      </c>
      <c r="C1451" s="23" t="s">
        <v>3684</v>
      </c>
      <c r="D1451" s="23">
        <v>20172.830682</v>
      </c>
      <c r="E1451" s="23">
        <v>2024</v>
      </c>
      <c r="F1451" s="15" t="s">
        <v>3316</v>
      </c>
      <c r="G1451" s="15" t="s">
        <v>3317</v>
      </c>
      <c r="H1451" s="23" t="s">
        <v>58</v>
      </c>
    </row>
    <row r="1452" spans="1:8" ht="54.95" customHeight="1" x14ac:dyDescent="0.2">
      <c r="A1452" s="23" t="s">
        <v>974</v>
      </c>
      <c r="B1452" s="23" t="s">
        <v>6</v>
      </c>
      <c r="C1452" s="23" t="s">
        <v>46</v>
      </c>
      <c r="D1452" s="23">
        <v>47.636435066966385</v>
      </c>
      <c r="E1452" s="23">
        <v>2024</v>
      </c>
      <c r="F1452" s="15" t="s">
        <v>3319</v>
      </c>
      <c r="G1452" s="15" t="s">
        <v>3320</v>
      </c>
      <c r="H1452" s="23" t="s">
        <v>58</v>
      </c>
    </row>
    <row r="1453" spans="1:8" ht="54.95" customHeight="1" x14ac:dyDescent="0.2">
      <c r="A1453" s="23" t="s">
        <v>974</v>
      </c>
      <c r="B1453" s="23" t="s">
        <v>7</v>
      </c>
      <c r="C1453" s="23" t="s">
        <v>46</v>
      </c>
      <c r="D1453" s="23">
        <v>31.719315736434933</v>
      </c>
      <c r="E1453" s="23">
        <v>2024</v>
      </c>
      <c r="F1453" s="15" t="s">
        <v>3322</v>
      </c>
      <c r="G1453" s="15" t="s">
        <v>3320</v>
      </c>
      <c r="H1453" s="23" t="s">
        <v>58</v>
      </c>
    </row>
    <row r="1454" spans="1:8" ht="54.95" customHeight="1" x14ac:dyDescent="0.2">
      <c r="A1454" s="23" t="s">
        <v>974</v>
      </c>
      <c r="B1454" s="23" t="s">
        <v>8</v>
      </c>
      <c r="C1454" s="23" t="s">
        <v>46</v>
      </c>
      <c r="D1454" s="23">
        <v>14.15517882945368</v>
      </c>
      <c r="E1454" s="23">
        <v>2024</v>
      </c>
      <c r="F1454" s="15" t="s">
        <v>3324</v>
      </c>
      <c r="G1454" s="15" t="s">
        <v>3320</v>
      </c>
      <c r="H1454" s="23" t="s">
        <v>58</v>
      </c>
    </row>
    <row r="1455" spans="1:8" ht="54.95" customHeight="1" x14ac:dyDescent="0.2">
      <c r="A1455" s="23" t="s">
        <v>974</v>
      </c>
      <c r="B1455" s="23" t="s">
        <v>9</v>
      </c>
      <c r="C1455" s="23" t="s">
        <v>46</v>
      </c>
      <c r="D1455" s="23">
        <v>4.001325776854106</v>
      </c>
      <c r="E1455" s="23">
        <v>2024</v>
      </c>
      <c r="F1455" s="15" t="s">
        <v>3325</v>
      </c>
      <c r="G1455" s="15" t="s">
        <v>3320</v>
      </c>
      <c r="H1455" s="23" t="s">
        <v>58</v>
      </c>
    </row>
    <row r="1456" spans="1:8" ht="54.95" customHeight="1" x14ac:dyDescent="0.2">
      <c r="A1456" s="23" t="s">
        <v>974</v>
      </c>
      <c r="B1456" s="23" t="s">
        <v>10</v>
      </c>
      <c r="C1456" s="23" t="s">
        <v>46</v>
      </c>
      <c r="D1456" s="23">
        <v>0.53386440751765984</v>
      </c>
      <c r="E1456" s="23">
        <v>2024</v>
      </c>
      <c r="F1456" s="15" t="s">
        <v>3326</v>
      </c>
      <c r="G1456" s="15" t="s">
        <v>3320</v>
      </c>
      <c r="H1456" s="23" t="s">
        <v>58</v>
      </c>
    </row>
    <row r="1457" spans="1:8" ht="54.95" customHeight="1" x14ac:dyDescent="0.2">
      <c r="A1457" s="23" t="s">
        <v>974</v>
      </c>
      <c r="B1457" s="23" t="s">
        <v>5</v>
      </c>
      <c r="C1457" s="23" t="s">
        <v>3685</v>
      </c>
      <c r="D1457" s="23">
        <v>7.3832560296120002</v>
      </c>
      <c r="E1457" s="23">
        <v>2024</v>
      </c>
      <c r="F1457" s="15" t="s">
        <v>3316</v>
      </c>
      <c r="G1457" s="15" t="s">
        <v>3311</v>
      </c>
      <c r="H1457" s="23" t="s">
        <v>58</v>
      </c>
    </row>
    <row r="1458" spans="1:8" ht="54.95" customHeight="1" x14ac:dyDescent="0.2">
      <c r="A1458" s="23" t="s">
        <v>980</v>
      </c>
      <c r="B1458" s="23" t="s">
        <v>11</v>
      </c>
      <c r="C1458" s="23" t="s">
        <v>46</v>
      </c>
      <c r="D1458" s="23">
        <v>0</v>
      </c>
      <c r="E1458" s="23">
        <v>2025</v>
      </c>
      <c r="F1458" s="15" t="s">
        <v>3299</v>
      </c>
      <c r="G1458" s="15" t="s">
        <v>3300</v>
      </c>
      <c r="H1458" s="23" t="s">
        <v>58</v>
      </c>
    </row>
    <row r="1459" spans="1:8" ht="54.95" customHeight="1" x14ac:dyDescent="0.2">
      <c r="A1459" s="23" t="s">
        <v>980</v>
      </c>
      <c r="B1459" s="23" t="s">
        <v>13</v>
      </c>
      <c r="C1459" s="23" t="s">
        <v>46</v>
      </c>
      <c r="D1459" s="23">
        <v>0</v>
      </c>
      <c r="E1459" s="23">
        <v>2025</v>
      </c>
      <c r="F1459" s="15" t="s">
        <v>3302</v>
      </c>
      <c r="G1459" s="15" t="s">
        <v>3300</v>
      </c>
      <c r="H1459" s="23" t="s">
        <v>58</v>
      </c>
    </row>
    <row r="1460" spans="1:8" ht="54.95" customHeight="1" x14ac:dyDescent="0.2">
      <c r="A1460" s="23" t="s">
        <v>980</v>
      </c>
      <c r="B1460" s="23" t="s">
        <v>14</v>
      </c>
      <c r="C1460" s="23" t="s">
        <v>46</v>
      </c>
      <c r="D1460" s="23">
        <v>0</v>
      </c>
      <c r="E1460" s="23">
        <v>2025</v>
      </c>
      <c r="F1460" s="15" t="s">
        <v>3304</v>
      </c>
      <c r="G1460" s="15" t="s">
        <v>3300</v>
      </c>
      <c r="H1460" s="23" t="s">
        <v>58</v>
      </c>
    </row>
    <row r="1461" spans="1:8" ht="54.95" customHeight="1" x14ac:dyDescent="0.2">
      <c r="A1461" s="23" t="s">
        <v>980</v>
      </c>
      <c r="B1461" s="23" t="s">
        <v>3</v>
      </c>
      <c r="C1461" s="23" t="s">
        <v>3686</v>
      </c>
      <c r="D1461" s="23">
        <v>39399.383610000004</v>
      </c>
      <c r="E1461" s="23">
        <v>2024</v>
      </c>
      <c r="F1461" s="15" t="s">
        <v>3316</v>
      </c>
      <c r="G1461" s="15" t="s">
        <v>3317</v>
      </c>
      <c r="H1461" s="23" t="s">
        <v>58</v>
      </c>
    </row>
    <row r="1462" spans="1:8" ht="54.95" customHeight="1" x14ac:dyDescent="0.2">
      <c r="A1462" s="23" t="s">
        <v>980</v>
      </c>
      <c r="B1462" s="23" t="s">
        <v>6</v>
      </c>
      <c r="C1462" s="23" t="s">
        <v>46</v>
      </c>
      <c r="D1462" s="23">
        <v>34.27302394795003</v>
      </c>
      <c r="E1462" s="23">
        <v>2024</v>
      </c>
      <c r="F1462" s="15" t="s">
        <v>3319</v>
      </c>
      <c r="G1462" s="15" t="s">
        <v>3320</v>
      </c>
      <c r="H1462" s="23" t="s">
        <v>58</v>
      </c>
    </row>
    <row r="1463" spans="1:8" ht="54.95" customHeight="1" x14ac:dyDescent="0.2">
      <c r="A1463" s="23" t="s">
        <v>980</v>
      </c>
      <c r="B1463" s="23" t="s">
        <v>7</v>
      </c>
      <c r="C1463" s="23" t="s">
        <v>46</v>
      </c>
      <c r="D1463" s="23">
        <v>36.316791226064566</v>
      </c>
      <c r="E1463" s="23">
        <v>2024</v>
      </c>
      <c r="F1463" s="15" t="s">
        <v>3322</v>
      </c>
      <c r="G1463" s="15" t="s">
        <v>3320</v>
      </c>
      <c r="H1463" s="23" t="s">
        <v>58</v>
      </c>
    </row>
    <row r="1464" spans="1:8" ht="54.95" customHeight="1" x14ac:dyDescent="0.2">
      <c r="A1464" s="23" t="s">
        <v>980</v>
      </c>
      <c r="B1464" s="23" t="s">
        <v>8</v>
      </c>
      <c r="C1464" s="23" t="s">
        <v>46</v>
      </c>
      <c r="D1464" s="23">
        <v>12.055784623479289</v>
      </c>
      <c r="E1464" s="23">
        <v>2024</v>
      </c>
      <c r="F1464" s="15" t="s">
        <v>3324</v>
      </c>
      <c r="G1464" s="15" t="s">
        <v>3320</v>
      </c>
      <c r="H1464" s="23" t="s">
        <v>58</v>
      </c>
    </row>
    <row r="1465" spans="1:8" ht="54.95" customHeight="1" x14ac:dyDescent="0.2">
      <c r="A1465" s="23" t="s">
        <v>980</v>
      </c>
      <c r="B1465" s="23" t="s">
        <v>9</v>
      </c>
      <c r="C1465" s="23" t="s">
        <v>46</v>
      </c>
      <c r="D1465" s="23">
        <v>2.0152365906518299</v>
      </c>
      <c r="E1465" s="23">
        <v>2024</v>
      </c>
      <c r="F1465" s="15" t="s">
        <v>3325</v>
      </c>
      <c r="G1465" s="15" t="s">
        <v>3320</v>
      </c>
      <c r="H1465" s="23" t="s">
        <v>58</v>
      </c>
    </row>
    <row r="1466" spans="1:8" ht="54.95" customHeight="1" x14ac:dyDescent="0.2">
      <c r="A1466" s="23" t="s">
        <v>980</v>
      </c>
      <c r="B1466" s="23" t="s">
        <v>10</v>
      </c>
      <c r="C1466" s="23" t="s">
        <v>46</v>
      </c>
      <c r="D1466" s="23">
        <v>15.289334560734261</v>
      </c>
      <c r="E1466" s="23">
        <v>2024</v>
      </c>
      <c r="F1466" s="15" t="s">
        <v>3326</v>
      </c>
      <c r="G1466" s="15" t="s">
        <v>3320</v>
      </c>
      <c r="H1466" s="23" t="s">
        <v>58</v>
      </c>
    </row>
    <row r="1467" spans="1:8" ht="54.95" customHeight="1" x14ac:dyDescent="0.2">
      <c r="A1467" s="23" t="s">
        <v>980</v>
      </c>
      <c r="B1467" s="23" t="s">
        <v>5</v>
      </c>
      <c r="C1467" s="23" t="s">
        <v>3687</v>
      </c>
      <c r="D1467" s="23">
        <v>14.420174401260002</v>
      </c>
      <c r="E1467" s="23">
        <v>2024</v>
      </c>
      <c r="F1467" s="15" t="s">
        <v>3316</v>
      </c>
      <c r="G1467" s="15" t="s">
        <v>3311</v>
      </c>
      <c r="H1467" s="23" t="s">
        <v>58</v>
      </c>
    </row>
    <row r="1468" spans="1:8" ht="54.95" customHeight="1" x14ac:dyDescent="0.2">
      <c r="A1468" s="23" t="s">
        <v>986</v>
      </c>
      <c r="B1468" s="23" t="s">
        <v>11</v>
      </c>
      <c r="C1468" s="23" t="s">
        <v>46</v>
      </c>
      <c r="D1468" s="23">
        <v>0</v>
      </c>
      <c r="E1468" s="23">
        <v>2025</v>
      </c>
      <c r="F1468" s="15" t="s">
        <v>3299</v>
      </c>
      <c r="G1468" s="15" t="s">
        <v>3300</v>
      </c>
      <c r="H1468" s="23" t="s">
        <v>58</v>
      </c>
    </row>
    <row r="1469" spans="1:8" ht="54.95" customHeight="1" x14ac:dyDescent="0.2">
      <c r="A1469" s="23" t="s">
        <v>986</v>
      </c>
      <c r="B1469" s="23" t="s">
        <v>13</v>
      </c>
      <c r="C1469" s="23" t="s">
        <v>46</v>
      </c>
      <c r="D1469" s="23">
        <v>0</v>
      </c>
      <c r="E1469" s="23">
        <v>2025</v>
      </c>
      <c r="F1469" s="15" t="s">
        <v>3302</v>
      </c>
      <c r="G1469" s="15" t="s">
        <v>3300</v>
      </c>
      <c r="H1469" s="23" t="s">
        <v>58</v>
      </c>
    </row>
    <row r="1470" spans="1:8" ht="54.95" customHeight="1" x14ac:dyDescent="0.2">
      <c r="A1470" s="23" t="s">
        <v>986</v>
      </c>
      <c r="B1470" s="23" t="s">
        <v>14</v>
      </c>
      <c r="C1470" s="23" t="s">
        <v>46</v>
      </c>
      <c r="D1470" s="23">
        <v>0</v>
      </c>
      <c r="E1470" s="23">
        <v>2025</v>
      </c>
      <c r="F1470" s="15" t="s">
        <v>3304</v>
      </c>
      <c r="G1470" s="15" t="s">
        <v>3300</v>
      </c>
      <c r="H1470" s="23" t="s">
        <v>58</v>
      </c>
    </row>
    <row r="1471" spans="1:8" ht="54.95" customHeight="1" x14ac:dyDescent="0.2">
      <c r="A1471" s="23" t="s">
        <v>986</v>
      </c>
      <c r="B1471" s="23" t="s">
        <v>3</v>
      </c>
      <c r="C1471" s="23" t="s">
        <v>3688</v>
      </c>
      <c r="D1471" s="23">
        <v>15690.352541</v>
      </c>
      <c r="E1471" s="23">
        <v>2024</v>
      </c>
      <c r="F1471" s="15" t="s">
        <v>3316</v>
      </c>
      <c r="G1471" s="15" t="s">
        <v>3317</v>
      </c>
      <c r="H1471" s="23" t="s">
        <v>58</v>
      </c>
    </row>
    <row r="1472" spans="1:8" ht="54.95" customHeight="1" x14ac:dyDescent="0.2">
      <c r="A1472" s="23" t="s">
        <v>986</v>
      </c>
      <c r="B1472" s="23" t="s">
        <v>6</v>
      </c>
      <c r="C1472" s="23" t="s">
        <v>46</v>
      </c>
      <c r="D1472" s="23">
        <v>27.983150592231169</v>
      </c>
      <c r="E1472" s="23">
        <v>2024</v>
      </c>
      <c r="F1472" s="15" t="s">
        <v>3319</v>
      </c>
      <c r="G1472" s="15" t="s">
        <v>3320</v>
      </c>
      <c r="H1472" s="23" t="s">
        <v>58</v>
      </c>
    </row>
    <row r="1473" spans="1:8" ht="54.95" customHeight="1" x14ac:dyDescent="0.2">
      <c r="A1473" s="23" t="s">
        <v>986</v>
      </c>
      <c r="B1473" s="23" t="s">
        <v>7</v>
      </c>
      <c r="C1473" s="23" t="s">
        <v>46</v>
      </c>
      <c r="D1473" s="23">
        <v>35.82419044003047</v>
      </c>
      <c r="E1473" s="23">
        <v>2024</v>
      </c>
      <c r="F1473" s="15" t="s">
        <v>3322</v>
      </c>
      <c r="G1473" s="15" t="s">
        <v>3320</v>
      </c>
      <c r="H1473" s="23" t="s">
        <v>58</v>
      </c>
    </row>
    <row r="1474" spans="1:8" ht="54.95" customHeight="1" x14ac:dyDescent="0.2">
      <c r="A1474" s="23" t="s">
        <v>986</v>
      </c>
      <c r="B1474" s="23" t="s">
        <v>8</v>
      </c>
      <c r="C1474" s="23" t="s">
        <v>46</v>
      </c>
      <c r="D1474" s="23">
        <v>16.23917970830761</v>
      </c>
      <c r="E1474" s="23">
        <v>2024</v>
      </c>
      <c r="F1474" s="15" t="s">
        <v>3324</v>
      </c>
      <c r="G1474" s="15" t="s">
        <v>3320</v>
      </c>
      <c r="H1474" s="23" t="s">
        <v>58</v>
      </c>
    </row>
    <row r="1475" spans="1:8" ht="54.95" customHeight="1" x14ac:dyDescent="0.2">
      <c r="A1475" s="23" t="s">
        <v>986</v>
      </c>
      <c r="B1475" s="23" t="s">
        <v>9</v>
      </c>
      <c r="C1475" s="23" t="s">
        <v>46</v>
      </c>
      <c r="D1475" s="23">
        <v>16.367506550852333</v>
      </c>
      <c r="E1475" s="23">
        <v>2024</v>
      </c>
      <c r="F1475" s="15" t="s">
        <v>3325</v>
      </c>
      <c r="G1475" s="15" t="s">
        <v>3320</v>
      </c>
      <c r="H1475" s="23" t="s">
        <v>58</v>
      </c>
    </row>
    <row r="1476" spans="1:8" ht="54.95" customHeight="1" x14ac:dyDescent="0.2">
      <c r="A1476" s="23" t="s">
        <v>986</v>
      </c>
      <c r="B1476" s="23" t="s">
        <v>10</v>
      </c>
      <c r="C1476" s="23" t="s">
        <v>46</v>
      </c>
      <c r="D1476" s="23">
        <v>3.5859727085784159</v>
      </c>
      <c r="E1476" s="23">
        <v>2024</v>
      </c>
      <c r="F1476" s="15" t="s">
        <v>3326</v>
      </c>
      <c r="G1476" s="15" t="s">
        <v>3320</v>
      </c>
      <c r="H1476" s="23" t="s">
        <v>58</v>
      </c>
    </row>
    <row r="1477" spans="1:8" ht="54.95" customHeight="1" x14ac:dyDescent="0.2">
      <c r="A1477" s="23" t="s">
        <v>986</v>
      </c>
      <c r="B1477" s="23" t="s">
        <v>5</v>
      </c>
      <c r="C1477" s="23" t="s">
        <v>3689</v>
      </c>
      <c r="D1477" s="23">
        <v>5.7426690300059997</v>
      </c>
      <c r="E1477" s="23">
        <v>2024</v>
      </c>
      <c r="F1477" s="15" t="s">
        <v>3316</v>
      </c>
      <c r="G1477" s="15" t="s">
        <v>3311</v>
      </c>
      <c r="H1477" s="23" t="s">
        <v>58</v>
      </c>
    </row>
    <row r="1478" spans="1:8" ht="54.95" customHeight="1" x14ac:dyDescent="0.2">
      <c r="A1478" s="23" t="s">
        <v>992</v>
      </c>
      <c r="B1478" s="23" t="s">
        <v>11</v>
      </c>
      <c r="C1478" s="23" t="s">
        <v>46</v>
      </c>
      <c r="D1478" s="23">
        <v>186120.7965451671</v>
      </c>
      <c r="E1478" s="23">
        <v>2025</v>
      </c>
      <c r="F1478" s="15" t="s">
        <v>3299</v>
      </c>
      <c r="G1478" s="15" t="s">
        <v>3300</v>
      </c>
      <c r="H1478" s="23" t="s">
        <v>58</v>
      </c>
    </row>
    <row r="1479" spans="1:8" ht="54.95" customHeight="1" x14ac:dyDescent="0.2">
      <c r="A1479" s="23" t="s">
        <v>992</v>
      </c>
      <c r="B1479" s="23" t="s">
        <v>13</v>
      </c>
      <c r="C1479" s="23" t="s">
        <v>46</v>
      </c>
      <c r="D1479" s="23">
        <v>182980.82191780821</v>
      </c>
      <c r="E1479" s="23">
        <v>2025</v>
      </c>
      <c r="F1479" s="15" t="s">
        <v>3302</v>
      </c>
      <c r="G1479" s="15" t="s">
        <v>3300</v>
      </c>
      <c r="H1479" s="23" t="s">
        <v>58</v>
      </c>
    </row>
    <row r="1480" spans="1:8" ht="54.95" customHeight="1" x14ac:dyDescent="0.2">
      <c r="A1480" s="23" t="s">
        <v>992</v>
      </c>
      <c r="B1480" s="23" t="s">
        <v>14</v>
      </c>
      <c r="C1480" s="23" t="s">
        <v>46</v>
      </c>
      <c r="D1480" s="23">
        <v>2533.0438356164386</v>
      </c>
      <c r="E1480" s="23">
        <v>2025</v>
      </c>
      <c r="F1480" s="15" t="s">
        <v>3304</v>
      </c>
      <c r="G1480" s="15" t="s">
        <v>3300</v>
      </c>
      <c r="H1480" s="23" t="s">
        <v>58</v>
      </c>
    </row>
    <row r="1481" spans="1:8" ht="54.95" customHeight="1" x14ac:dyDescent="0.2">
      <c r="A1481" s="23" t="s">
        <v>992</v>
      </c>
      <c r="B1481" s="23" t="s">
        <v>3</v>
      </c>
      <c r="C1481" s="23" t="s">
        <v>3690</v>
      </c>
      <c r="D1481" s="23">
        <v>102778.77643099999</v>
      </c>
      <c r="E1481" s="23">
        <v>2024</v>
      </c>
      <c r="F1481" s="15" t="s">
        <v>3316</v>
      </c>
      <c r="G1481" s="15" t="s">
        <v>3317</v>
      </c>
      <c r="H1481" s="23" t="s">
        <v>58</v>
      </c>
    </row>
    <row r="1482" spans="1:8" ht="54.95" customHeight="1" x14ac:dyDescent="0.2">
      <c r="A1482" s="23" t="s">
        <v>992</v>
      </c>
      <c r="B1482" s="23" t="s">
        <v>6</v>
      </c>
      <c r="C1482" s="23" t="s">
        <v>46</v>
      </c>
      <c r="D1482" s="23">
        <v>43.239073837228418</v>
      </c>
      <c r="E1482" s="23">
        <v>2024</v>
      </c>
      <c r="F1482" s="15" t="s">
        <v>3319</v>
      </c>
      <c r="G1482" s="15" t="s">
        <v>3320</v>
      </c>
      <c r="H1482" s="23" t="s">
        <v>58</v>
      </c>
    </row>
    <row r="1483" spans="1:8" ht="54.95" customHeight="1" x14ac:dyDescent="0.2">
      <c r="A1483" s="23" t="s">
        <v>992</v>
      </c>
      <c r="B1483" s="23" t="s">
        <v>7</v>
      </c>
      <c r="C1483" s="23" t="s">
        <v>46</v>
      </c>
      <c r="D1483" s="23">
        <v>40.184572237758985</v>
      </c>
      <c r="E1483" s="23">
        <v>2024</v>
      </c>
      <c r="F1483" s="15" t="s">
        <v>3322</v>
      </c>
      <c r="G1483" s="15" t="s">
        <v>3320</v>
      </c>
      <c r="H1483" s="23" t="s">
        <v>58</v>
      </c>
    </row>
    <row r="1484" spans="1:8" ht="54.95" customHeight="1" x14ac:dyDescent="0.2">
      <c r="A1484" s="23" t="s">
        <v>992</v>
      </c>
      <c r="B1484" s="23" t="s">
        <v>8</v>
      </c>
      <c r="C1484" s="23" t="s">
        <v>46</v>
      </c>
      <c r="D1484" s="23">
        <v>9.9753166908763209</v>
      </c>
      <c r="E1484" s="23">
        <v>2024</v>
      </c>
      <c r="F1484" s="15" t="s">
        <v>3324</v>
      </c>
      <c r="G1484" s="15" t="s">
        <v>3320</v>
      </c>
      <c r="H1484" s="23" t="s">
        <v>58</v>
      </c>
    </row>
    <row r="1485" spans="1:8" ht="54.95" customHeight="1" x14ac:dyDescent="0.2">
      <c r="A1485" s="23" t="s">
        <v>992</v>
      </c>
      <c r="B1485" s="23" t="s">
        <v>9</v>
      </c>
      <c r="C1485" s="23" t="s">
        <v>46</v>
      </c>
      <c r="D1485" s="23">
        <v>4.4575710920977194</v>
      </c>
      <c r="E1485" s="23">
        <v>2024</v>
      </c>
      <c r="F1485" s="15" t="s">
        <v>3325</v>
      </c>
      <c r="G1485" s="15" t="s">
        <v>3320</v>
      </c>
      <c r="H1485" s="23" t="s">
        <v>58</v>
      </c>
    </row>
    <row r="1486" spans="1:8" ht="54.95" customHeight="1" x14ac:dyDescent="0.2">
      <c r="A1486" s="23" t="s">
        <v>992</v>
      </c>
      <c r="B1486" s="23" t="s">
        <v>10</v>
      </c>
      <c r="C1486" s="23" t="s">
        <v>46</v>
      </c>
      <c r="D1486" s="23">
        <v>1.241473539876802</v>
      </c>
      <c r="E1486" s="23">
        <v>2024</v>
      </c>
      <c r="F1486" s="15" t="s">
        <v>3326</v>
      </c>
      <c r="G1486" s="15" t="s">
        <v>3320</v>
      </c>
      <c r="H1486" s="23" t="s">
        <v>58</v>
      </c>
    </row>
    <row r="1487" spans="1:8" ht="54.95" customHeight="1" x14ac:dyDescent="0.2">
      <c r="A1487" s="23" t="s">
        <v>992</v>
      </c>
      <c r="B1487" s="23" t="s">
        <v>5</v>
      </c>
      <c r="C1487" s="23" t="s">
        <v>3691</v>
      </c>
      <c r="D1487" s="23">
        <v>37.617032173745997</v>
      </c>
      <c r="E1487" s="23">
        <v>2024</v>
      </c>
      <c r="F1487" s="15" t="s">
        <v>3316</v>
      </c>
      <c r="G1487" s="15" t="s">
        <v>3311</v>
      </c>
      <c r="H1487" s="23" t="s">
        <v>58</v>
      </c>
    </row>
    <row r="1488" spans="1:8" ht="54.95" customHeight="1" x14ac:dyDescent="0.2">
      <c r="A1488" s="23" t="s">
        <v>998</v>
      </c>
      <c r="B1488" s="23" t="s">
        <v>11</v>
      </c>
      <c r="C1488" s="23" t="s">
        <v>46</v>
      </c>
      <c r="D1488" s="23">
        <v>0</v>
      </c>
      <c r="E1488" s="23">
        <v>2025</v>
      </c>
      <c r="F1488" s="15" t="s">
        <v>3299</v>
      </c>
      <c r="G1488" s="15" t="s">
        <v>3300</v>
      </c>
      <c r="H1488" s="23" t="s">
        <v>58</v>
      </c>
    </row>
    <row r="1489" spans="1:8" ht="54.95" customHeight="1" x14ac:dyDescent="0.2">
      <c r="A1489" s="23" t="s">
        <v>998</v>
      </c>
      <c r="B1489" s="23" t="s">
        <v>13</v>
      </c>
      <c r="C1489" s="23" t="s">
        <v>46</v>
      </c>
      <c r="D1489" s="23">
        <v>0</v>
      </c>
      <c r="E1489" s="23">
        <v>2025</v>
      </c>
      <c r="F1489" s="15" t="s">
        <v>3302</v>
      </c>
      <c r="G1489" s="15" t="s">
        <v>3300</v>
      </c>
      <c r="H1489" s="23" t="s">
        <v>58</v>
      </c>
    </row>
    <row r="1490" spans="1:8" ht="54.95" customHeight="1" x14ac:dyDescent="0.2">
      <c r="A1490" s="23" t="s">
        <v>998</v>
      </c>
      <c r="B1490" s="23" t="s">
        <v>14</v>
      </c>
      <c r="C1490" s="23" t="s">
        <v>46</v>
      </c>
      <c r="D1490" s="23">
        <v>0</v>
      </c>
      <c r="E1490" s="23">
        <v>2025</v>
      </c>
      <c r="F1490" s="15" t="s">
        <v>3304</v>
      </c>
      <c r="G1490" s="15" t="s">
        <v>3300</v>
      </c>
      <c r="H1490" s="23" t="s">
        <v>58</v>
      </c>
    </row>
    <row r="1491" spans="1:8" ht="54.95" customHeight="1" x14ac:dyDescent="0.2">
      <c r="A1491" s="23" t="s">
        <v>998</v>
      </c>
      <c r="B1491" s="23" t="s">
        <v>3</v>
      </c>
      <c r="C1491" s="23" t="s">
        <v>3692</v>
      </c>
      <c r="D1491" s="23">
        <v>2442.7920049999998</v>
      </c>
      <c r="E1491" s="23">
        <v>2024</v>
      </c>
      <c r="F1491" s="15" t="s">
        <v>3316</v>
      </c>
      <c r="G1491" s="15" t="s">
        <v>3317</v>
      </c>
      <c r="H1491" s="23" t="s">
        <v>58</v>
      </c>
    </row>
    <row r="1492" spans="1:8" ht="54.95" customHeight="1" x14ac:dyDescent="0.2">
      <c r="A1492" s="23" t="s">
        <v>998</v>
      </c>
      <c r="B1492" s="23" t="s">
        <v>6</v>
      </c>
      <c r="C1492" s="23" t="s">
        <v>46</v>
      </c>
      <c r="D1492" s="23">
        <v>55.582286343695472</v>
      </c>
      <c r="E1492" s="23">
        <v>2024</v>
      </c>
      <c r="F1492" s="15" t="s">
        <v>3319</v>
      </c>
      <c r="G1492" s="15" t="s">
        <v>3320</v>
      </c>
      <c r="H1492" s="23" t="s">
        <v>58</v>
      </c>
    </row>
    <row r="1493" spans="1:8" ht="54.95" customHeight="1" x14ac:dyDescent="0.2">
      <c r="A1493" s="23" t="s">
        <v>998</v>
      </c>
      <c r="B1493" s="23" t="s">
        <v>7</v>
      </c>
      <c r="C1493" s="23" t="s">
        <v>46</v>
      </c>
      <c r="D1493" s="23">
        <v>16.671700912988701</v>
      </c>
      <c r="E1493" s="23">
        <v>2024</v>
      </c>
      <c r="F1493" s="15" t="s">
        <v>3322</v>
      </c>
      <c r="G1493" s="15" t="s">
        <v>3320</v>
      </c>
      <c r="H1493" s="23" t="s">
        <v>58</v>
      </c>
    </row>
    <row r="1494" spans="1:8" ht="54.95" customHeight="1" x14ac:dyDescent="0.2">
      <c r="A1494" s="23" t="s">
        <v>998</v>
      </c>
      <c r="B1494" s="23" t="s">
        <v>8</v>
      </c>
      <c r="C1494" s="23" t="s">
        <v>46</v>
      </c>
      <c r="D1494" s="23">
        <v>1.3740574691294685</v>
      </c>
      <c r="E1494" s="23">
        <v>2024</v>
      </c>
      <c r="F1494" s="15" t="s">
        <v>3324</v>
      </c>
      <c r="G1494" s="15" t="s">
        <v>3320</v>
      </c>
      <c r="H1494" s="23" t="s">
        <v>58</v>
      </c>
    </row>
    <row r="1495" spans="1:8" ht="54.95" customHeight="1" x14ac:dyDescent="0.2">
      <c r="A1495" s="23" t="s">
        <v>998</v>
      </c>
      <c r="B1495" s="23" t="s">
        <v>9</v>
      </c>
      <c r="C1495" s="23" t="s">
        <v>46</v>
      </c>
      <c r="D1495" s="23">
        <v>1.1272013312488305</v>
      </c>
      <c r="E1495" s="23">
        <v>2024</v>
      </c>
      <c r="F1495" s="15" t="s">
        <v>3325</v>
      </c>
      <c r="G1495" s="15" t="s">
        <v>3320</v>
      </c>
      <c r="H1495" s="23" t="s">
        <v>58</v>
      </c>
    </row>
    <row r="1496" spans="1:8" ht="54.95" customHeight="1" x14ac:dyDescent="0.2">
      <c r="A1496" s="23" t="s">
        <v>998</v>
      </c>
      <c r="B1496" s="23" t="s">
        <v>10</v>
      </c>
      <c r="C1496" s="23" t="s">
        <v>46</v>
      </c>
      <c r="D1496" s="23">
        <v>25.244753942937521</v>
      </c>
      <c r="E1496" s="23">
        <v>2024</v>
      </c>
      <c r="F1496" s="15" t="s">
        <v>3326</v>
      </c>
      <c r="G1496" s="15" t="s">
        <v>3320</v>
      </c>
      <c r="H1496" s="23" t="s">
        <v>58</v>
      </c>
    </row>
    <row r="1497" spans="1:8" ht="54.95" customHeight="1" x14ac:dyDescent="0.2">
      <c r="A1497" s="23" t="s">
        <v>998</v>
      </c>
      <c r="B1497" s="23" t="s">
        <v>5</v>
      </c>
      <c r="C1497" s="23" t="s">
        <v>3693</v>
      </c>
      <c r="D1497" s="23">
        <v>0.89406187382999991</v>
      </c>
      <c r="E1497" s="23">
        <v>2024</v>
      </c>
      <c r="F1497" s="15" t="s">
        <v>3316</v>
      </c>
      <c r="G1497" s="15" t="s">
        <v>3311</v>
      </c>
      <c r="H1497" s="23" t="s">
        <v>58</v>
      </c>
    </row>
    <row r="1498" spans="1:8" ht="54.95" customHeight="1" x14ac:dyDescent="0.2">
      <c r="A1498" s="23" t="s">
        <v>1003</v>
      </c>
      <c r="B1498" s="23" t="s">
        <v>11</v>
      </c>
      <c r="C1498" s="23" t="s">
        <v>46</v>
      </c>
      <c r="D1498" s="23">
        <v>0</v>
      </c>
      <c r="E1498" s="23">
        <v>2025</v>
      </c>
      <c r="F1498" s="15" t="s">
        <v>3299</v>
      </c>
      <c r="G1498" s="15" t="s">
        <v>3300</v>
      </c>
      <c r="H1498" s="23" t="s">
        <v>58</v>
      </c>
    </row>
    <row r="1499" spans="1:8" ht="54.95" customHeight="1" x14ac:dyDescent="0.2">
      <c r="A1499" s="23" t="s">
        <v>1003</v>
      </c>
      <c r="B1499" s="23" t="s">
        <v>13</v>
      </c>
      <c r="C1499" s="23" t="s">
        <v>46</v>
      </c>
      <c r="D1499" s="23">
        <v>0</v>
      </c>
      <c r="E1499" s="23">
        <v>2025</v>
      </c>
      <c r="F1499" s="15" t="s">
        <v>3302</v>
      </c>
      <c r="G1499" s="15" t="s">
        <v>3300</v>
      </c>
      <c r="H1499" s="23" t="s">
        <v>58</v>
      </c>
    </row>
    <row r="1500" spans="1:8" ht="54.95" customHeight="1" x14ac:dyDescent="0.2">
      <c r="A1500" s="23" t="s">
        <v>1003</v>
      </c>
      <c r="B1500" s="23" t="s">
        <v>14</v>
      </c>
      <c r="C1500" s="23" t="s">
        <v>46</v>
      </c>
      <c r="D1500" s="23">
        <v>0</v>
      </c>
      <c r="E1500" s="23">
        <v>2025</v>
      </c>
      <c r="F1500" s="15" t="s">
        <v>3304</v>
      </c>
      <c r="G1500" s="15" t="s">
        <v>3300</v>
      </c>
      <c r="H1500" s="23" t="s">
        <v>58</v>
      </c>
    </row>
    <row r="1501" spans="1:8" ht="54.95" customHeight="1" x14ac:dyDescent="0.2">
      <c r="A1501" s="23" t="s">
        <v>1003</v>
      </c>
      <c r="B1501" s="23" t="s">
        <v>3</v>
      </c>
      <c r="C1501" s="23" t="s">
        <v>3694</v>
      </c>
      <c r="D1501" s="23">
        <v>88206.911779999995</v>
      </c>
      <c r="E1501" s="23">
        <v>2024</v>
      </c>
      <c r="F1501" s="15" t="s">
        <v>3316</v>
      </c>
      <c r="G1501" s="15" t="s">
        <v>3317</v>
      </c>
      <c r="H1501" s="23" t="s">
        <v>58</v>
      </c>
    </row>
    <row r="1502" spans="1:8" ht="54.95" customHeight="1" x14ac:dyDescent="0.2">
      <c r="A1502" s="23" t="s">
        <v>1003</v>
      </c>
      <c r="B1502" s="23" t="s">
        <v>6</v>
      </c>
      <c r="C1502" s="23" t="s">
        <v>46</v>
      </c>
      <c r="D1502" s="23">
        <v>15.023403192089399</v>
      </c>
      <c r="E1502" s="23">
        <v>2024</v>
      </c>
      <c r="F1502" s="15" t="s">
        <v>3319</v>
      </c>
      <c r="G1502" s="15" t="s">
        <v>3320</v>
      </c>
      <c r="H1502" s="23" t="s">
        <v>58</v>
      </c>
    </row>
    <row r="1503" spans="1:8" ht="54.95" customHeight="1" x14ac:dyDescent="0.2">
      <c r="A1503" s="23" t="s">
        <v>1003</v>
      </c>
      <c r="B1503" s="23" t="s">
        <v>7</v>
      </c>
      <c r="C1503" s="23" t="s">
        <v>46</v>
      </c>
      <c r="D1503" s="23">
        <v>1.1416792399576288</v>
      </c>
      <c r="E1503" s="23">
        <v>2024</v>
      </c>
      <c r="F1503" s="15" t="s">
        <v>3322</v>
      </c>
      <c r="G1503" s="15" t="s">
        <v>3320</v>
      </c>
      <c r="H1503" s="23" t="s">
        <v>58</v>
      </c>
    </row>
    <row r="1504" spans="1:8" ht="54.95" customHeight="1" x14ac:dyDescent="0.2">
      <c r="A1504" s="23" t="s">
        <v>1003</v>
      </c>
      <c r="B1504" s="23" t="s">
        <v>8</v>
      </c>
      <c r="C1504" s="23" t="s">
        <v>46</v>
      </c>
      <c r="D1504" s="23">
        <v>0</v>
      </c>
      <c r="E1504" s="23">
        <v>2024</v>
      </c>
      <c r="F1504" s="15" t="s">
        <v>3324</v>
      </c>
      <c r="G1504" s="15" t="s">
        <v>3320</v>
      </c>
      <c r="H1504" s="23" t="s">
        <v>58</v>
      </c>
    </row>
    <row r="1505" spans="1:8" ht="54.95" customHeight="1" x14ac:dyDescent="0.2">
      <c r="A1505" s="23" t="s">
        <v>1003</v>
      </c>
      <c r="B1505" s="23" t="s">
        <v>9</v>
      </c>
      <c r="C1505" s="23" t="s">
        <v>46</v>
      </c>
      <c r="D1505" s="23">
        <v>0.22167678932881013</v>
      </c>
      <c r="E1505" s="23">
        <v>2024</v>
      </c>
      <c r="F1505" s="15" t="s">
        <v>3325</v>
      </c>
      <c r="G1505" s="15" t="s">
        <v>3320</v>
      </c>
      <c r="H1505" s="23" t="s">
        <v>58</v>
      </c>
    </row>
    <row r="1506" spans="1:8" ht="54.95" customHeight="1" x14ac:dyDescent="0.2">
      <c r="A1506" s="23" t="s">
        <v>1003</v>
      </c>
      <c r="B1506" s="23" t="s">
        <v>10</v>
      </c>
      <c r="C1506" s="23" t="s">
        <v>46</v>
      </c>
      <c r="D1506" s="23">
        <v>83.61324077862416</v>
      </c>
      <c r="E1506" s="23">
        <v>2024</v>
      </c>
      <c r="F1506" s="15" t="s">
        <v>3326</v>
      </c>
      <c r="G1506" s="15" t="s">
        <v>3320</v>
      </c>
      <c r="H1506" s="23" t="s">
        <v>58</v>
      </c>
    </row>
    <row r="1507" spans="1:8" ht="54.95" customHeight="1" x14ac:dyDescent="0.2">
      <c r="A1507" s="23" t="s">
        <v>1003</v>
      </c>
      <c r="B1507" s="23" t="s">
        <v>5</v>
      </c>
      <c r="C1507" s="23" t="s">
        <v>3695</v>
      </c>
      <c r="D1507" s="23">
        <v>32.283729711479999</v>
      </c>
      <c r="E1507" s="23">
        <v>2024</v>
      </c>
      <c r="F1507" s="15" t="s">
        <v>3316</v>
      </c>
      <c r="G1507" s="15" t="s">
        <v>3311</v>
      </c>
      <c r="H1507" s="23" t="s">
        <v>58</v>
      </c>
    </row>
    <row r="1508" spans="1:8" ht="54.95" customHeight="1" x14ac:dyDescent="0.2">
      <c r="A1508" s="23" t="s">
        <v>1007</v>
      </c>
      <c r="B1508" s="23" t="s">
        <v>11</v>
      </c>
      <c r="C1508" s="23" t="s">
        <v>46</v>
      </c>
      <c r="D1508" s="23">
        <v>23612127.342465751</v>
      </c>
      <c r="E1508" s="23">
        <v>2025</v>
      </c>
      <c r="F1508" s="15" t="s">
        <v>3299</v>
      </c>
      <c r="G1508" s="15" t="s">
        <v>3300</v>
      </c>
      <c r="H1508" s="23" t="s">
        <v>58</v>
      </c>
    </row>
    <row r="1509" spans="1:8" ht="54.95" customHeight="1" x14ac:dyDescent="0.2">
      <c r="A1509" s="23" t="s">
        <v>1007</v>
      </c>
      <c r="B1509" s="23" t="s">
        <v>13</v>
      </c>
      <c r="C1509" s="23" t="s">
        <v>46</v>
      </c>
      <c r="D1509" s="23">
        <v>13586086.904109588</v>
      </c>
      <c r="E1509" s="23">
        <v>2025</v>
      </c>
      <c r="F1509" s="15" t="s">
        <v>3302</v>
      </c>
      <c r="G1509" s="15" t="s">
        <v>3300</v>
      </c>
      <c r="H1509" s="23" t="s">
        <v>58</v>
      </c>
    </row>
    <row r="1510" spans="1:8" ht="54.95" customHeight="1" x14ac:dyDescent="0.2">
      <c r="A1510" s="23" t="s">
        <v>1007</v>
      </c>
      <c r="B1510" s="23" t="s">
        <v>14</v>
      </c>
      <c r="C1510" s="23" t="s">
        <v>46</v>
      </c>
      <c r="D1510" s="23">
        <v>7479156.2328767125</v>
      </c>
      <c r="E1510" s="23">
        <v>2025</v>
      </c>
      <c r="F1510" s="15" t="s">
        <v>3304</v>
      </c>
      <c r="G1510" s="15" t="s">
        <v>3300</v>
      </c>
      <c r="H1510" s="23" t="s">
        <v>58</v>
      </c>
    </row>
    <row r="1511" spans="1:8" ht="54.95" customHeight="1" x14ac:dyDescent="0.2">
      <c r="A1511" s="23" t="s">
        <v>1007</v>
      </c>
      <c r="B1511" s="23" t="s">
        <v>3</v>
      </c>
      <c r="C1511" s="23" t="s">
        <v>3696</v>
      </c>
      <c r="D1511" s="23">
        <v>20727435.616438355</v>
      </c>
      <c r="E1511" s="23">
        <v>2025</v>
      </c>
      <c r="F1511" s="15" t="s">
        <v>3305</v>
      </c>
      <c r="G1511" s="15" t="s">
        <v>3306</v>
      </c>
      <c r="H1511" s="23" t="s">
        <v>58</v>
      </c>
    </row>
    <row r="1512" spans="1:8" ht="54.95" customHeight="1" x14ac:dyDescent="0.2">
      <c r="A1512" s="23" t="s">
        <v>1007</v>
      </c>
      <c r="B1512" s="23" t="s">
        <v>6</v>
      </c>
      <c r="C1512" s="23" t="s">
        <v>46</v>
      </c>
      <c r="D1512" s="23">
        <v>19.956885943241925</v>
      </c>
      <c r="E1512" s="23">
        <v>2025</v>
      </c>
      <c r="F1512" s="15" t="s">
        <v>3305</v>
      </c>
      <c r="G1512" s="15" t="s">
        <v>3308</v>
      </c>
      <c r="H1512" s="23" t="s">
        <v>58</v>
      </c>
    </row>
    <row r="1513" spans="1:8" ht="54.95" customHeight="1" x14ac:dyDescent="0.2">
      <c r="A1513" s="23" t="s">
        <v>1007</v>
      </c>
      <c r="B1513" s="23" t="s">
        <v>7</v>
      </c>
      <c r="C1513" s="23" t="s">
        <v>46</v>
      </c>
      <c r="D1513" s="23">
        <v>43.182525338000829</v>
      </c>
      <c r="E1513" s="23">
        <v>2025</v>
      </c>
      <c r="F1513" s="15" t="s">
        <v>3305</v>
      </c>
      <c r="G1513" s="15" t="s">
        <v>3308</v>
      </c>
      <c r="H1513" s="23" t="s">
        <v>58</v>
      </c>
    </row>
    <row r="1514" spans="1:8" ht="54.95" customHeight="1" x14ac:dyDescent="0.2">
      <c r="A1514" s="23" t="s">
        <v>1007</v>
      </c>
      <c r="B1514" s="23" t="s">
        <v>8</v>
      </c>
      <c r="C1514" s="23" t="s">
        <v>46</v>
      </c>
      <c r="D1514" s="23">
        <v>5.453747095042055</v>
      </c>
      <c r="E1514" s="23">
        <v>2025</v>
      </c>
      <c r="F1514" s="15" t="s">
        <v>3305</v>
      </c>
      <c r="G1514" s="15" t="s">
        <v>3308</v>
      </c>
      <c r="H1514" s="23" t="s">
        <v>58</v>
      </c>
    </row>
    <row r="1515" spans="1:8" ht="54.95" customHeight="1" x14ac:dyDescent="0.2">
      <c r="A1515" s="23" t="s">
        <v>1007</v>
      </c>
      <c r="B1515" s="23" t="s">
        <v>9</v>
      </c>
      <c r="C1515" s="23" t="s">
        <v>46</v>
      </c>
      <c r="D1515" s="23">
        <v>16.818804379979998</v>
      </c>
      <c r="E1515" s="23">
        <v>2025</v>
      </c>
      <c r="F1515" s="15" t="s">
        <v>3305</v>
      </c>
      <c r="G1515" s="15" t="s">
        <v>3308</v>
      </c>
      <c r="H1515" s="23" t="s">
        <v>58</v>
      </c>
    </row>
    <row r="1516" spans="1:8" ht="54.95" customHeight="1" x14ac:dyDescent="0.2">
      <c r="A1516" s="23" t="s">
        <v>1007</v>
      </c>
      <c r="B1516" s="23" t="s">
        <v>10</v>
      </c>
      <c r="C1516" s="23" t="s">
        <v>46</v>
      </c>
      <c r="D1516" s="23">
        <v>1.6702500319211622</v>
      </c>
      <c r="E1516" s="23">
        <v>2025</v>
      </c>
      <c r="F1516" s="15" t="s">
        <v>3305</v>
      </c>
      <c r="G1516" s="15" t="s">
        <v>3308</v>
      </c>
      <c r="H1516" s="23" t="s">
        <v>58</v>
      </c>
    </row>
    <row r="1517" spans="1:8" ht="54.95" customHeight="1" x14ac:dyDescent="0.2">
      <c r="A1517" s="23" t="s">
        <v>1007</v>
      </c>
      <c r="B1517" s="23" t="s">
        <v>5</v>
      </c>
      <c r="C1517" s="23" t="s">
        <v>3697</v>
      </c>
      <c r="D1517" s="23">
        <v>7565.5140000000001</v>
      </c>
      <c r="E1517" s="23">
        <v>2025</v>
      </c>
      <c r="F1517" s="15" t="s">
        <v>3305</v>
      </c>
      <c r="G1517" s="15" t="s">
        <v>3311</v>
      </c>
      <c r="H1517" s="23" t="s">
        <v>58</v>
      </c>
    </row>
    <row r="1518" spans="1:8" ht="54.95" customHeight="1" x14ac:dyDescent="0.2">
      <c r="A1518" s="23" t="s">
        <v>1013</v>
      </c>
      <c r="B1518" s="23" t="s">
        <v>11</v>
      </c>
      <c r="C1518" s="23" t="s">
        <v>46</v>
      </c>
      <c r="D1518" s="23">
        <v>6256639.152636393</v>
      </c>
      <c r="E1518" s="23">
        <v>2025</v>
      </c>
      <c r="F1518" s="15" t="s">
        <v>3299</v>
      </c>
      <c r="G1518" s="15" t="s">
        <v>3300</v>
      </c>
      <c r="H1518" s="23" t="s">
        <v>58</v>
      </c>
    </row>
    <row r="1519" spans="1:8" ht="54.95" customHeight="1" x14ac:dyDescent="0.2">
      <c r="A1519" s="23" t="s">
        <v>1013</v>
      </c>
      <c r="B1519" s="23" t="s">
        <v>13</v>
      </c>
      <c r="C1519" s="23" t="s">
        <v>46</v>
      </c>
      <c r="D1519" s="23">
        <v>4963934.9068493154</v>
      </c>
      <c r="E1519" s="23">
        <v>2025</v>
      </c>
      <c r="F1519" s="15" t="s">
        <v>3302</v>
      </c>
      <c r="G1519" s="15" t="s">
        <v>3300</v>
      </c>
      <c r="H1519" s="23" t="s">
        <v>58</v>
      </c>
    </row>
    <row r="1520" spans="1:8" ht="54.95" customHeight="1" x14ac:dyDescent="0.2">
      <c r="A1520" s="23" t="s">
        <v>1013</v>
      </c>
      <c r="B1520" s="23" t="s">
        <v>14</v>
      </c>
      <c r="C1520" s="23" t="s">
        <v>46</v>
      </c>
      <c r="D1520" s="23">
        <v>1181365.8343878291</v>
      </c>
      <c r="E1520" s="23">
        <v>2025</v>
      </c>
      <c r="F1520" s="15" t="s">
        <v>3304</v>
      </c>
      <c r="G1520" s="15" t="s">
        <v>3300</v>
      </c>
      <c r="H1520" s="23" t="s">
        <v>58</v>
      </c>
    </row>
    <row r="1521" spans="1:8" ht="54.95" customHeight="1" x14ac:dyDescent="0.2">
      <c r="A1521" s="23" t="s">
        <v>1013</v>
      </c>
      <c r="B1521" s="23" t="s">
        <v>3</v>
      </c>
      <c r="C1521" s="23" t="s">
        <v>3698</v>
      </c>
      <c r="D1521" s="23">
        <v>2502909.5890410957</v>
      </c>
      <c r="E1521" s="23">
        <v>2025</v>
      </c>
      <c r="F1521" s="15" t="s">
        <v>3305</v>
      </c>
      <c r="G1521" s="15" t="s">
        <v>3306</v>
      </c>
      <c r="H1521" s="23" t="s">
        <v>58</v>
      </c>
    </row>
    <row r="1522" spans="1:8" ht="54.95" customHeight="1" x14ac:dyDescent="0.2">
      <c r="A1522" s="23" t="s">
        <v>1013</v>
      </c>
      <c r="B1522" s="23" t="s">
        <v>6</v>
      </c>
      <c r="C1522" s="23" t="s">
        <v>46</v>
      </c>
      <c r="D1522" s="23">
        <v>24.444438363241904</v>
      </c>
      <c r="E1522" s="23">
        <v>2025</v>
      </c>
      <c r="F1522" s="15" t="s">
        <v>3305</v>
      </c>
      <c r="G1522" s="15" t="s">
        <v>3308</v>
      </c>
      <c r="H1522" s="23" t="s">
        <v>58</v>
      </c>
    </row>
    <row r="1523" spans="1:8" ht="54.95" customHeight="1" x14ac:dyDescent="0.2">
      <c r="A1523" s="23" t="s">
        <v>1013</v>
      </c>
      <c r="B1523" s="23" t="s">
        <v>7</v>
      </c>
      <c r="C1523" s="23" t="s">
        <v>46</v>
      </c>
      <c r="D1523" s="23">
        <v>29.930004750635426</v>
      </c>
      <c r="E1523" s="23">
        <v>2025</v>
      </c>
      <c r="F1523" s="15" t="s">
        <v>3305</v>
      </c>
      <c r="G1523" s="15" t="s">
        <v>3308</v>
      </c>
      <c r="H1523" s="23" t="s">
        <v>58</v>
      </c>
    </row>
    <row r="1524" spans="1:8" ht="54.95" customHeight="1" x14ac:dyDescent="0.2">
      <c r="A1524" s="23" t="s">
        <v>1013</v>
      </c>
      <c r="B1524" s="23" t="s">
        <v>8</v>
      </c>
      <c r="C1524" s="23" t="s">
        <v>46</v>
      </c>
      <c r="D1524" s="23">
        <v>10.791648514277083</v>
      </c>
      <c r="E1524" s="23">
        <v>2025</v>
      </c>
      <c r="F1524" s="15" t="s">
        <v>3305</v>
      </c>
      <c r="G1524" s="15" t="s">
        <v>3308</v>
      </c>
      <c r="H1524" s="23" t="s">
        <v>58</v>
      </c>
    </row>
    <row r="1525" spans="1:8" ht="54.95" customHeight="1" x14ac:dyDescent="0.2">
      <c r="A1525" s="23" t="s">
        <v>1013</v>
      </c>
      <c r="B1525" s="23" t="s">
        <v>9</v>
      </c>
      <c r="C1525" s="23" t="s">
        <v>46</v>
      </c>
      <c r="D1525" s="23">
        <v>13.545621424708996</v>
      </c>
      <c r="E1525" s="23">
        <v>2025</v>
      </c>
      <c r="F1525" s="15" t="s">
        <v>3305</v>
      </c>
      <c r="G1525" s="15" t="s">
        <v>3308</v>
      </c>
      <c r="H1525" s="23" t="s">
        <v>58</v>
      </c>
    </row>
    <row r="1526" spans="1:8" ht="54.95" customHeight="1" x14ac:dyDescent="0.2">
      <c r="A1526" s="23" t="s">
        <v>1013</v>
      </c>
      <c r="B1526" s="23" t="s">
        <v>10</v>
      </c>
      <c r="C1526" s="23" t="s">
        <v>46</v>
      </c>
      <c r="D1526" s="23">
        <v>1.1671523115015729</v>
      </c>
      <c r="E1526" s="23">
        <v>2025</v>
      </c>
      <c r="F1526" s="15" t="s">
        <v>3305</v>
      </c>
      <c r="G1526" s="15" t="s">
        <v>3308</v>
      </c>
      <c r="H1526" s="23" t="s">
        <v>58</v>
      </c>
    </row>
    <row r="1527" spans="1:8" ht="54.95" customHeight="1" x14ac:dyDescent="0.2">
      <c r="A1527" s="23" t="s">
        <v>1013</v>
      </c>
      <c r="B1527" s="23" t="s">
        <v>5</v>
      </c>
      <c r="C1527" s="23" t="s">
        <v>3699</v>
      </c>
      <c r="D1527" s="23">
        <v>913.5619999999999</v>
      </c>
      <c r="E1527" s="23">
        <v>2025</v>
      </c>
      <c r="F1527" s="15" t="s">
        <v>3305</v>
      </c>
      <c r="G1527" s="15" t="s">
        <v>3311</v>
      </c>
      <c r="H1527" s="23" t="s">
        <v>58</v>
      </c>
    </row>
    <row r="1528" spans="1:8" ht="54.95" customHeight="1" x14ac:dyDescent="0.2">
      <c r="A1528" s="23" t="s">
        <v>1019</v>
      </c>
      <c r="B1528" s="23" t="s">
        <v>11</v>
      </c>
      <c r="C1528" s="23" t="s">
        <v>46</v>
      </c>
      <c r="D1528" s="23">
        <v>1869380.7121006111</v>
      </c>
      <c r="E1528" s="23">
        <v>2025</v>
      </c>
      <c r="F1528" s="15" t="s">
        <v>3299</v>
      </c>
      <c r="G1528" s="15" t="s">
        <v>3300</v>
      </c>
      <c r="H1528" s="23" t="s">
        <v>58</v>
      </c>
    </row>
    <row r="1529" spans="1:8" ht="54.95" customHeight="1" x14ac:dyDescent="0.2">
      <c r="A1529" s="23" t="s">
        <v>1019</v>
      </c>
      <c r="B1529" s="23" t="s">
        <v>13</v>
      </c>
      <c r="C1529" s="23" t="s">
        <v>46</v>
      </c>
      <c r="D1529" s="23">
        <v>1726046.0876712329</v>
      </c>
      <c r="E1529" s="23">
        <v>2025</v>
      </c>
      <c r="F1529" s="15" t="s">
        <v>3302</v>
      </c>
      <c r="G1529" s="15" t="s">
        <v>3300</v>
      </c>
      <c r="H1529" s="23" t="s">
        <v>58</v>
      </c>
    </row>
    <row r="1530" spans="1:8" ht="54.95" customHeight="1" x14ac:dyDescent="0.2">
      <c r="A1530" s="23" t="s">
        <v>1019</v>
      </c>
      <c r="B1530" s="23" t="s">
        <v>14</v>
      </c>
      <c r="C1530" s="23" t="s">
        <v>46</v>
      </c>
      <c r="D1530" s="23">
        <v>123915.29863013698</v>
      </c>
      <c r="E1530" s="23">
        <v>2025</v>
      </c>
      <c r="F1530" s="15" t="s">
        <v>3304</v>
      </c>
      <c r="G1530" s="15" t="s">
        <v>3300</v>
      </c>
      <c r="H1530" s="23" t="s">
        <v>58</v>
      </c>
    </row>
    <row r="1531" spans="1:8" ht="54.95" customHeight="1" x14ac:dyDescent="0.2">
      <c r="A1531" s="23" t="s">
        <v>1019</v>
      </c>
      <c r="B1531" s="23" t="s">
        <v>3</v>
      </c>
      <c r="C1531" s="23" t="s">
        <v>3700</v>
      </c>
      <c r="D1531" s="23">
        <v>1480065.7534246575</v>
      </c>
      <c r="E1531" s="23">
        <v>2025</v>
      </c>
      <c r="F1531" s="15" t="s">
        <v>3305</v>
      </c>
      <c r="G1531" s="15" t="s">
        <v>3306</v>
      </c>
      <c r="H1531" s="23" t="s">
        <v>58</v>
      </c>
    </row>
    <row r="1532" spans="1:8" ht="54.95" customHeight="1" x14ac:dyDescent="0.2">
      <c r="A1532" s="23" t="s">
        <v>1019</v>
      </c>
      <c r="B1532" s="23" t="s">
        <v>6</v>
      </c>
      <c r="C1532" s="23" t="s">
        <v>46</v>
      </c>
      <c r="D1532" s="23">
        <v>20.673583550527187</v>
      </c>
      <c r="E1532" s="23">
        <v>2025</v>
      </c>
      <c r="F1532" s="15" t="s">
        <v>3305</v>
      </c>
      <c r="G1532" s="15" t="s">
        <v>3308</v>
      </c>
      <c r="H1532" s="23" t="s">
        <v>58</v>
      </c>
    </row>
    <row r="1533" spans="1:8" ht="54.95" customHeight="1" x14ac:dyDescent="0.2">
      <c r="A1533" s="23" t="s">
        <v>1019</v>
      </c>
      <c r="B1533" s="23" t="s">
        <v>7</v>
      </c>
      <c r="C1533" s="23" t="s">
        <v>46</v>
      </c>
      <c r="D1533" s="23">
        <v>43.882676445326382</v>
      </c>
      <c r="E1533" s="23">
        <v>2025</v>
      </c>
      <c r="F1533" s="15" t="s">
        <v>3305</v>
      </c>
      <c r="G1533" s="15" t="s">
        <v>3308</v>
      </c>
      <c r="H1533" s="23" t="s">
        <v>58</v>
      </c>
    </row>
    <row r="1534" spans="1:8" ht="54.95" customHeight="1" x14ac:dyDescent="0.2">
      <c r="A1534" s="23" t="s">
        <v>1019</v>
      </c>
      <c r="B1534" s="23" t="s">
        <v>8</v>
      </c>
      <c r="C1534" s="23" t="s">
        <v>46</v>
      </c>
      <c r="D1534" s="23">
        <v>9.4350491647909021</v>
      </c>
      <c r="E1534" s="23">
        <v>2025</v>
      </c>
      <c r="F1534" s="15" t="s">
        <v>3305</v>
      </c>
      <c r="G1534" s="15" t="s">
        <v>3308</v>
      </c>
      <c r="H1534" s="23" t="s">
        <v>58</v>
      </c>
    </row>
    <row r="1535" spans="1:8" ht="54.95" customHeight="1" x14ac:dyDescent="0.2">
      <c r="A1535" s="23" t="s">
        <v>1019</v>
      </c>
      <c r="B1535" s="23" t="s">
        <v>9</v>
      </c>
      <c r="C1535" s="23" t="s">
        <v>46</v>
      </c>
      <c r="D1535" s="23">
        <v>12.491914465110769</v>
      </c>
      <c r="E1535" s="23">
        <v>2025</v>
      </c>
      <c r="F1535" s="15" t="s">
        <v>3305</v>
      </c>
      <c r="G1535" s="15" t="s">
        <v>3308</v>
      </c>
      <c r="H1535" s="23" t="s">
        <v>58</v>
      </c>
    </row>
    <row r="1536" spans="1:8" ht="54.95" customHeight="1" x14ac:dyDescent="0.2">
      <c r="A1536" s="23" t="s">
        <v>1019</v>
      </c>
      <c r="B1536" s="23" t="s">
        <v>10</v>
      </c>
      <c r="C1536" s="23" t="s">
        <v>46</v>
      </c>
      <c r="D1536" s="23">
        <v>4.7145684012557751</v>
      </c>
      <c r="E1536" s="23">
        <v>2025</v>
      </c>
      <c r="F1536" s="15" t="s">
        <v>3305</v>
      </c>
      <c r="G1536" s="15" t="s">
        <v>3308</v>
      </c>
      <c r="H1536" s="23" t="s">
        <v>58</v>
      </c>
    </row>
    <row r="1537" spans="1:8" ht="54.95" customHeight="1" x14ac:dyDescent="0.2">
      <c r="A1537" s="23" t="s">
        <v>1019</v>
      </c>
      <c r="B1537" s="23" t="s">
        <v>5</v>
      </c>
      <c r="C1537" s="23" t="s">
        <v>3701</v>
      </c>
      <c r="D1537" s="23">
        <v>540.22400000000005</v>
      </c>
      <c r="E1537" s="23">
        <v>2025</v>
      </c>
      <c r="F1537" s="15" t="s">
        <v>3305</v>
      </c>
      <c r="G1537" s="15" t="s">
        <v>3311</v>
      </c>
      <c r="H1537" s="23" t="s">
        <v>58</v>
      </c>
    </row>
    <row r="1538" spans="1:8" ht="54.95" customHeight="1" x14ac:dyDescent="0.2">
      <c r="A1538" s="23" t="s">
        <v>1025</v>
      </c>
      <c r="B1538" s="23" t="s">
        <v>11</v>
      </c>
      <c r="C1538" s="23" t="s">
        <v>46</v>
      </c>
      <c r="D1538" s="23">
        <v>787.12340000000006</v>
      </c>
      <c r="E1538" s="23">
        <v>2025</v>
      </c>
      <c r="F1538" s="15" t="s">
        <v>3299</v>
      </c>
      <c r="G1538" s="15" t="s">
        <v>3300</v>
      </c>
      <c r="H1538" s="23" t="s">
        <v>58</v>
      </c>
    </row>
    <row r="1539" spans="1:8" ht="54.95" customHeight="1" x14ac:dyDescent="0.2">
      <c r="A1539" s="23" t="s">
        <v>1025</v>
      </c>
      <c r="B1539" s="23" t="s">
        <v>13</v>
      </c>
      <c r="C1539" s="23" t="s">
        <v>46</v>
      </c>
      <c r="D1539" s="23">
        <v>787.12340000000006</v>
      </c>
      <c r="E1539" s="23">
        <v>2025</v>
      </c>
      <c r="F1539" s="15" t="s">
        <v>3302</v>
      </c>
      <c r="G1539" s="15" t="s">
        <v>3300</v>
      </c>
      <c r="H1539" s="23" t="s">
        <v>58</v>
      </c>
    </row>
    <row r="1540" spans="1:8" ht="54.95" customHeight="1" x14ac:dyDescent="0.2">
      <c r="A1540" s="23" t="s">
        <v>1025</v>
      </c>
      <c r="B1540" s="23" t="s">
        <v>14</v>
      </c>
      <c r="C1540" s="23" t="s">
        <v>46</v>
      </c>
      <c r="D1540" s="23">
        <v>0</v>
      </c>
      <c r="E1540" s="23">
        <v>2025</v>
      </c>
      <c r="F1540" s="15" t="s">
        <v>3304</v>
      </c>
      <c r="G1540" s="15" t="s">
        <v>3300</v>
      </c>
      <c r="H1540" s="23" t="s">
        <v>58</v>
      </c>
    </row>
    <row r="1541" spans="1:8" ht="54.95" customHeight="1" x14ac:dyDescent="0.2">
      <c r="A1541" s="23" t="s">
        <v>1025</v>
      </c>
      <c r="B1541" s="23" t="s">
        <v>3</v>
      </c>
      <c r="C1541" s="23" t="s">
        <v>3702</v>
      </c>
      <c r="D1541" s="23">
        <v>5575.2763020000002</v>
      </c>
      <c r="E1541" s="23">
        <v>2024</v>
      </c>
      <c r="F1541" s="15" t="s">
        <v>3316</v>
      </c>
      <c r="G1541" s="15" t="s">
        <v>3317</v>
      </c>
      <c r="H1541" s="23" t="s">
        <v>58</v>
      </c>
    </row>
    <row r="1542" spans="1:8" ht="54.95" customHeight="1" x14ac:dyDescent="0.2">
      <c r="A1542" s="23" t="s">
        <v>1025</v>
      </c>
      <c r="B1542" s="23" t="s">
        <v>6</v>
      </c>
      <c r="C1542" s="23" t="s">
        <v>46</v>
      </c>
      <c r="D1542" s="23">
        <v>25.91257800948356</v>
      </c>
      <c r="E1542" s="23">
        <v>2024</v>
      </c>
      <c r="F1542" s="15" t="s">
        <v>3319</v>
      </c>
      <c r="G1542" s="15" t="s">
        <v>3320</v>
      </c>
      <c r="H1542" s="23" t="s">
        <v>58</v>
      </c>
    </row>
    <row r="1543" spans="1:8" ht="54.95" customHeight="1" x14ac:dyDescent="0.2">
      <c r="A1543" s="23" t="s">
        <v>1025</v>
      </c>
      <c r="B1543" s="23" t="s">
        <v>7</v>
      </c>
      <c r="C1543" s="23" t="s">
        <v>46</v>
      </c>
      <c r="D1543" s="23">
        <v>34.721135942725873</v>
      </c>
      <c r="E1543" s="23">
        <v>2024</v>
      </c>
      <c r="F1543" s="15" t="s">
        <v>3322</v>
      </c>
      <c r="G1543" s="15" t="s">
        <v>3320</v>
      </c>
      <c r="H1543" s="23" t="s">
        <v>58</v>
      </c>
    </row>
    <row r="1544" spans="1:8" ht="54.95" customHeight="1" x14ac:dyDescent="0.2">
      <c r="A1544" s="23" t="s">
        <v>1025</v>
      </c>
      <c r="B1544" s="23" t="s">
        <v>8</v>
      </c>
      <c r="C1544" s="23" t="s">
        <v>46</v>
      </c>
      <c r="D1544" s="23">
        <v>16.45003720570762</v>
      </c>
      <c r="E1544" s="23">
        <v>2024</v>
      </c>
      <c r="F1544" s="15" t="s">
        <v>3324</v>
      </c>
      <c r="G1544" s="15" t="s">
        <v>3320</v>
      </c>
      <c r="H1544" s="23" t="s">
        <v>58</v>
      </c>
    </row>
    <row r="1545" spans="1:8" ht="54.95" customHeight="1" x14ac:dyDescent="0.2">
      <c r="A1545" s="23" t="s">
        <v>1025</v>
      </c>
      <c r="B1545" s="23" t="s">
        <v>9</v>
      </c>
      <c r="C1545" s="23" t="s">
        <v>46</v>
      </c>
      <c r="D1545" s="23">
        <v>20.59091547782451</v>
      </c>
      <c r="E1545" s="23">
        <v>2024</v>
      </c>
      <c r="F1545" s="15" t="s">
        <v>3325</v>
      </c>
      <c r="G1545" s="15" t="s">
        <v>3320</v>
      </c>
      <c r="H1545" s="23" t="s">
        <v>58</v>
      </c>
    </row>
    <row r="1546" spans="1:8" ht="54.95" customHeight="1" x14ac:dyDescent="0.2">
      <c r="A1546" s="23" t="s">
        <v>1025</v>
      </c>
      <c r="B1546" s="23" t="s">
        <v>10</v>
      </c>
      <c r="C1546" s="23" t="s">
        <v>46</v>
      </c>
      <c r="D1546" s="23">
        <v>1.2793912289945553</v>
      </c>
      <c r="E1546" s="23">
        <v>2024</v>
      </c>
      <c r="F1546" s="15" t="s">
        <v>3326</v>
      </c>
      <c r="G1546" s="15" t="s">
        <v>3320</v>
      </c>
      <c r="H1546" s="23" t="s">
        <v>58</v>
      </c>
    </row>
    <row r="1547" spans="1:8" ht="54.95" customHeight="1" x14ac:dyDescent="0.2">
      <c r="A1547" s="23" t="s">
        <v>1025</v>
      </c>
      <c r="B1547" s="23" t="s">
        <v>5</v>
      </c>
      <c r="C1547" s="23" t="s">
        <v>3703</v>
      </c>
      <c r="D1547" s="23">
        <v>2.0405511265320002</v>
      </c>
      <c r="E1547" s="23">
        <v>2024</v>
      </c>
      <c r="F1547" s="15" t="s">
        <v>3316</v>
      </c>
      <c r="G1547" s="15" t="s">
        <v>3311</v>
      </c>
      <c r="H1547" s="23" t="s">
        <v>58</v>
      </c>
    </row>
    <row r="1548" spans="1:8" ht="54.95" customHeight="1" x14ac:dyDescent="0.2">
      <c r="A1548" s="23" t="s">
        <v>1031</v>
      </c>
      <c r="B1548" s="23" t="s">
        <v>11</v>
      </c>
      <c r="C1548" s="23" t="s">
        <v>46</v>
      </c>
      <c r="D1548" s="23">
        <v>0</v>
      </c>
      <c r="E1548" s="23">
        <v>2025</v>
      </c>
      <c r="F1548" s="15" t="s">
        <v>3299</v>
      </c>
      <c r="G1548" s="15" t="s">
        <v>3300</v>
      </c>
      <c r="H1548" s="23" t="s">
        <v>58</v>
      </c>
    </row>
    <row r="1549" spans="1:8" ht="54.95" customHeight="1" x14ac:dyDescent="0.2">
      <c r="A1549" s="23" t="s">
        <v>1031</v>
      </c>
      <c r="B1549" s="23" t="s">
        <v>13</v>
      </c>
      <c r="C1549" s="23" t="s">
        <v>46</v>
      </c>
      <c r="D1549" s="23">
        <v>0</v>
      </c>
      <c r="E1549" s="23">
        <v>2025</v>
      </c>
      <c r="F1549" s="15" t="s">
        <v>3302</v>
      </c>
      <c r="G1549" s="15" t="s">
        <v>3300</v>
      </c>
      <c r="H1549" s="23" t="s">
        <v>58</v>
      </c>
    </row>
    <row r="1550" spans="1:8" ht="54.95" customHeight="1" x14ac:dyDescent="0.2">
      <c r="A1550" s="23" t="s">
        <v>1031</v>
      </c>
      <c r="B1550" s="23" t="s">
        <v>14</v>
      </c>
      <c r="C1550" s="23" t="s">
        <v>46</v>
      </c>
      <c r="D1550" s="23">
        <v>0</v>
      </c>
      <c r="E1550" s="23">
        <v>2025</v>
      </c>
      <c r="F1550" s="15" t="s">
        <v>3304</v>
      </c>
      <c r="G1550" s="15" t="s">
        <v>3300</v>
      </c>
      <c r="H1550" s="23" t="s">
        <v>58</v>
      </c>
    </row>
    <row r="1551" spans="1:8" ht="54.95" customHeight="1" x14ac:dyDescent="0.2">
      <c r="A1551" s="23" t="s">
        <v>1031</v>
      </c>
      <c r="B1551" s="23" t="s">
        <v>3</v>
      </c>
      <c r="C1551" s="23" t="s">
        <v>3704</v>
      </c>
      <c r="D1551" s="23">
        <v>135002.353818</v>
      </c>
      <c r="E1551" s="23">
        <v>2024</v>
      </c>
      <c r="F1551" s="15" t="s">
        <v>3316</v>
      </c>
      <c r="G1551" s="15" t="s">
        <v>3317</v>
      </c>
      <c r="H1551" s="23" t="s">
        <v>58</v>
      </c>
    </row>
    <row r="1552" spans="1:8" ht="54.95" customHeight="1" x14ac:dyDescent="0.2">
      <c r="A1552" s="23" t="s">
        <v>1031</v>
      </c>
      <c r="B1552" s="23" t="s">
        <v>6</v>
      </c>
      <c r="C1552" s="23" t="s">
        <v>46</v>
      </c>
      <c r="D1552" s="23">
        <v>23.695067149069875</v>
      </c>
      <c r="E1552" s="23">
        <v>2024</v>
      </c>
      <c r="F1552" s="15" t="s">
        <v>3319</v>
      </c>
      <c r="G1552" s="15" t="s">
        <v>3320</v>
      </c>
      <c r="H1552" s="23" t="s">
        <v>58</v>
      </c>
    </row>
    <row r="1553" spans="1:8" ht="54.95" customHeight="1" x14ac:dyDescent="0.2">
      <c r="A1553" s="23" t="s">
        <v>1031</v>
      </c>
      <c r="B1553" s="23" t="s">
        <v>7</v>
      </c>
      <c r="C1553" s="23" t="s">
        <v>46</v>
      </c>
      <c r="D1553" s="23">
        <v>17.024387197710926</v>
      </c>
      <c r="E1553" s="23">
        <v>2024</v>
      </c>
      <c r="F1553" s="15" t="s">
        <v>3322</v>
      </c>
      <c r="G1553" s="15" t="s">
        <v>3320</v>
      </c>
      <c r="H1553" s="23" t="s">
        <v>58</v>
      </c>
    </row>
    <row r="1554" spans="1:8" ht="54.95" customHeight="1" x14ac:dyDescent="0.2">
      <c r="A1554" s="23" t="s">
        <v>1031</v>
      </c>
      <c r="B1554" s="23" t="s">
        <v>8</v>
      </c>
      <c r="C1554" s="23" t="s">
        <v>46</v>
      </c>
      <c r="D1554" s="23">
        <v>4.9408838241386572</v>
      </c>
      <c r="E1554" s="23">
        <v>2024</v>
      </c>
      <c r="F1554" s="15" t="s">
        <v>3324</v>
      </c>
      <c r="G1554" s="15" t="s">
        <v>3320</v>
      </c>
      <c r="H1554" s="23" t="s">
        <v>58</v>
      </c>
    </row>
    <row r="1555" spans="1:8" ht="54.95" customHeight="1" x14ac:dyDescent="0.2">
      <c r="A1555" s="23" t="s">
        <v>1031</v>
      </c>
      <c r="B1555" s="23" t="s">
        <v>9</v>
      </c>
      <c r="C1555" s="23" t="s">
        <v>46</v>
      </c>
      <c r="D1555" s="23">
        <v>11.998843073386627</v>
      </c>
      <c r="E1555" s="23">
        <v>2024</v>
      </c>
      <c r="F1555" s="15" t="s">
        <v>3325</v>
      </c>
      <c r="G1555" s="15" t="s">
        <v>3320</v>
      </c>
      <c r="H1555" s="23" t="s">
        <v>58</v>
      </c>
    </row>
    <row r="1556" spans="1:8" ht="54.95" customHeight="1" x14ac:dyDescent="0.2">
      <c r="A1556" s="23" t="s">
        <v>1031</v>
      </c>
      <c r="B1556" s="23" t="s">
        <v>10</v>
      </c>
      <c r="C1556" s="23" t="s">
        <v>46</v>
      </c>
      <c r="D1556" s="23">
        <v>41.267941124276732</v>
      </c>
      <c r="E1556" s="23">
        <v>2024</v>
      </c>
      <c r="F1556" s="15" t="s">
        <v>3326</v>
      </c>
      <c r="G1556" s="15" t="s">
        <v>3320</v>
      </c>
      <c r="H1556" s="23" t="s">
        <v>58</v>
      </c>
    </row>
    <row r="1557" spans="1:8" ht="54.95" customHeight="1" x14ac:dyDescent="0.2">
      <c r="A1557" s="23" t="s">
        <v>1031</v>
      </c>
      <c r="B1557" s="23" t="s">
        <v>5</v>
      </c>
      <c r="C1557" s="23" t="s">
        <v>3705</v>
      </c>
      <c r="D1557" s="23">
        <v>49.410861497387998</v>
      </c>
      <c r="E1557" s="23">
        <v>2024</v>
      </c>
      <c r="F1557" s="15" t="s">
        <v>3316</v>
      </c>
      <c r="G1557" s="15" t="s">
        <v>3311</v>
      </c>
      <c r="H1557" s="23" t="s">
        <v>58</v>
      </c>
    </row>
    <row r="1558" spans="1:8" ht="54.95" customHeight="1" x14ac:dyDescent="0.2">
      <c r="A1558" s="23" t="s">
        <v>1037</v>
      </c>
      <c r="B1558" s="23" t="s">
        <v>11</v>
      </c>
      <c r="C1558" s="23" t="s">
        <v>46</v>
      </c>
      <c r="D1558" s="23">
        <v>1011861.6302832685</v>
      </c>
      <c r="E1558" s="23">
        <v>2025</v>
      </c>
      <c r="F1558" s="15" t="s">
        <v>3299</v>
      </c>
      <c r="G1558" s="15" t="s">
        <v>3300</v>
      </c>
      <c r="H1558" s="23" t="s">
        <v>58</v>
      </c>
    </row>
    <row r="1559" spans="1:8" ht="54.95" customHeight="1" x14ac:dyDescent="0.2">
      <c r="A1559" s="23" t="s">
        <v>1037</v>
      </c>
      <c r="B1559" s="23" t="s">
        <v>13</v>
      </c>
      <c r="C1559" s="23" t="s">
        <v>46</v>
      </c>
      <c r="D1559" s="23">
        <v>972616.43835616438</v>
      </c>
      <c r="E1559" s="23">
        <v>2025</v>
      </c>
      <c r="F1559" s="15" t="s">
        <v>3302</v>
      </c>
      <c r="G1559" s="15" t="s">
        <v>3300</v>
      </c>
      <c r="H1559" s="23" t="s">
        <v>58</v>
      </c>
    </row>
    <row r="1560" spans="1:8" ht="54.95" customHeight="1" x14ac:dyDescent="0.2">
      <c r="A1560" s="23" t="s">
        <v>1037</v>
      </c>
      <c r="B1560" s="23" t="s">
        <v>14</v>
      </c>
      <c r="C1560" s="23" t="s">
        <v>46</v>
      </c>
      <c r="D1560" s="23">
        <v>30000</v>
      </c>
      <c r="E1560" s="23">
        <v>2025</v>
      </c>
      <c r="F1560" s="15" t="s">
        <v>3304</v>
      </c>
      <c r="G1560" s="15" t="s">
        <v>3300</v>
      </c>
      <c r="H1560" s="23" t="s">
        <v>58</v>
      </c>
    </row>
    <row r="1561" spans="1:8" ht="54.95" customHeight="1" x14ac:dyDescent="0.2">
      <c r="A1561" s="23" t="s">
        <v>1037</v>
      </c>
      <c r="B1561" s="23" t="s">
        <v>3</v>
      </c>
      <c r="C1561" s="23" t="s">
        <v>3706</v>
      </c>
      <c r="D1561" s="23">
        <v>234477.64639299997</v>
      </c>
      <c r="E1561" s="23">
        <v>2024</v>
      </c>
      <c r="F1561" s="15" t="s">
        <v>3316</v>
      </c>
      <c r="G1561" s="15" t="s">
        <v>3317</v>
      </c>
      <c r="H1561" s="23" t="s">
        <v>58</v>
      </c>
    </row>
    <row r="1562" spans="1:8" ht="54.95" customHeight="1" x14ac:dyDescent="0.2">
      <c r="A1562" s="23" t="s">
        <v>1037</v>
      </c>
      <c r="B1562" s="23" t="s">
        <v>6</v>
      </c>
      <c r="C1562" s="23" t="s">
        <v>46</v>
      </c>
      <c r="D1562" s="23">
        <v>39.154216848510984</v>
      </c>
      <c r="E1562" s="23">
        <v>2024</v>
      </c>
      <c r="F1562" s="15" t="s">
        <v>3319</v>
      </c>
      <c r="G1562" s="15" t="s">
        <v>3320</v>
      </c>
      <c r="H1562" s="23" t="s">
        <v>58</v>
      </c>
    </row>
    <row r="1563" spans="1:8" ht="54.95" customHeight="1" x14ac:dyDescent="0.2">
      <c r="A1563" s="23" t="s">
        <v>1037</v>
      </c>
      <c r="B1563" s="23" t="s">
        <v>7</v>
      </c>
      <c r="C1563" s="23" t="s">
        <v>46</v>
      </c>
      <c r="D1563" s="23">
        <v>38.320761067090977</v>
      </c>
      <c r="E1563" s="23">
        <v>2024</v>
      </c>
      <c r="F1563" s="15" t="s">
        <v>3322</v>
      </c>
      <c r="G1563" s="15" t="s">
        <v>3320</v>
      </c>
      <c r="H1563" s="23" t="s">
        <v>58</v>
      </c>
    </row>
    <row r="1564" spans="1:8" ht="54.95" customHeight="1" x14ac:dyDescent="0.2">
      <c r="A1564" s="23" t="s">
        <v>1037</v>
      </c>
      <c r="B1564" s="23" t="s">
        <v>8</v>
      </c>
      <c r="C1564" s="23" t="s">
        <v>46</v>
      </c>
      <c r="D1564" s="23">
        <v>4.9103959149701399</v>
      </c>
      <c r="E1564" s="23">
        <v>2024</v>
      </c>
      <c r="F1564" s="15" t="s">
        <v>3324</v>
      </c>
      <c r="G1564" s="15" t="s">
        <v>3320</v>
      </c>
      <c r="H1564" s="23" t="s">
        <v>58</v>
      </c>
    </row>
    <row r="1565" spans="1:8" ht="54.95" customHeight="1" x14ac:dyDescent="0.2">
      <c r="A1565" s="23" t="s">
        <v>1037</v>
      </c>
      <c r="B1565" s="23" t="s">
        <v>9</v>
      </c>
      <c r="C1565" s="23" t="s">
        <v>46</v>
      </c>
      <c r="D1565" s="23">
        <v>6.4614477768198464</v>
      </c>
      <c r="E1565" s="23">
        <v>2024</v>
      </c>
      <c r="F1565" s="15" t="s">
        <v>3325</v>
      </c>
      <c r="G1565" s="15" t="s">
        <v>3320</v>
      </c>
      <c r="H1565" s="23" t="s">
        <v>58</v>
      </c>
    </row>
    <row r="1566" spans="1:8" ht="54.95" customHeight="1" x14ac:dyDescent="0.2">
      <c r="A1566" s="23" t="s">
        <v>1037</v>
      </c>
      <c r="B1566" s="23" t="s">
        <v>10</v>
      </c>
      <c r="C1566" s="23" t="s">
        <v>46</v>
      </c>
      <c r="D1566" s="23">
        <v>1.5970287076848586</v>
      </c>
      <c r="E1566" s="23">
        <v>2024</v>
      </c>
      <c r="F1566" s="15" t="s">
        <v>3326</v>
      </c>
      <c r="G1566" s="15" t="s">
        <v>3320</v>
      </c>
      <c r="H1566" s="23" t="s">
        <v>58</v>
      </c>
    </row>
    <row r="1567" spans="1:8" ht="54.95" customHeight="1" x14ac:dyDescent="0.2">
      <c r="A1567" s="23" t="s">
        <v>1037</v>
      </c>
      <c r="B1567" s="23" t="s">
        <v>5</v>
      </c>
      <c r="C1567" s="23" t="s">
        <v>3707</v>
      </c>
      <c r="D1567" s="23">
        <v>85.818818579837995</v>
      </c>
      <c r="E1567" s="23">
        <v>2024</v>
      </c>
      <c r="F1567" s="15" t="s">
        <v>3316</v>
      </c>
      <c r="G1567" s="15" t="s">
        <v>3311</v>
      </c>
      <c r="H1567" s="23" t="s">
        <v>58</v>
      </c>
    </row>
    <row r="1568" spans="1:8" ht="54.95" customHeight="1" x14ac:dyDescent="0.2">
      <c r="A1568" s="23" t="s">
        <v>1043</v>
      </c>
      <c r="B1568" s="23" t="s">
        <v>11</v>
      </c>
      <c r="C1568" s="23" t="s">
        <v>46</v>
      </c>
      <c r="D1568" s="23">
        <v>31515.898630136988</v>
      </c>
      <c r="E1568" s="23">
        <v>2025</v>
      </c>
      <c r="F1568" s="15" t="s">
        <v>3299</v>
      </c>
      <c r="G1568" s="15" t="s">
        <v>3300</v>
      </c>
      <c r="H1568" s="23" t="s">
        <v>58</v>
      </c>
    </row>
    <row r="1569" spans="1:8" ht="54.95" customHeight="1" x14ac:dyDescent="0.2">
      <c r="A1569" s="23" t="s">
        <v>1043</v>
      </c>
      <c r="B1569" s="23" t="s">
        <v>13</v>
      </c>
      <c r="C1569" s="23" t="s">
        <v>46</v>
      </c>
      <c r="D1569" s="23">
        <v>31515.898630136988</v>
      </c>
      <c r="E1569" s="23">
        <v>2025</v>
      </c>
      <c r="F1569" s="15" t="s">
        <v>3302</v>
      </c>
      <c r="G1569" s="15" t="s">
        <v>3300</v>
      </c>
      <c r="H1569" s="23" t="s">
        <v>58</v>
      </c>
    </row>
    <row r="1570" spans="1:8" ht="54.95" customHeight="1" x14ac:dyDescent="0.2">
      <c r="A1570" s="23" t="s">
        <v>1043</v>
      </c>
      <c r="B1570" s="23" t="s">
        <v>14</v>
      </c>
      <c r="C1570" s="23" t="s">
        <v>46</v>
      </c>
      <c r="D1570" s="23">
        <v>0</v>
      </c>
      <c r="E1570" s="23">
        <v>2025</v>
      </c>
      <c r="F1570" s="15" t="s">
        <v>3304</v>
      </c>
      <c r="G1570" s="15" t="s">
        <v>3300</v>
      </c>
      <c r="H1570" s="23" t="s">
        <v>58</v>
      </c>
    </row>
    <row r="1571" spans="1:8" ht="54.95" customHeight="1" x14ac:dyDescent="0.2">
      <c r="A1571" s="23" t="s">
        <v>1043</v>
      </c>
      <c r="B1571" s="23" t="s">
        <v>3</v>
      </c>
      <c r="C1571" s="23" t="s">
        <v>3708</v>
      </c>
      <c r="D1571" s="23">
        <v>6643.8356164383558</v>
      </c>
      <c r="E1571" s="23">
        <v>2025</v>
      </c>
      <c r="F1571" s="15" t="s">
        <v>3305</v>
      </c>
      <c r="G1571" s="15" t="s">
        <v>3306</v>
      </c>
      <c r="H1571" s="23" t="s">
        <v>58</v>
      </c>
    </row>
    <row r="1572" spans="1:8" ht="54.95" customHeight="1" x14ac:dyDescent="0.2">
      <c r="A1572" s="23" t="s">
        <v>1043</v>
      </c>
      <c r="B1572" s="23" t="s">
        <v>6</v>
      </c>
      <c r="C1572" s="23" t="s">
        <v>46</v>
      </c>
      <c r="D1572" s="23">
        <v>74.721649484536073</v>
      </c>
      <c r="E1572" s="23">
        <v>2025</v>
      </c>
      <c r="F1572" s="15" t="s">
        <v>3305</v>
      </c>
      <c r="G1572" s="15" t="s">
        <v>3308</v>
      </c>
      <c r="H1572" s="23" t="s">
        <v>58</v>
      </c>
    </row>
    <row r="1573" spans="1:8" ht="54.95" customHeight="1" x14ac:dyDescent="0.2">
      <c r="A1573" s="23" t="s">
        <v>1043</v>
      </c>
      <c r="B1573" s="23" t="s">
        <v>7</v>
      </c>
      <c r="C1573" s="23" t="s">
        <v>46</v>
      </c>
      <c r="D1573" s="23">
        <v>18.721649484536083</v>
      </c>
      <c r="E1573" s="23">
        <v>2025</v>
      </c>
      <c r="F1573" s="15" t="s">
        <v>3305</v>
      </c>
      <c r="G1573" s="15" t="s">
        <v>3308</v>
      </c>
      <c r="H1573" s="23" t="s">
        <v>58</v>
      </c>
    </row>
    <row r="1574" spans="1:8" ht="54.95" customHeight="1" x14ac:dyDescent="0.2">
      <c r="A1574" s="23" t="s">
        <v>1043</v>
      </c>
      <c r="B1574" s="23" t="s">
        <v>8</v>
      </c>
      <c r="C1574" s="23" t="s">
        <v>46</v>
      </c>
      <c r="D1574" s="23" t="s">
        <v>46</v>
      </c>
      <c r="E1574" s="23">
        <v>2025</v>
      </c>
      <c r="F1574" s="15" t="s">
        <v>3305</v>
      </c>
      <c r="G1574" s="15" t="s">
        <v>3357</v>
      </c>
      <c r="H1574" s="23" t="s">
        <v>58</v>
      </c>
    </row>
    <row r="1575" spans="1:8" ht="54.95" customHeight="1" x14ac:dyDescent="0.2">
      <c r="A1575" s="23" t="s">
        <v>1043</v>
      </c>
      <c r="B1575" s="23" t="s">
        <v>9</v>
      </c>
      <c r="C1575" s="23" t="s">
        <v>46</v>
      </c>
      <c r="D1575" s="23" t="s">
        <v>46</v>
      </c>
      <c r="E1575" s="23">
        <v>2025</v>
      </c>
      <c r="F1575" s="15" t="s">
        <v>3305</v>
      </c>
      <c r="G1575" s="15" t="s">
        <v>3357</v>
      </c>
      <c r="H1575" s="23" t="s">
        <v>58</v>
      </c>
    </row>
    <row r="1576" spans="1:8" ht="54.95" customHeight="1" x14ac:dyDescent="0.2">
      <c r="A1576" s="23" t="s">
        <v>1043</v>
      </c>
      <c r="B1576" s="23" t="s">
        <v>10</v>
      </c>
      <c r="C1576" s="23" t="s">
        <v>46</v>
      </c>
      <c r="D1576" s="23" t="s">
        <v>46</v>
      </c>
      <c r="E1576" s="23">
        <v>2025</v>
      </c>
      <c r="F1576" s="15" t="s">
        <v>3305</v>
      </c>
      <c r="G1576" s="15" t="s">
        <v>3357</v>
      </c>
      <c r="H1576" s="23" t="s">
        <v>58</v>
      </c>
    </row>
    <row r="1577" spans="1:8" ht="54.95" customHeight="1" x14ac:dyDescent="0.2">
      <c r="A1577" s="23" t="s">
        <v>1043</v>
      </c>
      <c r="B1577" s="23" t="s">
        <v>5</v>
      </c>
      <c r="C1577" s="23" t="s">
        <v>3709</v>
      </c>
      <c r="D1577" s="23">
        <v>2.4249999999999998</v>
      </c>
      <c r="E1577" s="23">
        <v>2025</v>
      </c>
      <c r="F1577" s="15" t="s">
        <v>3305</v>
      </c>
      <c r="G1577" s="15" t="s">
        <v>3311</v>
      </c>
      <c r="H1577" s="23" t="s">
        <v>58</v>
      </c>
    </row>
    <row r="1578" spans="1:8" ht="54.95" customHeight="1" x14ac:dyDescent="0.2">
      <c r="A1578" s="23" t="s">
        <v>1048</v>
      </c>
      <c r="B1578" s="23" t="s">
        <v>11</v>
      </c>
      <c r="C1578" s="23" t="s">
        <v>3710</v>
      </c>
      <c r="D1578" s="23">
        <v>607812.00939190411</v>
      </c>
      <c r="E1578" s="23">
        <v>2025</v>
      </c>
      <c r="F1578" s="15" t="s">
        <v>3299</v>
      </c>
      <c r="G1578" s="15" t="s">
        <v>3300</v>
      </c>
      <c r="H1578" s="23" t="s">
        <v>58</v>
      </c>
    </row>
    <row r="1579" spans="1:8" ht="54.95" customHeight="1" x14ac:dyDescent="0.2">
      <c r="A1579" s="23" t="s">
        <v>1048</v>
      </c>
      <c r="B1579" s="23" t="s">
        <v>13</v>
      </c>
      <c r="C1579" s="23" t="s">
        <v>3711</v>
      </c>
      <c r="D1579" s="23">
        <v>504794.52054794517</v>
      </c>
      <c r="E1579" s="23">
        <v>2025</v>
      </c>
      <c r="F1579" s="15" t="s">
        <v>3302</v>
      </c>
      <c r="G1579" s="15" t="s">
        <v>3300</v>
      </c>
      <c r="H1579" s="23" t="s">
        <v>58</v>
      </c>
    </row>
    <row r="1580" spans="1:8" ht="54.95" customHeight="1" x14ac:dyDescent="0.2">
      <c r="A1580" s="23" t="s">
        <v>1048</v>
      </c>
      <c r="B1580" s="23" t="s">
        <v>14</v>
      </c>
      <c r="C1580" s="23" t="s">
        <v>3712</v>
      </c>
      <c r="D1580" s="23">
        <v>103935.90000000001</v>
      </c>
      <c r="E1580" s="23">
        <v>2025</v>
      </c>
      <c r="F1580" s="15" t="s">
        <v>3304</v>
      </c>
      <c r="G1580" s="15" t="s">
        <v>3300</v>
      </c>
      <c r="H1580" s="23" t="s">
        <v>58</v>
      </c>
    </row>
    <row r="1581" spans="1:8" ht="54.95" customHeight="1" x14ac:dyDescent="0.2">
      <c r="A1581" s="23" t="s">
        <v>1048</v>
      </c>
      <c r="B1581" s="23" t="s">
        <v>3</v>
      </c>
      <c r="C1581" s="23" t="s">
        <v>3713</v>
      </c>
      <c r="D1581" s="23">
        <v>959493.85496000003</v>
      </c>
      <c r="E1581" s="23">
        <v>2024</v>
      </c>
      <c r="F1581" s="15" t="s">
        <v>3316</v>
      </c>
      <c r="G1581" s="15" t="s">
        <v>3317</v>
      </c>
      <c r="H1581" s="23" t="s">
        <v>58</v>
      </c>
    </row>
    <row r="1582" spans="1:8" ht="54.95" customHeight="1" x14ac:dyDescent="0.2">
      <c r="A1582" s="23" t="s">
        <v>1048</v>
      </c>
      <c r="B1582" s="23" t="s">
        <v>6</v>
      </c>
      <c r="C1582" s="23" t="s">
        <v>3714</v>
      </c>
      <c r="D1582" s="23">
        <v>36.284576956932547</v>
      </c>
      <c r="E1582" s="23">
        <v>2024</v>
      </c>
      <c r="F1582" s="15" t="s">
        <v>3319</v>
      </c>
      <c r="G1582" s="15" t="s">
        <v>3320</v>
      </c>
      <c r="H1582" s="23" t="s">
        <v>58</v>
      </c>
    </row>
    <row r="1583" spans="1:8" ht="54.95" customHeight="1" x14ac:dyDescent="0.2">
      <c r="A1583" s="23" t="s">
        <v>1048</v>
      </c>
      <c r="B1583" s="23" t="s">
        <v>7</v>
      </c>
      <c r="C1583" s="23" t="s">
        <v>3715</v>
      </c>
      <c r="D1583" s="23">
        <v>19.459234619880259</v>
      </c>
      <c r="E1583" s="23">
        <v>2024</v>
      </c>
      <c r="F1583" s="15" t="s">
        <v>3322</v>
      </c>
      <c r="G1583" s="15" t="s">
        <v>3320</v>
      </c>
      <c r="H1583" s="23" t="s">
        <v>58</v>
      </c>
    </row>
    <row r="1584" spans="1:8" ht="54.95" customHeight="1" x14ac:dyDescent="0.2">
      <c r="A1584" s="23" t="s">
        <v>1048</v>
      </c>
      <c r="B1584" s="23" t="s">
        <v>8</v>
      </c>
      <c r="C1584" s="23" t="s">
        <v>46</v>
      </c>
      <c r="D1584" s="23">
        <v>12.670241791706744</v>
      </c>
      <c r="E1584" s="23">
        <v>2024</v>
      </c>
      <c r="F1584" s="15" t="s">
        <v>3324</v>
      </c>
      <c r="G1584" s="15" t="s">
        <v>3320</v>
      </c>
      <c r="H1584" s="23" t="s">
        <v>58</v>
      </c>
    </row>
    <row r="1585" spans="1:8" ht="54.95" customHeight="1" x14ac:dyDescent="0.2">
      <c r="A1585" s="23" t="s">
        <v>1048</v>
      </c>
      <c r="B1585" s="23" t="s">
        <v>9</v>
      </c>
      <c r="C1585" s="23" t="s">
        <v>46</v>
      </c>
      <c r="D1585" s="23">
        <v>3.2449278054311219</v>
      </c>
      <c r="E1585" s="23">
        <v>2024</v>
      </c>
      <c r="F1585" s="15" t="s">
        <v>3325</v>
      </c>
      <c r="G1585" s="15" t="s">
        <v>3320</v>
      </c>
      <c r="H1585" s="23" t="s">
        <v>58</v>
      </c>
    </row>
    <row r="1586" spans="1:8" ht="54.95" customHeight="1" x14ac:dyDescent="0.2">
      <c r="A1586" s="23" t="s">
        <v>1048</v>
      </c>
      <c r="B1586" s="23" t="s">
        <v>10</v>
      </c>
      <c r="C1586" s="23" t="s">
        <v>3716</v>
      </c>
      <c r="D1586" s="23">
        <v>18.253323936848069</v>
      </c>
      <c r="E1586" s="23">
        <v>2024</v>
      </c>
      <c r="F1586" s="15" t="s">
        <v>3326</v>
      </c>
      <c r="G1586" s="15" t="s">
        <v>3320</v>
      </c>
      <c r="H1586" s="23" t="s">
        <v>58</v>
      </c>
    </row>
    <row r="1587" spans="1:8" ht="54.95" customHeight="1" x14ac:dyDescent="0.2">
      <c r="A1587" s="23" t="s">
        <v>1048</v>
      </c>
      <c r="B1587" s="23" t="s">
        <v>5</v>
      </c>
      <c r="C1587" s="23" t="s">
        <v>3717</v>
      </c>
      <c r="D1587" s="23">
        <v>351.17475091536005</v>
      </c>
      <c r="E1587" s="23">
        <v>2024</v>
      </c>
      <c r="F1587" s="15" t="s">
        <v>3316</v>
      </c>
      <c r="G1587" s="15" t="s">
        <v>3311</v>
      </c>
      <c r="H1587" s="23" t="s">
        <v>58</v>
      </c>
    </row>
    <row r="1588" spans="1:8" ht="54.95" customHeight="1" x14ac:dyDescent="0.2">
      <c r="A1588" s="23" t="s">
        <v>1055</v>
      </c>
      <c r="B1588" s="23" t="s">
        <v>11</v>
      </c>
      <c r="C1588" s="23" t="s">
        <v>3718</v>
      </c>
      <c r="D1588" s="23">
        <v>15202.310264024656</v>
      </c>
      <c r="E1588" s="23">
        <v>2025</v>
      </c>
      <c r="F1588" s="15" t="s">
        <v>3299</v>
      </c>
      <c r="G1588" s="15" t="s">
        <v>3300</v>
      </c>
      <c r="H1588" s="23" t="s">
        <v>58</v>
      </c>
    </row>
    <row r="1589" spans="1:8" ht="54.95" customHeight="1" x14ac:dyDescent="0.2">
      <c r="A1589" s="23" t="s">
        <v>1055</v>
      </c>
      <c r="B1589" s="23" t="s">
        <v>13</v>
      </c>
      <c r="C1589" s="23" t="s">
        <v>46</v>
      </c>
      <c r="D1589" s="23">
        <v>15000</v>
      </c>
      <c r="E1589" s="23">
        <v>2025</v>
      </c>
      <c r="F1589" s="15" t="s">
        <v>3302</v>
      </c>
      <c r="G1589" s="15" t="s">
        <v>3300</v>
      </c>
      <c r="H1589" s="23" t="s">
        <v>58</v>
      </c>
    </row>
    <row r="1590" spans="1:8" ht="54.95" customHeight="1" x14ac:dyDescent="0.2">
      <c r="A1590" s="23" t="s">
        <v>1055</v>
      </c>
      <c r="B1590" s="23" t="s">
        <v>14</v>
      </c>
      <c r="C1590" s="23" t="s">
        <v>46</v>
      </c>
      <c r="D1590" s="23">
        <v>0</v>
      </c>
      <c r="E1590" s="23">
        <v>2025</v>
      </c>
      <c r="F1590" s="15" t="s">
        <v>3304</v>
      </c>
      <c r="G1590" s="15" t="s">
        <v>3300</v>
      </c>
      <c r="H1590" s="23" t="s">
        <v>58</v>
      </c>
    </row>
    <row r="1591" spans="1:8" ht="54.95" customHeight="1" x14ac:dyDescent="0.2">
      <c r="A1591" s="23" t="s">
        <v>1055</v>
      </c>
      <c r="B1591" s="23" t="s">
        <v>3</v>
      </c>
      <c r="C1591" s="23" t="s">
        <v>3719</v>
      </c>
      <c r="D1591" s="23">
        <v>100734.488927</v>
      </c>
      <c r="E1591" s="23">
        <v>2024</v>
      </c>
      <c r="F1591" s="15" t="s">
        <v>3316</v>
      </c>
      <c r="G1591" s="15" t="s">
        <v>3317</v>
      </c>
      <c r="H1591" s="23" t="s">
        <v>58</v>
      </c>
    </row>
    <row r="1592" spans="1:8" ht="54.95" customHeight="1" x14ac:dyDescent="0.2">
      <c r="A1592" s="23" t="s">
        <v>1055</v>
      </c>
      <c r="B1592" s="23" t="s">
        <v>6</v>
      </c>
      <c r="C1592" s="23" t="s">
        <v>3720</v>
      </c>
      <c r="D1592" s="23">
        <v>51.821711378145622</v>
      </c>
      <c r="E1592" s="23">
        <v>2024</v>
      </c>
      <c r="F1592" s="15" t="s">
        <v>3319</v>
      </c>
      <c r="G1592" s="15" t="s">
        <v>3320</v>
      </c>
      <c r="H1592" s="23" t="s">
        <v>58</v>
      </c>
    </row>
    <row r="1593" spans="1:8" ht="54.95" customHeight="1" x14ac:dyDescent="0.2">
      <c r="A1593" s="23" t="s">
        <v>1055</v>
      </c>
      <c r="B1593" s="23" t="s">
        <v>7</v>
      </c>
      <c r="C1593" s="23" t="s">
        <v>3721</v>
      </c>
      <c r="D1593" s="23">
        <v>26.953094703915909</v>
      </c>
      <c r="E1593" s="23">
        <v>2024</v>
      </c>
      <c r="F1593" s="15" t="s">
        <v>3322</v>
      </c>
      <c r="G1593" s="15" t="s">
        <v>3320</v>
      </c>
      <c r="H1593" s="23" t="s">
        <v>58</v>
      </c>
    </row>
    <row r="1594" spans="1:8" ht="54.95" customHeight="1" x14ac:dyDescent="0.2">
      <c r="A1594" s="23" t="s">
        <v>1055</v>
      </c>
      <c r="B1594" s="23" t="s">
        <v>8</v>
      </c>
      <c r="C1594" s="23" t="s">
        <v>3391</v>
      </c>
      <c r="D1594" s="23">
        <v>14.76993410944096</v>
      </c>
      <c r="E1594" s="23">
        <v>2024</v>
      </c>
      <c r="F1594" s="15" t="s">
        <v>3324</v>
      </c>
      <c r="G1594" s="15" t="s">
        <v>3320</v>
      </c>
      <c r="H1594" s="23" t="s">
        <v>58</v>
      </c>
    </row>
    <row r="1595" spans="1:8" ht="54.95" customHeight="1" x14ac:dyDescent="0.2">
      <c r="A1595" s="23" t="s">
        <v>1055</v>
      </c>
      <c r="B1595" s="23" t="s">
        <v>9</v>
      </c>
      <c r="C1595" s="23" t="s">
        <v>46</v>
      </c>
      <c r="D1595" s="23">
        <v>1.8536668810154751</v>
      </c>
      <c r="E1595" s="23">
        <v>2024</v>
      </c>
      <c r="F1595" s="15" t="s">
        <v>3325</v>
      </c>
      <c r="G1595" s="15" t="s">
        <v>3320</v>
      </c>
      <c r="H1595" s="23" t="s">
        <v>58</v>
      </c>
    </row>
    <row r="1596" spans="1:8" ht="54.95" customHeight="1" x14ac:dyDescent="0.2">
      <c r="A1596" s="23" t="s">
        <v>1055</v>
      </c>
      <c r="B1596" s="23" t="s">
        <v>10</v>
      </c>
      <c r="C1596" s="23" t="s">
        <v>46</v>
      </c>
      <c r="D1596" s="23">
        <v>1.5567996708023841</v>
      </c>
      <c r="E1596" s="23">
        <v>2024</v>
      </c>
      <c r="F1596" s="15" t="s">
        <v>3326</v>
      </c>
      <c r="G1596" s="15" t="s">
        <v>3320</v>
      </c>
      <c r="H1596" s="23" t="s">
        <v>58</v>
      </c>
    </row>
    <row r="1597" spans="1:8" ht="54.95" customHeight="1" x14ac:dyDescent="0.2">
      <c r="A1597" s="23" t="s">
        <v>1055</v>
      </c>
      <c r="B1597" s="23" t="s">
        <v>5</v>
      </c>
      <c r="C1597" s="23" t="s">
        <v>3722</v>
      </c>
      <c r="D1597" s="23">
        <v>36.868822947281998</v>
      </c>
      <c r="E1597" s="23">
        <v>2024</v>
      </c>
      <c r="F1597" s="15" t="s">
        <v>3316</v>
      </c>
      <c r="G1597" s="15" t="s">
        <v>3311</v>
      </c>
      <c r="H1597" s="23" t="s">
        <v>58</v>
      </c>
    </row>
    <row r="1598" spans="1:8" ht="54.95" customHeight="1" x14ac:dyDescent="0.2">
      <c r="A1598" s="23" t="s">
        <v>1060</v>
      </c>
      <c r="B1598" s="23" t="s">
        <v>11</v>
      </c>
      <c r="C1598" s="23" t="s">
        <v>46</v>
      </c>
      <c r="D1598" s="23">
        <v>0</v>
      </c>
      <c r="E1598" s="23">
        <v>2025</v>
      </c>
      <c r="F1598" s="15" t="s">
        <v>3299</v>
      </c>
      <c r="G1598" s="15" t="s">
        <v>3300</v>
      </c>
      <c r="H1598" s="23" t="s">
        <v>58</v>
      </c>
    </row>
    <row r="1599" spans="1:8" ht="54.95" customHeight="1" x14ac:dyDescent="0.2">
      <c r="A1599" s="23" t="s">
        <v>1060</v>
      </c>
      <c r="B1599" s="23" t="s">
        <v>13</v>
      </c>
      <c r="C1599" s="23" t="s">
        <v>46</v>
      </c>
      <c r="D1599" s="23">
        <v>0</v>
      </c>
      <c r="E1599" s="23">
        <v>2025</v>
      </c>
      <c r="F1599" s="15" t="s">
        <v>3302</v>
      </c>
      <c r="G1599" s="15" t="s">
        <v>3300</v>
      </c>
      <c r="H1599" s="23" t="s">
        <v>58</v>
      </c>
    </row>
    <row r="1600" spans="1:8" ht="54.95" customHeight="1" x14ac:dyDescent="0.2">
      <c r="A1600" s="23" t="s">
        <v>1060</v>
      </c>
      <c r="B1600" s="23" t="s">
        <v>14</v>
      </c>
      <c r="C1600" s="23" t="s">
        <v>46</v>
      </c>
      <c r="D1600" s="23">
        <v>0</v>
      </c>
      <c r="E1600" s="23">
        <v>2025</v>
      </c>
      <c r="F1600" s="15" t="s">
        <v>3304</v>
      </c>
      <c r="G1600" s="15" t="s">
        <v>3300</v>
      </c>
      <c r="H1600" s="23" t="s">
        <v>58</v>
      </c>
    </row>
    <row r="1601" spans="1:8" ht="54.95" customHeight="1" x14ac:dyDescent="0.2">
      <c r="A1601" s="23" t="s">
        <v>1060</v>
      </c>
      <c r="B1601" s="23" t="s">
        <v>3</v>
      </c>
      <c r="C1601" s="23" t="s">
        <v>3723</v>
      </c>
      <c r="D1601" s="23">
        <v>30549.992018000001</v>
      </c>
      <c r="E1601" s="23">
        <v>2024</v>
      </c>
      <c r="F1601" s="15" t="s">
        <v>3316</v>
      </c>
      <c r="G1601" s="15" t="s">
        <v>3317</v>
      </c>
      <c r="H1601" s="23" t="s">
        <v>58</v>
      </c>
    </row>
    <row r="1602" spans="1:8" ht="54.95" customHeight="1" x14ac:dyDescent="0.2">
      <c r="A1602" s="23" t="s">
        <v>1060</v>
      </c>
      <c r="B1602" s="23" t="s">
        <v>6</v>
      </c>
      <c r="C1602" s="23" t="s">
        <v>3724</v>
      </c>
      <c r="D1602" s="23">
        <v>56.384281082138507</v>
      </c>
      <c r="E1602" s="23">
        <v>2024</v>
      </c>
      <c r="F1602" s="15" t="s">
        <v>3319</v>
      </c>
      <c r="G1602" s="15" t="s">
        <v>3320</v>
      </c>
      <c r="H1602" s="23" t="s">
        <v>58</v>
      </c>
    </row>
    <row r="1603" spans="1:8" ht="54.95" customHeight="1" x14ac:dyDescent="0.2">
      <c r="A1603" s="23" t="s">
        <v>1060</v>
      </c>
      <c r="B1603" s="23" t="s">
        <v>7</v>
      </c>
      <c r="C1603" s="23" t="s">
        <v>46</v>
      </c>
      <c r="D1603" s="23">
        <v>6.6700140274976087</v>
      </c>
      <c r="E1603" s="23">
        <v>2024</v>
      </c>
      <c r="F1603" s="15" t="s">
        <v>3322</v>
      </c>
      <c r="G1603" s="15" t="s">
        <v>3320</v>
      </c>
      <c r="H1603" s="23" t="s">
        <v>58</v>
      </c>
    </row>
    <row r="1604" spans="1:8" ht="54.95" customHeight="1" x14ac:dyDescent="0.2">
      <c r="A1604" s="23" t="s">
        <v>1060</v>
      </c>
      <c r="B1604" s="23" t="s">
        <v>8</v>
      </c>
      <c r="C1604" s="23" t="s">
        <v>3725</v>
      </c>
      <c r="D1604" s="23">
        <v>7.5766134067603339</v>
      </c>
      <c r="E1604" s="23">
        <v>2024</v>
      </c>
      <c r="F1604" s="15" t="s">
        <v>3324</v>
      </c>
      <c r="G1604" s="15" t="s">
        <v>3320</v>
      </c>
      <c r="H1604" s="23" t="s">
        <v>58</v>
      </c>
    </row>
    <row r="1605" spans="1:8" ht="54.95" customHeight="1" x14ac:dyDescent="0.2">
      <c r="A1605" s="23" t="s">
        <v>1060</v>
      </c>
      <c r="B1605" s="23" t="s">
        <v>9</v>
      </c>
      <c r="C1605" s="23" t="s">
        <v>46</v>
      </c>
      <c r="D1605" s="23">
        <v>1.3568908749820938</v>
      </c>
      <c r="E1605" s="23">
        <v>2024</v>
      </c>
      <c r="F1605" s="15" t="s">
        <v>3325</v>
      </c>
      <c r="G1605" s="15" t="s">
        <v>3320</v>
      </c>
      <c r="H1605" s="23" t="s">
        <v>58</v>
      </c>
    </row>
    <row r="1606" spans="1:8" ht="54.95" customHeight="1" x14ac:dyDescent="0.2">
      <c r="A1606" s="23" t="s">
        <v>1060</v>
      </c>
      <c r="B1606" s="23" t="s">
        <v>10</v>
      </c>
      <c r="C1606" s="23" t="s">
        <v>3726</v>
      </c>
      <c r="D1606" s="23">
        <v>25.671251512534521</v>
      </c>
      <c r="E1606" s="23">
        <v>2024</v>
      </c>
      <c r="F1606" s="15" t="s">
        <v>3326</v>
      </c>
      <c r="G1606" s="15" t="s">
        <v>3320</v>
      </c>
      <c r="H1606" s="23" t="s">
        <v>58</v>
      </c>
    </row>
    <row r="1607" spans="1:8" ht="54.95" customHeight="1" x14ac:dyDescent="0.2">
      <c r="A1607" s="23" t="s">
        <v>1060</v>
      </c>
      <c r="B1607" s="23" t="s">
        <v>5</v>
      </c>
      <c r="C1607" s="23" t="s">
        <v>3727</v>
      </c>
      <c r="D1607" s="23">
        <v>11.181297078587999</v>
      </c>
      <c r="E1607" s="23">
        <v>2024</v>
      </c>
      <c r="F1607" s="15" t="s">
        <v>3316</v>
      </c>
      <c r="G1607" s="15" t="s">
        <v>3311</v>
      </c>
      <c r="H1607" s="23" t="s">
        <v>58</v>
      </c>
    </row>
    <row r="1608" spans="1:8" ht="54.95" customHeight="1" x14ac:dyDescent="0.2">
      <c r="A1608" s="23" t="s">
        <v>1066</v>
      </c>
      <c r="B1608" s="23" t="s">
        <v>11</v>
      </c>
      <c r="C1608" s="23" t="s">
        <v>3728</v>
      </c>
      <c r="D1608" s="23">
        <v>84390.716780046001</v>
      </c>
      <c r="E1608" s="23">
        <v>2025</v>
      </c>
      <c r="F1608" s="15" t="s">
        <v>3299</v>
      </c>
      <c r="G1608" s="15" t="s">
        <v>3300</v>
      </c>
      <c r="H1608" s="23" t="s">
        <v>58</v>
      </c>
    </row>
    <row r="1609" spans="1:8" ht="54.95" customHeight="1" x14ac:dyDescent="0.2">
      <c r="A1609" s="23" t="s">
        <v>1066</v>
      </c>
      <c r="B1609" s="23" t="s">
        <v>13</v>
      </c>
      <c r="C1609" s="23" t="s">
        <v>46</v>
      </c>
      <c r="D1609" s="23">
        <v>76386.504212529733</v>
      </c>
      <c r="E1609" s="23">
        <v>2025</v>
      </c>
      <c r="F1609" s="15" t="s">
        <v>3302</v>
      </c>
      <c r="G1609" s="15" t="s">
        <v>3300</v>
      </c>
      <c r="H1609" s="23" t="s">
        <v>58</v>
      </c>
    </row>
    <row r="1610" spans="1:8" ht="54.95" customHeight="1" x14ac:dyDescent="0.2">
      <c r="A1610" s="23" t="s">
        <v>1066</v>
      </c>
      <c r="B1610" s="23" t="s">
        <v>14</v>
      </c>
      <c r="C1610" s="23" t="s">
        <v>46</v>
      </c>
      <c r="D1610" s="23">
        <v>8004.2125675162752</v>
      </c>
      <c r="E1610" s="23">
        <v>2025</v>
      </c>
      <c r="F1610" s="15" t="s">
        <v>3304</v>
      </c>
      <c r="G1610" s="15" t="s">
        <v>3300</v>
      </c>
      <c r="H1610" s="23" t="s">
        <v>58</v>
      </c>
    </row>
    <row r="1611" spans="1:8" ht="54.95" customHeight="1" x14ac:dyDescent="0.2">
      <c r="A1611" s="23" t="s">
        <v>1066</v>
      </c>
      <c r="B1611" s="23" t="s">
        <v>3</v>
      </c>
      <c r="C1611" s="23" t="s">
        <v>3729</v>
      </c>
      <c r="D1611" s="23">
        <v>6337.3780619999998</v>
      </c>
      <c r="E1611" s="23">
        <v>2024</v>
      </c>
      <c r="F1611" s="15" t="s">
        <v>3316</v>
      </c>
      <c r="G1611" s="15" t="s">
        <v>3317</v>
      </c>
      <c r="H1611" s="23" t="s">
        <v>58</v>
      </c>
    </row>
    <row r="1612" spans="1:8" ht="54.95" customHeight="1" x14ac:dyDescent="0.2">
      <c r="A1612" s="23" t="s">
        <v>1066</v>
      </c>
      <c r="B1612" s="23" t="s">
        <v>6</v>
      </c>
      <c r="C1612" s="23" t="s">
        <v>46</v>
      </c>
      <c r="D1612" s="23">
        <v>46.724359743586341</v>
      </c>
      <c r="E1612" s="23">
        <v>2024</v>
      </c>
      <c r="F1612" s="15" t="s">
        <v>3319</v>
      </c>
      <c r="G1612" s="15" t="s">
        <v>3320</v>
      </c>
      <c r="H1612" s="23" t="s">
        <v>58</v>
      </c>
    </row>
    <row r="1613" spans="1:8" ht="54.95" customHeight="1" x14ac:dyDescent="0.2">
      <c r="A1613" s="23" t="s">
        <v>1066</v>
      </c>
      <c r="B1613" s="23" t="s">
        <v>7</v>
      </c>
      <c r="C1613" s="23" t="s">
        <v>46</v>
      </c>
      <c r="D1613" s="23">
        <v>29.917105504064846</v>
      </c>
      <c r="E1613" s="23">
        <v>2024</v>
      </c>
      <c r="F1613" s="15" t="s">
        <v>3322</v>
      </c>
      <c r="G1613" s="15" t="s">
        <v>3320</v>
      </c>
      <c r="H1613" s="23" t="s">
        <v>58</v>
      </c>
    </row>
    <row r="1614" spans="1:8" ht="54.95" customHeight="1" x14ac:dyDescent="0.2">
      <c r="A1614" s="23" t="s">
        <v>1066</v>
      </c>
      <c r="B1614" s="23" t="s">
        <v>8</v>
      </c>
      <c r="C1614" s="23" t="s">
        <v>46</v>
      </c>
      <c r="D1614" s="23">
        <v>4.6408127165950352</v>
      </c>
      <c r="E1614" s="23">
        <v>2024</v>
      </c>
      <c r="F1614" s="15" t="s">
        <v>3324</v>
      </c>
      <c r="G1614" s="15" t="s">
        <v>3320</v>
      </c>
      <c r="H1614" s="23" t="s">
        <v>58</v>
      </c>
    </row>
    <row r="1615" spans="1:8" ht="54.95" customHeight="1" x14ac:dyDescent="0.2">
      <c r="A1615" s="23" t="s">
        <v>1066</v>
      </c>
      <c r="B1615" s="23" t="s">
        <v>9</v>
      </c>
      <c r="C1615" s="23" t="s">
        <v>46</v>
      </c>
      <c r="D1615" s="23">
        <v>16.885045637663897</v>
      </c>
      <c r="E1615" s="23">
        <v>2024</v>
      </c>
      <c r="F1615" s="15" t="s">
        <v>3325</v>
      </c>
      <c r="G1615" s="15" t="s">
        <v>3320</v>
      </c>
      <c r="H1615" s="23" t="s">
        <v>58</v>
      </c>
    </row>
    <row r="1616" spans="1:8" ht="54.95" customHeight="1" x14ac:dyDescent="0.2">
      <c r="A1616" s="23" t="s">
        <v>1066</v>
      </c>
      <c r="B1616" s="23" t="s">
        <v>10</v>
      </c>
      <c r="C1616" s="23" t="s">
        <v>46</v>
      </c>
      <c r="D1616" s="23">
        <v>0</v>
      </c>
      <c r="E1616" s="23">
        <v>2024</v>
      </c>
      <c r="F1616" s="15" t="s">
        <v>3326</v>
      </c>
      <c r="G1616" s="15" t="s">
        <v>3320</v>
      </c>
      <c r="H1616" s="23" t="s">
        <v>58</v>
      </c>
    </row>
    <row r="1617" spans="1:8" ht="54.95" customHeight="1" x14ac:dyDescent="0.2">
      <c r="A1617" s="23" t="s">
        <v>1066</v>
      </c>
      <c r="B1617" s="23" t="s">
        <v>5</v>
      </c>
      <c r="C1617" s="23" t="s">
        <v>3730</v>
      </c>
      <c r="D1617" s="23">
        <v>2.3194803706919997</v>
      </c>
      <c r="E1617" s="23">
        <v>2024</v>
      </c>
      <c r="F1617" s="15" t="s">
        <v>3316</v>
      </c>
      <c r="G1617" s="15" t="s">
        <v>3311</v>
      </c>
      <c r="H1617" s="23" t="s">
        <v>58</v>
      </c>
    </row>
    <row r="1618" spans="1:8" ht="54.95" customHeight="1" x14ac:dyDescent="0.2">
      <c r="A1618" s="23" t="s">
        <v>1072</v>
      </c>
      <c r="B1618" s="23" t="s">
        <v>11</v>
      </c>
      <c r="C1618" s="23" t="s">
        <v>46</v>
      </c>
      <c r="D1618" s="23">
        <v>0</v>
      </c>
      <c r="E1618" s="23">
        <v>2025</v>
      </c>
      <c r="F1618" s="15" t="s">
        <v>3299</v>
      </c>
      <c r="G1618" s="15" t="s">
        <v>3300</v>
      </c>
      <c r="H1618" s="23" t="s">
        <v>58</v>
      </c>
    </row>
    <row r="1619" spans="1:8" ht="54.95" customHeight="1" x14ac:dyDescent="0.2">
      <c r="A1619" s="23" t="s">
        <v>1072</v>
      </c>
      <c r="B1619" s="23" t="s">
        <v>13</v>
      </c>
      <c r="C1619" s="23" t="s">
        <v>46</v>
      </c>
      <c r="D1619" s="23">
        <v>0</v>
      </c>
      <c r="E1619" s="23">
        <v>2025</v>
      </c>
      <c r="F1619" s="15" t="s">
        <v>3302</v>
      </c>
      <c r="G1619" s="15" t="s">
        <v>3300</v>
      </c>
      <c r="H1619" s="23" t="s">
        <v>58</v>
      </c>
    </row>
    <row r="1620" spans="1:8" ht="54.95" customHeight="1" x14ac:dyDescent="0.2">
      <c r="A1620" s="23" t="s">
        <v>1072</v>
      </c>
      <c r="B1620" s="23" t="s">
        <v>14</v>
      </c>
      <c r="C1620" s="23" t="s">
        <v>46</v>
      </c>
      <c r="D1620" s="23">
        <v>0</v>
      </c>
      <c r="E1620" s="23">
        <v>2025</v>
      </c>
      <c r="F1620" s="15" t="s">
        <v>3304</v>
      </c>
      <c r="G1620" s="15" t="s">
        <v>3300</v>
      </c>
      <c r="H1620" s="23" t="s">
        <v>58</v>
      </c>
    </row>
    <row r="1621" spans="1:8" ht="54.95" customHeight="1" x14ac:dyDescent="0.2">
      <c r="A1621" s="23" t="s">
        <v>1072</v>
      </c>
      <c r="B1621" s="23" t="s">
        <v>3</v>
      </c>
      <c r="C1621" s="23" t="s">
        <v>3731</v>
      </c>
      <c r="D1621" s="23">
        <v>3639.9044329999997</v>
      </c>
      <c r="E1621" s="23">
        <v>2024</v>
      </c>
      <c r="F1621" s="15" t="s">
        <v>3316</v>
      </c>
      <c r="G1621" s="15" t="s">
        <v>3317</v>
      </c>
      <c r="H1621" s="23" t="s">
        <v>58</v>
      </c>
    </row>
    <row r="1622" spans="1:8" ht="54.95" customHeight="1" x14ac:dyDescent="0.2">
      <c r="A1622" s="23" t="s">
        <v>1072</v>
      </c>
      <c r="B1622" s="23" t="s">
        <v>6</v>
      </c>
      <c r="C1622" s="23" t="s">
        <v>46</v>
      </c>
      <c r="D1622" s="23">
        <v>18.982711049655737</v>
      </c>
      <c r="E1622" s="23">
        <v>2024</v>
      </c>
      <c r="F1622" s="15" t="s">
        <v>3319</v>
      </c>
      <c r="G1622" s="15" t="s">
        <v>3320</v>
      </c>
      <c r="H1622" s="23" t="s">
        <v>58</v>
      </c>
    </row>
    <row r="1623" spans="1:8" ht="54.95" customHeight="1" x14ac:dyDescent="0.2">
      <c r="A1623" s="23" t="s">
        <v>1072</v>
      </c>
      <c r="B1623" s="23" t="s">
        <v>7</v>
      </c>
      <c r="C1623" s="23" t="s">
        <v>46</v>
      </c>
      <c r="D1623" s="23">
        <v>17.205525736395071</v>
      </c>
      <c r="E1623" s="23">
        <v>2024</v>
      </c>
      <c r="F1623" s="15" t="s">
        <v>3322</v>
      </c>
      <c r="G1623" s="15" t="s">
        <v>3320</v>
      </c>
      <c r="H1623" s="23" t="s">
        <v>58</v>
      </c>
    </row>
    <row r="1624" spans="1:8" ht="54.95" customHeight="1" x14ac:dyDescent="0.2">
      <c r="A1624" s="23" t="s">
        <v>1072</v>
      </c>
      <c r="B1624" s="23" t="s">
        <v>8</v>
      </c>
      <c r="C1624" s="23" t="s">
        <v>46</v>
      </c>
      <c r="D1624" s="23">
        <v>2.2497980786958758</v>
      </c>
      <c r="E1624" s="23">
        <v>2024</v>
      </c>
      <c r="F1624" s="15" t="s">
        <v>3324</v>
      </c>
      <c r="G1624" s="15" t="s">
        <v>3320</v>
      </c>
      <c r="H1624" s="23" t="s">
        <v>58</v>
      </c>
    </row>
    <row r="1625" spans="1:8" ht="54.95" customHeight="1" x14ac:dyDescent="0.2">
      <c r="A1625" s="23" t="s">
        <v>1072</v>
      </c>
      <c r="B1625" s="23" t="s">
        <v>9</v>
      </c>
      <c r="C1625" s="23" t="s">
        <v>46</v>
      </c>
      <c r="D1625" s="23">
        <v>12.580910335125825</v>
      </c>
      <c r="E1625" s="23">
        <v>2024</v>
      </c>
      <c r="F1625" s="15" t="s">
        <v>3325</v>
      </c>
      <c r="G1625" s="15" t="s">
        <v>3320</v>
      </c>
      <c r="H1625" s="23" t="s">
        <v>58</v>
      </c>
    </row>
    <row r="1626" spans="1:8" ht="54.95" customHeight="1" x14ac:dyDescent="0.2">
      <c r="A1626" s="23" t="s">
        <v>1072</v>
      </c>
      <c r="B1626" s="23" t="s">
        <v>10</v>
      </c>
      <c r="C1626" s="23" t="s">
        <v>46</v>
      </c>
      <c r="D1626" s="23">
        <v>48.981054800127502</v>
      </c>
      <c r="E1626" s="23">
        <v>2024</v>
      </c>
      <c r="F1626" s="15" t="s">
        <v>3326</v>
      </c>
      <c r="G1626" s="15" t="s">
        <v>3320</v>
      </c>
      <c r="H1626" s="23" t="s">
        <v>58</v>
      </c>
    </row>
    <row r="1627" spans="1:8" ht="54.95" customHeight="1" x14ac:dyDescent="0.2">
      <c r="A1627" s="23" t="s">
        <v>1072</v>
      </c>
      <c r="B1627" s="23" t="s">
        <v>5</v>
      </c>
      <c r="C1627" s="23" t="s">
        <v>3732</v>
      </c>
      <c r="D1627" s="23">
        <v>1.3322050224779998</v>
      </c>
      <c r="E1627" s="23">
        <v>2024</v>
      </c>
      <c r="F1627" s="15" t="s">
        <v>3316</v>
      </c>
      <c r="G1627" s="15" t="s">
        <v>3311</v>
      </c>
      <c r="H1627" s="23" t="s">
        <v>58</v>
      </c>
    </row>
    <row r="1628" spans="1:8" ht="54.95" customHeight="1" x14ac:dyDescent="0.2">
      <c r="A1628" s="23" t="s">
        <v>1078</v>
      </c>
      <c r="B1628" s="23" t="s">
        <v>11</v>
      </c>
      <c r="C1628" s="23" t="s">
        <v>3733</v>
      </c>
      <c r="D1628" s="23">
        <v>96</v>
      </c>
      <c r="E1628" s="23">
        <v>2025</v>
      </c>
      <c r="F1628" s="15" t="s">
        <v>3299</v>
      </c>
      <c r="G1628" s="15" t="s">
        <v>3300</v>
      </c>
      <c r="H1628" s="23" t="s">
        <v>58</v>
      </c>
    </row>
    <row r="1629" spans="1:8" ht="54.95" customHeight="1" x14ac:dyDescent="0.2">
      <c r="A1629" s="23" t="s">
        <v>1078</v>
      </c>
      <c r="B1629" s="23" t="s">
        <v>13</v>
      </c>
      <c r="C1629" s="23" t="s">
        <v>46</v>
      </c>
      <c r="D1629" s="23">
        <v>0</v>
      </c>
      <c r="E1629" s="23">
        <v>2025</v>
      </c>
      <c r="F1629" s="15" t="s">
        <v>3302</v>
      </c>
      <c r="G1629" s="15" t="s">
        <v>3300</v>
      </c>
      <c r="H1629" s="23" t="s">
        <v>58</v>
      </c>
    </row>
    <row r="1630" spans="1:8" ht="54.95" customHeight="1" x14ac:dyDescent="0.2">
      <c r="A1630" s="23" t="s">
        <v>1078</v>
      </c>
      <c r="B1630" s="23" t="s">
        <v>14</v>
      </c>
      <c r="C1630" s="23" t="s">
        <v>46</v>
      </c>
      <c r="D1630" s="23">
        <v>0</v>
      </c>
      <c r="E1630" s="23">
        <v>2025</v>
      </c>
      <c r="F1630" s="15" t="s">
        <v>3304</v>
      </c>
      <c r="G1630" s="15" t="s">
        <v>3300</v>
      </c>
      <c r="H1630" s="23" t="s">
        <v>58</v>
      </c>
    </row>
    <row r="1631" spans="1:8" ht="54.95" customHeight="1" x14ac:dyDescent="0.2">
      <c r="A1631" s="23" t="s">
        <v>1078</v>
      </c>
      <c r="B1631" s="23" t="s">
        <v>3</v>
      </c>
      <c r="C1631" s="23" t="s">
        <v>3734</v>
      </c>
      <c r="D1631" s="23">
        <v>317891.38082191779</v>
      </c>
      <c r="E1631" s="23">
        <v>2025</v>
      </c>
      <c r="F1631" s="15" t="s">
        <v>3305</v>
      </c>
      <c r="G1631" s="15" t="s">
        <v>3306</v>
      </c>
      <c r="H1631" s="23" t="s">
        <v>58</v>
      </c>
    </row>
    <row r="1632" spans="1:8" ht="54.95" customHeight="1" x14ac:dyDescent="0.2">
      <c r="A1632" s="23" t="s">
        <v>1078</v>
      </c>
      <c r="B1632" s="23" t="s">
        <v>6</v>
      </c>
      <c r="C1632" s="23" t="s">
        <v>46</v>
      </c>
      <c r="D1632" s="23">
        <v>19.644792258411968</v>
      </c>
      <c r="E1632" s="23">
        <v>2025</v>
      </c>
      <c r="F1632" s="15" t="s">
        <v>3305</v>
      </c>
      <c r="G1632" s="15" t="s">
        <v>3308</v>
      </c>
      <c r="H1632" s="23" t="s">
        <v>58</v>
      </c>
    </row>
    <row r="1633" spans="1:8" ht="54.95" customHeight="1" x14ac:dyDescent="0.2">
      <c r="A1633" s="23" t="s">
        <v>1078</v>
      </c>
      <c r="B1633" s="23" t="s">
        <v>7</v>
      </c>
      <c r="C1633" s="23" t="s">
        <v>46</v>
      </c>
      <c r="D1633" s="23">
        <v>1.9894095988020513</v>
      </c>
      <c r="E1633" s="23">
        <v>2025</v>
      </c>
      <c r="F1633" s="15" t="s">
        <v>3305</v>
      </c>
      <c r="G1633" s="15" t="s">
        <v>3308</v>
      </c>
      <c r="H1633" s="23" t="s">
        <v>58</v>
      </c>
    </row>
    <row r="1634" spans="1:8" ht="54.95" customHeight="1" x14ac:dyDescent="0.2">
      <c r="A1634" s="23" t="s">
        <v>1078</v>
      </c>
      <c r="B1634" s="23" t="s">
        <v>8</v>
      </c>
      <c r="C1634" s="23" t="s">
        <v>46</v>
      </c>
      <c r="D1634" s="23">
        <v>1.9352401527620953</v>
      </c>
      <c r="E1634" s="23">
        <v>2025</v>
      </c>
      <c r="F1634" s="15" t="s">
        <v>3305</v>
      </c>
      <c r="G1634" s="15" t="s">
        <v>3308</v>
      </c>
      <c r="H1634" s="23" t="s">
        <v>58</v>
      </c>
    </row>
    <row r="1635" spans="1:8" ht="54.95" customHeight="1" x14ac:dyDescent="0.2">
      <c r="A1635" s="23" t="s">
        <v>1078</v>
      </c>
      <c r="B1635" s="23" t="s">
        <v>9</v>
      </c>
      <c r="C1635" s="23" t="s">
        <v>46</v>
      </c>
      <c r="D1635" s="23">
        <v>85.356601600991411</v>
      </c>
      <c r="E1635" s="23">
        <v>2025</v>
      </c>
      <c r="F1635" s="15" t="s">
        <v>3305</v>
      </c>
      <c r="G1635" s="15" t="s">
        <v>3308</v>
      </c>
      <c r="H1635" s="23" t="s">
        <v>58</v>
      </c>
    </row>
    <row r="1636" spans="1:8" ht="54.95" customHeight="1" x14ac:dyDescent="0.2">
      <c r="A1636" s="23" t="s">
        <v>1078</v>
      </c>
      <c r="B1636" s="23" t="s">
        <v>10</v>
      </c>
      <c r="C1636" s="23" t="s">
        <v>46</v>
      </c>
      <c r="D1636" s="23">
        <v>33.733633183606422</v>
      </c>
      <c r="E1636" s="23">
        <v>2025</v>
      </c>
      <c r="F1636" s="15" t="s">
        <v>3305</v>
      </c>
      <c r="G1636" s="15" t="s">
        <v>3308</v>
      </c>
      <c r="H1636" s="23" t="s">
        <v>58</v>
      </c>
    </row>
    <row r="1637" spans="1:8" ht="54.95" customHeight="1" x14ac:dyDescent="0.2">
      <c r="A1637" s="23" t="s">
        <v>1078</v>
      </c>
      <c r="B1637" s="23" t="s">
        <v>5</v>
      </c>
      <c r="C1637" s="23" t="s">
        <v>3735</v>
      </c>
      <c r="D1637" s="23">
        <v>116.030354</v>
      </c>
      <c r="E1637" s="23">
        <v>2025</v>
      </c>
      <c r="F1637" s="15" t="s">
        <v>3305</v>
      </c>
      <c r="G1637" s="15" t="s">
        <v>3311</v>
      </c>
      <c r="H1637" s="23" t="s">
        <v>58</v>
      </c>
    </row>
    <row r="1638" spans="1:8" ht="54.95" customHeight="1" x14ac:dyDescent="0.2">
      <c r="A1638" s="23" t="s">
        <v>1103</v>
      </c>
      <c r="B1638" s="23" t="s">
        <v>11</v>
      </c>
      <c r="C1638" s="23" t="s">
        <v>46</v>
      </c>
      <c r="D1638" s="23">
        <v>0</v>
      </c>
      <c r="E1638" s="23">
        <v>2025</v>
      </c>
      <c r="F1638" s="15" t="s">
        <v>3299</v>
      </c>
      <c r="G1638" s="15" t="s">
        <v>3300</v>
      </c>
      <c r="H1638" s="23" t="s">
        <v>58</v>
      </c>
    </row>
    <row r="1639" spans="1:8" ht="54.95" customHeight="1" x14ac:dyDescent="0.2">
      <c r="A1639" s="23" t="s">
        <v>1103</v>
      </c>
      <c r="B1639" s="23" t="s">
        <v>13</v>
      </c>
      <c r="C1639" s="23" t="s">
        <v>46</v>
      </c>
      <c r="D1639" s="23">
        <v>0</v>
      </c>
      <c r="E1639" s="23">
        <v>2025</v>
      </c>
      <c r="F1639" s="15" t="s">
        <v>3302</v>
      </c>
      <c r="G1639" s="15" t="s">
        <v>3300</v>
      </c>
      <c r="H1639" s="23" t="s">
        <v>58</v>
      </c>
    </row>
    <row r="1640" spans="1:8" ht="54.95" customHeight="1" x14ac:dyDescent="0.2">
      <c r="A1640" s="23" t="s">
        <v>1103</v>
      </c>
      <c r="B1640" s="23" t="s">
        <v>14</v>
      </c>
      <c r="C1640" s="23" t="s">
        <v>46</v>
      </c>
      <c r="D1640" s="23">
        <v>0</v>
      </c>
      <c r="E1640" s="23">
        <v>2025</v>
      </c>
      <c r="F1640" s="15" t="s">
        <v>3304</v>
      </c>
      <c r="G1640" s="15" t="s">
        <v>3300</v>
      </c>
      <c r="H1640" s="23" t="s">
        <v>58</v>
      </c>
    </row>
    <row r="1641" spans="1:8" ht="54.95" customHeight="1" x14ac:dyDescent="0.2">
      <c r="A1641" s="23" t="s">
        <v>1103</v>
      </c>
      <c r="B1641" s="23" t="s">
        <v>3</v>
      </c>
      <c r="C1641" s="23" t="s">
        <v>46</v>
      </c>
      <c r="D1641" s="23">
        <v>78.7</v>
      </c>
      <c r="E1641" s="23">
        <v>2024</v>
      </c>
      <c r="F1641" s="15" t="s">
        <v>3316</v>
      </c>
      <c r="G1641" s="15" t="s">
        <v>3317</v>
      </c>
      <c r="H1641" s="23" t="s">
        <v>58</v>
      </c>
    </row>
    <row r="1642" spans="1:8" ht="54.95" customHeight="1" x14ac:dyDescent="0.2">
      <c r="A1642" s="23" t="s">
        <v>1103</v>
      </c>
      <c r="B1642" s="23" t="s">
        <v>6</v>
      </c>
      <c r="C1642" s="23" t="s">
        <v>46</v>
      </c>
      <c r="D1642" s="23">
        <v>54.078780177890728</v>
      </c>
      <c r="E1642" s="23">
        <v>2024</v>
      </c>
      <c r="F1642" s="15" t="s">
        <v>3319</v>
      </c>
      <c r="G1642" s="15" t="s">
        <v>3320</v>
      </c>
      <c r="H1642" s="23" t="s">
        <v>58</v>
      </c>
    </row>
    <row r="1643" spans="1:8" ht="54.95" customHeight="1" x14ac:dyDescent="0.2">
      <c r="A1643" s="23" t="s">
        <v>1103</v>
      </c>
      <c r="B1643" s="23" t="s">
        <v>7</v>
      </c>
      <c r="C1643" s="23" t="s">
        <v>46</v>
      </c>
      <c r="D1643" s="23">
        <v>0.11435832274459974</v>
      </c>
      <c r="E1643" s="23">
        <v>2024</v>
      </c>
      <c r="F1643" s="15" t="s">
        <v>3322</v>
      </c>
      <c r="G1643" s="15" t="s">
        <v>3320</v>
      </c>
      <c r="H1643" s="23" t="s">
        <v>58</v>
      </c>
    </row>
    <row r="1644" spans="1:8" ht="54.95" customHeight="1" x14ac:dyDescent="0.2">
      <c r="A1644" s="23" t="s">
        <v>1103</v>
      </c>
      <c r="B1644" s="23" t="s">
        <v>8</v>
      </c>
      <c r="C1644" s="23" t="s">
        <v>46</v>
      </c>
      <c r="D1644" s="23">
        <v>0</v>
      </c>
      <c r="E1644" s="23">
        <v>2024</v>
      </c>
      <c r="F1644" s="15" t="s">
        <v>3324</v>
      </c>
      <c r="G1644" s="15" t="s">
        <v>3320</v>
      </c>
      <c r="H1644" s="23" t="s">
        <v>58</v>
      </c>
    </row>
    <row r="1645" spans="1:8" ht="54.95" customHeight="1" x14ac:dyDescent="0.2">
      <c r="A1645" s="23" t="s">
        <v>1103</v>
      </c>
      <c r="B1645" s="23" t="s">
        <v>9</v>
      </c>
      <c r="C1645" s="23" t="s">
        <v>46</v>
      </c>
      <c r="D1645" s="23">
        <v>0</v>
      </c>
      <c r="E1645" s="23">
        <v>2024</v>
      </c>
      <c r="F1645" s="15" t="s">
        <v>3325</v>
      </c>
      <c r="G1645" s="15" t="s">
        <v>3320</v>
      </c>
      <c r="H1645" s="23" t="s">
        <v>58</v>
      </c>
    </row>
    <row r="1646" spans="1:8" ht="54.95" customHeight="1" x14ac:dyDescent="0.2">
      <c r="A1646" s="23" t="s">
        <v>1103</v>
      </c>
      <c r="B1646" s="23" t="s">
        <v>10</v>
      </c>
      <c r="C1646" s="23" t="s">
        <v>46</v>
      </c>
      <c r="D1646" s="23">
        <v>45.806861499364672</v>
      </c>
      <c r="E1646" s="23">
        <v>2024</v>
      </c>
      <c r="F1646" s="15" t="s">
        <v>3326</v>
      </c>
      <c r="G1646" s="15" t="s">
        <v>3320</v>
      </c>
      <c r="H1646" s="23" t="s">
        <v>58</v>
      </c>
    </row>
    <row r="1647" spans="1:8" ht="54.95" customHeight="1" x14ac:dyDescent="0.2">
      <c r="A1647" s="23" t="s">
        <v>1103</v>
      </c>
      <c r="B1647" s="23" t="s">
        <v>5</v>
      </c>
      <c r="C1647" s="23" t="s">
        <v>46</v>
      </c>
      <c r="D1647" s="23">
        <v>2.8804200000000002E-2</v>
      </c>
      <c r="E1647" s="23">
        <v>2024</v>
      </c>
      <c r="F1647" s="15" t="s">
        <v>3316</v>
      </c>
      <c r="G1647" s="15" t="s">
        <v>3311</v>
      </c>
      <c r="H1647" s="23" t="s">
        <v>58</v>
      </c>
    </row>
    <row r="1648" spans="1:8" ht="54.95" customHeight="1" x14ac:dyDescent="0.2">
      <c r="A1648" s="23" t="s">
        <v>1107</v>
      </c>
      <c r="B1648" s="23" t="s">
        <v>11</v>
      </c>
      <c r="C1648" s="23" t="s">
        <v>46</v>
      </c>
      <c r="D1648" s="23">
        <v>363368.84043200384</v>
      </c>
      <c r="E1648" s="23">
        <v>2025</v>
      </c>
      <c r="F1648" s="15" t="s">
        <v>3299</v>
      </c>
      <c r="G1648" s="15" t="s">
        <v>3300</v>
      </c>
      <c r="H1648" s="23" t="s">
        <v>58</v>
      </c>
    </row>
    <row r="1649" spans="1:8" ht="54.95" customHeight="1" x14ac:dyDescent="0.2">
      <c r="A1649" s="23" t="s">
        <v>1107</v>
      </c>
      <c r="B1649" s="23" t="s">
        <v>13</v>
      </c>
      <c r="C1649" s="23" t="s">
        <v>46</v>
      </c>
      <c r="D1649" s="23">
        <v>245583.40250301201</v>
      </c>
      <c r="E1649" s="23">
        <v>2025</v>
      </c>
      <c r="F1649" s="15" t="s">
        <v>3302</v>
      </c>
      <c r="G1649" s="15" t="s">
        <v>3300</v>
      </c>
      <c r="H1649" s="23" t="s">
        <v>58</v>
      </c>
    </row>
    <row r="1650" spans="1:8" ht="54.95" customHeight="1" x14ac:dyDescent="0.2">
      <c r="A1650" s="23" t="s">
        <v>1107</v>
      </c>
      <c r="B1650" s="23" t="s">
        <v>14</v>
      </c>
      <c r="C1650" s="23" t="s">
        <v>46</v>
      </c>
      <c r="D1650" s="23">
        <v>94060.27397260275</v>
      </c>
      <c r="E1650" s="23">
        <v>2025</v>
      </c>
      <c r="F1650" s="15" t="s">
        <v>3304</v>
      </c>
      <c r="G1650" s="15" t="s">
        <v>3300</v>
      </c>
      <c r="H1650" s="23" t="s">
        <v>58</v>
      </c>
    </row>
    <row r="1651" spans="1:8" ht="54.95" customHeight="1" x14ac:dyDescent="0.2">
      <c r="A1651" s="23" t="s">
        <v>1107</v>
      </c>
      <c r="B1651" s="23" t="s">
        <v>3</v>
      </c>
      <c r="C1651" s="23" t="s">
        <v>3736</v>
      </c>
      <c r="D1651" s="23">
        <v>1107772.602739726</v>
      </c>
      <c r="E1651" s="23">
        <v>2025</v>
      </c>
      <c r="F1651" s="15" t="s">
        <v>3305</v>
      </c>
      <c r="G1651" s="15" t="s">
        <v>3306</v>
      </c>
      <c r="H1651" s="23" t="s">
        <v>58</v>
      </c>
    </row>
    <row r="1652" spans="1:8" ht="54.95" customHeight="1" x14ac:dyDescent="0.2">
      <c r="A1652" s="23" t="s">
        <v>1107</v>
      </c>
      <c r="B1652" s="23" t="s">
        <v>6</v>
      </c>
      <c r="C1652" s="23" t="s">
        <v>46</v>
      </c>
      <c r="D1652" s="23">
        <v>52.006736954570073</v>
      </c>
      <c r="E1652" s="23">
        <v>2025</v>
      </c>
      <c r="F1652" s="15" t="s">
        <v>3305</v>
      </c>
      <c r="G1652" s="15" t="s">
        <v>3308</v>
      </c>
      <c r="H1652" s="23" t="s">
        <v>58</v>
      </c>
    </row>
    <row r="1653" spans="1:8" ht="54.95" customHeight="1" x14ac:dyDescent="0.2">
      <c r="A1653" s="23" t="s">
        <v>1107</v>
      </c>
      <c r="B1653" s="23" t="s">
        <v>7</v>
      </c>
      <c r="C1653" s="23" t="s">
        <v>46</v>
      </c>
      <c r="D1653" s="23">
        <v>24.779671412707714</v>
      </c>
      <c r="E1653" s="23">
        <v>2025</v>
      </c>
      <c r="F1653" s="15" t="s">
        <v>3305</v>
      </c>
      <c r="G1653" s="15" t="s">
        <v>3308</v>
      </c>
      <c r="H1653" s="23" t="s">
        <v>58</v>
      </c>
    </row>
    <row r="1654" spans="1:8" ht="54.95" customHeight="1" x14ac:dyDescent="0.2">
      <c r="A1654" s="23" t="s">
        <v>1107</v>
      </c>
      <c r="B1654" s="23" t="s">
        <v>8</v>
      </c>
      <c r="C1654" s="23" t="s">
        <v>46</v>
      </c>
      <c r="D1654" s="23">
        <v>2.2807707432166735</v>
      </c>
      <c r="E1654" s="23">
        <v>2025</v>
      </c>
      <c r="F1654" s="15" t="s">
        <v>3305</v>
      </c>
      <c r="G1654" s="15" t="s">
        <v>3308</v>
      </c>
      <c r="H1654" s="23" t="s">
        <v>58</v>
      </c>
    </row>
    <row r="1655" spans="1:8" ht="54.95" customHeight="1" x14ac:dyDescent="0.2">
      <c r="A1655" s="23" t="s">
        <v>1107</v>
      </c>
      <c r="B1655" s="23" t="s">
        <v>9</v>
      </c>
      <c r="C1655" s="23" t="s">
        <v>46</v>
      </c>
      <c r="D1655" s="23">
        <v>31.422912075817944</v>
      </c>
      <c r="E1655" s="23">
        <v>2025</v>
      </c>
      <c r="F1655" s="15" t="s">
        <v>3305</v>
      </c>
      <c r="G1655" s="15" t="s">
        <v>3308</v>
      </c>
      <c r="H1655" s="23" t="s">
        <v>58</v>
      </c>
    </row>
    <row r="1656" spans="1:8" ht="54.95" customHeight="1" x14ac:dyDescent="0.2">
      <c r="A1656" s="23" t="s">
        <v>1107</v>
      </c>
      <c r="B1656" s="23" t="s">
        <v>10</v>
      </c>
      <c r="C1656" s="23" t="s">
        <v>46</v>
      </c>
      <c r="D1656" s="23">
        <v>1.0442873147893958</v>
      </c>
      <c r="E1656" s="23">
        <v>2025</v>
      </c>
      <c r="F1656" s="15" t="s">
        <v>3305</v>
      </c>
      <c r="G1656" s="15" t="s">
        <v>3308</v>
      </c>
      <c r="H1656" s="23" t="s">
        <v>58</v>
      </c>
    </row>
    <row r="1657" spans="1:8" ht="54.95" customHeight="1" x14ac:dyDescent="0.2">
      <c r="A1657" s="23" t="s">
        <v>1107</v>
      </c>
      <c r="B1657" s="23" t="s">
        <v>5</v>
      </c>
      <c r="C1657" s="23" t="s">
        <v>3737</v>
      </c>
      <c r="D1657" s="23">
        <v>404.33699999999999</v>
      </c>
      <c r="E1657" s="23">
        <v>2025</v>
      </c>
      <c r="F1657" s="15" t="s">
        <v>3305</v>
      </c>
      <c r="G1657" s="15" t="s">
        <v>3311</v>
      </c>
      <c r="H1657" s="23" t="s">
        <v>58</v>
      </c>
    </row>
    <row r="1658" spans="1:8" ht="54.95" customHeight="1" x14ac:dyDescent="0.2">
      <c r="A1658" s="23" t="s">
        <v>1113</v>
      </c>
      <c r="B1658" s="23" t="s">
        <v>11</v>
      </c>
      <c r="C1658" s="23" t="s">
        <v>46</v>
      </c>
      <c r="D1658" s="23">
        <v>0</v>
      </c>
      <c r="E1658" s="23">
        <v>2025</v>
      </c>
      <c r="F1658" s="15" t="s">
        <v>3299</v>
      </c>
      <c r="G1658" s="15" t="s">
        <v>3300</v>
      </c>
      <c r="H1658" s="23" t="s">
        <v>58</v>
      </c>
    </row>
    <row r="1659" spans="1:8" ht="54.95" customHeight="1" x14ac:dyDescent="0.2">
      <c r="A1659" s="23" t="s">
        <v>1113</v>
      </c>
      <c r="B1659" s="23" t="s">
        <v>13</v>
      </c>
      <c r="C1659" s="23" t="s">
        <v>46</v>
      </c>
      <c r="D1659" s="23">
        <v>0</v>
      </c>
      <c r="E1659" s="23">
        <v>2025</v>
      </c>
      <c r="F1659" s="15" t="s">
        <v>3302</v>
      </c>
      <c r="G1659" s="15" t="s">
        <v>3300</v>
      </c>
      <c r="H1659" s="23" t="s">
        <v>58</v>
      </c>
    </row>
    <row r="1660" spans="1:8" ht="54.95" customHeight="1" x14ac:dyDescent="0.2">
      <c r="A1660" s="23" t="s">
        <v>1113</v>
      </c>
      <c r="B1660" s="23" t="s">
        <v>14</v>
      </c>
      <c r="C1660" s="23" t="s">
        <v>46</v>
      </c>
      <c r="D1660" s="23">
        <v>0</v>
      </c>
      <c r="E1660" s="23">
        <v>2025</v>
      </c>
      <c r="F1660" s="15" t="s">
        <v>3304</v>
      </c>
      <c r="G1660" s="15" t="s">
        <v>3300</v>
      </c>
      <c r="H1660" s="23" t="s">
        <v>58</v>
      </c>
    </row>
    <row r="1661" spans="1:8" ht="54.95" customHeight="1" x14ac:dyDescent="0.2">
      <c r="A1661" s="23" t="s">
        <v>1113</v>
      </c>
      <c r="B1661" s="23" t="s">
        <v>3</v>
      </c>
      <c r="C1661" s="23" t="s">
        <v>3738</v>
      </c>
      <c r="D1661" s="23">
        <v>3531.1148640000001</v>
      </c>
      <c r="E1661" s="23">
        <v>2024</v>
      </c>
      <c r="F1661" s="15" t="s">
        <v>3316</v>
      </c>
      <c r="G1661" s="15" t="s">
        <v>3317</v>
      </c>
      <c r="H1661" s="23" t="s">
        <v>58</v>
      </c>
    </row>
    <row r="1662" spans="1:8" ht="54.95" customHeight="1" x14ac:dyDescent="0.2">
      <c r="A1662" s="23" t="s">
        <v>1113</v>
      </c>
      <c r="B1662" s="23" t="s">
        <v>6</v>
      </c>
      <c r="C1662" s="23" t="s">
        <v>46</v>
      </c>
      <c r="D1662" s="23">
        <v>77.755685151792889</v>
      </c>
      <c r="E1662" s="23">
        <v>2024</v>
      </c>
      <c r="F1662" s="15" t="s">
        <v>3319</v>
      </c>
      <c r="G1662" s="15" t="s">
        <v>3320</v>
      </c>
      <c r="H1662" s="23" t="s">
        <v>58</v>
      </c>
    </row>
    <row r="1663" spans="1:8" ht="54.95" customHeight="1" x14ac:dyDescent="0.2">
      <c r="A1663" s="23" t="s">
        <v>1113</v>
      </c>
      <c r="B1663" s="23" t="s">
        <v>7</v>
      </c>
      <c r="C1663" s="23" t="s">
        <v>46</v>
      </c>
      <c r="D1663" s="23">
        <v>12.896926170340517</v>
      </c>
      <c r="E1663" s="23">
        <v>2024</v>
      </c>
      <c r="F1663" s="15" t="s">
        <v>3322</v>
      </c>
      <c r="G1663" s="15" t="s">
        <v>3320</v>
      </c>
      <c r="H1663" s="23" t="s">
        <v>58</v>
      </c>
    </row>
    <row r="1664" spans="1:8" ht="54.95" customHeight="1" x14ac:dyDescent="0.2">
      <c r="A1664" s="23" t="s">
        <v>1113</v>
      </c>
      <c r="B1664" s="23" t="s">
        <v>8</v>
      </c>
      <c r="C1664" s="23" t="s">
        <v>46</v>
      </c>
      <c r="D1664" s="23">
        <v>6.0602871399541076E-2</v>
      </c>
      <c r="E1664" s="23">
        <v>2024</v>
      </c>
      <c r="F1664" s="15" t="s">
        <v>3324</v>
      </c>
      <c r="G1664" s="15" t="s">
        <v>3320</v>
      </c>
      <c r="H1664" s="23" t="s">
        <v>58</v>
      </c>
    </row>
    <row r="1665" spans="1:8" ht="54.95" customHeight="1" x14ac:dyDescent="0.2">
      <c r="A1665" s="23" t="s">
        <v>1113</v>
      </c>
      <c r="B1665" s="23" t="s">
        <v>9</v>
      </c>
      <c r="C1665" s="23" t="s">
        <v>46</v>
      </c>
      <c r="D1665" s="23">
        <v>8.3792261763139297</v>
      </c>
      <c r="E1665" s="23">
        <v>2024</v>
      </c>
      <c r="F1665" s="15" t="s">
        <v>3325</v>
      </c>
      <c r="G1665" s="15" t="s">
        <v>3320</v>
      </c>
      <c r="H1665" s="23" t="s">
        <v>58</v>
      </c>
    </row>
    <row r="1666" spans="1:8" ht="54.95" customHeight="1" x14ac:dyDescent="0.2">
      <c r="A1666" s="23" t="s">
        <v>1113</v>
      </c>
      <c r="B1666" s="23" t="s">
        <v>10</v>
      </c>
      <c r="C1666" s="23" t="s">
        <v>46</v>
      </c>
      <c r="D1666" s="23">
        <v>0</v>
      </c>
      <c r="E1666" s="23">
        <v>2024</v>
      </c>
      <c r="F1666" s="15" t="s">
        <v>3326</v>
      </c>
      <c r="G1666" s="15" t="s">
        <v>3320</v>
      </c>
      <c r="H1666" s="23" t="s">
        <v>58</v>
      </c>
    </row>
    <row r="1667" spans="1:8" ht="54.95" customHeight="1" x14ac:dyDescent="0.2">
      <c r="A1667" s="23" t="s">
        <v>1113</v>
      </c>
      <c r="B1667" s="23" t="s">
        <v>5</v>
      </c>
      <c r="C1667" s="23" t="s">
        <v>3739</v>
      </c>
      <c r="D1667" s="23">
        <v>1.2923880402240002</v>
      </c>
      <c r="E1667" s="23">
        <v>2024</v>
      </c>
      <c r="F1667" s="15" t="s">
        <v>3316</v>
      </c>
      <c r="G1667" s="15" t="s">
        <v>3311</v>
      </c>
      <c r="H1667" s="23" t="s">
        <v>58</v>
      </c>
    </row>
    <row r="1668" spans="1:8" ht="54.95" customHeight="1" x14ac:dyDescent="0.2">
      <c r="A1668" s="23" t="s">
        <v>1117</v>
      </c>
      <c r="B1668" s="23" t="s">
        <v>11</v>
      </c>
      <c r="C1668" s="23" t="s">
        <v>46</v>
      </c>
      <c r="D1668" s="23">
        <v>0</v>
      </c>
      <c r="E1668" s="23">
        <v>2025</v>
      </c>
      <c r="F1668" s="15" t="s">
        <v>3299</v>
      </c>
      <c r="G1668" s="15" t="s">
        <v>3300</v>
      </c>
      <c r="H1668" s="23" t="s">
        <v>58</v>
      </c>
    </row>
    <row r="1669" spans="1:8" ht="54.95" customHeight="1" x14ac:dyDescent="0.2">
      <c r="A1669" s="23" t="s">
        <v>1117</v>
      </c>
      <c r="B1669" s="23" t="s">
        <v>13</v>
      </c>
      <c r="C1669" s="23" t="s">
        <v>46</v>
      </c>
      <c r="D1669" s="23">
        <v>0</v>
      </c>
      <c r="E1669" s="23">
        <v>2025</v>
      </c>
      <c r="F1669" s="15" t="s">
        <v>3302</v>
      </c>
      <c r="G1669" s="15" t="s">
        <v>3300</v>
      </c>
      <c r="H1669" s="23" t="s">
        <v>58</v>
      </c>
    </row>
    <row r="1670" spans="1:8" ht="54.95" customHeight="1" x14ac:dyDescent="0.2">
      <c r="A1670" s="23" t="s">
        <v>1117</v>
      </c>
      <c r="B1670" s="23" t="s">
        <v>14</v>
      </c>
      <c r="C1670" s="23" t="s">
        <v>46</v>
      </c>
      <c r="D1670" s="23">
        <v>0</v>
      </c>
      <c r="E1670" s="23">
        <v>2025</v>
      </c>
      <c r="F1670" s="15" t="s">
        <v>3304</v>
      </c>
      <c r="G1670" s="15" t="s">
        <v>3300</v>
      </c>
      <c r="H1670" s="23" t="s">
        <v>58</v>
      </c>
    </row>
    <row r="1671" spans="1:8" ht="54.95" customHeight="1" x14ac:dyDescent="0.2">
      <c r="A1671" s="23" t="s">
        <v>1117</v>
      </c>
      <c r="B1671" s="23" t="s">
        <v>3</v>
      </c>
      <c r="C1671" s="23" t="s">
        <v>3740</v>
      </c>
      <c r="D1671" s="23">
        <v>15411.075063</v>
      </c>
      <c r="E1671" s="23">
        <v>2024</v>
      </c>
      <c r="F1671" s="15" t="s">
        <v>3316</v>
      </c>
      <c r="G1671" s="15" t="s">
        <v>3317</v>
      </c>
      <c r="H1671" s="23" t="s">
        <v>58</v>
      </c>
    </row>
    <row r="1672" spans="1:8" ht="54.95" customHeight="1" x14ac:dyDescent="0.2">
      <c r="A1672" s="23" t="s">
        <v>1117</v>
      </c>
      <c r="B1672" s="23" t="s">
        <v>6</v>
      </c>
      <c r="C1672" s="23" t="s">
        <v>46</v>
      </c>
      <c r="D1672" s="23">
        <v>34.882538155346083</v>
      </c>
      <c r="E1672" s="23">
        <v>2024</v>
      </c>
      <c r="F1672" s="15" t="s">
        <v>3319</v>
      </c>
      <c r="G1672" s="15" t="s">
        <v>3320</v>
      </c>
      <c r="H1672" s="23" t="s">
        <v>58</v>
      </c>
    </row>
    <row r="1673" spans="1:8" ht="54.95" customHeight="1" x14ac:dyDescent="0.2">
      <c r="A1673" s="23" t="s">
        <v>1117</v>
      </c>
      <c r="B1673" s="23" t="s">
        <v>7</v>
      </c>
      <c r="C1673" s="23" t="s">
        <v>46</v>
      </c>
      <c r="D1673" s="23">
        <v>21.463901307843493</v>
      </c>
      <c r="E1673" s="23">
        <v>2024</v>
      </c>
      <c r="F1673" s="15" t="s">
        <v>3322</v>
      </c>
      <c r="G1673" s="15" t="s">
        <v>3320</v>
      </c>
      <c r="H1673" s="23" t="s">
        <v>58</v>
      </c>
    </row>
    <row r="1674" spans="1:8" ht="54.95" customHeight="1" x14ac:dyDescent="0.2">
      <c r="A1674" s="23" t="s">
        <v>1117</v>
      </c>
      <c r="B1674" s="23" t="s">
        <v>8</v>
      </c>
      <c r="C1674" s="23" t="s">
        <v>46</v>
      </c>
      <c r="D1674" s="23">
        <v>6.0611510694839579</v>
      </c>
      <c r="E1674" s="23">
        <v>2024</v>
      </c>
      <c r="F1674" s="15" t="s">
        <v>3324</v>
      </c>
      <c r="G1674" s="15" t="s">
        <v>3320</v>
      </c>
      <c r="H1674" s="23" t="s">
        <v>58</v>
      </c>
    </row>
    <row r="1675" spans="1:8" ht="54.95" customHeight="1" x14ac:dyDescent="0.2">
      <c r="A1675" s="23" t="s">
        <v>1117</v>
      </c>
      <c r="B1675" s="23" t="s">
        <v>9</v>
      </c>
      <c r="C1675" s="23" t="s">
        <v>46</v>
      </c>
      <c r="D1675" s="23">
        <v>25.350859223181761</v>
      </c>
      <c r="E1675" s="23">
        <v>2024</v>
      </c>
      <c r="F1675" s="15" t="s">
        <v>3325</v>
      </c>
      <c r="G1675" s="15" t="s">
        <v>3320</v>
      </c>
      <c r="H1675" s="23" t="s">
        <v>58</v>
      </c>
    </row>
    <row r="1676" spans="1:8" ht="54.95" customHeight="1" x14ac:dyDescent="0.2">
      <c r="A1676" s="23" t="s">
        <v>1117</v>
      </c>
      <c r="B1676" s="23" t="s">
        <v>10</v>
      </c>
      <c r="C1676" s="23" t="s">
        <v>46</v>
      </c>
      <c r="D1676" s="23">
        <v>11.043323674972095</v>
      </c>
      <c r="E1676" s="23">
        <v>2024</v>
      </c>
      <c r="F1676" s="15" t="s">
        <v>3326</v>
      </c>
      <c r="G1676" s="15" t="s">
        <v>3320</v>
      </c>
      <c r="H1676" s="23" t="s">
        <v>58</v>
      </c>
    </row>
    <row r="1677" spans="1:8" ht="54.95" customHeight="1" x14ac:dyDescent="0.2">
      <c r="A1677" s="23" t="s">
        <v>1117</v>
      </c>
      <c r="B1677" s="23" t="s">
        <v>5</v>
      </c>
      <c r="C1677" s="23" t="s">
        <v>3741</v>
      </c>
      <c r="D1677" s="23">
        <v>5.6404534730579998</v>
      </c>
      <c r="E1677" s="23">
        <v>2024</v>
      </c>
      <c r="F1677" s="15" t="s">
        <v>3316</v>
      </c>
      <c r="G1677" s="15" t="s">
        <v>3311</v>
      </c>
      <c r="H1677" s="23" t="s">
        <v>58</v>
      </c>
    </row>
    <row r="1678" spans="1:8" ht="54.95" customHeight="1" x14ac:dyDescent="0.2">
      <c r="A1678" s="23" t="s">
        <v>1123</v>
      </c>
      <c r="B1678" s="23" t="s">
        <v>11</v>
      </c>
      <c r="C1678" s="23" t="s">
        <v>3742</v>
      </c>
      <c r="D1678" s="23">
        <v>19034.712348832876</v>
      </c>
      <c r="E1678" s="23">
        <v>2025</v>
      </c>
      <c r="F1678" s="15" t="s">
        <v>3299</v>
      </c>
      <c r="G1678" s="15" t="s">
        <v>3300</v>
      </c>
      <c r="H1678" s="23" t="s">
        <v>58</v>
      </c>
    </row>
    <row r="1679" spans="1:8" ht="54.95" customHeight="1" x14ac:dyDescent="0.2">
      <c r="A1679" s="23" t="s">
        <v>1123</v>
      </c>
      <c r="B1679" s="23" t="s">
        <v>13</v>
      </c>
      <c r="C1679" s="23" t="s">
        <v>3743</v>
      </c>
      <c r="D1679" s="23">
        <v>7914.7041095890418</v>
      </c>
      <c r="E1679" s="23">
        <v>2025</v>
      </c>
      <c r="F1679" s="15" t="s">
        <v>3302</v>
      </c>
      <c r="G1679" s="15" t="s">
        <v>3300</v>
      </c>
      <c r="H1679" s="23" t="s">
        <v>58</v>
      </c>
    </row>
    <row r="1680" spans="1:8" ht="54.95" customHeight="1" x14ac:dyDescent="0.2">
      <c r="A1680" s="23" t="s">
        <v>1123</v>
      </c>
      <c r="B1680" s="23" t="s">
        <v>14</v>
      </c>
      <c r="C1680" s="23" t="s">
        <v>3744</v>
      </c>
      <c r="D1680" s="23">
        <v>4038.9479452054793</v>
      </c>
      <c r="E1680" s="23">
        <v>2025</v>
      </c>
      <c r="F1680" s="15" t="s">
        <v>3304</v>
      </c>
      <c r="G1680" s="15" t="s">
        <v>3300</v>
      </c>
      <c r="H1680" s="23" t="s">
        <v>58</v>
      </c>
    </row>
    <row r="1681" spans="1:8" ht="54.95" customHeight="1" x14ac:dyDescent="0.2">
      <c r="A1681" s="23" t="s">
        <v>1123</v>
      </c>
      <c r="B1681" s="23" t="s">
        <v>3</v>
      </c>
      <c r="C1681" s="23" t="s">
        <v>3745</v>
      </c>
      <c r="D1681" s="23">
        <v>159638.35616438356</v>
      </c>
      <c r="E1681" s="23">
        <v>2025</v>
      </c>
      <c r="F1681" s="15" t="s">
        <v>3305</v>
      </c>
      <c r="G1681" s="15" t="s">
        <v>3306</v>
      </c>
      <c r="H1681" s="23" t="s">
        <v>58</v>
      </c>
    </row>
    <row r="1682" spans="1:8" ht="54.95" customHeight="1" x14ac:dyDescent="0.2">
      <c r="A1682" s="23" t="s">
        <v>1123</v>
      </c>
      <c r="B1682" s="23" t="s">
        <v>6</v>
      </c>
      <c r="C1682" s="23" t="s">
        <v>3444</v>
      </c>
      <c r="D1682" s="23">
        <v>41.635065559140521</v>
      </c>
      <c r="E1682" s="23">
        <v>2025</v>
      </c>
      <c r="F1682" s="15" t="s">
        <v>3305</v>
      </c>
      <c r="G1682" s="15" t="s">
        <v>3308</v>
      </c>
      <c r="H1682" s="23" t="s">
        <v>58</v>
      </c>
    </row>
    <row r="1683" spans="1:8" ht="54.95" customHeight="1" x14ac:dyDescent="0.2">
      <c r="A1683" s="23" t="s">
        <v>1123</v>
      </c>
      <c r="B1683" s="23" t="s">
        <v>7</v>
      </c>
      <c r="C1683" s="23" t="s">
        <v>3746</v>
      </c>
      <c r="D1683" s="23">
        <v>31.21088762270886</v>
      </c>
      <c r="E1683" s="23">
        <v>2025</v>
      </c>
      <c r="F1683" s="15" t="s">
        <v>3305</v>
      </c>
      <c r="G1683" s="15" t="s">
        <v>3308</v>
      </c>
      <c r="H1683" s="23" t="s">
        <v>58</v>
      </c>
    </row>
    <row r="1684" spans="1:8" ht="54.95" customHeight="1" x14ac:dyDescent="0.2">
      <c r="A1684" s="23" t="s">
        <v>1123</v>
      </c>
      <c r="B1684" s="23" t="s">
        <v>8</v>
      </c>
      <c r="C1684" s="23" t="s">
        <v>46</v>
      </c>
      <c r="D1684" s="23">
        <v>3.8820621953731038</v>
      </c>
      <c r="E1684" s="23">
        <v>2025</v>
      </c>
      <c r="F1684" s="15" t="s">
        <v>3305</v>
      </c>
      <c r="G1684" s="15" t="s">
        <v>3308</v>
      </c>
      <c r="H1684" s="23" t="s">
        <v>58</v>
      </c>
    </row>
    <row r="1685" spans="1:8" ht="54.95" customHeight="1" x14ac:dyDescent="0.2">
      <c r="A1685" s="23" t="s">
        <v>1123</v>
      </c>
      <c r="B1685" s="23" t="s">
        <v>9</v>
      </c>
      <c r="C1685" s="23" t="s">
        <v>3420</v>
      </c>
      <c r="D1685" s="23">
        <v>38.079460424246584</v>
      </c>
      <c r="E1685" s="23">
        <v>2025</v>
      </c>
      <c r="F1685" s="15" t="s">
        <v>3305</v>
      </c>
      <c r="G1685" s="15" t="s">
        <v>3308</v>
      </c>
      <c r="H1685" s="23" t="s">
        <v>58</v>
      </c>
    </row>
    <row r="1686" spans="1:8" ht="54.95" customHeight="1" x14ac:dyDescent="0.2">
      <c r="A1686" s="23" t="s">
        <v>1123</v>
      </c>
      <c r="B1686" s="23" t="s">
        <v>10</v>
      </c>
      <c r="C1686" s="23" t="s">
        <v>46</v>
      </c>
      <c r="D1686" s="23">
        <v>2.3317086565524816</v>
      </c>
      <c r="E1686" s="23">
        <v>2025</v>
      </c>
      <c r="F1686" s="15" t="s">
        <v>3305</v>
      </c>
      <c r="G1686" s="15" t="s">
        <v>3308</v>
      </c>
      <c r="H1686" s="23" t="s">
        <v>58</v>
      </c>
    </row>
    <row r="1687" spans="1:8" ht="54.95" customHeight="1" x14ac:dyDescent="0.2">
      <c r="A1687" s="23" t="s">
        <v>1123</v>
      </c>
      <c r="B1687" s="23" t="s">
        <v>5</v>
      </c>
      <c r="C1687" s="23" t="s">
        <v>3747</v>
      </c>
      <c r="D1687" s="23">
        <v>58.268000000000001</v>
      </c>
      <c r="E1687" s="23">
        <v>2025</v>
      </c>
      <c r="F1687" s="15" t="s">
        <v>3305</v>
      </c>
      <c r="G1687" s="15" t="s">
        <v>3311</v>
      </c>
      <c r="H1687" s="23" t="s">
        <v>58</v>
      </c>
    </row>
    <row r="1688" spans="1:8" ht="54.95" customHeight="1" x14ac:dyDescent="0.2">
      <c r="A1688" s="23" t="s">
        <v>1130</v>
      </c>
      <c r="B1688" s="23" t="s">
        <v>11</v>
      </c>
      <c r="C1688" s="23" t="s">
        <v>46</v>
      </c>
      <c r="D1688" s="23">
        <v>0</v>
      </c>
      <c r="E1688" s="23">
        <v>2025</v>
      </c>
      <c r="F1688" s="15" t="s">
        <v>3299</v>
      </c>
      <c r="G1688" s="15" t="s">
        <v>3300</v>
      </c>
      <c r="H1688" s="23" t="s">
        <v>58</v>
      </c>
    </row>
    <row r="1689" spans="1:8" ht="54.95" customHeight="1" x14ac:dyDescent="0.2">
      <c r="A1689" s="23" t="s">
        <v>1130</v>
      </c>
      <c r="B1689" s="23" t="s">
        <v>13</v>
      </c>
      <c r="C1689" s="23" t="s">
        <v>46</v>
      </c>
      <c r="D1689" s="23">
        <v>0</v>
      </c>
      <c r="E1689" s="23">
        <v>2025</v>
      </c>
      <c r="F1689" s="15" t="s">
        <v>3302</v>
      </c>
      <c r="G1689" s="15" t="s">
        <v>3300</v>
      </c>
      <c r="H1689" s="23" t="s">
        <v>58</v>
      </c>
    </row>
    <row r="1690" spans="1:8" ht="54.95" customHeight="1" x14ac:dyDescent="0.2">
      <c r="A1690" s="23" t="s">
        <v>1130</v>
      </c>
      <c r="B1690" s="23" t="s">
        <v>14</v>
      </c>
      <c r="C1690" s="23" t="s">
        <v>46</v>
      </c>
      <c r="D1690" s="23">
        <v>0</v>
      </c>
      <c r="E1690" s="23">
        <v>2025</v>
      </c>
      <c r="F1690" s="15" t="s">
        <v>3304</v>
      </c>
      <c r="G1690" s="15" t="s">
        <v>3300</v>
      </c>
      <c r="H1690" s="23" t="s">
        <v>58</v>
      </c>
    </row>
    <row r="1691" spans="1:8" ht="54.95" customHeight="1" x14ac:dyDescent="0.2">
      <c r="A1691" s="23" t="s">
        <v>1130</v>
      </c>
      <c r="B1691" s="23" t="s">
        <v>3</v>
      </c>
      <c r="C1691" s="23" t="s">
        <v>46</v>
      </c>
      <c r="D1691" s="23">
        <v>16920.320671999998</v>
      </c>
      <c r="E1691" s="23">
        <v>2024</v>
      </c>
      <c r="F1691" s="15" t="s">
        <v>3316</v>
      </c>
      <c r="G1691" s="15" t="s">
        <v>3317</v>
      </c>
      <c r="H1691" s="23" t="s">
        <v>58</v>
      </c>
    </row>
    <row r="1692" spans="1:8" ht="54.95" customHeight="1" x14ac:dyDescent="0.2">
      <c r="A1692" s="23" t="s">
        <v>1130</v>
      </c>
      <c r="B1692" s="23" t="s">
        <v>6</v>
      </c>
      <c r="C1692" s="23" t="s">
        <v>46</v>
      </c>
      <c r="D1692" s="23">
        <v>40.649969526771393</v>
      </c>
      <c r="E1692" s="23">
        <v>2024</v>
      </c>
      <c r="F1692" s="15" t="s">
        <v>3319</v>
      </c>
      <c r="G1692" s="15" t="s">
        <v>3320</v>
      </c>
      <c r="H1692" s="23" t="s">
        <v>58</v>
      </c>
    </row>
    <row r="1693" spans="1:8" ht="54.95" customHeight="1" x14ac:dyDescent="0.2">
      <c r="A1693" s="23" t="s">
        <v>1130</v>
      </c>
      <c r="B1693" s="23" t="s">
        <v>7</v>
      </c>
      <c r="C1693" s="23" t="s">
        <v>46</v>
      </c>
      <c r="D1693" s="23">
        <v>10.298866917360987</v>
      </c>
      <c r="E1693" s="23">
        <v>2024</v>
      </c>
      <c r="F1693" s="15" t="s">
        <v>3322</v>
      </c>
      <c r="G1693" s="15" t="s">
        <v>3320</v>
      </c>
      <c r="H1693" s="23" t="s">
        <v>58</v>
      </c>
    </row>
    <row r="1694" spans="1:8" ht="54.95" customHeight="1" x14ac:dyDescent="0.2">
      <c r="A1694" s="23" t="s">
        <v>1130</v>
      </c>
      <c r="B1694" s="23" t="s">
        <v>8</v>
      </c>
      <c r="C1694" s="23" t="s">
        <v>46</v>
      </c>
      <c r="D1694" s="23">
        <v>3.7585929801697322</v>
      </c>
      <c r="E1694" s="23">
        <v>2024</v>
      </c>
      <c r="F1694" s="15" t="s">
        <v>3324</v>
      </c>
      <c r="G1694" s="15" t="s">
        <v>3320</v>
      </c>
      <c r="H1694" s="23" t="s">
        <v>58</v>
      </c>
    </row>
    <row r="1695" spans="1:8" ht="54.95" customHeight="1" x14ac:dyDescent="0.2">
      <c r="A1695" s="23" t="s">
        <v>1130</v>
      </c>
      <c r="B1695" s="23" t="s">
        <v>9</v>
      </c>
      <c r="C1695" s="23" t="s">
        <v>46</v>
      </c>
      <c r="D1695" s="23">
        <v>3.9773653528544664</v>
      </c>
      <c r="E1695" s="23">
        <v>2024</v>
      </c>
      <c r="F1695" s="15" t="s">
        <v>3325</v>
      </c>
      <c r="G1695" s="15" t="s">
        <v>3320</v>
      </c>
      <c r="H1695" s="23" t="s">
        <v>58</v>
      </c>
    </row>
    <row r="1696" spans="1:8" ht="54.95" customHeight="1" x14ac:dyDescent="0.2">
      <c r="A1696" s="23" t="s">
        <v>1130</v>
      </c>
      <c r="B1696" s="23" t="s">
        <v>10</v>
      </c>
      <c r="C1696" s="23" t="s">
        <v>46</v>
      </c>
      <c r="D1696" s="23">
        <v>39.906407685132081</v>
      </c>
      <c r="E1696" s="23">
        <v>2024</v>
      </c>
      <c r="F1696" s="15" t="s">
        <v>3326</v>
      </c>
      <c r="G1696" s="15" t="s">
        <v>3320</v>
      </c>
      <c r="H1696" s="23" t="s">
        <v>58</v>
      </c>
    </row>
    <row r="1697" spans="1:8" ht="54.95" customHeight="1" x14ac:dyDescent="0.2">
      <c r="A1697" s="23" t="s">
        <v>1130</v>
      </c>
      <c r="B1697" s="23" t="s">
        <v>5</v>
      </c>
      <c r="C1697" s="23" t="s">
        <v>46</v>
      </c>
      <c r="D1697" s="23">
        <v>6.1928373659519993</v>
      </c>
      <c r="E1697" s="23">
        <v>2024</v>
      </c>
      <c r="F1697" s="15" t="s">
        <v>3316</v>
      </c>
      <c r="G1697" s="15" t="s">
        <v>3311</v>
      </c>
      <c r="H1697" s="23" t="s">
        <v>58</v>
      </c>
    </row>
    <row r="1698" spans="1:8" ht="54.95" customHeight="1" x14ac:dyDescent="0.2">
      <c r="A1698" s="23" t="s">
        <v>1135</v>
      </c>
      <c r="B1698" s="23" t="s">
        <v>11</v>
      </c>
      <c r="C1698" s="23" t="s">
        <v>46</v>
      </c>
      <c r="D1698" s="23">
        <v>0</v>
      </c>
      <c r="E1698" s="23">
        <v>2025</v>
      </c>
      <c r="F1698" s="15" t="s">
        <v>3299</v>
      </c>
      <c r="G1698" s="15" t="s">
        <v>3300</v>
      </c>
      <c r="H1698" s="23" t="s">
        <v>58</v>
      </c>
    </row>
    <row r="1699" spans="1:8" ht="54.95" customHeight="1" x14ac:dyDescent="0.2">
      <c r="A1699" s="23" t="s">
        <v>1135</v>
      </c>
      <c r="B1699" s="23" t="s">
        <v>13</v>
      </c>
      <c r="C1699" s="23" t="s">
        <v>46</v>
      </c>
      <c r="D1699" s="23">
        <v>0</v>
      </c>
      <c r="E1699" s="23">
        <v>2025</v>
      </c>
      <c r="F1699" s="15" t="s">
        <v>3302</v>
      </c>
      <c r="G1699" s="15" t="s">
        <v>3300</v>
      </c>
      <c r="H1699" s="23" t="s">
        <v>58</v>
      </c>
    </row>
    <row r="1700" spans="1:8" ht="54.95" customHeight="1" x14ac:dyDescent="0.2">
      <c r="A1700" s="23" t="s">
        <v>1135</v>
      </c>
      <c r="B1700" s="23" t="s">
        <v>14</v>
      </c>
      <c r="C1700" s="23" t="s">
        <v>46</v>
      </c>
      <c r="D1700" s="23">
        <v>0</v>
      </c>
      <c r="E1700" s="23">
        <v>2025</v>
      </c>
      <c r="F1700" s="15" t="s">
        <v>3304</v>
      </c>
      <c r="G1700" s="15" t="s">
        <v>3300</v>
      </c>
      <c r="H1700" s="23" t="s">
        <v>58</v>
      </c>
    </row>
    <row r="1701" spans="1:8" ht="54.95" customHeight="1" x14ac:dyDescent="0.2">
      <c r="A1701" s="23" t="s">
        <v>1135</v>
      </c>
      <c r="B1701" s="23" t="s">
        <v>3</v>
      </c>
      <c r="C1701" s="23" t="s">
        <v>46</v>
      </c>
      <c r="D1701" s="23">
        <v>19465.181746999999</v>
      </c>
      <c r="E1701" s="23">
        <v>2024</v>
      </c>
      <c r="F1701" s="15" t="s">
        <v>3316</v>
      </c>
      <c r="G1701" s="15" t="s">
        <v>3317</v>
      </c>
      <c r="H1701" s="23" t="s">
        <v>58</v>
      </c>
    </row>
    <row r="1702" spans="1:8" ht="54.95" customHeight="1" x14ac:dyDescent="0.2">
      <c r="A1702" s="23" t="s">
        <v>1135</v>
      </c>
      <c r="B1702" s="23" t="s">
        <v>6</v>
      </c>
      <c r="C1702" s="23" t="s">
        <v>46</v>
      </c>
      <c r="D1702" s="23">
        <v>51.437752342297713</v>
      </c>
      <c r="E1702" s="23">
        <v>2024</v>
      </c>
      <c r="F1702" s="15" t="s">
        <v>3319</v>
      </c>
      <c r="G1702" s="15" t="s">
        <v>3320</v>
      </c>
      <c r="H1702" s="23" t="s">
        <v>58</v>
      </c>
    </row>
    <row r="1703" spans="1:8" ht="54.95" customHeight="1" x14ac:dyDescent="0.2">
      <c r="A1703" s="23" t="s">
        <v>1135</v>
      </c>
      <c r="B1703" s="23" t="s">
        <v>7</v>
      </c>
      <c r="C1703" s="23" t="s">
        <v>46</v>
      </c>
      <c r="D1703" s="23">
        <v>15.104258512526492</v>
      </c>
      <c r="E1703" s="23">
        <v>2024</v>
      </c>
      <c r="F1703" s="15" t="s">
        <v>3322</v>
      </c>
      <c r="G1703" s="15" t="s">
        <v>3320</v>
      </c>
      <c r="H1703" s="23" t="s">
        <v>58</v>
      </c>
    </row>
    <row r="1704" spans="1:8" ht="54.95" customHeight="1" x14ac:dyDescent="0.2">
      <c r="A1704" s="23" t="s">
        <v>1135</v>
      </c>
      <c r="B1704" s="23" t="s">
        <v>8</v>
      </c>
      <c r="C1704" s="23" t="s">
        <v>46</v>
      </c>
      <c r="D1704" s="23">
        <v>2.6946448474894891</v>
      </c>
      <c r="E1704" s="23">
        <v>2024</v>
      </c>
      <c r="F1704" s="15" t="s">
        <v>3324</v>
      </c>
      <c r="G1704" s="15" t="s">
        <v>3320</v>
      </c>
      <c r="H1704" s="23" t="s">
        <v>58</v>
      </c>
    </row>
    <row r="1705" spans="1:8" ht="54.95" customHeight="1" x14ac:dyDescent="0.2">
      <c r="A1705" s="23" t="s">
        <v>1135</v>
      </c>
      <c r="B1705" s="23" t="s">
        <v>9</v>
      </c>
      <c r="C1705" s="23" t="s">
        <v>46</v>
      </c>
      <c r="D1705" s="23">
        <v>5.6007990994896515</v>
      </c>
      <c r="E1705" s="23">
        <v>2024</v>
      </c>
      <c r="F1705" s="15" t="s">
        <v>3325</v>
      </c>
      <c r="G1705" s="15" t="s">
        <v>3320</v>
      </c>
      <c r="H1705" s="23" t="s">
        <v>58</v>
      </c>
    </row>
    <row r="1706" spans="1:8" ht="54.95" customHeight="1" x14ac:dyDescent="0.2">
      <c r="A1706" s="23" t="s">
        <v>1135</v>
      </c>
      <c r="B1706" s="23" t="s">
        <v>10</v>
      </c>
      <c r="C1706" s="23" t="s">
        <v>46</v>
      </c>
      <c r="D1706" s="23">
        <v>18.736645418489857</v>
      </c>
      <c r="E1706" s="23">
        <v>2024</v>
      </c>
      <c r="F1706" s="15" t="s">
        <v>3326</v>
      </c>
      <c r="G1706" s="15" t="s">
        <v>3320</v>
      </c>
      <c r="H1706" s="23" t="s">
        <v>58</v>
      </c>
    </row>
    <row r="1707" spans="1:8" ht="54.95" customHeight="1" x14ac:dyDescent="0.2">
      <c r="A1707" s="23" t="s">
        <v>1135</v>
      </c>
      <c r="B1707" s="23" t="s">
        <v>5</v>
      </c>
      <c r="C1707" s="23" t="s">
        <v>46</v>
      </c>
      <c r="D1707" s="23">
        <v>7.1242565194019996</v>
      </c>
      <c r="E1707" s="23">
        <v>2024</v>
      </c>
      <c r="F1707" s="15" t="s">
        <v>3316</v>
      </c>
      <c r="G1707" s="15" t="s">
        <v>3311</v>
      </c>
      <c r="H1707" s="23" t="s">
        <v>58</v>
      </c>
    </row>
    <row r="1708" spans="1:8" ht="54.95" customHeight="1" x14ac:dyDescent="0.2">
      <c r="A1708" s="23" t="s">
        <v>1141</v>
      </c>
      <c r="B1708" s="23" t="s">
        <v>11</v>
      </c>
      <c r="C1708" s="23" t="s">
        <v>3748</v>
      </c>
      <c r="D1708" s="23">
        <v>14333.697297515069</v>
      </c>
      <c r="E1708" s="23">
        <v>2025</v>
      </c>
      <c r="F1708" s="15" t="s">
        <v>3299</v>
      </c>
      <c r="G1708" s="15" t="s">
        <v>3300</v>
      </c>
      <c r="H1708" s="23" t="s">
        <v>58</v>
      </c>
    </row>
    <row r="1709" spans="1:8" ht="54.95" customHeight="1" x14ac:dyDescent="0.2">
      <c r="A1709" s="23" t="s">
        <v>1141</v>
      </c>
      <c r="B1709" s="23" t="s">
        <v>13</v>
      </c>
      <c r="C1709" s="23" t="s">
        <v>46</v>
      </c>
      <c r="D1709" s="23">
        <v>502.97260273972597</v>
      </c>
      <c r="E1709" s="23">
        <v>2025</v>
      </c>
      <c r="F1709" s="15" t="s">
        <v>3302</v>
      </c>
      <c r="G1709" s="15" t="s">
        <v>3300</v>
      </c>
      <c r="H1709" s="23" t="s">
        <v>58</v>
      </c>
    </row>
    <row r="1710" spans="1:8" ht="54.95" customHeight="1" x14ac:dyDescent="0.2">
      <c r="A1710" s="23" t="s">
        <v>1141</v>
      </c>
      <c r="B1710" s="23" t="s">
        <v>14</v>
      </c>
      <c r="C1710" s="23" t="s">
        <v>46</v>
      </c>
      <c r="D1710" s="23">
        <v>0</v>
      </c>
      <c r="E1710" s="23">
        <v>2025</v>
      </c>
      <c r="F1710" s="15" t="s">
        <v>3304</v>
      </c>
      <c r="G1710" s="15" t="s">
        <v>3300</v>
      </c>
      <c r="H1710" s="23" t="s">
        <v>58</v>
      </c>
    </row>
    <row r="1711" spans="1:8" ht="54.95" customHeight="1" x14ac:dyDescent="0.2">
      <c r="A1711" s="23" t="s">
        <v>1141</v>
      </c>
      <c r="B1711" s="23" t="s">
        <v>3</v>
      </c>
      <c r="C1711" s="23" t="s">
        <v>3749</v>
      </c>
      <c r="D1711" s="23">
        <v>493583.56164383562</v>
      </c>
      <c r="E1711" s="23">
        <v>2025</v>
      </c>
      <c r="F1711" s="15" t="s">
        <v>3305</v>
      </c>
      <c r="G1711" s="15" t="s">
        <v>3306</v>
      </c>
      <c r="H1711" s="23" t="s">
        <v>58</v>
      </c>
    </row>
    <row r="1712" spans="1:8" ht="54.95" customHeight="1" x14ac:dyDescent="0.2">
      <c r="A1712" s="23" t="s">
        <v>1141</v>
      </c>
      <c r="B1712" s="23" t="s">
        <v>6</v>
      </c>
      <c r="C1712" s="23" t="s">
        <v>3750</v>
      </c>
      <c r="D1712" s="23">
        <v>42.23181873688651</v>
      </c>
      <c r="E1712" s="23">
        <v>2025</v>
      </c>
      <c r="F1712" s="15" t="s">
        <v>3305</v>
      </c>
      <c r="G1712" s="15" t="s">
        <v>3308</v>
      </c>
      <c r="H1712" s="23" t="s">
        <v>58</v>
      </c>
    </row>
    <row r="1713" spans="1:8" ht="54.95" customHeight="1" x14ac:dyDescent="0.2">
      <c r="A1713" s="23" t="s">
        <v>1141</v>
      </c>
      <c r="B1713" s="23" t="s">
        <v>7</v>
      </c>
      <c r="C1713" s="23" t="s">
        <v>3751</v>
      </c>
      <c r="D1713" s="23">
        <v>30.986689461472704</v>
      </c>
      <c r="E1713" s="23">
        <v>2025</v>
      </c>
      <c r="F1713" s="15" t="s">
        <v>3305</v>
      </c>
      <c r="G1713" s="15" t="s">
        <v>3308</v>
      </c>
      <c r="H1713" s="23" t="s">
        <v>58</v>
      </c>
    </row>
    <row r="1714" spans="1:8" ht="54.95" customHeight="1" x14ac:dyDescent="0.2">
      <c r="A1714" s="23" t="s">
        <v>1141</v>
      </c>
      <c r="B1714" s="23" t="s">
        <v>8</v>
      </c>
      <c r="C1714" s="23" t="s">
        <v>1532</v>
      </c>
      <c r="D1714" s="23">
        <v>13.06519832591392</v>
      </c>
      <c r="E1714" s="23">
        <v>2025</v>
      </c>
      <c r="F1714" s="15" t="s">
        <v>3305</v>
      </c>
      <c r="G1714" s="15" t="s">
        <v>3308</v>
      </c>
      <c r="H1714" s="23" t="s">
        <v>58</v>
      </c>
    </row>
    <row r="1715" spans="1:8" ht="54.95" customHeight="1" x14ac:dyDescent="0.2">
      <c r="A1715" s="23" t="s">
        <v>1141</v>
      </c>
      <c r="B1715" s="23" t="s">
        <v>9</v>
      </c>
      <c r="C1715" s="23" t="s">
        <v>46</v>
      </c>
      <c r="D1715" s="23" t="s">
        <v>46</v>
      </c>
      <c r="E1715" s="23">
        <v>2025</v>
      </c>
      <c r="F1715" s="15" t="s">
        <v>3305</v>
      </c>
      <c r="G1715" s="15" t="s">
        <v>3357</v>
      </c>
      <c r="H1715" s="23" t="s">
        <v>58</v>
      </c>
    </row>
    <row r="1716" spans="1:8" ht="54.95" customHeight="1" x14ac:dyDescent="0.2">
      <c r="A1716" s="23" t="s">
        <v>1141</v>
      </c>
      <c r="B1716" s="23" t="s">
        <v>10</v>
      </c>
      <c r="C1716" s="23" t="s">
        <v>46</v>
      </c>
      <c r="D1716" s="23">
        <v>3.1300303067307587</v>
      </c>
      <c r="E1716" s="23">
        <v>2025</v>
      </c>
      <c r="F1716" s="15" t="s">
        <v>3305</v>
      </c>
      <c r="G1716" s="15" t="s">
        <v>3308</v>
      </c>
      <c r="H1716" s="23" t="s">
        <v>58</v>
      </c>
    </row>
    <row r="1717" spans="1:8" ht="54.95" customHeight="1" x14ac:dyDescent="0.2">
      <c r="A1717" s="23" t="s">
        <v>1141</v>
      </c>
      <c r="B1717" s="23" t="s">
        <v>5</v>
      </c>
      <c r="C1717" s="23" t="s">
        <v>3752</v>
      </c>
      <c r="D1717" s="23">
        <v>180.15799999999999</v>
      </c>
      <c r="E1717" s="23">
        <v>2025</v>
      </c>
      <c r="F1717" s="15" t="s">
        <v>3305</v>
      </c>
      <c r="G1717" s="15" t="s">
        <v>3311</v>
      </c>
      <c r="H1717" s="23" t="s">
        <v>58</v>
      </c>
    </row>
    <row r="1718" spans="1:8" ht="54.95" customHeight="1" x14ac:dyDescent="0.2">
      <c r="A1718" s="23" t="s">
        <v>1148</v>
      </c>
      <c r="B1718" s="23" t="s">
        <v>11</v>
      </c>
      <c r="C1718" s="23" t="s">
        <v>46</v>
      </c>
      <c r="D1718" s="23">
        <v>-202.31026402465756</v>
      </c>
      <c r="E1718" s="23">
        <v>2025</v>
      </c>
      <c r="F1718" s="15" t="s">
        <v>3299</v>
      </c>
      <c r="G1718" s="15" t="s">
        <v>3300</v>
      </c>
      <c r="H1718" s="23" t="s">
        <v>58</v>
      </c>
    </row>
    <row r="1719" spans="1:8" ht="54.95" customHeight="1" x14ac:dyDescent="0.2">
      <c r="A1719" s="23" t="s">
        <v>1148</v>
      </c>
      <c r="B1719" s="23" t="s">
        <v>13</v>
      </c>
      <c r="C1719" s="23" t="s">
        <v>46</v>
      </c>
      <c r="D1719" s="23">
        <v>0</v>
      </c>
      <c r="E1719" s="23">
        <v>2025</v>
      </c>
      <c r="F1719" s="15" t="s">
        <v>3302</v>
      </c>
      <c r="G1719" s="15" t="s">
        <v>3300</v>
      </c>
      <c r="H1719" s="23" t="s">
        <v>58</v>
      </c>
    </row>
    <row r="1720" spans="1:8" ht="54.95" customHeight="1" x14ac:dyDescent="0.2">
      <c r="A1720" s="23" t="s">
        <v>1148</v>
      </c>
      <c r="B1720" s="23" t="s">
        <v>14</v>
      </c>
      <c r="C1720" s="23" t="s">
        <v>46</v>
      </c>
      <c r="D1720" s="23">
        <v>0</v>
      </c>
      <c r="E1720" s="23">
        <v>2025</v>
      </c>
      <c r="F1720" s="15" t="s">
        <v>3304</v>
      </c>
      <c r="G1720" s="15" t="s">
        <v>3300</v>
      </c>
      <c r="H1720" s="23" t="s">
        <v>58</v>
      </c>
    </row>
    <row r="1721" spans="1:8" ht="54.95" customHeight="1" x14ac:dyDescent="0.2">
      <c r="A1721" s="23" t="s">
        <v>1148</v>
      </c>
      <c r="B1721" s="23" t="s">
        <v>3</v>
      </c>
      <c r="C1721" s="23" t="s">
        <v>3753</v>
      </c>
      <c r="D1721" s="23">
        <v>91961.707662000001</v>
      </c>
      <c r="E1721" s="23">
        <v>2024</v>
      </c>
      <c r="F1721" s="15" t="s">
        <v>3316</v>
      </c>
      <c r="G1721" s="15" t="s">
        <v>3317</v>
      </c>
      <c r="H1721" s="23" t="s">
        <v>58</v>
      </c>
    </row>
    <row r="1722" spans="1:8" ht="54.95" customHeight="1" x14ac:dyDescent="0.2">
      <c r="A1722" s="23" t="s">
        <v>1148</v>
      </c>
      <c r="B1722" s="23" t="s">
        <v>6</v>
      </c>
      <c r="C1722" s="23" t="s">
        <v>3754</v>
      </c>
      <c r="D1722" s="23">
        <v>36.594339911225731</v>
      </c>
      <c r="E1722" s="23">
        <v>2024</v>
      </c>
      <c r="F1722" s="15" t="s">
        <v>3319</v>
      </c>
      <c r="G1722" s="15" t="s">
        <v>3320</v>
      </c>
      <c r="H1722" s="23" t="s">
        <v>58</v>
      </c>
    </row>
    <row r="1723" spans="1:8" ht="54.95" customHeight="1" x14ac:dyDescent="0.2">
      <c r="A1723" s="23" t="s">
        <v>1148</v>
      </c>
      <c r="B1723" s="23" t="s">
        <v>7</v>
      </c>
      <c r="C1723" s="23" t="s">
        <v>3755</v>
      </c>
      <c r="D1723" s="23">
        <v>25.871870515331143</v>
      </c>
      <c r="E1723" s="23">
        <v>2024</v>
      </c>
      <c r="F1723" s="15" t="s">
        <v>3322</v>
      </c>
      <c r="G1723" s="15" t="s">
        <v>3320</v>
      </c>
      <c r="H1723" s="23" t="s">
        <v>58</v>
      </c>
    </row>
    <row r="1724" spans="1:8" ht="54.95" customHeight="1" x14ac:dyDescent="0.2">
      <c r="A1724" s="23" t="s">
        <v>1148</v>
      </c>
      <c r="B1724" s="23" t="s">
        <v>8</v>
      </c>
      <c r="C1724" s="23" t="s">
        <v>3756</v>
      </c>
      <c r="D1724" s="23">
        <v>12.082085851251751</v>
      </c>
      <c r="E1724" s="23">
        <v>2024</v>
      </c>
      <c r="F1724" s="15" t="s">
        <v>3324</v>
      </c>
      <c r="G1724" s="15" t="s">
        <v>3320</v>
      </c>
      <c r="H1724" s="23" t="s">
        <v>58</v>
      </c>
    </row>
    <row r="1725" spans="1:8" ht="54.95" customHeight="1" x14ac:dyDescent="0.2">
      <c r="A1725" s="23" t="s">
        <v>1148</v>
      </c>
      <c r="B1725" s="23" t="s">
        <v>9</v>
      </c>
      <c r="C1725" s="23" t="s">
        <v>46</v>
      </c>
      <c r="D1725" s="23">
        <v>11.650587145879223</v>
      </c>
      <c r="E1725" s="23">
        <v>2024</v>
      </c>
      <c r="F1725" s="15" t="s">
        <v>3325</v>
      </c>
      <c r="G1725" s="15" t="s">
        <v>3320</v>
      </c>
      <c r="H1725" s="23" t="s">
        <v>58</v>
      </c>
    </row>
    <row r="1726" spans="1:8" ht="54.95" customHeight="1" x14ac:dyDescent="0.2">
      <c r="A1726" s="23" t="s">
        <v>1148</v>
      </c>
      <c r="B1726" s="23" t="s">
        <v>10</v>
      </c>
      <c r="C1726" s="23" t="s">
        <v>46</v>
      </c>
      <c r="D1726" s="23">
        <v>10.089867312059658</v>
      </c>
      <c r="E1726" s="23">
        <v>2024</v>
      </c>
      <c r="F1726" s="15" t="s">
        <v>3326</v>
      </c>
      <c r="G1726" s="15" t="s">
        <v>3320</v>
      </c>
      <c r="H1726" s="23" t="s">
        <v>58</v>
      </c>
    </row>
    <row r="1727" spans="1:8" ht="54.95" customHeight="1" x14ac:dyDescent="0.2">
      <c r="A1727" s="23" t="s">
        <v>1148</v>
      </c>
      <c r="B1727" s="23" t="s">
        <v>5</v>
      </c>
      <c r="C1727" s="23" t="s">
        <v>3757</v>
      </c>
      <c r="D1727" s="23">
        <v>33.657985004292001</v>
      </c>
      <c r="E1727" s="23">
        <v>2024</v>
      </c>
      <c r="F1727" s="15" t="s">
        <v>3316</v>
      </c>
      <c r="G1727" s="15" t="s">
        <v>3311</v>
      </c>
      <c r="H1727" s="23" t="s">
        <v>58</v>
      </c>
    </row>
    <row r="1728" spans="1:8" ht="54.95" customHeight="1" x14ac:dyDescent="0.2">
      <c r="A1728" s="23" t="s">
        <v>1161</v>
      </c>
      <c r="B1728" s="23" t="s">
        <v>11</v>
      </c>
      <c r="C1728" s="23" t="s">
        <v>46</v>
      </c>
      <c r="D1728" s="23">
        <v>0</v>
      </c>
      <c r="E1728" s="23">
        <v>2025</v>
      </c>
      <c r="F1728" s="15" t="s">
        <v>3299</v>
      </c>
      <c r="G1728" s="15" t="s">
        <v>3300</v>
      </c>
      <c r="H1728" s="23" t="s">
        <v>58</v>
      </c>
    </row>
    <row r="1729" spans="1:8" ht="54.95" customHeight="1" x14ac:dyDescent="0.2">
      <c r="A1729" s="23" t="s">
        <v>1161</v>
      </c>
      <c r="B1729" s="23" t="s">
        <v>13</v>
      </c>
      <c r="C1729" s="23" t="s">
        <v>46</v>
      </c>
      <c r="D1729" s="23">
        <v>0</v>
      </c>
      <c r="E1729" s="23">
        <v>2025</v>
      </c>
      <c r="F1729" s="15" t="s">
        <v>3302</v>
      </c>
      <c r="G1729" s="15" t="s">
        <v>3300</v>
      </c>
      <c r="H1729" s="23" t="s">
        <v>58</v>
      </c>
    </row>
    <row r="1730" spans="1:8" ht="54.95" customHeight="1" x14ac:dyDescent="0.2">
      <c r="A1730" s="23" t="s">
        <v>1161</v>
      </c>
      <c r="B1730" s="23" t="s">
        <v>14</v>
      </c>
      <c r="C1730" s="23" t="s">
        <v>46</v>
      </c>
      <c r="D1730" s="23">
        <v>0</v>
      </c>
      <c r="E1730" s="23">
        <v>2025</v>
      </c>
      <c r="F1730" s="15" t="s">
        <v>3304</v>
      </c>
      <c r="G1730" s="15" t="s">
        <v>3300</v>
      </c>
      <c r="H1730" s="23" t="s">
        <v>58</v>
      </c>
    </row>
    <row r="1731" spans="1:8" ht="54.95" customHeight="1" x14ac:dyDescent="0.2">
      <c r="A1731" s="23" t="s">
        <v>1161</v>
      </c>
      <c r="B1731" s="23" t="s">
        <v>3</v>
      </c>
      <c r="C1731" s="23" t="s">
        <v>46</v>
      </c>
      <c r="D1731" s="23">
        <v>7641.6336820000006</v>
      </c>
      <c r="E1731" s="23">
        <v>2024</v>
      </c>
      <c r="F1731" s="15" t="s">
        <v>3316</v>
      </c>
      <c r="G1731" s="15" t="s">
        <v>3317</v>
      </c>
      <c r="H1731" s="23" t="s">
        <v>58</v>
      </c>
    </row>
    <row r="1732" spans="1:8" ht="54.95" customHeight="1" x14ac:dyDescent="0.2">
      <c r="A1732" s="23" t="s">
        <v>1161</v>
      </c>
      <c r="B1732" s="23" t="s">
        <v>6</v>
      </c>
      <c r="C1732" s="23" t="s">
        <v>46</v>
      </c>
      <c r="D1732" s="23">
        <v>6.2553920914315819</v>
      </c>
      <c r="E1732" s="23">
        <v>2024</v>
      </c>
      <c r="F1732" s="15" t="s">
        <v>3319</v>
      </c>
      <c r="G1732" s="15" t="s">
        <v>3320</v>
      </c>
      <c r="H1732" s="23" t="s">
        <v>58</v>
      </c>
    </row>
    <row r="1733" spans="1:8" ht="54.95" customHeight="1" x14ac:dyDescent="0.2">
      <c r="A1733" s="23" t="s">
        <v>1161</v>
      </c>
      <c r="B1733" s="23" t="s">
        <v>7</v>
      </c>
      <c r="C1733" s="23" t="s">
        <v>46</v>
      </c>
      <c r="D1733" s="23">
        <v>18.837270247469579</v>
      </c>
      <c r="E1733" s="23">
        <v>2024</v>
      </c>
      <c r="F1733" s="15" t="s">
        <v>3322</v>
      </c>
      <c r="G1733" s="15" t="s">
        <v>3320</v>
      </c>
      <c r="H1733" s="23" t="s">
        <v>58</v>
      </c>
    </row>
    <row r="1734" spans="1:8" ht="54.95" customHeight="1" x14ac:dyDescent="0.2">
      <c r="A1734" s="23" t="s">
        <v>1161</v>
      </c>
      <c r="B1734" s="23" t="s">
        <v>8</v>
      </c>
      <c r="C1734" s="23" t="s">
        <v>46</v>
      </c>
      <c r="D1734" s="23">
        <v>3.9829909894390565</v>
      </c>
      <c r="E1734" s="23">
        <v>2024</v>
      </c>
      <c r="F1734" s="15" t="s">
        <v>3324</v>
      </c>
      <c r="G1734" s="15" t="s">
        <v>3320</v>
      </c>
      <c r="H1734" s="23" t="s">
        <v>58</v>
      </c>
    </row>
    <row r="1735" spans="1:8" ht="54.95" customHeight="1" x14ac:dyDescent="0.2">
      <c r="A1735" s="23" t="s">
        <v>1161</v>
      </c>
      <c r="B1735" s="23" t="s">
        <v>9</v>
      </c>
      <c r="C1735" s="23" t="s">
        <v>46</v>
      </c>
      <c r="D1735" s="23">
        <v>24.935619715564375</v>
      </c>
      <c r="E1735" s="23">
        <v>2024</v>
      </c>
      <c r="F1735" s="15" t="s">
        <v>3325</v>
      </c>
      <c r="G1735" s="15" t="s">
        <v>3320</v>
      </c>
      <c r="H1735" s="23" t="s">
        <v>58</v>
      </c>
    </row>
    <row r="1736" spans="1:8" ht="54.95" customHeight="1" x14ac:dyDescent="0.2">
      <c r="A1736" s="23" t="s">
        <v>1161</v>
      </c>
      <c r="B1736" s="23" t="s">
        <v>10</v>
      </c>
      <c r="C1736" s="23" t="s">
        <v>46</v>
      </c>
      <c r="D1736" s="23">
        <v>45.735723922914943</v>
      </c>
      <c r="E1736" s="23">
        <v>2024</v>
      </c>
      <c r="F1736" s="15" t="s">
        <v>3326</v>
      </c>
      <c r="G1736" s="15" t="s">
        <v>3320</v>
      </c>
      <c r="H1736" s="23" t="s">
        <v>58</v>
      </c>
    </row>
    <row r="1737" spans="1:8" ht="54.95" customHeight="1" x14ac:dyDescent="0.2">
      <c r="A1737" s="23" t="s">
        <v>1161</v>
      </c>
      <c r="B1737" s="23" t="s">
        <v>5</v>
      </c>
      <c r="C1737" s="23" t="s">
        <v>46</v>
      </c>
      <c r="D1737" s="23">
        <v>2.7968379276120001</v>
      </c>
      <c r="E1737" s="23">
        <v>2024</v>
      </c>
      <c r="F1737" s="15" t="s">
        <v>3316</v>
      </c>
      <c r="G1737" s="15" t="s">
        <v>3311</v>
      </c>
      <c r="H1737" s="23" t="s">
        <v>58</v>
      </c>
    </row>
    <row r="1738" spans="1:8" ht="54.95" customHeight="1" x14ac:dyDescent="0.2">
      <c r="A1738" s="23" t="s">
        <v>1167</v>
      </c>
      <c r="B1738" s="23" t="s">
        <v>11</v>
      </c>
      <c r="C1738" s="23" t="s">
        <v>46</v>
      </c>
      <c r="D1738" s="23">
        <v>0</v>
      </c>
      <c r="E1738" s="23">
        <v>2025</v>
      </c>
      <c r="F1738" s="15" t="s">
        <v>3299</v>
      </c>
      <c r="G1738" s="15" t="s">
        <v>3300</v>
      </c>
      <c r="H1738" s="23" t="s">
        <v>58</v>
      </c>
    </row>
    <row r="1739" spans="1:8" ht="54.95" customHeight="1" x14ac:dyDescent="0.2">
      <c r="A1739" s="23" t="s">
        <v>1167</v>
      </c>
      <c r="B1739" s="23" t="s">
        <v>13</v>
      </c>
      <c r="C1739" s="23" t="s">
        <v>46</v>
      </c>
      <c r="D1739" s="23">
        <v>0</v>
      </c>
      <c r="E1739" s="23">
        <v>2025</v>
      </c>
      <c r="F1739" s="15" t="s">
        <v>3302</v>
      </c>
      <c r="G1739" s="15" t="s">
        <v>3300</v>
      </c>
      <c r="H1739" s="23" t="s">
        <v>58</v>
      </c>
    </row>
    <row r="1740" spans="1:8" ht="54.95" customHeight="1" x14ac:dyDescent="0.2">
      <c r="A1740" s="23" t="s">
        <v>1167</v>
      </c>
      <c r="B1740" s="23" t="s">
        <v>14</v>
      </c>
      <c r="C1740" s="23" t="s">
        <v>46</v>
      </c>
      <c r="D1740" s="23">
        <v>0</v>
      </c>
      <c r="E1740" s="23">
        <v>2025</v>
      </c>
      <c r="F1740" s="15" t="s">
        <v>3304</v>
      </c>
      <c r="G1740" s="15" t="s">
        <v>3300</v>
      </c>
      <c r="H1740" s="23" t="s">
        <v>58</v>
      </c>
    </row>
    <row r="1741" spans="1:8" ht="54.95" customHeight="1" x14ac:dyDescent="0.2">
      <c r="A1741" s="23" t="s">
        <v>1167</v>
      </c>
      <c r="B1741" s="23" t="s">
        <v>3</v>
      </c>
      <c r="C1741" s="23" t="s">
        <v>46</v>
      </c>
      <c r="D1741" s="23">
        <v>22434.117912000002</v>
      </c>
      <c r="E1741" s="23">
        <v>2024</v>
      </c>
      <c r="F1741" s="15" t="s">
        <v>3316</v>
      </c>
      <c r="G1741" s="15" t="s">
        <v>3317</v>
      </c>
      <c r="H1741" s="23" t="s">
        <v>58</v>
      </c>
    </row>
    <row r="1742" spans="1:8" ht="54.95" customHeight="1" x14ac:dyDescent="0.2">
      <c r="A1742" s="23" t="s">
        <v>1167</v>
      </c>
      <c r="B1742" s="23" t="s">
        <v>6</v>
      </c>
      <c r="C1742" s="23" t="s">
        <v>46</v>
      </c>
      <c r="D1742" s="23">
        <v>51.850782079459002</v>
      </c>
      <c r="E1742" s="23">
        <v>2024</v>
      </c>
      <c r="F1742" s="15" t="s">
        <v>3319</v>
      </c>
      <c r="G1742" s="15" t="s">
        <v>3320</v>
      </c>
      <c r="H1742" s="23" t="s">
        <v>58</v>
      </c>
    </row>
    <row r="1743" spans="1:8" ht="54.95" customHeight="1" x14ac:dyDescent="0.2">
      <c r="A1743" s="23" t="s">
        <v>1167</v>
      </c>
      <c r="B1743" s="23" t="s">
        <v>7</v>
      </c>
      <c r="C1743" s="23" t="s">
        <v>46</v>
      </c>
      <c r="D1743" s="23">
        <v>23.903046863864589</v>
      </c>
      <c r="E1743" s="23">
        <v>2024</v>
      </c>
      <c r="F1743" s="15" t="s">
        <v>3322</v>
      </c>
      <c r="G1743" s="15" t="s">
        <v>3320</v>
      </c>
      <c r="H1743" s="23" t="s">
        <v>58</v>
      </c>
    </row>
    <row r="1744" spans="1:8" ht="54.95" customHeight="1" x14ac:dyDescent="0.2">
      <c r="A1744" s="23" t="s">
        <v>1167</v>
      </c>
      <c r="B1744" s="23" t="s">
        <v>8</v>
      </c>
      <c r="C1744" s="23" t="s">
        <v>46</v>
      </c>
      <c r="D1744" s="23">
        <v>2.2786500855759608</v>
      </c>
      <c r="E1744" s="23">
        <v>2024</v>
      </c>
      <c r="F1744" s="15" t="s">
        <v>3324</v>
      </c>
      <c r="G1744" s="15" t="s">
        <v>3320</v>
      </c>
      <c r="H1744" s="23" t="s">
        <v>58</v>
      </c>
    </row>
    <row r="1745" spans="1:8" ht="54.95" customHeight="1" x14ac:dyDescent="0.2">
      <c r="A1745" s="23" t="s">
        <v>1167</v>
      </c>
      <c r="B1745" s="23" t="s">
        <v>9</v>
      </c>
      <c r="C1745" s="23" t="s">
        <v>46</v>
      </c>
      <c r="D1745" s="23">
        <v>3.0494673099407392</v>
      </c>
      <c r="E1745" s="23">
        <v>2024</v>
      </c>
      <c r="F1745" s="15" t="s">
        <v>3325</v>
      </c>
      <c r="G1745" s="15" t="s">
        <v>3320</v>
      </c>
      <c r="H1745" s="23" t="s">
        <v>58</v>
      </c>
    </row>
    <row r="1746" spans="1:8" ht="54.95" customHeight="1" x14ac:dyDescent="0.2">
      <c r="A1746" s="23" t="s">
        <v>1167</v>
      </c>
      <c r="B1746" s="23" t="s">
        <v>10</v>
      </c>
      <c r="C1746" s="23" t="s">
        <v>46</v>
      </c>
      <c r="D1746" s="23">
        <v>18.540604049224182</v>
      </c>
      <c r="E1746" s="23">
        <v>2024</v>
      </c>
      <c r="F1746" s="15" t="s">
        <v>3326</v>
      </c>
      <c r="G1746" s="15" t="s">
        <v>3320</v>
      </c>
      <c r="H1746" s="23" t="s">
        <v>58</v>
      </c>
    </row>
    <row r="1747" spans="1:8" ht="54.95" customHeight="1" x14ac:dyDescent="0.2">
      <c r="A1747" s="23" t="s">
        <v>1167</v>
      </c>
      <c r="B1747" s="23" t="s">
        <v>5</v>
      </c>
      <c r="C1747" s="23" t="s">
        <v>46</v>
      </c>
      <c r="D1747" s="23">
        <v>8.2108871557920011</v>
      </c>
      <c r="E1747" s="23">
        <v>2024</v>
      </c>
      <c r="F1747" s="15" t="s">
        <v>3316</v>
      </c>
      <c r="G1747" s="15" t="s">
        <v>3311</v>
      </c>
      <c r="H1747" s="23" t="s">
        <v>58</v>
      </c>
    </row>
    <row r="1748" spans="1:8" ht="54.95" customHeight="1" x14ac:dyDescent="0.2">
      <c r="A1748" s="23" t="s">
        <v>1173</v>
      </c>
      <c r="B1748" s="23" t="s">
        <v>11</v>
      </c>
      <c r="C1748" s="23" t="s">
        <v>46</v>
      </c>
      <c r="D1748" s="23">
        <v>0</v>
      </c>
      <c r="E1748" s="23">
        <v>2025</v>
      </c>
      <c r="F1748" s="15" t="s">
        <v>3299</v>
      </c>
      <c r="G1748" s="15" t="s">
        <v>3300</v>
      </c>
      <c r="H1748" s="23" t="s">
        <v>58</v>
      </c>
    </row>
    <row r="1749" spans="1:8" ht="54.95" customHeight="1" x14ac:dyDescent="0.2">
      <c r="A1749" s="23" t="s">
        <v>1173</v>
      </c>
      <c r="B1749" s="23" t="s">
        <v>13</v>
      </c>
      <c r="C1749" s="23" t="s">
        <v>46</v>
      </c>
      <c r="D1749" s="23">
        <v>0</v>
      </c>
      <c r="E1749" s="23">
        <v>2025</v>
      </c>
      <c r="F1749" s="15" t="s">
        <v>3302</v>
      </c>
      <c r="G1749" s="15" t="s">
        <v>3300</v>
      </c>
      <c r="H1749" s="23" t="s">
        <v>58</v>
      </c>
    </row>
    <row r="1750" spans="1:8" ht="54.95" customHeight="1" x14ac:dyDescent="0.2">
      <c r="A1750" s="23" t="s">
        <v>1173</v>
      </c>
      <c r="B1750" s="23" t="s">
        <v>14</v>
      </c>
      <c r="C1750" s="23" t="s">
        <v>46</v>
      </c>
      <c r="D1750" s="23">
        <v>0</v>
      </c>
      <c r="E1750" s="23">
        <v>2025</v>
      </c>
      <c r="F1750" s="15" t="s">
        <v>3304</v>
      </c>
      <c r="G1750" s="15" t="s">
        <v>3300</v>
      </c>
      <c r="H1750" s="23" t="s">
        <v>58</v>
      </c>
    </row>
    <row r="1751" spans="1:8" ht="54.95" customHeight="1" x14ac:dyDescent="0.2">
      <c r="A1751" s="23" t="s">
        <v>1173</v>
      </c>
      <c r="B1751" s="23" t="s">
        <v>3</v>
      </c>
      <c r="C1751" s="23" t="s">
        <v>46</v>
      </c>
      <c r="D1751" s="23">
        <v>3196.5521570000001</v>
      </c>
      <c r="E1751" s="23">
        <v>2024</v>
      </c>
      <c r="F1751" s="15" t="s">
        <v>3316</v>
      </c>
      <c r="G1751" s="15" t="s">
        <v>3317</v>
      </c>
      <c r="H1751" s="23" t="s">
        <v>58</v>
      </c>
    </row>
    <row r="1752" spans="1:8" ht="54.95" customHeight="1" x14ac:dyDescent="0.2">
      <c r="A1752" s="23" t="s">
        <v>1173</v>
      </c>
      <c r="B1752" s="23" t="s">
        <v>6</v>
      </c>
      <c r="C1752" s="23" t="s">
        <v>46</v>
      </c>
      <c r="D1752" s="23">
        <v>49.739374235400589</v>
      </c>
      <c r="E1752" s="23">
        <v>2024</v>
      </c>
      <c r="F1752" s="15" t="s">
        <v>3319</v>
      </c>
      <c r="G1752" s="15" t="s">
        <v>3320</v>
      </c>
      <c r="H1752" s="23" t="s">
        <v>58</v>
      </c>
    </row>
    <row r="1753" spans="1:8" ht="54.95" customHeight="1" x14ac:dyDescent="0.2">
      <c r="A1753" s="23" t="s">
        <v>1173</v>
      </c>
      <c r="B1753" s="23" t="s">
        <v>7</v>
      </c>
      <c r="C1753" s="23" t="s">
        <v>46</v>
      </c>
      <c r="D1753" s="23">
        <v>26.82022541451683</v>
      </c>
      <c r="E1753" s="23">
        <v>2024</v>
      </c>
      <c r="F1753" s="15" t="s">
        <v>3322</v>
      </c>
      <c r="G1753" s="15" t="s">
        <v>3320</v>
      </c>
      <c r="H1753" s="23" t="s">
        <v>58</v>
      </c>
    </row>
    <row r="1754" spans="1:8" ht="54.95" customHeight="1" x14ac:dyDescent="0.2">
      <c r="A1754" s="23" t="s">
        <v>1173</v>
      </c>
      <c r="B1754" s="23" t="s">
        <v>8</v>
      </c>
      <c r="C1754" s="23" t="s">
        <v>46</v>
      </c>
      <c r="D1754" s="23">
        <v>5.0962261211119042</v>
      </c>
      <c r="E1754" s="23">
        <v>2024</v>
      </c>
      <c r="F1754" s="15" t="s">
        <v>3324</v>
      </c>
      <c r="G1754" s="15" t="s">
        <v>3320</v>
      </c>
      <c r="H1754" s="23" t="s">
        <v>58</v>
      </c>
    </row>
    <row r="1755" spans="1:8" ht="54.95" customHeight="1" x14ac:dyDescent="0.2">
      <c r="A1755" s="23" t="s">
        <v>1173</v>
      </c>
      <c r="B1755" s="23" t="s">
        <v>9</v>
      </c>
      <c r="C1755" s="23" t="s">
        <v>46</v>
      </c>
      <c r="D1755" s="23">
        <v>17.077870661504743</v>
      </c>
      <c r="E1755" s="23">
        <v>2024</v>
      </c>
      <c r="F1755" s="15" t="s">
        <v>3325</v>
      </c>
      <c r="G1755" s="15" t="s">
        <v>3320</v>
      </c>
      <c r="H1755" s="23" t="s">
        <v>58</v>
      </c>
    </row>
    <row r="1756" spans="1:8" ht="54.95" customHeight="1" x14ac:dyDescent="0.2">
      <c r="A1756" s="23" t="s">
        <v>1173</v>
      </c>
      <c r="B1756" s="23" t="s">
        <v>10</v>
      </c>
      <c r="C1756" s="23" t="s">
        <v>46</v>
      </c>
      <c r="D1756" s="23">
        <v>0</v>
      </c>
      <c r="E1756" s="23">
        <v>2024</v>
      </c>
      <c r="F1756" s="15" t="s">
        <v>3326</v>
      </c>
      <c r="G1756" s="15" t="s">
        <v>3320</v>
      </c>
      <c r="H1756" s="23" t="s">
        <v>58</v>
      </c>
    </row>
    <row r="1757" spans="1:8" ht="54.95" customHeight="1" x14ac:dyDescent="0.2">
      <c r="A1757" s="23" t="s">
        <v>1173</v>
      </c>
      <c r="B1757" s="23" t="s">
        <v>5</v>
      </c>
      <c r="C1757" s="23" t="s">
        <v>46</v>
      </c>
      <c r="D1757" s="23">
        <v>1.169938089462</v>
      </c>
      <c r="E1757" s="23">
        <v>2024</v>
      </c>
      <c r="F1757" s="15" t="s">
        <v>3316</v>
      </c>
      <c r="G1757" s="15" t="s">
        <v>3311</v>
      </c>
      <c r="H1757" s="23" t="s">
        <v>58</v>
      </c>
    </row>
    <row r="1758" spans="1:8" ht="54.95" customHeight="1" x14ac:dyDescent="0.2">
      <c r="A1758" s="23" t="s">
        <v>1178</v>
      </c>
      <c r="B1758" s="23" t="s">
        <v>11</v>
      </c>
      <c r="C1758" s="23" t="s">
        <v>3758</v>
      </c>
      <c r="D1758" s="23">
        <v>25612.046902060276</v>
      </c>
      <c r="E1758" s="23">
        <v>2025</v>
      </c>
      <c r="F1758" s="15" t="s">
        <v>3299</v>
      </c>
      <c r="G1758" s="15" t="s">
        <v>3300</v>
      </c>
      <c r="H1758" s="23" t="s">
        <v>58</v>
      </c>
    </row>
    <row r="1759" spans="1:8" ht="54.95" customHeight="1" x14ac:dyDescent="0.2">
      <c r="A1759" s="23" t="s">
        <v>1178</v>
      </c>
      <c r="B1759" s="23" t="s">
        <v>13</v>
      </c>
      <c r="C1759" s="23" t="s">
        <v>46</v>
      </c>
      <c r="D1759" s="23">
        <v>196</v>
      </c>
      <c r="E1759" s="23">
        <v>2025</v>
      </c>
      <c r="F1759" s="15" t="s">
        <v>3302</v>
      </c>
      <c r="G1759" s="15" t="s">
        <v>3300</v>
      </c>
      <c r="H1759" s="23" t="s">
        <v>58</v>
      </c>
    </row>
    <row r="1760" spans="1:8" ht="54.95" customHeight="1" x14ac:dyDescent="0.2">
      <c r="A1760" s="23" t="s">
        <v>1178</v>
      </c>
      <c r="B1760" s="23" t="s">
        <v>14</v>
      </c>
      <c r="C1760" s="23" t="s">
        <v>46</v>
      </c>
      <c r="D1760" s="23">
        <v>630</v>
      </c>
      <c r="E1760" s="23">
        <v>2025</v>
      </c>
      <c r="F1760" s="15" t="s">
        <v>3304</v>
      </c>
      <c r="G1760" s="15" t="s">
        <v>3300</v>
      </c>
      <c r="H1760" s="23" t="s">
        <v>58</v>
      </c>
    </row>
    <row r="1761" spans="1:8" ht="54.95" customHeight="1" x14ac:dyDescent="0.2">
      <c r="A1761" s="23" t="s">
        <v>1178</v>
      </c>
      <c r="B1761" s="23" t="s">
        <v>3</v>
      </c>
      <c r="C1761" s="23" t="s">
        <v>3759</v>
      </c>
      <c r="D1761" s="23">
        <v>824158.05753424659</v>
      </c>
      <c r="E1761" s="23">
        <v>2025</v>
      </c>
      <c r="F1761" s="15" t="s">
        <v>3305</v>
      </c>
      <c r="G1761" s="15" t="s">
        <v>3306</v>
      </c>
      <c r="H1761" s="23" t="s">
        <v>58</v>
      </c>
    </row>
    <row r="1762" spans="1:8" ht="54.95" customHeight="1" x14ac:dyDescent="0.2">
      <c r="A1762" s="23" t="s">
        <v>1178</v>
      </c>
      <c r="B1762" s="23" t="s">
        <v>6</v>
      </c>
      <c r="C1762" s="23" t="s">
        <v>3760</v>
      </c>
      <c r="D1762" s="23">
        <v>13.018013624737248</v>
      </c>
      <c r="E1762" s="23">
        <v>2025</v>
      </c>
      <c r="F1762" s="15" t="s">
        <v>3305</v>
      </c>
      <c r="G1762" s="15" t="s">
        <v>3308</v>
      </c>
      <c r="H1762" s="23" t="s">
        <v>58</v>
      </c>
    </row>
    <row r="1763" spans="1:8" ht="54.95" customHeight="1" x14ac:dyDescent="0.2">
      <c r="A1763" s="23" t="s">
        <v>1178</v>
      </c>
      <c r="B1763" s="23" t="s">
        <v>7</v>
      </c>
      <c r="C1763" s="23" t="s">
        <v>3761</v>
      </c>
      <c r="D1763" s="23">
        <v>18.870648468610181</v>
      </c>
      <c r="E1763" s="23">
        <v>2025</v>
      </c>
      <c r="F1763" s="15" t="s">
        <v>3305</v>
      </c>
      <c r="G1763" s="15" t="s">
        <v>3308</v>
      </c>
      <c r="H1763" s="23" t="s">
        <v>58</v>
      </c>
    </row>
    <row r="1764" spans="1:8" ht="54.95" customHeight="1" x14ac:dyDescent="0.2">
      <c r="A1764" s="23" t="s">
        <v>1178</v>
      </c>
      <c r="B1764" s="23" t="s">
        <v>8</v>
      </c>
      <c r="C1764" s="23" t="s">
        <v>46</v>
      </c>
      <c r="D1764" s="23">
        <v>6.9375600652423071</v>
      </c>
      <c r="E1764" s="23">
        <v>2025</v>
      </c>
      <c r="F1764" s="15" t="s">
        <v>3305</v>
      </c>
      <c r="G1764" s="15" t="s">
        <v>3308</v>
      </c>
      <c r="H1764" s="23" t="s">
        <v>58</v>
      </c>
    </row>
    <row r="1765" spans="1:8" ht="54.95" customHeight="1" x14ac:dyDescent="0.2">
      <c r="A1765" s="23" t="s">
        <v>1178</v>
      </c>
      <c r="B1765" s="23" t="s">
        <v>9</v>
      </c>
      <c r="C1765" s="23" t="s">
        <v>46</v>
      </c>
      <c r="D1765" s="23">
        <v>18.757253541980017</v>
      </c>
      <c r="E1765" s="23">
        <v>2025</v>
      </c>
      <c r="F1765" s="15" t="s">
        <v>3305</v>
      </c>
      <c r="G1765" s="15" t="s">
        <v>3308</v>
      </c>
      <c r="H1765" s="23" t="s">
        <v>58</v>
      </c>
    </row>
    <row r="1766" spans="1:8" ht="54.95" customHeight="1" x14ac:dyDescent="0.2">
      <c r="A1766" s="23" t="s">
        <v>1178</v>
      </c>
      <c r="B1766" s="23" t="s">
        <v>10</v>
      </c>
      <c r="C1766" s="23" t="s">
        <v>46</v>
      </c>
      <c r="D1766" s="23">
        <v>5.4405068217879515</v>
      </c>
      <c r="E1766" s="23">
        <v>2025</v>
      </c>
      <c r="F1766" s="15" t="s">
        <v>3305</v>
      </c>
      <c r="G1766" s="15" t="s">
        <v>3308</v>
      </c>
      <c r="H1766" s="23" t="s">
        <v>58</v>
      </c>
    </row>
    <row r="1767" spans="1:8" ht="54.95" customHeight="1" x14ac:dyDescent="0.2">
      <c r="A1767" s="23" t="s">
        <v>1178</v>
      </c>
      <c r="B1767" s="23" t="s">
        <v>5</v>
      </c>
      <c r="C1767" s="23" t="s">
        <v>3762</v>
      </c>
      <c r="D1767" s="23">
        <v>300.81769100000002</v>
      </c>
      <c r="E1767" s="23">
        <v>2025</v>
      </c>
      <c r="F1767" s="15" t="s">
        <v>3305</v>
      </c>
      <c r="G1767" s="15" t="s">
        <v>3311</v>
      </c>
      <c r="H1767" s="23" t="s">
        <v>58</v>
      </c>
    </row>
    <row r="1768" spans="1:8" ht="54.95" customHeight="1" x14ac:dyDescent="0.2">
      <c r="A1768" s="23" t="s">
        <v>1184</v>
      </c>
      <c r="B1768" s="23" t="s">
        <v>11</v>
      </c>
      <c r="C1768" s="23" t="s">
        <v>3763</v>
      </c>
      <c r="D1768" s="23">
        <v>102908.64348072877</v>
      </c>
      <c r="E1768" s="23">
        <v>2025</v>
      </c>
      <c r="F1768" s="15" t="s">
        <v>3299</v>
      </c>
      <c r="G1768" s="15" t="s">
        <v>3300</v>
      </c>
      <c r="H1768" s="23" t="s">
        <v>58</v>
      </c>
    </row>
    <row r="1769" spans="1:8" ht="54.95" customHeight="1" x14ac:dyDescent="0.2">
      <c r="A1769" s="23" t="s">
        <v>1184</v>
      </c>
      <c r="B1769" s="23" t="s">
        <v>13</v>
      </c>
      <c r="C1769" s="23" t="s">
        <v>3764</v>
      </c>
      <c r="D1769" s="23">
        <v>3106.6301369863013</v>
      </c>
      <c r="E1769" s="23">
        <v>2025</v>
      </c>
      <c r="F1769" s="15" t="s">
        <v>3302</v>
      </c>
      <c r="G1769" s="15" t="s">
        <v>3300</v>
      </c>
      <c r="H1769" s="23" t="s">
        <v>58</v>
      </c>
    </row>
    <row r="1770" spans="1:8" ht="54.95" customHeight="1" x14ac:dyDescent="0.2">
      <c r="A1770" s="23" t="s">
        <v>1184</v>
      </c>
      <c r="B1770" s="23" t="s">
        <v>14</v>
      </c>
      <c r="C1770" s="23" t="s">
        <v>3765</v>
      </c>
      <c r="D1770" s="23">
        <v>4259.4739726027392</v>
      </c>
      <c r="E1770" s="23">
        <v>2025</v>
      </c>
      <c r="F1770" s="15" t="s">
        <v>3304</v>
      </c>
      <c r="G1770" s="15" t="s">
        <v>3300</v>
      </c>
      <c r="H1770" s="23" t="s">
        <v>58</v>
      </c>
    </row>
    <row r="1771" spans="1:8" ht="54.95" customHeight="1" x14ac:dyDescent="0.2">
      <c r="A1771" s="23" t="s">
        <v>1184</v>
      </c>
      <c r="B1771" s="23" t="s">
        <v>3</v>
      </c>
      <c r="C1771" s="23" t="s">
        <v>3766</v>
      </c>
      <c r="D1771" s="23">
        <v>3252150.6849315069</v>
      </c>
      <c r="E1771" s="23">
        <v>2025</v>
      </c>
      <c r="F1771" s="15" t="s">
        <v>3305</v>
      </c>
      <c r="G1771" s="15" t="s">
        <v>3306</v>
      </c>
      <c r="H1771" s="23" t="s">
        <v>58</v>
      </c>
    </row>
    <row r="1772" spans="1:8" ht="54.95" customHeight="1" x14ac:dyDescent="0.2">
      <c r="A1772" s="23" t="s">
        <v>1184</v>
      </c>
      <c r="B1772" s="23" t="s">
        <v>6</v>
      </c>
      <c r="C1772" s="23" t="s">
        <v>3767</v>
      </c>
      <c r="D1772" s="23">
        <v>21.23114988184847</v>
      </c>
      <c r="E1772" s="23">
        <v>2025</v>
      </c>
      <c r="F1772" s="15" t="s">
        <v>3305</v>
      </c>
      <c r="G1772" s="15" t="s">
        <v>3308</v>
      </c>
      <c r="H1772" s="23" t="s">
        <v>58</v>
      </c>
    </row>
    <row r="1773" spans="1:8" ht="54.95" customHeight="1" x14ac:dyDescent="0.2">
      <c r="A1773" s="23" t="s">
        <v>1184</v>
      </c>
      <c r="B1773" s="23" t="s">
        <v>7</v>
      </c>
      <c r="C1773" s="23" t="s">
        <v>3768</v>
      </c>
      <c r="D1773" s="23">
        <v>23.050441646623732</v>
      </c>
      <c r="E1773" s="23">
        <v>2025</v>
      </c>
      <c r="F1773" s="15" t="s">
        <v>3305</v>
      </c>
      <c r="G1773" s="15" t="s">
        <v>3308</v>
      </c>
      <c r="H1773" s="23" t="s">
        <v>58</v>
      </c>
    </row>
    <row r="1774" spans="1:8" ht="54.95" customHeight="1" x14ac:dyDescent="0.2">
      <c r="A1774" s="23" t="s">
        <v>1184</v>
      </c>
      <c r="B1774" s="23" t="s">
        <v>8</v>
      </c>
      <c r="C1774" s="23" t="s">
        <v>46</v>
      </c>
      <c r="D1774" s="23">
        <v>11.487277123252474</v>
      </c>
      <c r="E1774" s="23">
        <v>2025</v>
      </c>
      <c r="F1774" s="15" t="s">
        <v>3305</v>
      </c>
      <c r="G1774" s="15" t="s">
        <v>3308</v>
      </c>
      <c r="H1774" s="23" t="s">
        <v>58</v>
      </c>
    </row>
    <row r="1775" spans="1:8" ht="54.95" customHeight="1" x14ac:dyDescent="0.2">
      <c r="A1775" s="23" t="s">
        <v>1184</v>
      </c>
      <c r="B1775" s="23" t="s">
        <v>9</v>
      </c>
      <c r="C1775" s="23" t="s">
        <v>46</v>
      </c>
      <c r="D1775" s="23">
        <v>20.831168415421615</v>
      </c>
      <c r="E1775" s="23">
        <v>2025</v>
      </c>
      <c r="F1775" s="15" t="s">
        <v>3305</v>
      </c>
      <c r="G1775" s="15" t="s">
        <v>3308</v>
      </c>
      <c r="H1775" s="23" t="s">
        <v>58</v>
      </c>
    </row>
    <row r="1776" spans="1:8" ht="54.95" customHeight="1" x14ac:dyDescent="0.2">
      <c r="A1776" s="23" t="s">
        <v>1184</v>
      </c>
      <c r="B1776" s="23" t="s">
        <v>10</v>
      </c>
      <c r="C1776" s="23" t="s">
        <v>46</v>
      </c>
      <c r="D1776" s="23">
        <v>5.0287969604940042</v>
      </c>
      <c r="E1776" s="23">
        <v>2025</v>
      </c>
      <c r="F1776" s="15" t="s">
        <v>3305</v>
      </c>
      <c r="G1776" s="15" t="s">
        <v>3308</v>
      </c>
      <c r="H1776" s="23" t="s">
        <v>58</v>
      </c>
    </row>
    <row r="1777" spans="1:8" ht="54.95" customHeight="1" x14ac:dyDescent="0.2">
      <c r="A1777" s="23" t="s">
        <v>1184</v>
      </c>
      <c r="B1777" s="23" t="s">
        <v>5</v>
      </c>
      <c r="C1777" s="23" t="s">
        <v>3769</v>
      </c>
      <c r="D1777" s="23">
        <v>1187.0350000000001</v>
      </c>
      <c r="E1777" s="23">
        <v>2025</v>
      </c>
      <c r="F1777" s="15" t="s">
        <v>3305</v>
      </c>
      <c r="G1777" s="15" t="s">
        <v>3311</v>
      </c>
      <c r="H1777" s="23" t="s">
        <v>58</v>
      </c>
    </row>
    <row r="1778" spans="1:8" ht="54.95" customHeight="1" x14ac:dyDescent="0.2">
      <c r="A1778" s="23" t="s">
        <v>1191</v>
      </c>
      <c r="B1778" s="23" t="s">
        <v>11</v>
      </c>
      <c r="C1778" s="23" t="s">
        <v>46</v>
      </c>
      <c r="D1778" s="23">
        <v>0</v>
      </c>
      <c r="E1778" s="23">
        <v>2025</v>
      </c>
      <c r="F1778" s="15" t="s">
        <v>3299</v>
      </c>
      <c r="G1778" s="15" t="s">
        <v>3300</v>
      </c>
      <c r="H1778" s="23" t="s">
        <v>58</v>
      </c>
    </row>
    <row r="1779" spans="1:8" ht="54.95" customHeight="1" x14ac:dyDescent="0.2">
      <c r="A1779" s="23" t="s">
        <v>1191</v>
      </c>
      <c r="B1779" s="23" t="s">
        <v>13</v>
      </c>
      <c r="C1779" s="23" t="s">
        <v>46</v>
      </c>
      <c r="D1779" s="23">
        <v>0</v>
      </c>
      <c r="E1779" s="23">
        <v>2025</v>
      </c>
      <c r="F1779" s="15" t="s">
        <v>3302</v>
      </c>
      <c r="G1779" s="15" t="s">
        <v>3300</v>
      </c>
      <c r="H1779" s="23" t="s">
        <v>58</v>
      </c>
    </row>
    <row r="1780" spans="1:8" ht="54.95" customHeight="1" x14ac:dyDescent="0.2">
      <c r="A1780" s="23" t="s">
        <v>1191</v>
      </c>
      <c r="B1780" s="23" t="s">
        <v>14</v>
      </c>
      <c r="C1780" s="23" t="s">
        <v>46</v>
      </c>
      <c r="D1780" s="23">
        <v>0</v>
      </c>
      <c r="E1780" s="23">
        <v>2025</v>
      </c>
      <c r="F1780" s="15" t="s">
        <v>3304</v>
      </c>
      <c r="G1780" s="15" t="s">
        <v>3300</v>
      </c>
      <c r="H1780" s="23" t="s">
        <v>58</v>
      </c>
    </row>
    <row r="1781" spans="1:8" ht="54.95" customHeight="1" x14ac:dyDescent="0.2">
      <c r="A1781" s="23" t="s">
        <v>1191</v>
      </c>
      <c r="B1781" s="23" t="s">
        <v>3</v>
      </c>
      <c r="C1781" s="23" t="s">
        <v>46</v>
      </c>
      <c r="D1781" s="23">
        <v>491.52115299999997</v>
      </c>
      <c r="E1781" s="23">
        <v>2024</v>
      </c>
      <c r="F1781" s="15" t="s">
        <v>3316</v>
      </c>
      <c r="G1781" s="15" t="s">
        <v>3317</v>
      </c>
      <c r="H1781" s="23" t="s">
        <v>58</v>
      </c>
    </row>
    <row r="1782" spans="1:8" ht="54.95" customHeight="1" x14ac:dyDescent="0.2">
      <c r="A1782" s="23" t="s">
        <v>1191</v>
      </c>
      <c r="B1782" s="23" t="s">
        <v>6</v>
      </c>
      <c r="C1782" s="23" t="s">
        <v>46</v>
      </c>
      <c r="D1782" s="23">
        <v>75.193457849005341</v>
      </c>
      <c r="E1782" s="23">
        <v>2024</v>
      </c>
      <c r="F1782" s="15" t="s">
        <v>3319</v>
      </c>
      <c r="G1782" s="15" t="s">
        <v>3320</v>
      </c>
      <c r="H1782" s="23" t="s">
        <v>58</v>
      </c>
    </row>
    <row r="1783" spans="1:8" ht="54.95" customHeight="1" x14ac:dyDescent="0.2">
      <c r="A1783" s="23" t="s">
        <v>1191</v>
      </c>
      <c r="B1783" s="23" t="s">
        <v>7</v>
      </c>
      <c r="C1783" s="23" t="s">
        <v>46</v>
      </c>
      <c r="D1783" s="23">
        <v>14.490771875284885</v>
      </c>
      <c r="E1783" s="23">
        <v>2024</v>
      </c>
      <c r="F1783" s="15" t="s">
        <v>3322</v>
      </c>
      <c r="G1783" s="15" t="s">
        <v>3320</v>
      </c>
      <c r="H1783" s="23" t="s">
        <v>58</v>
      </c>
    </row>
    <row r="1784" spans="1:8" ht="54.95" customHeight="1" x14ac:dyDescent="0.2">
      <c r="A1784" s="23" t="s">
        <v>1191</v>
      </c>
      <c r="B1784" s="23" t="s">
        <v>8</v>
      </c>
      <c r="C1784" s="23" t="s">
        <v>46</v>
      </c>
      <c r="D1784" s="23">
        <v>0</v>
      </c>
      <c r="E1784" s="23">
        <v>2024</v>
      </c>
      <c r="F1784" s="15" t="s">
        <v>3324</v>
      </c>
      <c r="G1784" s="15" t="s">
        <v>3320</v>
      </c>
      <c r="H1784" s="23" t="s">
        <v>58</v>
      </c>
    </row>
    <row r="1785" spans="1:8" ht="54.95" customHeight="1" x14ac:dyDescent="0.2">
      <c r="A1785" s="23" t="s">
        <v>1191</v>
      </c>
      <c r="B1785" s="23" t="s">
        <v>9</v>
      </c>
      <c r="C1785" s="23" t="s">
        <v>46</v>
      </c>
      <c r="D1785" s="23">
        <v>0</v>
      </c>
      <c r="E1785" s="23">
        <v>2024</v>
      </c>
      <c r="F1785" s="15" t="s">
        <v>3325</v>
      </c>
      <c r="G1785" s="15" t="s">
        <v>3320</v>
      </c>
      <c r="H1785" s="23" t="s">
        <v>58</v>
      </c>
    </row>
    <row r="1786" spans="1:8" ht="54.95" customHeight="1" x14ac:dyDescent="0.2">
      <c r="A1786" s="23" t="s">
        <v>1191</v>
      </c>
      <c r="B1786" s="23" t="s">
        <v>10</v>
      </c>
      <c r="C1786" s="23" t="s">
        <v>46</v>
      </c>
      <c r="D1786" s="23">
        <v>0</v>
      </c>
      <c r="E1786" s="23">
        <v>2024</v>
      </c>
      <c r="F1786" s="15" t="s">
        <v>3326</v>
      </c>
      <c r="G1786" s="15" t="s">
        <v>3320</v>
      </c>
      <c r="H1786" s="23" t="s">
        <v>58</v>
      </c>
    </row>
    <row r="1787" spans="1:8" ht="54.95" customHeight="1" x14ac:dyDescent="0.2">
      <c r="A1787" s="23" t="s">
        <v>1191</v>
      </c>
      <c r="B1787" s="23" t="s">
        <v>5</v>
      </c>
      <c r="C1787" s="23" t="s">
        <v>46</v>
      </c>
      <c r="D1787" s="23">
        <v>0.17989674199799999</v>
      </c>
      <c r="E1787" s="23">
        <v>2024</v>
      </c>
      <c r="F1787" s="15" t="s">
        <v>3316</v>
      </c>
      <c r="G1787" s="15" t="s">
        <v>3311</v>
      </c>
      <c r="H1787" s="23" t="s">
        <v>58</v>
      </c>
    </row>
    <row r="1788" spans="1:8" ht="54.95" customHeight="1" x14ac:dyDescent="0.2">
      <c r="A1788" s="23" t="s">
        <v>1195</v>
      </c>
      <c r="B1788" s="23" t="s">
        <v>11</v>
      </c>
      <c r="C1788" s="23" t="s">
        <v>46</v>
      </c>
      <c r="D1788" s="23">
        <v>0</v>
      </c>
      <c r="E1788" s="23">
        <v>2025</v>
      </c>
      <c r="F1788" s="15" t="s">
        <v>3299</v>
      </c>
      <c r="G1788" s="15" t="s">
        <v>3300</v>
      </c>
      <c r="H1788" s="23" t="s">
        <v>58</v>
      </c>
    </row>
    <row r="1789" spans="1:8" ht="54.95" customHeight="1" x14ac:dyDescent="0.2">
      <c r="A1789" s="23" t="s">
        <v>1195</v>
      </c>
      <c r="B1789" s="23" t="s">
        <v>13</v>
      </c>
      <c r="C1789" s="23" t="s">
        <v>46</v>
      </c>
      <c r="D1789" s="23">
        <v>0</v>
      </c>
      <c r="E1789" s="23">
        <v>2025</v>
      </c>
      <c r="F1789" s="15" t="s">
        <v>3302</v>
      </c>
      <c r="G1789" s="15" t="s">
        <v>3300</v>
      </c>
      <c r="H1789" s="23" t="s">
        <v>58</v>
      </c>
    </row>
    <row r="1790" spans="1:8" ht="54.95" customHeight="1" x14ac:dyDescent="0.2">
      <c r="A1790" s="23" t="s">
        <v>1195</v>
      </c>
      <c r="B1790" s="23" t="s">
        <v>14</v>
      </c>
      <c r="C1790" s="23" t="s">
        <v>46</v>
      </c>
      <c r="D1790" s="23">
        <v>0</v>
      </c>
      <c r="E1790" s="23">
        <v>2025</v>
      </c>
      <c r="F1790" s="15" t="s">
        <v>3304</v>
      </c>
      <c r="G1790" s="15" t="s">
        <v>3300</v>
      </c>
      <c r="H1790" s="23" t="s">
        <v>58</v>
      </c>
    </row>
    <row r="1791" spans="1:8" ht="54.95" customHeight="1" x14ac:dyDescent="0.2">
      <c r="A1791" s="23" t="s">
        <v>1195</v>
      </c>
      <c r="B1791" s="23" t="s">
        <v>3</v>
      </c>
      <c r="C1791" s="23" t="s">
        <v>46</v>
      </c>
      <c r="D1791" s="23">
        <v>16295.890410958904</v>
      </c>
      <c r="E1791" s="23">
        <v>2025</v>
      </c>
      <c r="F1791" s="15" t="s">
        <v>3305</v>
      </c>
      <c r="G1791" s="15" t="s">
        <v>3306</v>
      </c>
      <c r="H1791" s="23" t="s">
        <v>58</v>
      </c>
    </row>
    <row r="1792" spans="1:8" ht="54.95" customHeight="1" x14ac:dyDescent="0.2">
      <c r="A1792" s="23" t="s">
        <v>1195</v>
      </c>
      <c r="B1792" s="23" t="s">
        <v>6</v>
      </c>
      <c r="C1792" s="23" t="s">
        <v>46</v>
      </c>
      <c r="D1792" s="23">
        <v>43.897108271687962</v>
      </c>
      <c r="E1792" s="23">
        <v>2025</v>
      </c>
      <c r="F1792" s="15" t="s">
        <v>3305</v>
      </c>
      <c r="G1792" s="15" t="s">
        <v>3308</v>
      </c>
      <c r="H1792" s="23" t="s">
        <v>58</v>
      </c>
    </row>
    <row r="1793" spans="1:8" ht="54.95" customHeight="1" x14ac:dyDescent="0.2">
      <c r="A1793" s="23" t="s">
        <v>1195</v>
      </c>
      <c r="B1793" s="23" t="s">
        <v>7</v>
      </c>
      <c r="C1793" s="23" t="s">
        <v>46</v>
      </c>
      <c r="D1793" s="23">
        <v>16.053295225285812</v>
      </c>
      <c r="E1793" s="23">
        <v>2025</v>
      </c>
      <c r="F1793" s="15" t="s">
        <v>3305</v>
      </c>
      <c r="G1793" s="15" t="s">
        <v>3308</v>
      </c>
      <c r="H1793" s="23" t="s">
        <v>58</v>
      </c>
    </row>
    <row r="1794" spans="1:8" ht="54.95" customHeight="1" x14ac:dyDescent="0.2">
      <c r="A1794" s="23" t="s">
        <v>1195</v>
      </c>
      <c r="B1794" s="23" t="s">
        <v>8</v>
      </c>
      <c r="C1794" s="23" t="s">
        <v>46</v>
      </c>
      <c r="D1794" s="23">
        <v>0.19502353732347008</v>
      </c>
      <c r="E1794" s="23">
        <v>2025</v>
      </c>
      <c r="F1794" s="15" t="s">
        <v>3305</v>
      </c>
      <c r="G1794" s="15" t="s">
        <v>3308</v>
      </c>
      <c r="H1794" s="23" t="s">
        <v>58</v>
      </c>
    </row>
    <row r="1795" spans="1:8" ht="54.95" customHeight="1" x14ac:dyDescent="0.2">
      <c r="A1795" s="23" t="s">
        <v>1195</v>
      </c>
      <c r="B1795" s="23" t="s">
        <v>9</v>
      </c>
      <c r="C1795" s="23" t="s">
        <v>46</v>
      </c>
      <c r="D1795" s="23">
        <v>78.164088769334228</v>
      </c>
      <c r="E1795" s="23">
        <v>2025</v>
      </c>
      <c r="F1795" s="15" t="s">
        <v>3305</v>
      </c>
      <c r="G1795" s="15" t="s">
        <v>3308</v>
      </c>
      <c r="H1795" s="23" t="s">
        <v>58</v>
      </c>
    </row>
    <row r="1796" spans="1:8" ht="54.95" customHeight="1" x14ac:dyDescent="0.2">
      <c r="A1796" s="23" t="s">
        <v>1195</v>
      </c>
      <c r="B1796" s="23" t="s">
        <v>10</v>
      </c>
      <c r="C1796" s="23" t="s">
        <v>46</v>
      </c>
      <c r="D1796" s="23">
        <v>0</v>
      </c>
      <c r="E1796" s="23">
        <v>2025</v>
      </c>
      <c r="F1796" s="15" t="s">
        <v>3305</v>
      </c>
      <c r="G1796" s="15" t="s">
        <v>3308</v>
      </c>
      <c r="H1796" s="23" t="s">
        <v>58</v>
      </c>
    </row>
    <row r="1797" spans="1:8" ht="54.95" customHeight="1" x14ac:dyDescent="0.2">
      <c r="A1797" s="23" t="s">
        <v>1195</v>
      </c>
      <c r="B1797" s="23" t="s">
        <v>5</v>
      </c>
      <c r="C1797" s="23" t="s">
        <v>46</v>
      </c>
      <c r="D1797" s="23">
        <v>5.9480000000000004</v>
      </c>
      <c r="E1797" s="23">
        <v>2025</v>
      </c>
      <c r="F1797" s="15" t="s">
        <v>3305</v>
      </c>
      <c r="G1797" s="15" t="s">
        <v>3311</v>
      </c>
      <c r="H1797" s="23" t="s">
        <v>58</v>
      </c>
    </row>
    <row r="1798" spans="1:8" ht="54.95" customHeight="1" x14ac:dyDescent="0.2">
      <c r="A1798" s="23" t="s">
        <v>1205</v>
      </c>
      <c r="B1798" s="23" t="s">
        <v>11</v>
      </c>
      <c r="C1798" s="23" t="s">
        <v>46</v>
      </c>
      <c r="D1798" s="23">
        <v>0</v>
      </c>
      <c r="E1798" s="23">
        <v>2025</v>
      </c>
      <c r="F1798" s="15" t="s">
        <v>3299</v>
      </c>
      <c r="G1798" s="15" t="s">
        <v>3300</v>
      </c>
      <c r="H1798" s="23" t="s">
        <v>58</v>
      </c>
    </row>
    <row r="1799" spans="1:8" ht="54.95" customHeight="1" x14ac:dyDescent="0.2">
      <c r="A1799" s="23" t="s">
        <v>1205</v>
      </c>
      <c r="B1799" s="23" t="s">
        <v>13</v>
      </c>
      <c r="C1799" s="23" t="s">
        <v>46</v>
      </c>
      <c r="D1799" s="23">
        <v>0</v>
      </c>
      <c r="E1799" s="23">
        <v>2025</v>
      </c>
      <c r="F1799" s="15" t="s">
        <v>3302</v>
      </c>
      <c r="G1799" s="15" t="s">
        <v>3300</v>
      </c>
      <c r="H1799" s="23" t="s">
        <v>58</v>
      </c>
    </row>
    <row r="1800" spans="1:8" ht="54.95" customHeight="1" x14ac:dyDescent="0.2">
      <c r="A1800" s="23" t="s">
        <v>1205</v>
      </c>
      <c r="B1800" s="23" t="s">
        <v>14</v>
      </c>
      <c r="C1800" s="23" t="s">
        <v>46</v>
      </c>
      <c r="D1800" s="23">
        <v>0</v>
      </c>
      <c r="E1800" s="23">
        <v>2025</v>
      </c>
      <c r="F1800" s="15" t="s">
        <v>3304</v>
      </c>
      <c r="G1800" s="15" t="s">
        <v>3300</v>
      </c>
      <c r="H1800" s="23" t="s">
        <v>58</v>
      </c>
    </row>
    <row r="1801" spans="1:8" ht="54.95" customHeight="1" x14ac:dyDescent="0.2">
      <c r="A1801" s="23" t="s">
        <v>1205</v>
      </c>
      <c r="B1801" s="23" t="s">
        <v>3</v>
      </c>
      <c r="C1801" s="23" t="s">
        <v>46</v>
      </c>
      <c r="D1801" s="23">
        <v>8874.3733769999999</v>
      </c>
      <c r="E1801" s="23">
        <v>2024</v>
      </c>
      <c r="F1801" s="15" t="s">
        <v>3316</v>
      </c>
      <c r="G1801" s="15" t="s">
        <v>3317</v>
      </c>
      <c r="H1801" s="23" t="s">
        <v>58</v>
      </c>
    </row>
    <row r="1802" spans="1:8" ht="54.95" customHeight="1" x14ac:dyDescent="0.2">
      <c r="A1802" s="23" t="s">
        <v>1205</v>
      </c>
      <c r="B1802" s="23" t="s">
        <v>6</v>
      </c>
      <c r="C1802" s="23" t="s">
        <v>46</v>
      </c>
      <c r="D1802" s="23">
        <v>50.512059033010416</v>
      </c>
      <c r="E1802" s="23">
        <v>2024</v>
      </c>
      <c r="F1802" s="15" t="s">
        <v>3319</v>
      </c>
      <c r="G1802" s="15" t="s">
        <v>3320</v>
      </c>
      <c r="H1802" s="23" t="s">
        <v>58</v>
      </c>
    </row>
    <row r="1803" spans="1:8" ht="54.95" customHeight="1" x14ac:dyDescent="0.2">
      <c r="A1803" s="23" t="s">
        <v>1205</v>
      </c>
      <c r="B1803" s="23" t="s">
        <v>7</v>
      </c>
      <c r="C1803" s="23" t="s">
        <v>46</v>
      </c>
      <c r="D1803" s="23">
        <v>15.88388330215284</v>
      </c>
      <c r="E1803" s="23">
        <v>2024</v>
      </c>
      <c r="F1803" s="15" t="s">
        <v>3322</v>
      </c>
      <c r="G1803" s="15" t="s">
        <v>3320</v>
      </c>
      <c r="H1803" s="23" t="s">
        <v>58</v>
      </c>
    </row>
    <row r="1804" spans="1:8" ht="54.95" customHeight="1" x14ac:dyDescent="0.2">
      <c r="A1804" s="23" t="s">
        <v>1205</v>
      </c>
      <c r="B1804" s="23" t="s">
        <v>8</v>
      </c>
      <c r="C1804" s="23" t="s">
        <v>46</v>
      </c>
      <c r="D1804" s="23">
        <v>4.4690878910717258</v>
      </c>
      <c r="E1804" s="23">
        <v>2024</v>
      </c>
      <c r="F1804" s="15" t="s">
        <v>3324</v>
      </c>
      <c r="G1804" s="15" t="s">
        <v>3320</v>
      </c>
      <c r="H1804" s="23" t="s">
        <v>58</v>
      </c>
    </row>
    <row r="1805" spans="1:8" ht="54.95" customHeight="1" x14ac:dyDescent="0.2">
      <c r="A1805" s="23" t="s">
        <v>1205</v>
      </c>
      <c r="B1805" s="23" t="s">
        <v>9</v>
      </c>
      <c r="C1805" s="23" t="s">
        <v>46</v>
      </c>
      <c r="D1805" s="23">
        <v>4.137197088771984</v>
      </c>
      <c r="E1805" s="23">
        <v>2024</v>
      </c>
      <c r="F1805" s="15" t="s">
        <v>3325</v>
      </c>
      <c r="G1805" s="15" t="s">
        <v>3320</v>
      </c>
      <c r="H1805" s="23" t="s">
        <v>58</v>
      </c>
    </row>
    <row r="1806" spans="1:8" ht="54.95" customHeight="1" x14ac:dyDescent="0.2">
      <c r="A1806" s="23" t="s">
        <v>1205</v>
      </c>
      <c r="B1806" s="23" t="s">
        <v>10</v>
      </c>
      <c r="C1806" s="23" t="s">
        <v>46</v>
      </c>
      <c r="D1806" s="23">
        <v>24.386226824857658</v>
      </c>
      <c r="E1806" s="23">
        <v>2024</v>
      </c>
      <c r="F1806" s="15" t="s">
        <v>3326</v>
      </c>
      <c r="G1806" s="15" t="s">
        <v>3320</v>
      </c>
      <c r="H1806" s="23" t="s">
        <v>58</v>
      </c>
    </row>
    <row r="1807" spans="1:8" ht="54.95" customHeight="1" x14ac:dyDescent="0.2">
      <c r="A1807" s="23" t="s">
        <v>1205</v>
      </c>
      <c r="B1807" s="23" t="s">
        <v>5</v>
      </c>
      <c r="C1807" s="23" t="s">
        <v>46</v>
      </c>
      <c r="D1807" s="23">
        <v>3.2480206559819997</v>
      </c>
      <c r="E1807" s="23">
        <v>2024</v>
      </c>
      <c r="F1807" s="15" t="s">
        <v>3316</v>
      </c>
      <c r="G1807" s="15" t="s">
        <v>3311</v>
      </c>
      <c r="H1807" s="23" t="s">
        <v>58</v>
      </c>
    </row>
    <row r="1808" spans="1:8" ht="54.95" customHeight="1" x14ac:dyDescent="0.2">
      <c r="A1808" s="23" t="s">
        <v>1214</v>
      </c>
      <c r="B1808" s="23" t="s">
        <v>11</v>
      </c>
      <c r="C1808" s="23" t="s">
        <v>46</v>
      </c>
      <c r="D1808" s="23">
        <v>0</v>
      </c>
      <c r="E1808" s="23">
        <v>2025</v>
      </c>
      <c r="F1808" s="15" t="s">
        <v>3299</v>
      </c>
      <c r="G1808" s="15" t="s">
        <v>3300</v>
      </c>
      <c r="H1808" s="23" t="s">
        <v>58</v>
      </c>
    </row>
    <row r="1809" spans="1:8" ht="54.95" customHeight="1" x14ac:dyDescent="0.2">
      <c r="A1809" s="23" t="s">
        <v>1214</v>
      </c>
      <c r="B1809" s="23" t="s">
        <v>13</v>
      </c>
      <c r="C1809" s="23" t="s">
        <v>46</v>
      </c>
      <c r="D1809" s="23">
        <v>0</v>
      </c>
      <c r="E1809" s="23">
        <v>2025</v>
      </c>
      <c r="F1809" s="15" t="s">
        <v>3302</v>
      </c>
      <c r="G1809" s="15" t="s">
        <v>3300</v>
      </c>
      <c r="H1809" s="23" t="s">
        <v>58</v>
      </c>
    </row>
    <row r="1810" spans="1:8" ht="54.95" customHeight="1" x14ac:dyDescent="0.2">
      <c r="A1810" s="23" t="s">
        <v>1214</v>
      </c>
      <c r="B1810" s="23" t="s">
        <v>14</v>
      </c>
      <c r="C1810" s="23" t="s">
        <v>46</v>
      </c>
      <c r="D1810" s="23">
        <v>0</v>
      </c>
      <c r="E1810" s="23">
        <v>2025</v>
      </c>
      <c r="F1810" s="15" t="s">
        <v>3304</v>
      </c>
      <c r="G1810" s="15" t="s">
        <v>3300</v>
      </c>
      <c r="H1810" s="23" t="s">
        <v>58</v>
      </c>
    </row>
    <row r="1811" spans="1:8" ht="54.95" customHeight="1" x14ac:dyDescent="0.2">
      <c r="A1811" s="23" t="s">
        <v>1214</v>
      </c>
      <c r="B1811" s="23" t="s">
        <v>3</v>
      </c>
      <c r="C1811" s="23" t="s">
        <v>46</v>
      </c>
      <c r="D1811" s="23">
        <v>6476.3992039999994</v>
      </c>
      <c r="E1811" s="23">
        <v>2024</v>
      </c>
      <c r="F1811" s="15" t="s">
        <v>3316</v>
      </c>
      <c r="G1811" s="15" t="s">
        <v>3317</v>
      </c>
      <c r="H1811" s="23" t="s">
        <v>58</v>
      </c>
    </row>
    <row r="1812" spans="1:8" ht="54.95" customHeight="1" x14ac:dyDescent="0.2">
      <c r="A1812" s="23" t="s">
        <v>1214</v>
      </c>
      <c r="B1812" s="23" t="s">
        <v>6</v>
      </c>
      <c r="C1812" s="23" t="s">
        <v>46</v>
      </c>
      <c r="D1812" s="23">
        <v>37.322941759165843</v>
      </c>
      <c r="E1812" s="23">
        <v>2024</v>
      </c>
      <c r="F1812" s="15" t="s">
        <v>3319</v>
      </c>
      <c r="G1812" s="15" t="s">
        <v>3320</v>
      </c>
      <c r="H1812" s="23" t="s">
        <v>58</v>
      </c>
    </row>
    <row r="1813" spans="1:8" ht="54.95" customHeight="1" x14ac:dyDescent="0.2">
      <c r="A1813" s="23" t="s">
        <v>1214</v>
      </c>
      <c r="B1813" s="23" t="s">
        <v>7</v>
      </c>
      <c r="C1813" s="23" t="s">
        <v>46</v>
      </c>
      <c r="D1813" s="23">
        <v>15.447225155331857</v>
      </c>
      <c r="E1813" s="23">
        <v>2024</v>
      </c>
      <c r="F1813" s="15" t="s">
        <v>3322</v>
      </c>
      <c r="G1813" s="15" t="s">
        <v>3320</v>
      </c>
      <c r="H1813" s="23" t="s">
        <v>58</v>
      </c>
    </row>
    <row r="1814" spans="1:8" ht="54.95" customHeight="1" x14ac:dyDescent="0.2">
      <c r="A1814" s="23" t="s">
        <v>1214</v>
      </c>
      <c r="B1814" s="23" t="s">
        <v>8</v>
      </c>
      <c r="C1814" s="23" t="s">
        <v>46</v>
      </c>
      <c r="D1814" s="23">
        <v>2.0854185905739611</v>
      </c>
      <c r="E1814" s="23">
        <v>2024</v>
      </c>
      <c r="F1814" s="15" t="s">
        <v>3324</v>
      </c>
      <c r="G1814" s="15" t="s">
        <v>3320</v>
      </c>
      <c r="H1814" s="23" t="s">
        <v>58</v>
      </c>
    </row>
    <row r="1815" spans="1:8" ht="54.95" customHeight="1" x14ac:dyDescent="0.2">
      <c r="A1815" s="23" t="s">
        <v>1214</v>
      </c>
      <c r="B1815" s="23" t="s">
        <v>9</v>
      </c>
      <c r="C1815" s="23" t="s">
        <v>46</v>
      </c>
      <c r="D1815" s="23">
        <v>15.918435021165198</v>
      </c>
      <c r="E1815" s="23">
        <v>2024</v>
      </c>
      <c r="F1815" s="15" t="s">
        <v>3325</v>
      </c>
      <c r="G1815" s="15" t="s">
        <v>3320</v>
      </c>
      <c r="H1815" s="23" t="s">
        <v>58</v>
      </c>
    </row>
    <row r="1816" spans="1:8" ht="54.95" customHeight="1" x14ac:dyDescent="0.2">
      <c r="A1816" s="23" t="s">
        <v>1214</v>
      </c>
      <c r="B1816" s="23" t="s">
        <v>10</v>
      </c>
      <c r="C1816" s="23" t="s">
        <v>46</v>
      </c>
      <c r="D1816" s="23">
        <v>28.910847231955167</v>
      </c>
      <c r="E1816" s="23">
        <v>2024</v>
      </c>
      <c r="F1816" s="15" t="s">
        <v>3326</v>
      </c>
      <c r="G1816" s="15" t="s">
        <v>3320</v>
      </c>
      <c r="H1816" s="23" t="s">
        <v>58</v>
      </c>
    </row>
    <row r="1817" spans="1:8" ht="54.95" customHeight="1" x14ac:dyDescent="0.2">
      <c r="A1817" s="23" t="s">
        <v>1214</v>
      </c>
      <c r="B1817" s="23" t="s">
        <v>5</v>
      </c>
      <c r="C1817" s="23" t="s">
        <v>46</v>
      </c>
      <c r="D1817" s="23">
        <v>2.3703621086640001</v>
      </c>
      <c r="E1817" s="23">
        <v>2024</v>
      </c>
      <c r="F1817" s="15" t="s">
        <v>3316</v>
      </c>
      <c r="G1817" s="15" t="s">
        <v>3311</v>
      </c>
      <c r="H1817" s="23" t="s">
        <v>58</v>
      </c>
    </row>
    <row r="1818" spans="1:8" ht="54.95" customHeight="1" x14ac:dyDescent="0.2">
      <c r="A1818" s="23" t="s">
        <v>1220</v>
      </c>
      <c r="B1818" s="23" t="s">
        <v>11</v>
      </c>
      <c r="C1818" s="23" t="s">
        <v>46</v>
      </c>
      <c r="D1818" s="23">
        <v>0</v>
      </c>
      <c r="E1818" s="23">
        <v>2025</v>
      </c>
      <c r="F1818" s="15" t="s">
        <v>3299</v>
      </c>
      <c r="G1818" s="15" t="s">
        <v>3300</v>
      </c>
      <c r="H1818" s="23" t="s">
        <v>58</v>
      </c>
    </row>
    <row r="1819" spans="1:8" ht="54.95" customHeight="1" x14ac:dyDescent="0.2">
      <c r="A1819" s="23" t="s">
        <v>1220</v>
      </c>
      <c r="B1819" s="23" t="s">
        <v>13</v>
      </c>
      <c r="C1819" s="23" t="s">
        <v>46</v>
      </c>
      <c r="D1819" s="23">
        <v>0</v>
      </c>
      <c r="E1819" s="23">
        <v>2025</v>
      </c>
      <c r="F1819" s="15" t="s">
        <v>3302</v>
      </c>
      <c r="G1819" s="15" t="s">
        <v>3300</v>
      </c>
      <c r="H1819" s="23" t="s">
        <v>58</v>
      </c>
    </row>
    <row r="1820" spans="1:8" ht="54.95" customHeight="1" x14ac:dyDescent="0.2">
      <c r="A1820" s="23" t="s">
        <v>1220</v>
      </c>
      <c r="B1820" s="23" t="s">
        <v>14</v>
      </c>
      <c r="C1820" s="23" t="s">
        <v>46</v>
      </c>
      <c r="D1820" s="23">
        <v>0</v>
      </c>
      <c r="E1820" s="23">
        <v>2025</v>
      </c>
      <c r="F1820" s="15" t="s">
        <v>3304</v>
      </c>
      <c r="G1820" s="15" t="s">
        <v>3300</v>
      </c>
      <c r="H1820" s="23" t="s">
        <v>58</v>
      </c>
    </row>
    <row r="1821" spans="1:8" ht="54.95" customHeight="1" x14ac:dyDescent="0.2">
      <c r="A1821" s="23" t="s">
        <v>1220</v>
      </c>
      <c r="B1821" s="23" t="s">
        <v>3</v>
      </c>
      <c r="C1821" s="23" t="s">
        <v>46</v>
      </c>
      <c r="D1821" s="23">
        <v>588.76141000000007</v>
      </c>
      <c r="E1821" s="23">
        <v>2024</v>
      </c>
      <c r="F1821" s="15" t="s">
        <v>3316</v>
      </c>
      <c r="G1821" s="15" t="s">
        <v>3317</v>
      </c>
      <c r="H1821" s="23" t="s">
        <v>58</v>
      </c>
    </row>
    <row r="1822" spans="1:8" ht="54.95" customHeight="1" x14ac:dyDescent="0.2">
      <c r="A1822" s="23" t="s">
        <v>1220</v>
      </c>
      <c r="B1822" s="23" t="s">
        <v>6</v>
      </c>
      <c r="C1822" s="23" t="s">
        <v>46</v>
      </c>
      <c r="D1822" s="23">
        <v>52.885049310551778</v>
      </c>
      <c r="E1822" s="23">
        <v>2024</v>
      </c>
      <c r="F1822" s="15" t="s">
        <v>3319</v>
      </c>
      <c r="G1822" s="15" t="s">
        <v>3320</v>
      </c>
      <c r="H1822" s="23" t="s">
        <v>58</v>
      </c>
    </row>
    <row r="1823" spans="1:8" ht="54.95" customHeight="1" x14ac:dyDescent="0.2">
      <c r="A1823" s="23" t="s">
        <v>1220</v>
      </c>
      <c r="B1823" s="23" t="s">
        <v>7</v>
      </c>
      <c r="C1823" s="23" t="s">
        <v>46</v>
      </c>
      <c r="D1823" s="23">
        <v>32.013761227998955</v>
      </c>
      <c r="E1823" s="23">
        <v>2024</v>
      </c>
      <c r="F1823" s="15" t="s">
        <v>3322</v>
      </c>
      <c r="G1823" s="15" t="s">
        <v>3320</v>
      </c>
      <c r="H1823" s="23" t="s">
        <v>58</v>
      </c>
    </row>
    <row r="1824" spans="1:8" ht="54.95" customHeight="1" x14ac:dyDescent="0.2">
      <c r="A1824" s="23" t="s">
        <v>1220</v>
      </c>
      <c r="B1824" s="23" t="s">
        <v>8</v>
      </c>
      <c r="C1824" s="23" t="s">
        <v>46</v>
      </c>
      <c r="D1824" s="23">
        <v>1.2093245037917819</v>
      </c>
      <c r="E1824" s="23">
        <v>2024</v>
      </c>
      <c r="F1824" s="15" t="s">
        <v>3324</v>
      </c>
      <c r="G1824" s="15" t="s">
        <v>3320</v>
      </c>
      <c r="H1824" s="23" t="s">
        <v>58</v>
      </c>
    </row>
    <row r="1825" spans="1:8" ht="54.95" customHeight="1" x14ac:dyDescent="0.2">
      <c r="A1825" s="23" t="s">
        <v>1220</v>
      </c>
      <c r="B1825" s="23" t="s">
        <v>9</v>
      </c>
      <c r="C1825" s="23" t="s">
        <v>46</v>
      </c>
      <c r="D1825" s="23">
        <v>13.434197733849437</v>
      </c>
      <c r="E1825" s="23">
        <v>2024</v>
      </c>
      <c r="F1825" s="15" t="s">
        <v>3325</v>
      </c>
      <c r="G1825" s="15" t="s">
        <v>3320</v>
      </c>
      <c r="H1825" s="23" t="s">
        <v>58</v>
      </c>
    </row>
    <row r="1826" spans="1:8" ht="54.95" customHeight="1" x14ac:dyDescent="0.2">
      <c r="A1826" s="23" t="s">
        <v>1220</v>
      </c>
      <c r="B1826" s="23" t="s">
        <v>10</v>
      </c>
      <c r="C1826" s="23" t="s">
        <v>46</v>
      </c>
      <c r="D1826" s="23">
        <v>0</v>
      </c>
      <c r="E1826" s="23">
        <v>2024</v>
      </c>
      <c r="F1826" s="15" t="s">
        <v>3326</v>
      </c>
      <c r="G1826" s="15" t="s">
        <v>3320</v>
      </c>
      <c r="H1826" s="23" t="s">
        <v>58</v>
      </c>
    </row>
    <row r="1827" spans="1:8" ht="54.95" customHeight="1" x14ac:dyDescent="0.2">
      <c r="A1827" s="23" t="s">
        <v>1220</v>
      </c>
      <c r="B1827" s="23" t="s">
        <v>5</v>
      </c>
      <c r="C1827" s="23" t="s">
        <v>46</v>
      </c>
      <c r="D1827" s="23">
        <v>0.21548667606000002</v>
      </c>
      <c r="E1827" s="23">
        <v>2024</v>
      </c>
      <c r="F1827" s="15" t="s">
        <v>3316</v>
      </c>
      <c r="G1827" s="15" t="s">
        <v>3311</v>
      </c>
      <c r="H1827" s="23" t="s">
        <v>58</v>
      </c>
    </row>
    <row r="1828" spans="1:8" ht="54.95" customHeight="1" x14ac:dyDescent="0.2">
      <c r="A1828" s="23" t="s">
        <v>1230</v>
      </c>
      <c r="B1828" s="23" t="s">
        <v>11</v>
      </c>
      <c r="C1828" s="23" t="s">
        <v>46</v>
      </c>
      <c r="D1828" s="23">
        <v>71566.032749532838</v>
      </c>
      <c r="E1828" s="23">
        <v>2025</v>
      </c>
      <c r="F1828" s="15" t="s">
        <v>3299</v>
      </c>
      <c r="G1828" s="15" t="s">
        <v>3300</v>
      </c>
      <c r="H1828" s="23" t="s">
        <v>58</v>
      </c>
    </row>
    <row r="1829" spans="1:8" ht="54.95" customHeight="1" x14ac:dyDescent="0.2">
      <c r="A1829" s="23" t="s">
        <v>1230</v>
      </c>
      <c r="B1829" s="23" t="s">
        <v>13</v>
      </c>
      <c r="C1829" s="23" t="s">
        <v>46</v>
      </c>
      <c r="D1829" s="23">
        <v>51199.550704972433</v>
      </c>
      <c r="E1829" s="23">
        <v>2025</v>
      </c>
      <c r="F1829" s="15" t="s">
        <v>3302</v>
      </c>
      <c r="G1829" s="15" t="s">
        <v>3300</v>
      </c>
      <c r="H1829" s="23" t="s">
        <v>58</v>
      </c>
    </row>
    <row r="1830" spans="1:8" ht="54.95" customHeight="1" x14ac:dyDescent="0.2">
      <c r="A1830" s="23" t="s">
        <v>1230</v>
      </c>
      <c r="B1830" s="23" t="s">
        <v>14</v>
      </c>
      <c r="C1830" s="23" t="s">
        <v>46</v>
      </c>
      <c r="D1830" s="23">
        <v>15359.551252817932</v>
      </c>
      <c r="E1830" s="23">
        <v>2025</v>
      </c>
      <c r="F1830" s="15" t="s">
        <v>3304</v>
      </c>
      <c r="G1830" s="15" t="s">
        <v>3300</v>
      </c>
      <c r="H1830" s="23" t="s">
        <v>58</v>
      </c>
    </row>
    <row r="1831" spans="1:8" ht="54.95" customHeight="1" x14ac:dyDescent="0.2">
      <c r="A1831" s="23" t="s">
        <v>1230</v>
      </c>
      <c r="B1831" s="23" t="s">
        <v>3</v>
      </c>
      <c r="C1831" s="23" t="s">
        <v>46</v>
      </c>
      <c r="D1831" s="23">
        <v>27004.607614</v>
      </c>
      <c r="E1831" s="23">
        <v>2024</v>
      </c>
      <c r="F1831" s="15" t="s">
        <v>3316</v>
      </c>
      <c r="G1831" s="15" t="s">
        <v>3317</v>
      </c>
      <c r="H1831" s="23" t="s">
        <v>58</v>
      </c>
    </row>
    <row r="1832" spans="1:8" ht="54.95" customHeight="1" x14ac:dyDescent="0.2">
      <c r="A1832" s="23" t="s">
        <v>1230</v>
      </c>
      <c r="B1832" s="23" t="s">
        <v>6</v>
      </c>
      <c r="C1832" s="23" t="s">
        <v>46</v>
      </c>
      <c r="D1832" s="23">
        <v>32.34726942846369</v>
      </c>
      <c r="E1832" s="23">
        <v>2024</v>
      </c>
      <c r="F1832" s="15" t="s">
        <v>3319</v>
      </c>
      <c r="G1832" s="15" t="s">
        <v>3320</v>
      </c>
      <c r="H1832" s="23" t="s">
        <v>58</v>
      </c>
    </row>
    <row r="1833" spans="1:8" ht="54.95" customHeight="1" x14ac:dyDescent="0.2">
      <c r="A1833" s="23" t="s">
        <v>1230</v>
      </c>
      <c r="B1833" s="23" t="s">
        <v>7</v>
      </c>
      <c r="C1833" s="23" t="s">
        <v>46</v>
      </c>
      <c r="D1833" s="23">
        <v>39.152400031610398</v>
      </c>
      <c r="E1833" s="23">
        <v>2024</v>
      </c>
      <c r="F1833" s="15" t="s">
        <v>3322</v>
      </c>
      <c r="G1833" s="15" t="s">
        <v>3320</v>
      </c>
      <c r="H1833" s="23" t="s">
        <v>58</v>
      </c>
    </row>
    <row r="1834" spans="1:8" ht="54.95" customHeight="1" x14ac:dyDescent="0.2">
      <c r="A1834" s="23" t="s">
        <v>1230</v>
      </c>
      <c r="B1834" s="23" t="s">
        <v>8</v>
      </c>
      <c r="C1834" s="23" t="s">
        <v>46</v>
      </c>
      <c r="D1834" s="23">
        <v>9.3058490533192604</v>
      </c>
      <c r="E1834" s="23">
        <v>2024</v>
      </c>
      <c r="F1834" s="15" t="s">
        <v>3324</v>
      </c>
      <c r="G1834" s="15" t="s">
        <v>3320</v>
      </c>
      <c r="H1834" s="23" t="s">
        <v>58</v>
      </c>
    </row>
    <row r="1835" spans="1:8" ht="54.95" customHeight="1" x14ac:dyDescent="0.2">
      <c r="A1835" s="23" t="s">
        <v>1230</v>
      </c>
      <c r="B1835" s="23" t="s">
        <v>9</v>
      </c>
      <c r="C1835" s="23" t="s">
        <v>46</v>
      </c>
      <c r="D1835" s="23">
        <v>18.923957900246055</v>
      </c>
      <c r="E1835" s="23">
        <v>2024</v>
      </c>
      <c r="F1835" s="15" t="s">
        <v>3325</v>
      </c>
      <c r="G1835" s="15" t="s">
        <v>3320</v>
      </c>
      <c r="H1835" s="23" t="s">
        <v>58</v>
      </c>
    </row>
    <row r="1836" spans="1:8" ht="54.95" customHeight="1" x14ac:dyDescent="0.2">
      <c r="A1836" s="23" t="s">
        <v>1230</v>
      </c>
      <c r="B1836" s="23" t="s">
        <v>10</v>
      </c>
      <c r="C1836" s="23" t="s">
        <v>46</v>
      </c>
      <c r="D1836" s="23">
        <v>0.27052358636059831</v>
      </c>
      <c r="E1836" s="23">
        <v>2024</v>
      </c>
      <c r="F1836" s="15" t="s">
        <v>3326</v>
      </c>
      <c r="G1836" s="15" t="s">
        <v>3320</v>
      </c>
      <c r="H1836" s="23" t="s">
        <v>58</v>
      </c>
    </row>
    <row r="1837" spans="1:8" ht="54.95" customHeight="1" x14ac:dyDescent="0.2">
      <c r="A1837" s="23" t="s">
        <v>1230</v>
      </c>
      <c r="B1837" s="23" t="s">
        <v>5</v>
      </c>
      <c r="C1837" s="23" t="s">
        <v>46</v>
      </c>
      <c r="D1837" s="23">
        <v>9.8836863867240012</v>
      </c>
      <c r="E1837" s="23">
        <v>2024</v>
      </c>
      <c r="F1837" s="15" t="s">
        <v>3316</v>
      </c>
      <c r="G1837" s="15" t="s">
        <v>3311</v>
      </c>
      <c r="H1837" s="23" t="s">
        <v>58</v>
      </c>
    </row>
    <row r="1838" spans="1:8" ht="54.95" customHeight="1" x14ac:dyDescent="0.2">
      <c r="A1838" s="23" t="s">
        <v>1236</v>
      </c>
      <c r="B1838" s="23" t="s">
        <v>11</v>
      </c>
      <c r="C1838" s="23" t="s">
        <v>46</v>
      </c>
      <c r="D1838" s="23">
        <v>0</v>
      </c>
      <c r="E1838" s="23">
        <v>2025</v>
      </c>
      <c r="F1838" s="15" t="s">
        <v>3299</v>
      </c>
      <c r="G1838" s="15" t="s">
        <v>3300</v>
      </c>
      <c r="H1838" s="23" t="s">
        <v>58</v>
      </c>
    </row>
    <row r="1839" spans="1:8" ht="54.95" customHeight="1" x14ac:dyDescent="0.2">
      <c r="A1839" s="23" t="s">
        <v>1236</v>
      </c>
      <c r="B1839" s="23" t="s">
        <v>13</v>
      </c>
      <c r="C1839" s="23" t="s">
        <v>46</v>
      </c>
      <c r="D1839" s="23">
        <v>0</v>
      </c>
      <c r="E1839" s="23">
        <v>2025</v>
      </c>
      <c r="F1839" s="15" t="s">
        <v>3302</v>
      </c>
      <c r="G1839" s="15" t="s">
        <v>3300</v>
      </c>
      <c r="H1839" s="23" t="s">
        <v>58</v>
      </c>
    </row>
    <row r="1840" spans="1:8" ht="54.95" customHeight="1" x14ac:dyDescent="0.2">
      <c r="A1840" s="23" t="s">
        <v>1236</v>
      </c>
      <c r="B1840" s="23" t="s">
        <v>14</v>
      </c>
      <c r="C1840" s="23" t="s">
        <v>46</v>
      </c>
      <c r="D1840" s="23">
        <v>0</v>
      </c>
      <c r="E1840" s="23">
        <v>2025</v>
      </c>
      <c r="F1840" s="15" t="s">
        <v>3304</v>
      </c>
      <c r="G1840" s="15" t="s">
        <v>3300</v>
      </c>
      <c r="H1840" s="23" t="s">
        <v>58</v>
      </c>
    </row>
    <row r="1841" spans="1:8" ht="54.95" customHeight="1" x14ac:dyDescent="0.2">
      <c r="A1841" s="23" t="s">
        <v>1236</v>
      </c>
      <c r="B1841" s="23" t="s">
        <v>3</v>
      </c>
      <c r="C1841" s="23" t="s">
        <v>46</v>
      </c>
      <c r="D1841" s="23">
        <v>2807.5126049999999</v>
      </c>
      <c r="E1841" s="23">
        <v>2024</v>
      </c>
      <c r="F1841" s="15" t="s">
        <v>3316</v>
      </c>
      <c r="G1841" s="15" t="s">
        <v>3317</v>
      </c>
      <c r="H1841" s="23" t="s">
        <v>58</v>
      </c>
    </row>
    <row r="1842" spans="1:8" ht="54.95" customHeight="1" x14ac:dyDescent="0.2">
      <c r="A1842" s="23" t="s">
        <v>1236</v>
      </c>
      <c r="B1842" s="23" t="s">
        <v>6</v>
      </c>
      <c r="C1842" s="23" t="s">
        <v>46</v>
      </c>
      <c r="D1842" s="23">
        <v>63.342013098459446</v>
      </c>
      <c r="E1842" s="23">
        <v>2024</v>
      </c>
      <c r="F1842" s="15" t="s">
        <v>3319</v>
      </c>
      <c r="G1842" s="15" t="s">
        <v>3320</v>
      </c>
      <c r="H1842" s="23" t="s">
        <v>58</v>
      </c>
    </row>
    <row r="1843" spans="1:8" ht="54.95" customHeight="1" x14ac:dyDescent="0.2">
      <c r="A1843" s="23" t="s">
        <v>1236</v>
      </c>
      <c r="B1843" s="23" t="s">
        <v>7</v>
      </c>
      <c r="C1843" s="23" t="s">
        <v>46</v>
      </c>
      <c r="D1843" s="23">
        <v>22.152185065612557</v>
      </c>
      <c r="E1843" s="23">
        <v>2024</v>
      </c>
      <c r="F1843" s="15" t="s">
        <v>3322</v>
      </c>
      <c r="G1843" s="15" t="s">
        <v>3320</v>
      </c>
      <c r="H1843" s="23" t="s">
        <v>58</v>
      </c>
    </row>
    <row r="1844" spans="1:8" ht="54.95" customHeight="1" x14ac:dyDescent="0.2">
      <c r="A1844" s="23" t="s">
        <v>1236</v>
      </c>
      <c r="B1844" s="23" t="s">
        <v>8</v>
      </c>
      <c r="C1844" s="23" t="s">
        <v>46</v>
      </c>
      <c r="D1844" s="23">
        <v>6.4721452247941009</v>
      </c>
      <c r="E1844" s="23">
        <v>2024</v>
      </c>
      <c r="F1844" s="15" t="s">
        <v>3324</v>
      </c>
      <c r="G1844" s="15" t="s">
        <v>3320</v>
      </c>
      <c r="H1844" s="23" t="s">
        <v>58</v>
      </c>
    </row>
    <row r="1845" spans="1:8" ht="54.95" customHeight="1" x14ac:dyDescent="0.2">
      <c r="A1845" s="23" t="s">
        <v>1236</v>
      </c>
      <c r="B1845" s="23" t="s">
        <v>9</v>
      </c>
      <c r="C1845" s="23" t="s">
        <v>46</v>
      </c>
      <c r="D1845" s="23">
        <v>7.6905721675290586</v>
      </c>
      <c r="E1845" s="23">
        <v>2024</v>
      </c>
      <c r="F1845" s="15" t="s">
        <v>3325</v>
      </c>
      <c r="G1845" s="15" t="s">
        <v>3320</v>
      </c>
      <c r="H1845" s="23" t="s">
        <v>58</v>
      </c>
    </row>
    <row r="1846" spans="1:8" ht="54.95" customHeight="1" x14ac:dyDescent="0.2">
      <c r="A1846" s="23" t="s">
        <v>1236</v>
      </c>
      <c r="B1846" s="23" t="s">
        <v>10</v>
      </c>
      <c r="C1846" s="23" t="s">
        <v>46</v>
      </c>
      <c r="D1846" s="23">
        <v>0</v>
      </c>
      <c r="E1846" s="23">
        <v>2024</v>
      </c>
      <c r="F1846" s="15" t="s">
        <v>3326</v>
      </c>
      <c r="G1846" s="15" t="s">
        <v>3320</v>
      </c>
      <c r="H1846" s="23" t="s">
        <v>58</v>
      </c>
    </row>
    <row r="1847" spans="1:8" ht="54.95" customHeight="1" x14ac:dyDescent="0.2">
      <c r="A1847" s="23" t="s">
        <v>1236</v>
      </c>
      <c r="B1847" s="23" t="s">
        <v>5</v>
      </c>
      <c r="C1847" s="23" t="s">
        <v>46</v>
      </c>
      <c r="D1847" s="23">
        <v>1.02754961343</v>
      </c>
      <c r="E1847" s="23">
        <v>2024</v>
      </c>
      <c r="F1847" s="15" t="s">
        <v>3316</v>
      </c>
      <c r="G1847" s="15" t="s">
        <v>3311</v>
      </c>
      <c r="H1847" s="23" t="s">
        <v>58</v>
      </c>
    </row>
    <row r="1848" spans="1:8" ht="54.95" customHeight="1" x14ac:dyDescent="0.2">
      <c r="A1848" s="23" t="s">
        <v>1242</v>
      </c>
      <c r="B1848" s="23" t="s">
        <v>11</v>
      </c>
      <c r="C1848" s="23" t="s">
        <v>46</v>
      </c>
      <c r="D1848" s="23">
        <v>0</v>
      </c>
      <c r="E1848" s="23">
        <v>2025</v>
      </c>
      <c r="F1848" s="15" t="s">
        <v>3299</v>
      </c>
      <c r="G1848" s="15" t="s">
        <v>3300</v>
      </c>
      <c r="H1848" s="23" t="s">
        <v>58</v>
      </c>
    </row>
    <row r="1849" spans="1:8" ht="54.95" customHeight="1" x14ac:dyDescent="0.2">
      <c r="A1849" s="23" t="s">
        <v>1242</v>
      </c>
      <c r="B1849" s="23" t="s">
        <v>13</v>
      </c>
      <c r="C1849" s="23" t="s">
        <v>46</v>
      </c>
      <c r="D1849" s="23">
        <v>0</v>
      </c>
      <c r="E1849" s="23">
        <v>2025</v>
      </c>
      <c r="F1849" s="15" t="s">
        <v>3302</v>
      </c>
      <c r="G1849" s="15" t="s">
        <v>3300</v>
      </c>
      <c r="H1849" s="23" t="s">
        <v>58</v>
      </c>
    </row>
    <row r="1850" spans="1:8" ht="54.95" customHeight="1" x14ac:dyDescent="0.2">
      <c r="A1850" s="23" t="s">
        <v>1242</v>
      </c>
      <c r="B1850" s="23" t="s">
        <v>14</v>
      </c>
      <c r="C1850" s="23" t="s">
        <v>46</v>
      </c>
      <c r="D1850" s="23">
        <v>0</v>
      </c>
      <c r="E1850" s="23">
        <v>2025</v>
      </c>
      <c r="F1850" s="15" t="s">
        <v>3304</v>
      </c>
      <c r="G1850" s="15" t="s">
        <v>3300</v>
      </c>
      <c r="H1850" s="23" t="s">
        <v>58</v>
      </c>
    </row>
    <row r="1851" spans="1:8" ht="54.95" customHeight="1" x14ac:dyDescent="0.2">
      <c r="A1851" s="23" t="s">
        <v>1242</v>
      </c>
      <c r="B1851" s="23" t="s">
        <v>3</v>
      </c>
      <c r="C1851" s="23" t="s">
        <v>46</v>
      </c>
      <c r="D1851" s="23">
        <v>1933.2105820000002</v>
      </c>
      <c r="E1851" s="23">
        <v>2024</v>
      </c>
      <c r="F1851" s="15" t="s">
        <v>3316</v>
      </c>
      <c r="G1851" s="15" t="s">
        <v>3317</v>
      </c>
      <c r="H1851" s="23" t="s">
        <v>58</v>
      </c>
    </row>
    <row r="1852" spans="1:8" ht="54.95" customHeight="1" x14ac:dyDescent="0.2">
      <c r="A1852" s="23" t="s">
        <v>1242</v>
      </c>
      <c r="B1852" s="23" t="s">
        <v>6</v>
      </c>
      <c r="C1852" s="23" t="s">
        <v>46</v>
      </c>
      <c r="D1852" s="23">
        <v>46.074523711664639</v>
      </c>
      <c r="E1852" s="23">
        <v>2024</v>
      </c>
      <c r="F1852" s="15" t="s">
        <v>3319</v>
      </c>
      <c r="G1852" s="15" t="s">
        <v>3320</v>
      </c>
      <c r="H1852" s="23" t="s">
        <v>58</v>
      </c>
    </row>
    <row r="1853" spans="1:8" ht="54.95" customHeight="1" x14ac:dyDescent="0.2">
      <c r="A1853" s="23" t="s">
        <v>1242</v>
      </c>
      <c r="B1853" s="23" t="s">
        <v>7</v>
      </c>
      <c r="C1853" s="23" t="s">
        <v>46</v>
      </c>
      <c r="D1853" s="23">
        <v>42.120323289229745</v>
      </c>
      <c r="E1853" s="23">
        <v>2024</v>
      </c>
      <c r="F1853" s="15" t="s">
        <v>3322</v>
      </c>
      <c r="G1853" s="15" t="s">
        <v>3320</v>
      </c>
      <c r="H1853" s="23" t="s">
        <v>58</v>
      </c>
    </row>
    <row r="1854" spans="1:8" ht="54.95" customHeight="1" x14ac:dyDescent="0.2">
      <c r="A1854" s="23" t="s">
        <v>1242</v>
      </c>
      <c r="B1854" s="23" t="s">
        <v>8</v>
      </c>
      <c r="C1854" s="23" t="s">
        <v>46</v>
      </c>
      <c r="D1854" s="23">
        <v>10.730136951009095</v>
      </c>
      <c r="E1854" s="23">
        <v>2024</v>
      </c>
      <c r="F1854" s="15" t="s">
        <v>3324</v>
      </c>
      <c r="G1854" s="15" t="s">
        <v>3320</v>
      </c>
      <c r="H1854" s="23" t="s">
        <v>58</v>
      </c>
    </row>
    <row r="1855" spans="1:8" ht="54.95" customHeight="1" x14ac:dyDescent="0.2">
      <c r="A1855" s="23" t="s">
        <v>1242</v>
      </c>
      <c r="B1855" s="23" t="s">
        <v>9</v>
      </c>
      <c r="C1855" s="23" t="s">
        <v>46</v>
      </c>
      <c r="D1855" s="23">
        <v>7.1101773019365752E-2</v>
      </c>
      <c r="E1855" s="23">
        <v>2024</v>
      </c>
      <c r="F1855" s="15" t="s">
        <v>3325</v>
      </c>
      <c r="G1855" s="15" t="s">
        <v>3320</v>
      </c>
      <c r="H1855" s="23" t="s">
        <v>58</v>
      </c>
    </row>
    <row r="1856" spans="1:8" ht="54.95" customHeight="1" x14ac:dyDescent="0.2">
      <c r="A1856" s="23" t="s">
        <v>1242</v>
      </c>
      <c r="B1856" s="23" t="s">
        <v>10</v>
      </c>
      <c r="C1856" s="23" t="s">
        <v>46</v>
      </c>
      <c r="D1856" s="23">
        <v>0</v>
      </c>
      <c r="E1856" s="23">
        <v>2024</v>
      </c>
      <c r="F1856" s="15" t="s">
        <v>3326</v>
      </c>
      <c r="G1856" s="15" t="s">
        <v>3320</v>
      </c>
      <c r="H1856" s="23" t="s">
        <v>58</v>
      </c>
    </row>
    <row r="1857" spans="1:8" ht="54.95" customHeight="1" x14ac:dyDescent="0.2">
      <c r="A1857" s="23" t="s">
        <v>1242</v>
      </c>
      <c r="B1857" s="23" t="s">
        <v>5</v>
      </c>
      <c r="C1857" s="23" t="s">
        <v>46</v>
      </c>
      <c r="D1857" s="23">
        <v>0.70755507301200005</v>
      </c>
      <c r="E1857" s="23">
        <v>2024</v>
      </c>
      <c r="F1857" s="15" t="s">
        <v>3316</v>
      </c>
      <c r="G1857" s="15" t="s">
        <v>3311</v>
      </c>
      <c r="H1857" s="23" t="s">
        <v>58</v>
      </c>
    </row>
    <row r="1858" spans="1:8" ht="54.95" customHeight="1" x14ac:dyDescent="0.2">
      <c r="A1858" s="23" t="s">
        <v>1247</v>
      </c>
      <c r="B1858" s="23" t="s">
        <v>11</v>
      </c>
      <c r="C1858" s="23" t="s">
        <v>46</v>
      </c>
      <c r="D1858" s="23">
        <v>1000.9999999999999</v>
      </c>
      <c r="E1858" s="23">
        <v>2025</v>
      </c>
      <c r="F1858" s="15" t="s">
        <v>3299</v>
      </c>
      <c r="G1858" s="15" t="s">
        <v>3300</v>
      </c>
      <c r="H1858" s="23" t="s">
        <v>58</v>
      </c>
    </row>
    <row r="1859" spans="1:8" ht="54.95" customHeight="1" x14ac:dyDescent="0.2">
      <c r="A1859" s="23" t="s">
        <v>1247</v>
      </c>
      <c r="B1859" s="23" t="s">
        <v>13</v>
      </c>
      <c r="C1859" s="23" t="s">
        <v>46</v>
      </c>
      <c r="D1859" s="23">
        <v>1000</v>
      </c>
      <c r="E1859" s="23">
        <v>2025</v>
      </c>
      <c r="F1859" s="15" t="s">
        <v>3302</v>
      </c>
      <c r="G1859" s="15" t="s">
        <v>3300</v>
      </c>
      <c r="H1859" s="23" t="s">
        <v>58</v>
      </c>
    </row>
    <row r="1860" spans="1:8" ht="54.95" customHeight="1" x14ac:dyDescent="0.2">
      <c r="A1860" s="23" t="s">
        <v>1247</v>
      </c>
      <c r="B1860" s="23" t="s">
        <v>14</v>
      </c>
      <c r="C1860" s="23" t="s">
        <v>46</v>
      </c>
      <c r="D1860" s="23">
        <v>0</v>
      </c>
      <c r="E1860" s="23">
        <v>2025</v>
      </c>
      <c r="F1860" s="15" t="s">
        <v>3304</v>
      </c>
      <c r="G1860" s="15" t="s">
        <v>3300</v>
      </c>
      <c r="H1860" s="23" t="s">
        <v>58</v>
      </c>
    </row>
    <row r="1861" spans="1:8" ht="54.95" customHeight="1" x14ac:dyDescent="0.2">
      <c r="A1861" s="23" t="s">
        <v>1247</v>
      </c>
      <c r="B1861" s="23" t="s">
        <v>3</v>
      </c>
      <c r="C1861" s="23" t="s">
        <v>3770</v>
      </c>
      <c r="D1861" s="23">
        <v>10498.273311999999</v>
      </c>
      <c r="E1861" s="23">
        <v>2024</v>
      </c>
      <c r="F1861" s="15" t="s">
        <v>3316</v>
      </c>
      <c r="G1861" s="15" t="s">
        <v>3317</v>
      </c>
      <c r="H1861" s="23" t="s">
        <v>58</v>
      </c>
    </row>
    <row r="1862" spans="1:8" ht="54.95" customHeight="1" x14ac:dyDescent="0.2">
      <c r="A1862" s="23" t="s">
        <v>1247</v>
      </c>
      <c r="B1862" s="23" t="s">
        <v>6</v>
      </c>
      <c r="C1862" s="23" t="s">
        <v>46</v>
      </c>
      <c r="D1862" s="23">
        <v>11.551082677699673</v>
      </c>
      <c r="E1862" s="23">
        <v>2024</v>
      </c>
      <c r="F1862" s="15" t="s">
        <v>3319</v>
      </c>
      <c r="G1862" s="15" t="s">
        <v>3320</v>
      </c>
      <c r="H1862" s="23" t="s">
        <v>58</v>
      </c>
    </row>
    <row r="1863" spans="1:8" ht="54.95" customHeight="1" x14ac:dyDescent="0.2">
      <c r="A1863" s="23" t="s">
        <v>1247</v>
      </c>
      <c r="B1863" s="23" t="s">
        <v>7</v>
      </c>
      <c r="C1863" s="23" t="s">
        <v>46</v>
      </c>
      <c r="D1863" s="23">
        <v>18.893974838059542</v>
      </c>
      <c r="E1863" s="23">
        <v>2024</v>
      </c>
      <c r="F1863" s="15" t="s">
        <v>3322</v>
      </c>
      <c r="G1863" s="15" t="s">
        <v>3320</v>
      </c>
      <c r="H1863" s="23" t="s">
        <v>58</v>
      </c>
    </row>
    <row r="1864" spans="1:8" ht="54.95" customHeight="1" x14ac:dyDescent="0.2">
      <c r="A1864" s="23" t="s">
        <v>1247</v>
      </c>
      <c r="B1864" s="23" t="s">
        <v>8</v>
      </c>
      <c r="C1864" s="23" t="s">
        <v>46</v>
      </c>
      <c r="D1864" s="23">
        <v>3.7587336724121281</v>
      </c>
      <c r="E1864" s="23">
        <v>2024</v>
      </c>
      <c r="F1864" s="15" t="s">
        <v>3324</v>
      </c>
      <c r="G1864" s="15" t="s">
        <v>3320</v>
      </c>
      <c r="H1864" s="23" t="s">
        <v>58</v>
      </c>
    </row>
    <row r="1865" spans="1:8" ht="54.95" customHeight="1" x14ac:dyDescent="0.2">
      <c r="A1865" s="23" t="s">
        <v>1247</v>
      </c>
      <c r="B1865" s="23" t="s">
        <v>9</v>
      </c>
      <c r="C1865" s="23" t="s">
        <v>46</v>
      </c>
      <c r="D1865" s="23">
        <v>36.54554986308591</v>
      </c>
      <c r="E1865" s="23">
        <v>2024</v>
      </c>
      <c r="F1865" s="15" t="s">
        <v>3325</v>
      </c>
      <c r="G1865" s="15" t="s">
        <v>3320</v>
      </c>
      <c r="H1865" s="23" t="s">
        <v>58</v>
      </c>
    </row>
    <row r="1866" spans="1:8" ht="54.95" customHeight="1" x14ac:dyDescent="0.2">
      <c r="A1866" s="23" t="s">
        <v>1247</v>
      </c>
      <c r="B1866" s="23" t="s">
        <v>10</v>
      </c>
      <c r="C1866" s="23" t="s">
        <v>46</v>
      </c>
      <c r="D1866" s="23">
        <v>29.250658948742753</v>
      </c>
      <c r="E1866" s="23">
        <v>2024</v>
      </c>
      <c r="F1866" s="15" t="s">
        <v>3326</v>
      </c>
      <c r="G1866" s="15" t="s">
        <v>3320</v>
      </c>
      <c r="H1866" s="23" t="s">
        <v>58</v>
      </c>
    </row>
    <row r="1867" spans="1:8" ht="54.95" customHeight="1" x14ac:dyDescent="0.2">
      <c r="A1867" s="23" t="s">
        <v>1247</v>
      </c>
      <c r="B1867" s="23" t="s">
        <v>5</v>
      </c>
      <c r="C1867" s="23" t="s">
        <v>3771</v>
      </c>
      <c r="D1867" s="23">
        <v>3.8423680321919997</v>
      </c>
      <c r="E1867" s="23">
        <v>2024</v>
      </c>
      <c r="F1867" s="15" t="s">
        <v>3316</v>
      </c>
      <c r="G1867" s="15" t="s">
        <v>3311</v>
      </c>
      <c r="H1867" s="23" t="s">
        <v>58</v>
      </c>
    </row>
    <row r="1868" spans="1:8" ht="54.95" customHeight="1" x14ac:dyDescent="0.2">
      <c r="A1868" s="23" t="s">
        <v>1253</v>
      </c>
      <c r="B1868" s="23" t="s">
        <v>11</v>
      </c>
      <c r="C1868" s="23" t="s">
        <v>46</v>
      </c>
      <c r="D1868" s="23">
        <v>0</v>
      </c>
      <c r="E1868" s="23">
        <v>2025</v>
      </c>
      <c r="F1868" s="15" t="s">
        <v>3299</v>
      </c>
      <c r="G1868" s="15" t="s">
        <v>3300</v>
      </c>
      <c r="H1868" s="23" t="s">
        <v>58</v>
      </c>
    </row>
    <row r="1869" spans="1:8" ht="54.95" customHeight="1" x14ac:dyDescent="0.2">
      <c r="A1869" s="23" t="s">
        <v>1253</v>
      </c>
      <c r="B1869" s="23" t="s">
        <v>13</v>
      </c>
      <c r="C1869" s="23" t="s">
        <v>46</v>
      </c>
      <c r="D1869" s="23">
        <v>0</v>
      </c>
      <c r="E1869" s="23">
        <v>2025</v>
      </c>
      <c r="F1869" s="15" t="s">
        <v>3302</v>
      </c>
      <c r="G1869" s="15" t="s">
        <v>3300</v>
      </c>
      <c r="H1869" s="23" t="s">
        <v>58</v>
      </c>
    </row>
    <row r="1870" spans="1:8" ht="54.95" customHeight="1" x14ac:dyDescent="0.2">
      <c r="A1870" s="23" t="s">
        <v>1253</v>
      </c>
      <c r="B1870" s="23" t="s">
        <v>14</v>
      </c>
      <c r="C1870" s="23" t="s">
        <v>46</v>
      </c>
      <c r="D1870" s="23">
        <v>0</v>
      </c>
      <c r="E1870" s="23">
        <v>2025</v>
      </c>
      <c r="F1870" s="15" t="s">
        <v>3304</v>
      </c>
      <c r="G1870" s="15" t="s">
        <v>3300</v>
      </c>
      <c r="H1870" s="23" t="s">
        <v>58</v>
      </c>
    </row>
    <row r="1871" spans="1:8" ht="54.95" customHeight="1" x14ac:dyDescent="0.2">
      <c r="A1871" s="23" t="s">
        <v>1253</v>
      </c>
      <c r="B1871" s="23" t="s">
        <v>3</v>
      </c>
      <c r="C1871" s="23" t="s">
        <v>46</v>
      </c>
      <c r="D1871" s="23">
        <v>4429.4719500000001</v>
      </c>
      <c r="E1871" s="23">
        <v>2024</v>
      </c>
      <c r="F1871" s="15" t="s">
        <v>3316</v>
      </c>
      <c r="G1871" s="15" t="s">
        <v>3317</v>
      </c>
      <c r="H1871" s="23" t="s">
        <v>58</v>
      </c>
    </row>
    <row r="1872" spans="1:8" ht="54.95" customHeight="1" x14ac:dyDescent="0.2">
      <c r="A1872" s="23" t="s">
        <v>1253</v>
      </c>
      <c r="B1872" s="23" t="s">
        <v>6</v>
      </c>
      <c r="C1872" s="23" t="s">
        <v>46</v>
      </c>
      <c r="D1872" s="23">
        <v>53.640316629615405</v>
      </c>
      <c r="E1872" s="23">
        <v>2024</v>
      </c>
      <c r="F1872" s="15" t="s">
        <v>3319</v>
      </c>
      <c r="G1872" s="15" t="s">
        <v>3320</v>
      </c>
      <c r="H1872" s="23" t="s">
        <v>58</v>
      </c>
    </row>
    <row r="1873" spans="1:8" ht="54.95" customHeight="1" x14ac:dyDescent="0.2">
      <c r="A1873" s="23" t="s">
        <v>1253</v>
      </c>
      <c r="B1873" s="23" t="s">
        <v>7</v>
      </c>
      <c r="C1873" s="23" t="s">
        <v>46</v>
      </c>
      <c r="D1873" s="23">
        <v>24.350848118588942</v>
      </c>
      <c r="E1873" s="23">
        <v>2024</v>
      </c>
      <c r="F1873" s="15" t="s">
        <v>3322</v>
      </c>
      <c r="G1873" s="15" t="s">
        <v>3320</v>
      </c>
      <c r="H1873" s="23" t="s">
        <v>58</v>
      </c>
    </row>
    <row r="1874" spans="1:8" ht="54.95" customHeight="1" x14ac:dyDescent="0.2">
      <c r="A1874" s="23" t="s">
        <v>1253</v>
      </c>
      <c r="B1874" s="23" t="s">
        <v>8</v>
      </c>
      <c r="C1874" s="23" t="s">
        <v>46</v>
      </c>
      <c r="D1874" s="23">
        <v>5.9943031584159829</v>
      </c>
      <c r="E1874" s="23">
        <v>2024</v>
      </c>
      <c r="F1874" s="15" t="s">
        <v>3324</v>
      </c>
      <c r="G1874" s="15" t="s">
        <v>3320</v>
      </c>
      <c r="H1874" s="23" t="s">
        <v>58</v>
      </c>
    </row>
    <row r="1875" spans="1:8" ht="54.95" customHeight="1" x14ac:dyDescent="0.2">
      <c r="A1875" s="23" t="s">
        <v>1253</v>
      </c>
      <c r="B1875" s="23" t="s">
        <v>9</v>
      </c>
      <c r="C1875" s="23" t="s">
        <v>46</v>
      </c>
      <c r="D1875" s="23">
        <v>15.241927223401881</v>
      </c>
      <c r="E1875" s="23">
        <v>2024</v>
      </c>
      <c r="F1875" s="15" t="s">
        <v>3325</v>
      </c>
      <c r="G1875" s="15" t="s">
        <v>3320</v>
      </c>
      <c r="H1875" s="23" t="s">
        <v>58</v>
      </c>
    </row>
    <row r="1876" spans="1:8" ht="54.95" customHeight="1" x14ac:dyDescent="0.2">
      <c r="A1876" s="23" t="s">
        <v>1253</v>
      </c>
      <c r="B1876" s="23" t="s">
        <v>10</v>
      </c>
      <c r="C1876" s="23" t="s">
        <v>46</v>
      </c>
      <c r="D1876" s="23">
        <v>0.41970214982397624</v>
      </c>
      <c r="E1876" s="23">
        <v>2024</v>
      </c>
      <c r="F1876" s="15" t="s">
        <v>3326</v>
      </c>
      <c r="G1876" s="15" t="s">
        <v>3320</v>
      </c>
      <c r="H1876" s="23" t="s">
        <v>58</v>
      </c>
    </row>
    <row r="1877" spans="1:8" ht="54.95" customHeight="1" x14ac:dyDescent="0.2">
      <c r="A1877" s="23" t="s">
        <v>1253</v>
      </c>
      <c r="B1877" s="23" t="s">
        <v>5</v>
      </c>
      <c r="C1877" s="23" t="s">
        <v>46</v>
      </c>
      <c r="D1877" s="23">
        <v>1.6211867336999999</v>
      </c>
      <c r="E1877" s="23">
        <v>2024</v>
      </c>
      <c r="F1877" s="15" t="s">
        <v>3316</v>
      </c>
      <c r="G1877" s="15" t="s">
        <v>3311</v>
      </c>
      <c r="H1877" s="23" t="s">
        <v>58</v>
      </c>
    </row>
    <row r="1878" spans="1:8" ht="54.95" customHeight="1" x14ac:dyDescent="0.2">
      <c r="A1878" s="23" t="s">
        <v>1259</v>
      </c>
      <c r="B1878" s="23" t="s">
        <v>11</v>
      </c>
      <c r="C1878" s="23" t="s">
        <v>46</v>
      </c>
      <c r="D1878" s="23">
        <v>0</v>
      </c>
      <c r="E1878" s="23">
        <v>2025</v>
      </c>
      <c r="F1878" s="15" t="s">
        <v>3299</v>
      </c>
      <c r="G1878" s="15" t="s">
        <v>3300</v>
      </c>
      <c r="H1878" s="23" t="s">
        <v>58</v>
      </c>
    </row>
    <row r="1879" spans="1:8" ht="54.95" customHeight="1" x14ac:dyDescent="0.2">
      <c r="A1879" s="23" t="s">
        <v>1259</v>
      </c>
      <c r="B1879" s="23" t="s">
        <v>13</v>
      </c>
      <c r="C1879" s="23" t="s">
        <v>46</v>
      </c>
      <c r="D1879" s="23">
        <v>0</v>
      </c>
      <c r="E1879" s="23">
        <v>2025</v>
      </c>
      <c r="F1879" s="15" t="s">
        <v>3302</v>
      </c>
      <c r="G1879" s="15" t="s">
        <v>3300</v>
      </c>
      <c r="H1879" s="23" t="s">
        <v>58</v>
      </c>
    </row>
    <row r="1880" spans="1:8" ht="54.95" customHeight="1" x14ac:dyDescent="0.2">
      <c r="A1880" s="23" t="s">
        <v>1259</v>
      </c>
      <c r="B1880" s="23" t="s">
        <v>14</v>
      </c>
      <c r="C1880" s="23" t="s">
        <v>46</v>
      </c>
      <c r="D1880" s="23">
        <v>0</v>
      </c>
      <c r="E1880" s="23">
        <v>2025</v>
      </c>
      <c r="F1880" s="15" t="s">
        <v>3304</v>
      </c>
      <c r="G1880" s="15" t="s">
        <v>3300</v>
      </c>
      <c r="H1880" s="23" t="s">
        <v>58</v>
      </c>
    </row>
    <row r="1881" spans="1:8" ht="54.95" customHeight="1" x14ac:dyDescent="0.2">
      <c r="A1881" s="23" t="s">
        <v>1259</v>
      </c>
      <c r="B1881" s="23" t="s">
        <v>3</v>
      </c>
      <c r="C1881" s="23" t="s">
        <v>46</v>
      </c>
      <c r="D1881" s="23">
        <v>1236.574531</v>
      </c>
      <c r="E1881" s="23">
        <v>2024</v>
      </c>
      <c r="F1881" s="15" t="s">
        <v>3316</v>
      </c>
      <c r="G1881" s="15" t="s">
        <v>3317</v>
      </c>
      <c r="H1881" s="23" t="s">
        <v>58</v>
      </c>
    </row>
    <row r="1882" spans="1:8" ht="54.95" customHeight="1" x14ac:dyDescent="0.2">
      <c r="A1882" s="23" t="s">
        <v>1259</v>
      </c>
      <c r="B1882" s="23" t="s">
        <v>6</v>
      </c>
      <c r="C1882" s="23" t="s">
        <v>46</v>
      </c>
      <c r="D1882" s="23">
        <v>49.130253597306215</v>
      </c>
      <c r="E1882" s="23">
        <v>2024</v>
      </c>
      <c r="F1882" s="15" t="s">
        <v>3319</v>
      </c>
      <c r="G1882" s="15" t="s">
        <v>3320</v>
      </c>
      <c r="H1882" s="23" t="s">
        <v>58</v>
      </c>
    </row>
    <row r="1883" spans="1:8" ht="54.95" customHeight="1" x14ac:dyDescent="0.2">
      <c r="A1883" s="23" t="s">
        <v>1259</v>
      </c>
      <c r="B1883" s="23" t="s">
        <v>7</v>
      </c>
      <c r="C1883" s="23" t="s">
        <v>46</v>
      </c>
      <c r="D1883" s="23">
        <v>20.174092280411038</v>
      </c>
      <c r="E1883" s="23">
        <v>2024</v>
      </c>
      <c r="F1883" s="15" t="s">
        <v>3322</v>
      </c>
      <c r="G1883" s="15" t="s">
        <v>3320</v>
      </c>
      <c r="H1883" s="23" t="s">
        <v>58</v>
      </c>
    </row>
    <row r="1884" spans="1:8" ht="54.95" customHeight="1" x14ac:dyDescent="0.2">
      <c r="A1884" s="23" t="s">
        <v>1259</v>
      </c>
      <c r="B1884" s="23" t="s">
        <v>8</v>
      </c>
      <c r="C1884" s="23" t="s">
        <v>46</v>
      </c>
      <c r="D1884" s="23">
        <v>7.7820068736317829</v>
      </c>
      <c r="E1884" s="23">
        <v>2024</v>
      </c>
      <c r="F1884" s="15" t="s">
        <v>3324</v>
      </c>
      <c r="G1884" s="15" t="s">
        <v>3320</v>
      </c>
      <c r="H1884" s="23" t="s">
        <v>58</v>
      </c>
    </row>
    <row r="1885" spans="1:8" ht="54.95" customHeight="1" x14ac:dyDescent="0.2">
      <c r="A1885" s="23" t="s">
        <v>1259</v>
      </c>
      <c r="B1885" s="23" t="s">
        <v>9</v>
      </c>
      <c r="C1885" s="23" t="s">
        <v>46</v>
      </c>
      <c r="D1885" s="23">
        <v>1.5274547167590014</v>
      </c>
      <c r="E1885" s="23">
        <v>2024</v>
      </c>
      <c r="F1885" s="15" t="s">
        <v>3325</v>
      </c>
      <c r="G1885" s="15" t="s">
        <v>3320</v>
      </c>
      <c r="H1885" s="23" t="s">
        <v>58</v>
      </c>
    </row>
    <row r="1886" spans="1:8" ht="54.95" customHeight="1" x14ac:dyDescent="0.2">
      <c r="A1886" s="23" t="s">
        <v>1259</v>
      </c>
      <c r="B1886" s="23" t="s">
        <v>10</v>
      </c>
      <c r="C1886" s="23" t="s">
        <v>46</v>
      </c>
      <c r="D1886" s="23">
        <v>20.749441749581045</v>
      </c>
      <c r="E1886" s="23">
        <v>2024</v>
      </c>
      <c r="F1886" s="15" t="s">
        <v>3326</v>
      </c>
      <c r="G1886" s="15" t="s">
        <v>3320</v>
      </c>
      <c r="H1886" s="23" t="s">
        <v>58</v>
      </c>
    </row>
    <row r="1887" spans="1:8" ht="54.95" customHeight="1" x14ac:dyDescent="0.2">
      <c r="A1887" s="23" t="s">
        <v>1259</v>
      </c>
      <c r="B1887" s="23" t="s">
        <v>5</v>
      </c>
      <c r="C1887" s="23" t="s">
        <v>46</v>
      </c>
      <c r="D1887" s="23">
        <v>0.45258627834600001</v>
      </c>
      <c r="E1887" s="23">
        <v>2024</v>
      </c>
      <c r="F1887" s="15" t="s">
        <v>3316</v>
      </c>
      <c r="G1887" s="15" t="s">
        <v>3311</v>
      </c>
      <c r="H1887" s="23" t="s">
        <v>58</v>
      </c>
    </row>
    <row r="1888" spans="1:8" ht="54.95" customHeight="1" x14ac:dyDescent="0.2">
      <c r="A1888" s="23" t="s">
        <v>1269</v>
      </c>
      <c r="B1888" s="23" t="s">
        <v>11</v>
      </c>
      <c r="C1888" s="23" t="s">
        <v>46</v>
      </c>
      <c r="D1888" s="23">
        <v>0</v>
      </c>
      <c r="E1888" s="23">
        <v>2025</v>
      </c>
      <c r="F1888" s="15" t="s">
        <v>3299</v>
      </c>
      <c r="G1888" s="15" t="s">
        <v>3300</v>
      </c>
      <c r="H1888" s="23" t="s">
        <v>58</v>
      </c>
    </row>
    <row r="1889" spans="1:8" ht="54.95" customHeight="1" x14ac:dyDescent="0.2">
      <c r="A1889" s="23" t="s">
        <v>1269</v>
      </c>
      <c r="B1889" s="23" t="s">
        <v>13</v>
      </c>
      <c r="C1889" s="23" t="s">
        <v>46</v>
      </c>
      <c r="D1889" s="23">
        <v>0</v>
      </c>
      <c r="E1889" s="23">
        <v>2025</v>
      </c>
      <c r="F1889" s="15" t="s">
        <v>3302</v>
      </c>
      <c r="G1889" s="15" t="s">
        <v>3300</v>
      </c>
      <c r="H1889" s="23" t="s">
        <v>58</v>
      </c>
    </row>
    <row r="1890" spans="1:8" ht="54.95" customHeight="1" x14ac:dyDescent="0.2">
      <c r="A1890" s="23" t="s">
        <v>1269</v>
      </c>
      <c r="B1890" s="23" t="s">
        <v>14</v>
      </c>
      <c r="C1890" s="23" t="s">
        <v>46</v>
      </c>
      <c r="D1890" s="23">
        <v>0</v>
      </c>
      <c r="E1890" s="23">
        <v>2025</v>
      </c>
      <c r="F1890" s="15" t="s">
        <v>3304</v>
      </c>
      <c r="G1890" s="15" t="s">
        <v>3300</v>
      </c>
      <c r="H1890" s="23" t="s">
        <v>58</v>
      </c>
    </row>
    <row r="1891" spans="1:8" ht="54.95" customHeight="1" x14ac:dyDescent="0.2">
      <c r="A1891" s="23" t="s">
        <v>1269</v>
      </c>
      <c r="B1891" s="23" t="s">
        <v>3</v>
      </c>
      <c r="C1891" s="23" t="s">
        <v>46</v>
      </c>
      <c r="D1891" s="23">
        <v>335.36041460000001</v>
      </c>
      <c r="E1891" s="23">
        <v>2024</v>
      </c>
      <c r="F1891" s="15" t="s">
        <v>3316</v>
      </c>
      <c r="G1891" s="15" t="s">
        <v>3317</v>
      </c>
      <c r="H1891" s="23" t="s">
        <v>58</v>
      </c>
    </row>
    <row r="1892" spans="1:8" ht="54.95" customHeight="1" x14ac:dyDescent="0.2">
      <c r="A1892" s="23" t="s">
        <v>1269</v>
      </c>
      <c r="B1892" s="23" t="s">
        <v>6</v>
      </c>
      <c r="C1892" s="23" t="s">
        <v>46</v>
      </c>
      <c r="D1892" s="23">
        <v>39.479685209096232</v>
      </c>
      <c r="E1892" s="23">
        <v>2024</v>
      </c>
      <c r="F1892" s="15" t="s">
        <v>3319</v>
      </c>
      <c r="G1892" s="15" t="s">
        <v>3320</v>
      </c>
      <c r="H1892" s="23" t="s">
        <v>58</v>
      </c>
    </row>
    <row r="1893" spans="1:8" ht="54.95" customHeight="1" x14ac:dyDescent="0.2">
      <c r="A1893" s="23" t="s">
        <v>1269</v>
      </c>
      <c r="B1893" s="23" t="s">
        <v>7</v>
      </c>
      <c r="C1893" s="23" t="s">
        <v>46</v>
      </c>
      <c r="D1893" s="23">
        <v>26.333019985478035</v>
      </c>
      <c r="E1893" s="23">
        <v>2024</v>
      </c>
      <c r="F1893" s="15" t="s">
        <v>3322</v>
      </c>
      <c r="G1893" s="15" t="s">
        <v>3320</v>
      </c>
      <c r="H1893" s="23" t="s">
        <v>58</v>
      </c>
    </row>
    <row r="1894" spans="1:8" ht="54.95" customHeight="1" x14ac:dyDescent="0.2">
      <c r="A1894" s="23" t="s">
        <v>1269</v>
      </c>
      <c r="B1894" s="23" t="s">
        <v>8</v>
      </c>
      <c r="C1894" s="23" t="s">
        <v>46</v>
      </c>
      <c r="D1894" s="23">
        <v>29.500980047989245</v>
      </c>
      <c r="E1894" s="23">
        <v>2024</v>
      </c>
      <c r="F1894" s="15" t="s">
        <v>3324</v>
      </c>
      <c r="G1894" s="15" t="s">
        <v>3320</v>
      </c>
      <c r="H1894" s="23" t="s">
        <v>58</v>
      </c>
    </row>
    <row r="1895" spans="1:8" ht="54.95" customHeight="1" x14ac:dyDescent="0.2">
      <c r="A1895" s="23" t="s">
        <v>1269</v>
      </c>
      <c r="B1895" s="23" t="s">
        <v>9</v>
      </c>
      <c r="C1895" s="23" t="s">
        <v>46</v>
      </c>
      <c r="D1895" s="23">
        <v>4.6863147574364907</v>
      </c>
      <c r="E1895" s="23">
        <v>2024</v>
      </c>
      <c r="F1895" s="15" t="s">
        <v>3325</v>
      </c>
      <c r="G1895" s="15" t="s">
        <v>3320</v>
      </c>
      <c r="H1895" s="23" t="s">
        <v>58</v>
      </c>
    </row>
    <row r="1896" spans="1:8" ht="54.95" customHeight="1" x14ac:dyDescent="0.2">
      <c r="A1896" s="23" t="s">
        <v>1269</v>
      </c>
      <c r="B1896" s="23" t="s">
        <v>10</v>
      </c>
      <c r="C1896" s="23" t="s">
        <v>46</v>
      </c>
      <c r="D1896" s="23">
        <v>0</v>
      </c>
      <c r="E1896" s="23">
        <v>2024</v>
      </c>
      <c r="F1896" s="15" t="s">
        <v>3326</v>
      </c>
      <c r="G1896" s="15" t="s">
        <v>3320</v>
      </c>
      <c r="H1896" s="23" t="s">
        <v>58</v>
      </c>
    </row>
    <row r="1897" spans="1:8" ht="54.95" customHeight="1" x14ac:dyDescent="0.2">
      <c r="A1897" s="23" t="s">
        <v>1269</v>
      </c>
      <c r="B1897" s="23" t="s">
        <v>5</v>
      </c>
      <c r="C1897" s="23" t="s">
        <v>46</v>
      </c>
      <c r="D1897" s="23">
        <v>0.12274191174360001</v>
      </c>
      <c r="E1897" s="23">
        <v>2024</v>
      </c>
      <c r="F1897" s="15" t="s">
        <v>3316</v>
      </c>
      <c r="G1897" s="15" t="s">
        <v>3311</v>
      </c>
      <c r="H1897" s="23" t="s">
        <v>58</v>
      </c>
    </row>
    <row r="1898" spans="1:8" ht="54.95" customHeight="1" x14ac:dyDescent="0.2">
      <c r="A1898" s="23" t="s">
        <v>1273</v>
      </c>
      <c r="B1898" s="23" t="s">
        <v>11</v>
      </c>
      <c r="C1898" s="23" t="s">
        <v>46</v>
      </c>
      <c r="D1898" s="23">
        <v>0</v>
      </c>
      <c r="E1898" s="23">
        <v>2025</v>
      </c>
      <c r="F1898" s="15" t="s">
        <v>3299</v>
      </c>
      <c r="G1898" s="15" t="s">
        <v>3300</v>
      </c>
      <c r="H1898" s="23" t="s">
        <v>58</v>
      </c>
    </row>
    <row r="1899" spans="1:8" ht="54.95" customHeight="1" x14ac:dyDescent="0.2">
      <c r="A1899" s="23" t="s">
        <v>1273</v>
      </c>
      <c r="B1899" s="23" t="s">
        <v>13</v>
      </c>
      <c r="C1899" s="23" t="s">
        <v>46</v>
      </c>
      <c r="D1899" s="23">
        <v>0</v>
      </c>
      <c r="E1899" s="23">
        <v>2025</v>
      </c>
      <c r="F1899" s="15" t="s">
        <v>3302</v>
      </c>
      <c r="G1899" s="15" t="s">
        <v>3300</v>
      </c>
      <c r="H1899" s="23" t="s">
        <v>58</v>
      </c>
    </row>
    <row r="1900" spans="1:8" ht="54.95" customHeight="1" x14ac:dyDescent="0.2">
      <c r="A1900" s="23" t="s">
        <v>1273</v>
      </c>
      <c r="B1900" s="23" t="s">
        <v>14</v>
      </c>
      <c r="C1900" s="23" t="s">
        <v>46</v>
      </c>
      <c r="D1900" s="23">
        <v>0</v>
      </c>
      <c r="E1900" s="23">
        <v>2025</v>
      </c>
      <c r="F1900" s="15" t="s">
        <v>3304</v>
      </c>
      <c r="G1900" s="15" t="s">
        <v>3300</v>
      </c>
      <c r="H1900" s="23" t="s">
        <v>58</v>
      </c>
    </row>
    <row r="1901" spans="1:8" ht="54.95" customHeight="1" x14ac:dyDescent="0.2">
      <c r="A1901" s="23" t="s">
        <v>1273</v>
      </c>
      <c r="B1901" s="23" t="s">
        <v>3</v>
      </c>
      <c r="C1901" s="23" t="s">
        <v>3772</v>
      </c>
      <c r="D1901" s="23">
        <v>5018.6523420000003</v>
      </c>
      <c r="E1901" s="23">
        <v>2024</v>
      </c>
      <c r="F1901" s="15" t="s">
        <v>3316</v>
      </c>
      <c r="G1901" s="15" t="s">
        <v>3317</v>
      </c>
      <c r="H1901" s="23" t="s">
        <v>58</v>
      </c>
    </row>
    <row r="1902" spans="1:8" ht="54.95" customHeight="1" x14ac:dyDescent="0.2">
      <c r="A1902" s="23" t="s">
        <v>1273</v>
      </c>
      <c r="B1902" s="23" t="s">
        <v>6</v>
      </c>
      <c r="C1902" s="23" t="s">
        <v>46</v>
      </c>
      <c r="D1902" s="23">
        <v>16.232346185497143</v>
      </c>
      <c r="E1902" s="23">
        <v>2024</v>
      </c>
      <c r="F1902" s="15" t="s">
        <v>3319</v>
      </c>
      <c r="G1902" s="15" t="s">
        <v>3320</v>
      </c>
      <c r="H1902" s="23" t="s">
        <v>58</v>
      </c>
    </row>
    <row r="1903" spans="1:8" ht="54.95" customHeight="1" x14ac:dyDescent="0.2">
      <c r="A1903" s="23" t="s">
        <v>1273</v>
      </c>
      <c r="B1903" s="23" t="s">
        <v>7</v>
      </c>
      <c r="C1903" s="23" t="s">
        <v>46</v>
      </c>
      <c r="D1903" s="23">
        <v>24.904066825675329</v>
      </c>
      <c r="E1903" s="23">
        <v>2024</v>
      </c>
      <c r="F1903" s="15" t="s">
        <v>3322</v>
      </c>
      <c r="G1903" s="15" t="s">
        <v>3320</v>
      </c>
      <c r="H1903" s="23" t="s">
        <v>58</v>
      </c>
    </row>
    <row r="1904" spans="1:8" ht="54.95" customHeight="1" x14ac:dyDescent="0.2">
      <c r="A1904" s="23" t="s">
        <v>1273</v>
      </c>
      <c r="B1904" s="23" t="s">
        <v>8</v>
      </c>
      <c r="C1904" s="23" t="s">
        <v>46</v>
      </c>
      <c r="D1904" s="23">
        <v>2.3962637737140948</v>
      </c>
      <c r="E1904" s="23">
        <v>2024</v>
      </c>
      <c r="F1904" s="15" t="s">
        <v>3324</v>
      </c>
      <c r="G1904" s="15" t="s">
        <v>3320</v>
      </c>
      <c r="H1904" s="23" t="s">
        <v>58</v>
      </c>
    </row>
    <row r="1905" spans="1:8" ht="54.95" customHeight="1" x14ac:dyDescent="0.2">
      <c r="A1905" s="23" t="s">
        <v>1273</v>
      </c>
      <c r="B1905" s="23" t="s">
        <v>9</v>
      </c>
      <c r="C1905" s="23" t="s">
        <v>46</v>
      </c>
      <c r="D1905" s="23">
        <v>20.968134755886219</v>
      </c>
      <c r="E1905" s="23">
        <v>2024</v>
      </c>
      <c r="F1905" s="15" t="s">
        <v>3325</v>
      </c>
      <c r="G1905" s="15" t="s">
        <v>3320</v>
      </c>
      <c r="H1905" s="23" t="s">
        <v>58</v>
      </c>
    </row>
    <row r="1906" spans="1:8" ht="54.95" customHeight="1" x14ac:dyDescent="0.2">
      <c r="A1906" s="23" t="s">
        <v>1273</v>
      </c>
      <c r="B1906" s="23" t="s">
        <v>10</v>
      </c>
      <c r="C1906" s="23" t="s">
        <v>46</v>
      </c>
      <c r="D1906" s="23">
        <v>32.688674034476485</v>
      </c>
      <c r="E1906" s="23">
        <v>2024</v>
      </c>
      <c r="F1906" s="15" t="s">
        <v>3326</v>
      </c>
      <c r="G1906" s="15" t="s">
        <v>3320</v>
      </c>
      <c r="H1906" s="23" t="s">
        <v>58</v>
      </c>
    </row>
    <row r="1907" spans="1:8" ht="54.95" customHeight="1" x14ac:dyDescent="0.2">
      <c r="A1907" s="23" t="s">
        <v>1273</v>
      </c>
      <c r="B1907" s="23" t="s">
        <v>5</v>
      </c>
      <c r="C1907" s="23" t="s">
        <v>3773</v>
      </c>
      <c r="D1907" s="23">
        <v>1.8368267571720001</v>
      </c>
      <c r="E1907" s="23">
        <v>2024</v>
      </c>
      <c r="F1907" s="15" t="s">
        <v>3316</v>
      </c>
      <c r="G1907" s="15" t="s">
        <v>3311</v>
      </c>
      <c r="H1907" s="23" t="s">
        <v>58</v>
      </c>
    </row>
    <row r="1908" spans="1:8" ht="54.95" customHeight="1" x14ac:dyDescent="0.2">
      <c r="A1908" s="23" t="s">
        <v>1278</v>
      </c>
      <c r="B1908" s="23" t="s">
        <v>11</v>
      </c>
      <c r="C1908" s="23" t="s">
        <v>46</v>
      </c>
      <c r="D1908" s="23">
        <v>0</v>
      </c>
      <c r="E1908" s="23">
        <v>2025</v>
      </c>
      <c r="F1908" s="15" t="s">
        <v>3299</v>
      </c>
      <c r="G1908" s="15" t="s">
        <v>3300</v>
      </c>
      <c r="H1908" s="23" t="s">
        <v>58</v>
      </c>
    </row>
    <row r="1909" spans="1:8" ht="54.95" customHeight="1" x14ac:dyDescent="0.2">
      <c r="A1909" s="23" t="s">
        <v>1278</v>
      </c>
      <c r="B1909" s="23" t="s">
        <v>13</v>
      </c>
      <c r="C1909" s="23" t="s">
        <v>46</v>
      </c>
      <c r="D1909" s="23">
        <v>0</v>
      </c>
      <c r="E1909" s="23">
        <v>2025</v>
      </c>
      <c r="F1909" s="15" t="s">
        <v>3302</v>
      </c>
      <c r="G1909" s="15" t="s">
        <v>3300</v>
      </c>
      <c r="H1909" s="23" t="s">
        <v>58</v>
      </c>
    </row>
    <row r="1910" spans="1:8" ht="54.95" customHeight="1" x14ac:dyDescent="0.2">
      <c r="A1910" s="23" t="s">
        <v>1278</v>
      </c>
      <c r="B1910" s="23" t="s">
        <v>14</v>
      </c>
      <c r="C1910" s="23" t="s">
        <v>46</v>
      </c>
      <c r="D1910" s="23">
        <v>0</v>
      </c>
      <c r="E1910" s="23">
        <v>2025</v>
      </c>
      <c r="F1910" s="15" t="s">
        <v>3304</v>
      </c>
      <c r="G1910" s="15" t="s">
        <v>3300</v>
      </c>
      <c r="H1910" s="23" t="s">
        <v>58</v>
      </c>
    </row>
    <row r="1911" spans="1:8" ht="54.95" customHeight="1" x14ac:dyDescent="0.2">
      <c r="A1911" s="23" t="s">
        <v>1278</v>
      </c>
      <c r="B1911" s="23" t="s">
        <v>3</v>
      </c>
      <c r="C1911" s="23" t="s">
        <v>3774</v>
      </c>
      <c r="D1911" s="23">
        <v>1928.98821</v>
      </c>
      <c r="E1911" s="23">
        <v>2024</v>
      </c>
      <c r="F1911" s="15" t="s">
        <v>3316</v>
      </c>
      <c r="G1911" s="15" t="s">
        <v>3317</v>
      </c>
      <c r="H1911" s="23" t="s">
        <v>58</v>
      </c>
    </row>
    <row r="1912" spans="1:8" ht="54.95" customHeight="1" x14ac:dyDescent="0.2">
      <c r="A1912" s="23" t="s">
        <v>1278</v>
      </c>
      <c r="B1912" s="23" t="s">
        <v>6</v>
      </c>
      <c r="C1912" s="23" t="s">
        <v>46</v>
      </c>
      <c r="D1912" s="23">
        <v>66.293653604031107</v>
      </c>
      <c r="E1912" s="23">
        <v>2024</v>
      </c>
      <c r="F1912" s="15" t="s">
        <v>3319</v>
      </c>
      <c r="G1912" s="15" t="s">
        <v>3320</v>
      </c>
      <c r="H1912" s="23" t="s">
        <v>58</v>
      </c>
    </row>
    <row r="1913" spans="1:8" ht="54.95" customHeight="1" x14ac:dyDescent="0.2">
      <c r="A1913" s="23" t="s">
        <v>1278</v>
      </c>
      <c r="B1913" s="23" t="s">
        <v>7</v>
      </c>
      <c r="C1913" s="23" t="s">
        <v>46</v>
      </c>
      <c r="D1913" s="23">
        <v>23.49499129390739</v>
      </c>
      <c r="E1913" s="23">
        <v>2024</v>
      </c>
      <c r="F1913" s="15" t="s">
        <v>3322</v>
      </c>
      <c r="G1913" s="15" t="s">
        <v>3320</v>
      </c>
      <c r="H1913" s="23" t="s">
        <v>58</v>
      </c>
    </row>
    <row r="1914" spans="1:8" ht="54.95" customHeight="1" x14ac:dyDescent="0.2">
      <c r="A1914" s="23" t="s">
        <v>1278</v>
      </c>
      <c r="B1914" s="23" t="s">
        <v>8</v>
      </c>
      <c r="C1914" s="23" t="s">
        <v>46</v>
      </c>
      <c r="D1914" s="23">
        <v>3.699587775085468</v>
      </c>
      <c r="E1914" s="23">
        <v>2024</v>
      </c>
      <c r="F1914" s="15" t="s">
        <v>3324</v>
      </c>
      <c r="G1914" s="15" t="s">
        <v>3320</v>
      </c>
      <c r="H1914" s="23" t="s">
        <v>58</v>
      </c>
    </row>
    <row r="1915" spans="1:8" ht="54.95" customHeight="1" x14ac:dyDescent="0.2">
      <c r="A1915" s="23" t="s">
        <v>1278</v>
      </c>
      <c r="B1915" s="23" t="s">
        <v>9</v>
      </c>
      <c r="C1915" s="23" t="s">
        <v>46</v>
      </c>
      <c r="D1915" s="23">
        <v>5.9029009824793075</v>
      </c>
      <c r="E1915" s="23">
        <v>2024</v>
      </c>
      <c r="F1915" s="15" t="s">
        <v>3325</v>
      </c>
      <c r="G1915" s="15" t="s">
        <v>3320</v>
      </c>
      <c r="H1915" s="23" t="s">
        <v>58</v>
      </c>
    </row>
    <row r="1916" spans="1:8" ht="54.95" customHeight="1" x14ac:dyDescent="0.2">
      <c r="A1916" s="23" t="s">
        <v>1278</v>
      </c>
      <c r="B1916" s="23" t="s">
        <v>10</v>
      </c>
      <c r="C1916" s="23" t="s">
        <v>46</v>
      </c>
      <c r="D1916" s="23">
        <v>0</v>
      </c>
      <c r="E1916" s="23">
        <v>2024</v>
      </c>
      <c r="F1916" s="15" t="s">
        <v>3326</v>
      </c>
      <c r="G1916" s="15" t="s">
        <v>3320</v>
      </c>
      <c r="H1916" s="23" t="s">
        <v>58</v>
      </c>
    </row>
    <row r="1917" spans="1:8" ht="54.95" customHeight="1" x14ac:dyDescent="0.2">
      <c r="A1917" s="23" t="s">
        <v>1278</v>
      </c>
      <c r="B1917" s="23" t="s">
        <v>5</v>
      </c>
      <c r="C1917" s="23" t="s">
        <v>3775</v>
      </c>
      <c r="D1917" s="23">
        <v>0.70600968486000004</v>
      </c>
      <c r="E1917" s="23">
        <v>2024</v>
      </c>
      <c r="F1917" s="15" t="s">
        <v>3316</v>
      </c>
      <c r="G1917" s="15" t="s">
        <v>3311</v>
      </c>
      <c r="H1917" s="23" t="s">
        <v>58</v>
      </c>
    </row>
    <row r="1918" spans="1:8" ht="54.95" customHeight="1" x14ac:dyDescent="0.2">
      <c r="A1918" s="23" t="s">
        <v>1283</v>
      </c>
      <c r="B1918" s="23" t="s">
        <v>11</v>
      </c>
      <c r="C1918" s="23" t="s">
        <v>46</v>
      </c>
      <c r="D1918" s="23">
        <v>0</v>
      </c>
      <c r="E1918" s="23">
        <v>2025</v>
      </c>
      <c r="F1918" s="15" t="s">
        <v>3299</v>
      </c>
      <c r="G1918" s="15" t="s">
        <v>3300</v>
      </c>
      <c r="H1918" s="23" t="s">
        <v>58</v>
      </c>
    </row>
    <row r="1919" spans="1:8" ht="54.95" customHeight="1" x14ac:dyDescent="0.2">
      <c r="A1919" s="23" t="s">
        <v>1283</v>
      </c>
      <c r="B1919" s="23" t="s">
        <v>13</v>
      </c>
      <c r="C1919" s="23" t="s">
        <v>46</v>
      </c>
      <c r="D1919" s="23">
        <v>0</v>
      </c>
      <c r="E1919" s="23">
        <v>2025</v>
      </c>
      <c r="F1919" s="15" t="s">
        <v>3302</v>
      </c>
      <c r="G1919" s="15" t="s">
        <v>3300</v>
      </c>
      <c r="H1919" s="23" t="s">
        <v>58</v>
      </c>
    </row>
    <row r="1920" spans="1:8" ht="54.95" customHeight="1" x14ac:dyDescent="0.2">
      <c r="A1920" s="23" t="s">
        <v>1283</v>
      </c>
      <c r="B1920" s="23" t="s">
        <v>14</v>
      </c>
      <c r="C1920" s="23" t="s">
        <v>46</v>
      </c>
      <c r="D1920" s="23">
        <v>0</v>
      </c>
      <c r="E1920" s="23">
        <v>2025</v>
      </c>
      <c r="F1920" s="15" t="s">
        <v>3304</v>
      </c>
      <c r="G1920" s="15" t="s">
        <v>3300</v>
      </c>
      <c r="H1920" s="23" t="s">
        <v>58</v>
      </c>
    </row>
    <row r="1921" spans="1:8" ht="54.95" customHeight="1" x14ac:dyDescent="0.2">
      <c r="A1921" s="23" t="s">
        <v>1283</v>
      </c>
      <c r="B1921" s="23" t="s">
        <v>3</v>
      </c>
      <c r="C1921" s="23" t="s">
        <v>3776</v>
      </c>
      <c r="D1921" s="23">
        <v>16405.47</v>
      </c>
      <c r="E1921" s="23">
        <v>2024</v>
      </c>
      <c r="F1921" s="15" t="s">
        <v>3316</v>
      </c>
      <c r="G1921" s="15" t="s">
        <v>3317</v>
      </c>
      <c r="H1921" s="23" t="s">
        <v>58</v>
      </c>
    </row>
    <row r="1922" spans="1:8" ht="54.95" customHeight="1" x14ac:dyDescent="0.2">
      <c r="A1922" s="23" t="s">
        <v>1283</v>
      </c>
      <c r="B1922" s="23" t="s">
        <v>6</v>
      </c>
      <c r="C1922" s="23" t="s">
        <v>46</v>
      </c>
      <c r="D1922" s="23">
        <v>53.871056422034833</v>
      </c>
      <c r="E1922" s="23">
        <v>2024</v>
      </c>
      <c r="F1922" s="15" t="s">
        <v>3319</v>
      </c>
      <c r="G1922" s="15" t="s">
        <v>3320</v>
      </c>
      <c r="H1922" s="23" t="s">
        <v>58</v>
      </c>
    </row>
    <row r="1923" spans="1:8" ht="54.95" customHeight="1" x14ac:dyDescent="0.2">
      <c r="A1923" s="23" t="s">
        <v>1283</v>
      </c>
      <c r="B1923" s="23" t="s">
        <v>7</v>
      </c>
      <c r="C1923" s="23" t="s">
        <v>46</v>
      </c>
      <c r="D1923" s="23">
        <v>7.5985022068858736</v>
      </c>
      <c r="E1923" s="23">
        <v>2024</v>
      </c>
      <c r="F1923" s="15" t="s">
        <v>3322</v>
      </c>
      <c r="G1923" s="15" t="s">
        <v>3320</v>
      </c>
      <c r="H1923" s="23" t="s">
        <v>58</v>
      </c>
    </row>
    <row r="1924" spans="1:8" ht="54.95" customHeight="1" x14ac:dyDescent="0.2">
      <c r="A1924" s="23" t="s">
        <v>1283</v>
      </c>
      <c r="B1924" s="23" t="s">
        <v>8</v>
      </c>
      <c r="C1924" s="23" t="s">
        <v>46</v>
      </c>
      <c r="D1924" s="23">
        <v>13.150552833902349</v>
      </c>
      <c r="E1924" s="23">
        <v>2024</v>
      </c>
      <c r="F1924" s="15" t="s">
        <v>3324</v>
      </c>
      <c r="G1924" s="15" t="s">
        <v>3320</v>
      </c>
      <c r="H1924" s="23" t="s">
        <v>58</v>
      </c>
    </row>
    <row r="1925" spans="1:8" ht="54.95" customHeight="1" x14ac:dyDescent="0.2">
      <c r="A1925" s="23" t="s">
        <v>1283</v>
      </c>
      <c r="B1925" s="23" t="s">
        <v>9</v>
      </c>
      <c r="C1925" s="23" t="s">
        <v>46</v>
      </c>
      <c r="D1925" s="23">
        <v>10.927635721500206</v>
      </c>
      <c r="E1925" s="23">
        <v>2024</v>
      </c>
      <c r="F1925" s="15" t="s">
        <v>3325</v>
      </c>
      <c r="G1925" s="15" t="s">
        <v>3320</v>
      </c>
      <c r="H1925" s="23" t="s">
        <v>58</v>
      </c>
    </row>
    <row r="1926" spans="1:8" ht="54.95" customHeight="1" x14ac:dyDescent="0.2">
      <c r="A1926" s="23" t="s">
        <v>1283</v>
      </c>
      <c r="B1926" s="23" t="s">
        <v>10</v>
      </c>
      <c r="C1926" s="23" t="s">
        <v>46</v>
      </c>
      <c r="D1926" s="23">
        <v>14.452252815676722</v>
      </c>
      <c r="E1926" s="23">
        <v>2024</v>
      </c>
      <c r="F1926" s="15" t="s">
        <v>3326</v>
      </c>
      <c r="G1926" s="15" t="s">
        <v>3320</v>
      </c>
      <c r="H1926" s="23" t="s">
        <v>58</v>
      </c>
    </row>
    <row r="1927" spans="1:8" ht="54.95" customHeight="1" x14ac:dyDescent="0.2">
      <c r="A1927" s="23" t="s">
        <v>1283</v>
      </c>
      <c r="B1927" s="23" t="s">
        <v>5</v>
      </c>
      <c r="C1927" s="23" t="s">
        <v>3777</v>
      </c>
      <c r="D1927" s="23">
        <v>6.0044020200000006</v>
      </c>
      <c r="E1927" s="23">
        <v>2024</v>
      </c>
      <c r="F1927" s="15" t="s">
        <v>3316</v>
      </c>
      <c r="G1927" s="15" t="s">
        <v>3311</v>
      </c>
      <c r="H1927" s="23" t="s">
        <v>58</v>
      </c>
    </row>
    <row r="1928" spans="1:8" ht="54.95" customHeight="1" x14ac:dyDescent="0.2">
      <c r="A1928" s="23" t="s">
        <v>1291</v>
      </c>
      <c r="B1928" s="23" t="s">
        <v>11</v>
      </c>
      <c r="C1928" s="23" t="s">
        <v>46</v>
      </c>
      <c r="D1928" s="23">
        <v>0</v>
      </c>
      <c r="E1928" s="23">
        <v>2025</v>
      </c>
      <c r="F1928" s="15" t="s">
        <v>3299</v>
      </c>
      <c r="G1928" s="15" t="s">
        <v>3300</v>
      </c>
      <c r="H1928" s="23" t="s">
        <v>58</v>
      </c>
    </row>
    <row r="1929" spans="1:8" ht="54.95" customHeight="1" x14ac:dyDescent="0.2">
      <c r="A1929" s="23" t="s">
        <v>1291</v>
      </c>
      <c r="B1929" s="23" t="s">
        <v>13</v>
      </c>
      <c r="C1929" s="23" t="s">
        <v>46</v>
      </c>
      <c r="D1929" s="23">
        <v>0</v>
      </c>
      <c r="E1929" s="23">
        <v>2025</v>
      </c>
      <c r="F1929" s="15" t="s">
        <v>3302</v>
      </c>
      <c r="G1929" s="15" t="s">
        <v>3300</v>
      </c>
      <c r="H1929" s="23" t="s">
        <v>58</v>
      </c>
    </row>
    <row r="1930" spans="1:8" ht="54.95" customHeight="1" x14ac:dyDescent="0.2">
      <c r="A1930" s="23" t="s">
        <v>1291</v>
      </c>
      <c r="B1930" s="23" t="s">
        <v>14</v>
      </c>
      <c r="C1930" s="23" t="s">
        <v>46</v>
      </c>
      <c r="D1930" s="23">
        <v>0</v>
      </c>
      <c r="E1930" s="23">
        <v>2025</v>
      </c>
      <c r="F1930" s="15" t="s">
        <v>3304</v>
      </c>
      <c r="G1930" s="15" t="s">
        <v>3300</v>
      </c>
      <c r="H1930" s="23" t="s">
        <v>58</v>
      </c>
    </row>
    <row r="1931" spans="1:8" ht="54.95" customHeight="1" x14ac:dyDescent="0.2">
      <c r="A1931" s="23" t="s">
        <v>1291</v>
      </c>
      <c r="B1931" s="23" t="s">
        <v>3</v>
      </c>
      <c r="C1931" s="23" t="s">
        <v>46</v>
      </c>
      <c r="D1931" s="23">
        <v>94399.999999000007</v>
      </c>
      <c r="E1931" s="23">
        <v>2024</v>
      </c>
      <c r="F1931" s="15" t="s">
        <v>3316</v>
      </c>
      <c r="G1931" s="15" t="s">
        <v>3317</v>
      </c>
      <c r="H1931" s="23" t="s">
        <v>58</v>
      </c>
    </row>
    <row r="1932" spans="1:8" ht="54.95" customHeight="1" x14ac:dyDescent="0.2">
      <c r="A1932" s="23" t="s">
        <v>1291</v>
      </c>
      <c r="B1932" s="23" t="s">
        <v>6</v>
      </c>
      <c r="C1932" s="23" t="s">
        <v>46</v>
      </c>
      <c r="D1932" s="23">
        <v>17.055084745943379</v>
      </c>
      <c r="E1932" s="23">
        <v>2024</v>
      </c>
      <c r="F1932" s="15" t="s">
        <v>3319</v>
      </c>
      <c r="G1932" s="15" t="s">
        <v>3320</v>
      </c>
      <c r="H1932" s="23" t="s">
        <v>58</v>
      </c>
    </row>
    <row r="1933" spans="1:8" ht="54.95" customHeight="1" x14ac:dyDescent="0.2">
      <c r="A1933" s="23" t="s">
        <v>1291</v>
      </c>
      <c r="B1933" s="23" t="s">
        <v>7</v>
      </c>
      <c r="C1933" s="23" t="s">
        <v>46</v>
      </c>
      <c r="D1933" s="23">
        <v>46.398305085237268</v>
      </c>
      <c r="E1933" s="23">
        <v>2024</v>
      </c>
      <c r="F1933" s="15" t="s">
        <v>3322</v>
      </c>
      <c r="G1933" s="15" t="s">
        <v>3320</v>
      </c>
      <c r="H1933" s="23" t="s">
        <v>58</v>
      </c>
    </row>
    <row r="1934" spans="1:8" ht="54.95" customHeight="1" x14ac:dyDescent="0.2">
      <c r="A1934" s="23" t="s">
        <v>1291</v>
      </c>
      <c r="B1934" s="23" t="s">
        <v>8</v>
      </c>
      <c r="C1934" s="23" t="s">
        <v>46</v>
      </c>
      <c r="D1934" s="23">
        <v>6.6737288125706948</v>
      </c>
      <c r="E1934" s="23">
        <v>2024</v>
      </c>
      <c r="F1934" s="15" t="s">
        <v>3324</v>
      </c>
      <c r="G1934" s="15" t="s">
        <v>3320</v>
      </c>
      <c r="H1934" s="23" t="s">
        <v>58</v>
      </c>
    </row>
    <row r="1935" spans="1:8" ht="54.95" customHeight="1" x14ac:dyDescent="0.2">
      <c r="A1935" s="23" t="s">
        <v>1291</v>
      </c>
      <c r="B1935" s="23" t="s">
        <v>9</v>
      </c>
      <c r="C1935" s="23" t="s">
        <v>46</v>
      </c>
      <c r="D1935" s="23">
        <v>6.0381355932843013</v>
      </c>
      <c r="E1935" s="23">
        <v>2024</v>
      </c>
      <c r="F1935" s="15" t="s">
        <v>3325</v>
      </c>
      <c r="G1935" s="15" t="s">
        <v>3320</v>
      </c>
      <c r="H1935" s="23" t="s">
        <v>58</v>
      </c>
    </row>
    <row r="1936" spans="1:8" ht="54.95" customHeight="1" x14ac:dyDescent="0.2">
      <c r="A1936" s="23" t="s">
        <v>1291</v>
      </c>
      <c r="B1936" s="23" t="s">
        <v>10</v>
      </c>
      <c r="C1936" s="23" t="s">
        <v>46</v>
      </c>
      <c r="D1936" s="23">
        <v>22.24576271210006</v>
      </c>
      <c r="E1936" s="23">
        <v>2024</v>
      </c>
      <c r="F1936" s="15" t="s">
        <v>3326</v>
      </c>
      <c r="G1936" s="15" t="s">
        <v>3320</v>
      </c>
      <c r="H1936" s="23" t="s">
        <v>58</v>
      </c>
    </row>
    <row r="1937" spans="1:8" ht="54.95" customHeight="1" x14ac:dyDescent="0.2">
      <c r="A1937" s="23" t="s">
        <v>1291</v>
      </c>
      <c r="B1937" s="23" t="s">
        <v>5</v>
      </c>
      <c r="C1937" s="23" t="s">
        <v>46</v>
      </c>
      <c r="D1937" s="23">
        <v>34.550399999634003</v>
      </c>
      <c r="E1937" s="23">
        <v>2024</v>
      </c>
      <c r="F1937" s="15" t="s">
        <v>3316</v>
      </c>
      <c r="G1937" s="15" t="s">
        <v>3311</v>
      </c>
      <c r="H1937" s="23" t="s">
        <v>58</v>
      </c>
    </row>
    <row r="1938" spans="1:8" ht="54.95" customHeight="1" x14ac:dyDescent="0.2">
      <c r="A1938" s="23" t="s">
        <v>1301</v>
      </c>
      <c r="B1938" s="23" t="s">
        <v>11</v>
      </c>
      <c r="C1938" s="23" t="s">
        <v>46</v>
      </c>
      <c r="D1938" s="23">
        <v>0</v>
      </c>
      <c r="E1938" s="23">
        <v>2025</v>
      </c>
      <c r="F1938" s="15" t="s">
        <v>3299</v>
      </c>
      <c r="G1938" s="15" t="s">
        <v>3300</v>
      </c>
      <c r="H1938" s="23" t="s">
        <v>58</v>
      </c>
    </row>
    <row r="1939" spans="1:8" ht="54.95" customHeight="1" x14ac:dyDescent="0.2">
      <c r="A1939" s="23" t="s">
        <v>1301</v>
      </c>
      <c r="B1939" s="23" t="s">
        <v>13</v>
      </c>
      <c r="C1939" s="23" t="s">
        <v>46</v>
      </c>
      <c r="D1939" s="23">
        <v>0</v>
      </c>
      <c r="E1939" s="23">
        <v>2025</v>
      </c>
      <c r="F1939" s="15" t="s">
        <v>3302</v>
      </c>
      <c r="G1939" s="15" t="s">
        <v>3300</v>
      </c>
      <c r="H1939" s="23" t="s">
        <v>58</v>
      </c>
    </row>
    <row r="1940" spans="1:8" ht="54.95" customHeight="1" x14ac:dyDescent="0.2">
      <c r="A1940" s="23" t="s">
        <v>1301</v>
      </c>
      <c r="B1940" s="23" t="s">
        <v>14</v>
      </c>
      <c r="C1940" s="23" t="s">
        <v>46</v>
      </c>
      <c r="D1940" s="23">
        <v>0</v>
      </c>
      <c r="E1940" s="23">
        <v>2025</v>
      </c>
      <c r="F1940" s="15" t="s">
        <v>3304</v>
      </c>
      <c r="G1940" s="15" t="s">
        <v>3300</v>
      </c>
      <c r="H1940" s="23" t="s">
        <v>58</v>
      </c>
    </row>
    <row r="1941" spans="1:8" ht="54.95" customHeight="1" x14ac:dyDescent="0.2">
      <c r="A1941" s="23" t="s">
        <v>1301</v>
      </c>
      <c r="B1941" s="23" t="s">
        <v>3</v>
      </c>
      <c r="C1941" s="23" t="s">
        <v>46</v>
      </c>
      <c r="D1941" s="23">
        <v>1287.5315000000001</v>
      </c>
      <c r="E1941" s="23">
        <v>2024</v>
      </c>
      <c r="F1941" s="15" t="s">
        <v>3316</v>
      </c>
      <c r="G1941" s="15" t="s">
        <v>3317</v>
      </c>
      <c r="H1941" s="23" t="s">
        <v>58</v>
      </c>
    </row>
    <row r="1942" spans="1:8" ht="54.95" customHeight="1" x14ac:dyDescent="0.2">
      <c r="A1942" s="23" t="s">
        <v>1301</v>
      </c>
      <c r="B1942" s="23" t="s">
        <v>6</v>
      </c>
      <c r="C1942" s="23" t="s">
        <v>46</v>
      </c>
      <c r="D1942" s="23">
        <v>73.33817075543395</v>
      </c>
      <c r="E1942" s="23">
        <v>2024</v>
      </c>
      <c r="F1942" s="15" t="s">
        <v>3319</v>
      </c>
      <c r="G1942" s="15" t="s">
        <v>3320</v>
      </c>
      <c r="H1942" s="23" t="s">
        <v>58</v>
      </c>
    </row>
    <row r="1943" spans="1:8" ht="54.95" customHeight="1" x14ac:dyDescent="0.2">
      <c r="A1943" s="23" t="s">
        <v>1301</v>
      </c>
      <c r="B1943" s="23" t="s">
        <v>7</v>
      </c>
      <c r="C1943" s="23" t="s">
        <v>46</v>
      </c>
      <c r="D1943" s="23">
        <v>21.599577952073407</v>
      </c>
      <c r="E1943" s="23">
        <v>2024</v>
      </c>
      <c r="F1943" s="15" t="s">
        <v>3322</v>
      </c>
      <c r="G1943" s="15" t="s">
        <v>3320</v>
      </c>
      <c r="H1943" s="23" t="s">
        <v>58</v>
      </c>
    </row>
    <row r="1944" spans="1:8" ht="54.95" customHeight="1" x14ac:dyDescent="0.2">
      <c r="A1944" s="23" t="s">
        <v>1301</v>
      </c>
      <c r="B1944" s="23" t="s">
        <v>8</v>
      </c>
      <c r="C1944" s="23" t="s">
        <v>46</v>
      </c>
      <c r="D1944" s="23">
        <v>0</v>
      </c>
      <c r="E1944" s="23">
        <v>2024</v>
      </c>
      <c r="F1944" s="15" t="s">
        <v>3324</v>
      </c>
      <c r="G1944" s="15" t="s">
        <v>3320</v>
      </c>
      <c r="H1944" s="23" t="s">
        <v>58</v>
      </c>
    </row>
    <row r="1945" spans="1:8" ht="54.95" customHeight="1" x14ac:dyDescent="0.2">
      <c r="A1945" s="23" t="s">
        <v>1301</v>
      </c>
      <c r="B1945" s="23" t="s">
        <v>9</v>
      </c>
      <c r="C1945" s="23" t="s">
        <v>46</v>
      </c>
      <c r="D1945" s="23">
        <v>5.0622512924926495</v>
      </c>
      <c r="E1945" s="23">
        <v>2024</v>
      </c>
      <c r="F1945" s="15" t="s">
        <v>3325</v>
      </c>
      <c r="G1945" s="15" t="s">
        <v>3320</v>
      </c>
      <c r="H1945" s="23" t="s">
        <v>58</v>
      </c>
    </row>
    <row r="1946" spans="1:8" ht="54.95" customHeight="1" x14ac:dyDescent="0.2">
      <c r="A1946" s="23" t="s">
        <v>1301</v>
      </c>
      <c r="B1946" s="23" t="s">
        <v>10</v>
      </c>
      <c r="C1946" s="23" t="s">
        <v>46</v>
      </c>
      <c r="D1946" s="23">
        <v>0</v>
      </c>
      <c r="E1946" s="23">
        <v>2024</v>
      </c>
      <c r="F1946" s="15" t="s">
        <v>3326</v>
      </c>
      <c r="G1946" s="15" t="s">
        <v>3320</v>
      </c>
      <c r="H1946" s="23" t="s">
        <v>58</v>
      </c>
    </row>
    <row r="1947" spans="1:8" ht="54.95" customHeight="1" x14ac:dyDescent="0.2">
      <c r="A1947" s="23" t="s">
        <v>1301</v>
      </c>
      <c r="B1947" s="23" t="s">
        <v>5</v>
      </c>
      <c r="C1947" s="23" t="s">
        <v>46</v>
      </c>
      <c r="D1947" s="23">
        <v>0.47123652900000002</v>
      </c>
      <c r="E1947" s="23">
        <v>2024</v>
      </c>
      <c r="F1947" s="15" t="s">
        <v>3316</v>
      </c>
      <c r="G1947" s="15" t="s">
        <v>3311</v>
      </c>
      <c r="H1947" s="23" t="s">
        <v>58</v>
      </c>
    </row>
    <row r="1948" spans="1:8" ht="54.95" customHeight="1" x14ac:dyDescent="0.2">
      <c r="A1948" s="23" t="s">
        <v>1305</v>
      </c>
      <c r="B1948" s="23" t="s">
        <v>11</v>
      </c>
      <c r="C1948" s="23" t="s">
        <v>46</v>
      </c>
      <c r="D1948" s="23">
        <v>2284.8861957558775</v>
      </c>
      <c r="E1948" s="23">
        <v>2025</v>
      </c>
      <c r="F1948" s="15" t="s">
        <v>3299</v>
      </c>
      <c r="G1948" s="15" t="s">
        <v>3300</v>
      </c>
      <c r="H1948" s="23" t="s">
        <v>58</v>
      </c>
    </row>
    <row r="1949" spans="1:8" ht="54.95" customHeight="1" x14ac:dyDescent="0.2">
      <c r="A1949" s="23" t="s">
        <v>1305</v>
      </c>
      <c r="B1949" s="23" t="s">
        <v>13</v>
      </c>
      <c r="C1949" s="23" t="s">
        <v>46</v>
      </c>
      <c r="D1949" s="23">
        <v>0</v>
      </c>
      <c r="E1949" s="23">
        <v>2025</v>
      </c>
      <c r="F1949" s="15" t="s">
        <v>3302</v>
      </c>
      <c r="G1949" s="15" t="s">
        <v>3300</v>
      </c>
      <c r="H1949" s="23" t="s">
        <v>58</v>
      </c>
    </row>
    <row r="1950" spans="1:8" ht="54.95" customHeight="1" x14ac:dyDescent="0.2">
      <c r="A1950" s="23" t="s">
        <v>1305</v>
      </c>
      <c r="B1950" s="23" t="s">
        <v>14</v>
      </c>
      <c r="C1950" s="23" t="s">
        <v>46</v>
      </c>
      <c r="D1950" s="23">
        <v>0</v>
      </c>
      <c r="E1950" s="23">
        <v>2025</v>
      </c>
      <c r="F1950" s="15" t="s">
        <v>3304</v>
      </c>
      <c r="G1950" s="15" t="s">
        <v>3300</v>
      </c>
      <c r="H1950" s="23" t="s">
        <v>58</v>
      </c>
    </row>
    <row r="1951" spans="1:8" ht="54.95" customHeight="1" x14ac:dyDescent="0.2">
      <c r="A1951" s="23" t="s">
        <v>1305</v>
      </c>
      <c r="B1951" s="23" t="s">
        <v>3</v>
      </c>
      <c r="C1951" s="23" t="s">
        <v>46</v>
      </c>
      <c r="D1951" s="23">
        <v>44141.584028999998</v>
      </c>
      <c r="E1951" s="23">
        <v>2024</v>
      </c>
      <c r="F1951" s="15" t="s">
        <v>3316</v>
      </c>
      <c r="G1951" s="15" t="s">
        <v>3317</v>
      </c>
      <c r="H1951" s="23" t="s">
        <v>58</v>
      </c>
    </row>
    <row r="1952" spans="1:8" ht="54.95" customHeight="1" x14ac:dyDescent="0.2">
      <c r="A1952" s="23" t="s">
        <v>1305</v>
      </c>
      <c r="B1952" s="23" t="s">
        <v>6</v>
      </c>
      <c r="C1952" s="23" t="s">
        <v>46</v>
      </c>
      <c r="D1952" s="23">
        <v>19.529155535824327</v>
      </c>
      <c r="E1952" s="23">
        <v>2024</v>
      </c>
      <c r="F1952" s="15" t="s">
        <v>3319</v>
      </c>
      <c r="G1952" s="15" t="s">
        <v>3320</v>
      </c>
      <c r="H1952" s="23" t="s">
        <v>58</v>
      </c>
    </row>
    <row r="1953" spans="1:8" ht="54.95" customHeight="1" x14ac:dyDescent="0.2">
      <c r="A1953" s="23" t="s">
        <v>1305</v>
      </c>
      <c r="B1953" s="23" t="s">
        <v>7</v>
      </c>
      <c r="C1953" s="23" t="s">
        <v>46</v>
      </c>
      <c r="D1953" s="23">
        <v>32.638356680935779</v>
      </c>
      <c r="E1953" s="23">
        <v>2024</v>
      </c>
      <c r="F1953" s="15" t="s">
        <v>3322</v>
      </c>
      <c r="G1953" s="15" t="s">
        <v>3320</v>
      </c>
      <c r="H1953" s="23" t="s">
        <v>58</v>
      </c>
    </row>
    <row r="1954" spans="1:8" ht="54.95" customHeight="1" x14ac:dyDescent="0.2">
      <c r="A1954" s="23" t="s">
        <v>1305</v>
      </c>
      <c r="B1954" s="23" t="s">
        <v>8</v>
      </c>
      <c r="C1954" s="23" t="s">
        <v>46</v>
      </c>
      <c r="D1954" s="23">
        <v>8.7050775374882949</v>
      </c>
      <c r="E1954" s="23">
        <v>2024</v>
      </c>
      <c r="F1954" s="15" t="s">
        <v>3324</v>
      </c>
      <c r="G1954" s="15" t="s">
        <v>3320</v>
      </c>
      <c r="H1954" s="23" t="s">
        <v>58</v>
      </c>
    </row>
    <row r="1955" spans="1:8" ht="54.95" customHeight="1" x14ac:dyDescent="0.2">
      <c r="A1955" s="23" t="s">
        <v>1305</v>
      </c>
      <c r="B1955" s="23" t="s">
        <v>9</v>
      </c>
      <c r="C1955" s="23" t="s">
        <v>46</v>
      </c>
      <c r="D1955" s="23">
        <v>10.586334960091063</v>
      </c>
      <c r="E1955" s="23">
        <v>2024</v>
      </c>
      <c r="F1955" s="15" t="s">
        <v>3325</v>
      </c>
      <c r="G1955" s="15" t="s">
        <v>3320</v>
      </c>
      <c r="H1955" s="23" t="s">
        <v>58</v>
      </c>
    </row>
    <row r="1956" spans="1:8" ht="54.95" customHeight="1" x14ac:dyDescent="0.2">
      <c r="A1956" s="23" t="s">
        <v>1305</v>
      </c>
      <c r="B1956" s="23" t="s">
        <v>10</v>
      </c>
      <c r="C1956" s="23" t="s">
        <v>46</v>
      </c>
      <c r="D1956" s="23">
        <v>24.144887081981434</v>
      </c>
      <c r="E1956" s="23">
        <v>2024</v>
      </c>
      <c r="F1956" s="15" t="s">
        <v>3326</v>
      </c>
      <c r="G1956" s="15" t="s">
        <v>3320</v>
      </c>
      <c r="H1956" s="23" t="s">
        <v>58</v>
      </c>
    </row>
    <row r="1957" spans="1:8" ht="54.95" customHeight="1" x14ac:dyDescent="0.2">
      <c r="A1957" s="23" t="s">
        <v>1305</v>
      </c>
      <c r="B1957" s="23" t="s">
        <v>5</v>
      </c>
      <c r="C1957" s="23" t="s">
        <v>46</v>
      </c>
      <c r="D1957" s="23">
        <v>16.155819754614001</v>
      </c>
      <c r="E1957" s="23">
        <v>2024</v>
      </c>
      <c r="F1957" s="15" t="s">
        <v>3316</v>
      </c>
      <c r="G1957" s="15" t="s">
        <v>3311</v>
      </c>
      <c r="H1957" s="23" t="s">
        <v>58</v>
      </c>
    </row>
    <row r="1958" spans="1:8" ht="54.95" customHeight="1" x14ac:dyDescent="0.2">
      <c r="A1958" s="23" t="s">
        <v>1311</v>
      </c>
      <c r="B1958" s="23" t="s">
        <v>11</v>
      </c>
      <c r="C1958" s="23" t="s">
        <v>46</v>
      </c>
      <c r="D1958" s="23">
        <v>0</v>
      </c>
      <c r="E1958" s="23">
        <v>2025</v>
      </c>
      <c r="F1958" s="15" t="s">
        <v>3299</v>
      </c>
      <c r="G1958" s="15" t="s">
        <v>3300</v>
      </c>
      <c r="H1958" s="23" t="s">
        <v>58</v>
      </c>
    </row>
    <row r="1959" spans="1:8" ht="54.95" customHeight="1" x14ac:dyDescent="0.2">
      <c r="A1959" s="23" t="s">
        <v>1311</v>
      </c>
      <c r="B1959" s="23" t="s">
        <v>13</v>
      </c>
      <c r="C1959" s="23" t="s">
        <v>46</v>
      </c>
      <c r="D1959" s="23">
        <v>0</v>
      </c>
      <c r="E1959" s="23">
        <v>2025</v>
      </c>
      <c r="F1959" s="15" t="s">
        <v>3302</v>
      </c>
      <c r="G1959" s="15" t="s">
        <v>3300</v>
      </c>
      <c r="H1959" s="23" t="s">
        <v>58</v>
      </c>
    </row>
    <row r="1960" spans="1:8" ht="54.95" customHeight="1" x14ac:dyDescent="0.2">
      <c r="A1960" s="23" t="s">
        <v>1311</v>
      </c>
      <c r="B1960" s="23" t="s">
        <v>14</v>
      </c>
      <c r="C1960" s="23" t="s">
        <v>46</v>
      </c>
      <c r="D1960" s="23">
        <v>0</v>
      </c>
      <c r="E1960" s="23">
        <v>2025</v>
      </c>
      <c r="F1960" s="15" t="s">
        <v>3304</v>
      </c>
      <c r="G1960" s="15" t="s">
        <v>3300</v>
      </c>
      <c r="H1960" s="23" t="s">
        <v>58</v>
      </c>
    </row>
    <row r="1961" spans="1:8" ht="54.95" customHeight="1" x14ac:dyDescent="0.2">
      <c r="A1961" s="23" t="s">
        <v>1311</v>
      </c>
      <c r="B1961" s="23" t="s">
        <v>3</v>
      </c>
      <c r="C1961" s="23" t="s">
        <v>3778</v>
      </c>
      <c r="D1961" s="23">
        <v>5831.1984170000005</v>
      </c>
      <c r="E1961" s="23">
        <v>2024</v>
      </c>
      <c r="F1961" s="15" t="s">
        <v>3316</v>
      </c>
      <c r="G1961" s="15" t="s">
        <v>3317</v>
      </c>
      <c r="H1961" s="23" t="s">
        <v>58</v>
      </c>
    </row>
    <row r="1962" spans="1:8" ht="54.95" customHeight="1" x14ac:dyDescent="0.2">
      <c r="A1962" s="23" t="s">
        <v>1311</v>
      </c>
      <c r="B1962" s="23" t="s">
        <v>6</v>
      </c>
      <c r="C1962" s="23" t="s">
        <v>46</v>
      </c>
      <c r="D1962" s="23">
        <v>63.871186721101758</v>
      </c>
      <c r="E1962" s="23">
        <v>2024</v>
      </c>
      <c r="F1962" s="15" t="s">
        <v>3319</v>
      </c>
      <c r="G1962" s="15" t="s">
        <v>3320</v>
      </c>
      <c r="H1962" s="23" t="s">
        <v>58</v>
      </c>
    </row>
    <row r="1963" spans="1:8" ht="54.95" customHeight="1" x14ac:dyDescent="0.2">
      <c r="A1963" s="23" t="s">
        <v>1311</v>
      </c>
      <c r="B1963" s="23" t="s">
        <v>7</v>
      </c>
      <c r="C1963" s="23" t="s">
        <v>46</v>
      </c>
      <c r="D1963" s="23">
        <v>18.292507846933717</v>
      </c>
      <c r="E1963" s="23">
        <v>2024</v>
      </c>
      <c r="F1963" s="15" t="s">
        <v>3322</v>
      </c>
      <c r="G1963" s="15" t="s">
        <v>3320</v>
      </c>
      <c r="H1963" s="23" t="s">
        <v>58</v>
      </c>
    </row>
    <row r="1964" spans="1:8" ht="54.95" customHeight="1" x14ac:dyDescent="0.2">
      <c r="A1964" s="23" t="s">
        <v>1311</v>
      </c>
      <c r="B1964" s="23" t="s">
        <v>8</v>
      </c>
      <c r="C1964" s="23" t="s">
        <v>46</v>
      </c>
      <c r="D1964" s="23">
        <v>2.8170656913525498</v>
      </c>
      <c r="E1964" s="23">
        <v>2024</v>
      </c>
      <c r="F1964" s="15" t="s">
        <v>3324</v>
      </c>
      <c r="G1964" s="15" t="s">
        <v>3320</v>
      </c>
      <c r="H1964" s="23" t="s">
        <v>58</v>
      </c>
    </row>
    <row r="1965" spans="1:8" ht="54.95" customHeight="1" x14ac:dyDescent="0.2">
      <c r="A1965" s="23" t="s">
        <v>1311</v>
      </c>
      <c r="B1965" s="23" t="s">
        <v>9</v>
      </c>
      <c r="C1965" s="23" t="s">
        <v>46</v>
      </c>
      <c r="D1965" s="23">
        <v>14.037100120169002</v>
      </c>
      <c r="E1965" s="23">
        <v>2024</v>
      </c>
      <c r="F1965" s="15" t="s">
        <v>3325</v>
      </c>
      <c r="G1965" s="15" t="s">
        <v>3320</v>
      </c>
      <c r="H1965" s="23" t="s">
        <v>58</v>
      </c>
    </row>
    <row r="1966" spans="1:8" ht="54.95" customHeight="1" x14ac:dyDescent="0.2">
      <c r="A1966" s="23" t="s">
        <v>1311</v>
      </c>
      <c r="B1966" s="23" t="s">
        <v>10</v>
      </c>
      <c r="C1966" s="23" t="s">
        <v>46</v>
      </c>
      <c r="D1966" s="23">
        <v>0</v>
      </c>
      <c r="E1966" s="23">
        <v>2024</v>
      </c>
      <c r="F1966" s="15" t="s">
        <v>3326</v>
      </c>
      <c r="G1966" s="15" t="s">
        <v>3320</v>
      </c>
      <c r="H1966" s="23" t="s">
        <v>58</v>
      </c>
    </row>
    <row r="1967" spans="1:8" ht="54.95" customHeight="1" x14ac:dyDescent="0.2">
      <c r="A1967" s="23" t="s">
        <v>1311</v>
      </c>
      <c r="B1967" s="23" t="s">
        <v>5</v>
      </c>
      <c r="C1967" s="23" t="s">
        <v>3779</v>
      </c>
      <c r="D1967" s="23">
        <v>2.1342186206220002</v>
      </c>
      <c r="E1967" s="23">
        <v>2024</v>
      </c>
      <c r="F1967" s="15" t="s">
        <v>3316</v>
      </c>
      <c r="G1967" s="15" t="s">
        <v>3311</v>
      </c>
      <c r="H1967" s="23" t="s">
        <v>58</v>
      </c>
    </row>
    <row r="1968" spans="1:8" ht="54.95" customHeight="1" x14ac:dyDescent="0.2">
      <c r="A1968" s="23" t="s">
        <v>1317</v>
      </c>
      <c r="B1968" s="23" t="s">
        <v>11</v>
      </c>
      <c r="C1968" s="23" t="s">
        <v>46</v>
      </c>
      <c r="D1968" s="23">
        <v>0</v>
      </c>
      <c r="E1968" s="23">
        <v>2025</v>
      </c>
      <c r="F1968" s="15" t="s">
        <v>3299</v>
      </c>
      <c r="G1968" s="15" t="s">
        <v>3300</v>
      </c>
      <c r="H1968" s="23" t="s">
        <v>58</v>
      </c>
    </row>
    <row r="1969" spans="1:8" ht="54.95" customHeight="1" x14ac:dyDescent="0.2">
      <c r="A1969" s="23" t="s">
        <v>1317</v>
      </c>
      <c r="B1969" s="23" t="s">
        <v>13</v>
      </c>
      <c r="C1969" s="23" t="s">
        <v>46</v>
      </c>
      <c r="D1969" s="23">
        <v>0</v>
      </c>
      <c r="E1969" s="23">
        <v>2025</v>
      </c>
      <c r="F1969" s="15" t="s">
        <v>3302</v>
      </c>
      <c r="G1969" s="15" t="s">
        <v>3300</v>
      </c>
      <c r="H1969" s="23" t="s">
        <v>58</v>
      </c>
    </row>
    <row r="1970" spans="1:8" ht="54.95" customHeight="1" x14ac:dyDescent="0.2">
      <c r="A1970" s="23" t="s">
        <v>1317</v>
      </c>
      <c r="B1970" s="23" t="s">
        <v>14</v>
      </c>
      <c r="C1970" s="23" t="s">
        <v>46</v>
      </c>
      <c r="D1970" s="23">
        <v>0</v>
      </c>
      <c r="E1970" s="23">
        <v>2025</v>
      </c>
      <c r="F1970" s="15" t="s">
        <v>3304</v>
      </c>
      <c r="G1970" s="15" t="s">
        <v>3300</v>
      </c>
      <c r="H1970" s="23" t="s">
        <v>58</v>
      </c>
    </row>
    <row r="1971" spans="1:8" ht="54.95" customHeight="1" x14ac:dyDescent="0.2">
      <c r="A1971" s="23" t="s">
        <v>1317</v>
      </c>
      <c r="B1971" s="23" t="s">
        <v>3</v>
      </c>
      <c r="C1971" s="23" t="s">
        <v>46</v>
      </c>
      <c r="D1971" s="23">
        <v>3771.4300269999999</v>
      </c>
      <c r="E1971" s="23">
        <v>2024</v>
      </c>
      <c r="F1971" s="15" t="s">
        <v>3316</v>
      </c>
      <c r="G1971" s="15" t="s">
        <v>3317</v>
      </c>
      <c r="H1971" s="23" t="s">
        <v>58</v>
      </c>
    </row>
    <row r="1972" spans="1:8" ht="54.95" customHeight="1" x14ac:dyDescent="0.2">
      <c r="A1972" s="23" t="s">
        <v>1317</v>
      </c>
      <c r="B1972" s="23" t="s">
        <v>6</v>
      </c>
      <c r="C1972" s="23" t="s">
        <v>46</v>
      </c>
      <c r="D1972" s="23">
        <v>9.9318810721236286</v>
      </c>
      <c r="E1972" s="23">
        <v>2024</v>
      </c>
      <c r="F1972" s="15" t="s">
        <v>3319</v>
      </c>
      <c r="G1972" s="15" t="s">
        <v>3320</v>
      </c>
      <c r="H1972" s="23" t="s">
        <v>58</v>
      </c>
    </row>
    <row r="1973" spans="1:8" ht="54.95" customHeight="1" x14ac:dyDescent="0.2">
      <c r="A1973" s="23" t="s">
        <v>1317</v>
      </c>
      <c r="B1973" s="23" t="s">
        <v>7</v>
      </c>
      <c r="C1973" s="23" t="s">
        <v>46</v>
      </c>
      <c r="D1973" s="23">
        <v>12.548537997838876</v>
      </c>
      <c r="E1973" s="23">
        <v>2024</v>
      </c>
      <c r="F1973" s="15" t="s">
        <v>3322</v>
      </c>
      <c r="G1973" s="15" t="s">
        <v>3320</v>
      </c>
      <c r="H1973" s="23" t="s">
        <v>58</v>
      </c>
    </row>
    <row r="1974" spans="1:8" ht="54.95" customHeight="1" x14ac:dyDescent="0.2">
      <c r="A1974" s="23" t="s">
        <v>1317</v>
      </c>
      <c r="B1974" s="23" t="s">
        <v>8</v>
      </c>
      <c r="C1974" s="23" t="s">
        <v>46</v>
      </c>
      <c r="D1974" s="23">
        <v>4.2662087284696693</v>
      </c>
      <c r="E1974" s="23">
        <v>2024</v>
      </c>
      <c r="F1974" s="15" t="s">
        <v>3324</v>
      </c>
      <c r="G1974" s="15" t="s">
        <v>3320</v>
      </c>
      <c r="H1974" s="23" t="s">
        <v>58</v>
      </c>
    </row>
    <row r="1975" spans="1:8" ht="54.95" customHeight="1" x14ac:dyDescent="0.2">
      <c r="A1975" s="23" t="s">
        <v>1317</v>
      </c>
      <c r="B1975" s="23" t="s">
        <v>9</v>
      </c>
      <c r="C1975" s="23" t="s">
        <v>46</v>
      </c>
      <c r="D1975" s="23">
        <v>13.707402001336403</v>
      </c>
      <c r="E1975" s="23">
        <v>2024</v>
      </c>
      <c r="F1975" s="15" t="s">
        <v>3325</v>
      </c>
      <c r="G1975" s="15" t="s">
        <v>3320</v>
      </c>
      <c r="H1975" s="23" t="s">
        <v>58</v>
      </c>
    </row>
    <row r="1976" spans="1:8" ht="54.95" customHeight="1" x14ac:dyDescent="0.2">
      <c r="A1976" s="23" t="s">
        <v>1317</v>
      </c>
      <c r="B1976" s="23" t="s">
        <v>10</v>
      </c>
      <c r="C1976" s="23" t="s">
        <v>46</v>
      </c>
      <c r="D1976" s="23">
        <v>59.275292289547245</v>
      </c>
      <c r="E1976" s="23">
        <v>2024</v>
      </c>
      <c r="F1976" s="15" t="s">
        <v>3326</v>
      </c>
      <c r="G1976" s="15" t="s">
        <v>3320</v>
      </c>
      <c r="H1976" s="23" t="s">
        <v>58</v>
      </c>
    </row>
    <row r="1977" spans="1:8" ht="54.95" customHeight="1" x14ac:dyDescent="0.2">
      <c r="A1977" s="23" t="s">
        <v>1317</v>
      </c>
      <c r="B1977" s="23" t="s">
        <v>5</v>
      </c>
      <c r="C1977" s="23" t="s">
        <v>46</v>
      </c>
      <c r="D1977" s="23">
        <v>1.3803433898819999</v>
      </c>
      <c r="E1977" s="23">
        <v>2024</v>
      </c>
      <c r="F1977" s="15" t="s">
        <v>3316</v>
      </c>
      <c r="G1977" s="15" t="s">
        <v>3311</v>
      </c>
      <c r="H1977" s="23" t="s">
        <v>58</v>
      </c>
    </row>
    <row r="1978" spans="1:8" ht="54.95" customHeight="1" x14ac:dyDescent="0.2">
      <c r="A1978" s="23" t="s">
        <v>1326</v>
      </c>
      <c r="B1978" s="23" t="s">
        <v>11</v>
      </c>
      <c r="C1978" s="23" t="s">
        <v>46</v>
      </c>
      <c r="D1978" s="23">
        <v>0</v>
      </c>
      <c r="E1978" s="23">
        <v>2025</v>
      </c>
      <c r="F1978" s="15" t="s">
        <v>3299</v>
      </c>
      <c r="G1978" s="15" t="s">
        <v>3300</v>
      </c>
      <c r="H1978" s="23" t="s">
        <v>58</v>
      </c>
    </row>
    <row r="1979" spans="1:8" ht="54.95" customHeight="1" x14ac:dyDescent="0.2">
      <c r="A1979" s="23" t="s">
        <v>1326</v>
      </c>
      <c r="B1979" s="23" t="s">
        <v>13</v>
      </c>
      <c r="C1979" s="23" t="s">
        <v>46</v>
      </c>
      <c r="D1979" s="23">
        <v>0</v>
      </c>
      <c r="E1979" s="23">
        <v>2025</v>
      </c>
      <c r="F1979" s="15" t="s">
        <v>3302</v>
      </c>
      <c r="G1979" s="15" t="s">
        <v>3300</v>
      </c>
      <c r="H1979" s="23" t="s">
        <v>58</v>
      </c>
    </row>
    <row r="1980" spans="1:8" ht="54.95" customHeight="1" x14ac:dyDescent="0.2">
      <c r="A1980" s="23" t="s">
        <v>1326</v>
      </c>
      <c r="B1980" s="23" t="s">
        <v>14</v>
      </c>
      <c r="C1980" s="23" t="s">
        <v>46</v>
      </c>
      <c r="D1980" s="23">
        <v>0</v>
      </c>
      <c r="E1980" s="23">
        <v>2025</v>
      </c>
      <c r="F1980" s="15" t="s">
        <v>3304</v>
      </c>
      <c r="G1980" s="15" t="s">
        <v>3300</v>
      </c>
      <c r="H1980" s="23" t="s">
        <v>58</v>
      </c>
    </row>
    <row r="1981" spans="1:8" ht="54.95" customHeight="1" x14ac:dyDescent="0.2">
      <c r="A1981" s="23" t="s">
        <v>1326</v>
      </c>
      <c r="B1981" s="23" t="s">
        <v>3</v>
      </c>
      <c r="C1981" s="23" t="s">
        <v>46</v>
      </c>
      <c r="D1981" s="23">
        <v>72.358350000000002</v>
      </c>
      <c r="E1981" s="23">
        <v>2024</v>
      </c>
      <c r="F1981" s="15" t="s">
        <v>3316</v>
      </c>
      <c r="G1981" s="15" t="s">
        <v>3317</v>
      </c>
      <c r="H1981" s="23" t="s">
        <v>58</v>
      </c>
    </row>
    <row r="1982" spans="1:8" ht="54.95" customHeight="1" x14ac:dyDescent="0.2">
      <c r="A1982" s="23" t="s">
        <v>1326</v>
      </c>
      <c r="B1982" s="23" t="s">
        <v>6</v>
      </c>
      <c r="C1982" s="23" t="s">
        <v>46</v>
      </c>
      <c r="D1982" s="23">
        <v>81.913462648056509</v>
      </c>
      <c r="E1982" s="23">
        <v>2024</v>
      </c>
      <c r="F1982" s="15" t="s">
        <v>3319</v>
      </c>
      <c r="G1982" s="15" t="s">
        <v>3320</v>
      </c>
      <c r="H1982" s="23" t="s">
        <v>58</v>
      </c>
    </row>
    <row r="1983" spans="1:8" ht="54.95" customHeight="1" x14ac:dyDescent="0.2">
      <c r="A1983" s="23" t="s">
        <v>1326</v>
      </c>
      <c r="B1983" s="23" t="s">
        <v>7</v>
      </c>
      <c r="C1983" s="23" t="s">
        <v>46</v>
      </c>
      <c r="D1983" s="23">
        <v>18.086537351943488</v>
      </c>
      <c r="E1983" s="23">
        <v>2024</v>
      </c>
      <c r="F1983" s="15" t="s">
        <v>3322</v>
      </c>
      <c r="G1983" s="15" t="s">
        <v>3320</v>
      </c>
      <c r="H1983" s="23" t="s">
        <v>58</v>
      </c>
    </row>
    <row r="1984" spans="1:8" ht="54.95" customHeight="1" x14ac:dyDescent="0.2">
      <c r="A1984" s="23" t="s">
        <v>1326</v>
      </c>
      <c r="B1984" s="23" t="s">
        <v>8</v>
      </c>
      <c r="C1984" s="23" t="s">
        <v>46</v>
      </c>
      <c r="D1984" s="23">
        <v>0</v>
      </c>
      <c r="E1984" s="23">
        <v>2024</v>
      </c>
      <c r="F1984" s="15" t="s">
        <v>3324</v>
      </c>
      <c r="G1984" s="15" t="s">
        <v>3320</v>
      </c>
      <c r="H1984" s="23" t="s">
        <v>58</v>
      </c>
    </row>
    <row r="1985" spans="1:8" ht="54.95" customHeight="1" x14ac:dyDescent="0.2">
      <c r="A1985" s="23" t="s">
        <v>1326</v>
      </c>
      <c r="B1985" s="23" t="s">
        <v>9</v>
      </c>
      <c r="C1985" s="23" t="s">
        <v>46</v>
      </c>
      <c r="D1985" s="23">
        <v>0</v>
      </c>
      <c r="E1985" s="23">
        <v>2024</v>
      </c>
      <c r="F1985" s="15" t="s">
        <v>3325</v>
      </c>
      <c r="G1985" s="15" t="s">
        <v>3320</v>
      </c>
      <c r="H1985" s="23" t="s">
        <v>58</v>
      </c>
    </row>
    <row r="1986" spans="1:8" ht="54.95" customHeight="1" x14ac:dyDescent="0.2">
      <c r="A1986" s="23" t="s">
        <v>1326</v>
      </c>
      <c r="B1986" s="23" t="s">
        <v>10</v>
      </c>
      <c r="C1986" s="23" t="s">
        <v>46</v>
      </c>
      <c r="D1986" s="23">
        <v>0</v>
      </c>
      <c r="E1986" s="23">
        <v>2024</v>
      </c>
      <c r="F1986" s="15" t="s">
        <v>3326</v>
      </c>
      <c r="G1986" s="15" t="s">
        <v>3320</v>
      </c>
      <c r="H1986" s="23" t="s">
        <v>58</v>
      </c>
    </row>
    <row r="1987" spans="1:8" ht="54.95" customHeight="1" x14ac:dyDescent="0.2">
      <c r="A1987" s="23" t="s">
        <v>1326</v>
      </c>
      <c r="B1987" s="23" t="s">
        <v>5</v>
      </c>
      <c r="C1987" s="23" t="s">
        <v>46</v>
      </c>
      <c r="D1987" s="23">
        <v>2.6483156099999999E-2</v>
      </c>
      <c r="E1987" s="23">
        <v>2024</v>
      </c>
      <c r="F1987" s="15" t="s">
        <v>3316</v>
      </c>
      <c r="G1987" s="15" t="s">
        <v>3311</v>
      </c>
      <c r="H1987" s="23" t="s">
        <v>58</v>
      </c>
    </row>
    <row r="1988" spans="1:8" ht="54.95" customHeight="1" x14ac:dyDescent="0.2">
      <c r="A1988" s="23" t="s">
        <v>1330</v>
      </c>
      <c r="B1988" s="23" t="s">
        <v>11</v>
      </c>
      <c r="C1988" s="23" t="s">
        <v>46</v>
      </c>
      <c r="D1988" s="23">
        <v>0</v>
      </c>
      <c r="E1988" s="23">
        <v>2025</v>
      </c>
      <c r="F1988" s="15" t="s">
        <v>3299</v>
      </c>
      <c r="G1988" s="15" t="s">
        <v>3300</v>
      </c>
      <c r="H1988" s="23" t="s">
        <v>58</v>
      </c>
    </row>
    <row r="1989" spans="1:8" ht="54.95" customHeight="1" x14ac:dyDescent="0.2">
      <c r="A1989" s="23" t="s">
        <v>1330</v>
      </c>
      <c r="B1989" s="23" t="s">
        <v>13</v>
      </c>
      <c r="C1989" s="23" t="s">
        <v>46</v>
      </c>
      <c r="D1989" s="23">
        <v>0</v>
      </c>
      <c r="E1989" s="23">
        <v>2025</v>
      </c>
      <c r="F1989" s="15" t="s">
        <v>3302</v>
      </c>
      <c r="G1989" s="15" t="s">
        <v>3300</v>
      </c>
      <c r="H1989" s="23" t="s">
        <v>58</v>
      </c>
    </row>
    <row r="1990" spans="1:8" ht="54.95" customHeight="1" x14ac:dyDescent="0.2">
      <c r="A1990" s="23" t="s">
        <v>1330</v>
      </c>
      <c r="B1990" s="23" t="s">
        <v>14</v>
      </c>
      <c r="C1990" s="23" t="s">
        <v>46</v>
      </c>
      <c r="D1990" s="23">
        <v>0</v>
      </c>
      <c r="E1990" s="23">
        <v>2025</v>
      </c>
      <c r="F1990" s="15" t="s">
        <v>3304</v>
      </c>
      <c r="G1990" s="15" t="s">
        <v>3300</v>
      </c>
      <c r="H1990" s="23" t="s">
        <v>58</v>
      </c>
    </row>
    <row r="1991" spans="1:8" ht="54.95" customHeight="1" x14ac:dyDescent="0.2">
      <c r="A1991" s="23" t="s">
        <v>1330</v>
      </c>
      <c r="B1991" s="23" t="s">
        <v>3</v>
      </c>
      <c r="C1991" s="23" t="s">
        <v>3780</v>
      </c>
      <c r="D1991" s="23">
        <v>28460.113130000002</v>
      </c>
      <c r="E1991" s="23">
        <v>2024</v>
      </c>
      <c r="F1991" s="15" t="s">
        <v>3316</v>
      </c>
      <c r="G1991" s="15" t="s">
        <v>3317</v>
      </c>
      <c r="H1991" s="23" t="s">
        <v>58</v>
      </c>
    </row>
    <row r="1992" spans="1:8" ht="54.95" customHeight="1" x14ac:dyDescent="0.2">
      <c r="A1992" s="23" t="s">
        <v>1330</v>
      </c>
      <c r="B1992" s="23" t="s">
        <v>6</v>
      </c>
      <c r="C1992" s="23" t="s">
        <v>46</v>
      </c>
      <c r="D1992" s="23">
        <v>24.253641742287758</v>
      </c>
      <c r="E1992" s="23">
        <v>2024</v>
      </c>
      <c r="F1992" s="15" t="s">
        <v>3319</v>
      </c>
      <c r="G1992" s="15" t="s">
        <v>3320</v>
      </c>
      <c r="H1992" s="23" t="s">
        <v>58</v>
      </c>
    </row>
    <row r="1993" spans="1:8" ht="54.95" customHeight="1" x14ac:dyDescent="0.2">
      <c r="A1993" s="23" t="s">
        <v>1330</v>
      </c>
      <c r="B1993" s="23" t="s">
        <v>7</v>
      </c>
      <c r="C1993" s="23" t="s">
        <v>46</v>
      </c>
      <c r="D1993" s="23">
        <v>17.027176325212306</v>
      </c>
      <c r="E1993" s="23">
        <v>2024</v>
      </c>
      <c r="F1993" s="15" t="s">
        <v>3322</v>
      </c>
      <c r="G1993" s="15" t="s">
        <v>3320</v>
      </c>
      <c r="H1993" s="23" t="s">
        <v>58</v>
      </c>
    </row>
    <row r="1994" spans="1:8" ht="54.95" customHeight="1" x14ac:dyDescent="0.2">
      <c r="A1994" s="23" t="s">
        <v>1330</v>
      </c>
      <c r="B1994" s="23" t="s">
        <v>8</v>
      </c>
      <c r="C1994" s="23" t="s">
        <v>46</v>
      </c>
      <c r="D1994" s="23">
        <v>10.546006866839182</v>
      </c>
      <c r="E1994" s="23">
        <v>2024</v>
      </c>
      <c r="F1994" s="15" t="s">
        <v>3324</v>
      </c>
      <c r="G1994" s="15" t="s">
        <v>3320</v>
      </c>
      <c r="H1994" s="23" t="s">
        <v>58</v>
      </c>
    </row>
    <row r="1995" spans="1:8" ht="54.95" customHeight="1" x14ac:dyDescent="0.2">
      <c r="A1995" s="23" t="s">
        <v>1330</v>
      </c>
      <c r="B1995" s="23" t="s">
        <v>9</v>
      </c>
      <c r="C1995" s="23" t="s">
        <v>46</v>
      </c>
      <c r="D1995" s="23">
        <v>17.631852238529735</v>
      </c>
      <c r="E1995" s="23">
        <v>2024</v>
      </c>
      <c r="F1995" s="15" t="s">
        <v>3325</v>
      </c>
      <c r="G1995" s="15" t="s">
        <v>3320</v>
      </c>
      <c r="H1995" s="23" t="s">
        <v>58</v>
      </c>
    </row>
    <row r="1996" spans="1:8" ht="54.95" customHeight="1" x14ac:dyDescent="0.2">
      <c r="A1996" s="23" t="s">
        <v>1330</v>
      </c>
      <c r="B1996" s="23" t="s">
        <v>10</v>
      </c>
      <c r="C1996" s="23" t="s">
        <v>46</v>
      </c>
      <c r="D1996" s="23">
        <v>29.089665751444606</v>
      </c>
      <c r="E1996" s="23">
        <v>2024</v>
      </c>
      <c r="F1996" s="15" t="s">
        <v>3326</v>
      </c>
      <c r="G1996" s="15" t="s">
        <v>3320</v>
      </c>
      <c r="H1996" s="23" t="s">
        <v>58</v>
      </c>
    </row>
    <row r="1997" spans="1:8" ht="54.95" customHeight="1" x14ac:dyDescent="0.2">
      <c r="A1997" s="23" t="s">
        <v>1330</v>
      </c>
      <c r="B1997" s="23" t="s">
        <v>5</v>
      </c>
      <c r="C1997" s="23" t="s">
        <v>3781</v>
      </c>
      <c r="D1997" s="23">
        <v>10.41640140558</v>
      </c>
      <c r="E1997" s="23">
        <v>2024</v>
      </c>
      <c r="F1997" s="15" t="s">
        <v>3316</v>
      </c>
      <c r="G1997" s="15" t="s">
        <v>3311</v>
      </c>
      <c r="H1997" s="23" t="s">
        <v>58</v>
      </c>
    </row>
    <row r="1998" spans="1:8" ht="54.95" customHeight="1" x14ac:dyDescent="0.2">
      <c r="A1998" s="23" t="s">
        <v>1336</v>
      </c>
      <c r="B1998" s="23" t="s">
        <v>11</v>
      </c>
      <c r="C1998" s="23" t="s">
        <v>46</v>
      </c>
      <c r="D1998" s="23">
        <v>0</v>
      </c>
      <c r="E1998" s="23">
        <v>2025</v>
      </c>
      <c r="F1998" s="15" t="s">
        <v>3299</v>
      </c>
      <c r="G1998" s="15" t="s">
        <v>3300</v>
      </c>
      <c r="H1998" s="23" t="s">
        <v>58</v>
      </c>
    </row>
    <row r="1999" spans="1:8" ht="54.95" customHeight="1" x14ac:dyDescent="0.2">
      <c r="A1999" s="23" t="s">
        <v>1336</v>
      </c>
      <c r="B1999" s="23" t="s">
        <v>13</v>
      </c>
      <c r="C1999" s="23" t="s">
        <v>46</v>
      </c>
      <c r="D1999" s="23">
        <v>0</v>
      </c>
      <c r="E1999" s="23">
        <v>2025</v>
      </c>
      <c r="F1999" s="15" t="s">
        <v>3302</v>
      </c>
      <c r="G1999" s="15" t="s">
        <v>3300</v>
      </c>
      <c r="H1999" s="23" t="s">
        <v>58</v>
      </c>
    </row>
    <row r="2000" spans="1:8" ht="54.95" customHeight="1" x14ac:dyDescent="0.2">
      <c r="A2000" s="23" t="s">
        <v>1336</v>
      </c>
      <c r="B2000" s="23" t="s">
        <v>14</v>
      </c>
      <c r="C2000" s="23" t="s">
        <v>46</v>
      </c>
      <c r="D2000" s="23">
        <v>0</v>
      </c>
      <c r="E2000" s="23">
        <v>2025</v>
      </c>
      <c r="F2000" s="15" t="s">
        <v>3304</v>
      </c>
      <c r="G2000" s="15" t="s">
        <v>3300</v>
      </c>
      <c r="H2000" s="23" t="s">
        <v>58</v>
      </c>
    </row>
    <row r="2001" spans="1:8" ht="54.95" customHeight="1" x14ac:dyDescent="0.2">
      <c r="A2001" s="23" t="s">
        <v>1336</v>
      </c>
      <c r="B2001" s="23" t="s">
        <v>3</v>
      </c>
      <c r="C2001" s="23" t="s">
        <v>46</v>
      </c>
      <c r="D2001" s="23">
        <v>2656.1976319999999</v>
      </c>
      <c r="E2001" s="23">
        <v>2024</v>
      </c>
      <c r="F2001" s="15" t="s">
        <v>3316</v>
      </c>
      <c r="G2001" s="15" t="s">
        <v>3317</v>
      </c>
      <c r="H2001" s="23" t="s">
        <v>58</v>
      </c>
    </row>
    <row r="2002" spans="1:8" ht="54.95" customHeight="1" x14ac:dyDescent="0.2">
      <c r="A2002" s="23" t="s">
        <v>1336</v>
      </c>
      <c r="B2002" s="23" t="s">
        <v>6</v>
      </c>
      <c r="C2002" s="23" t="s">
        <v>46</v>
      </c>
      <c r="D2002" s="23">
        <v>36.993505346216651</v>
      </c>
      <c r="E2002" s="23">
        <v>2024</v>
      </c>
      <c r="F2002" s="15" t="s">
        <v>3319</v>
      </c>
      <c r="G2002" s="15" t="s">
        <v>3320</v>
      </c>
      <c r="H2002" s="23" t="s">
        <v>58</v>
      </c>
    </row>
    <row r="2003" spans="1:8" ht="54.95" customHeight="1" x14ac:dyDescent="0.2">
      <c r="A2003" s="23" t="s">
        <v>1336</v>
      </c>
      <c r="B2003" s="23" t="s">
        <v>7</v>
      </c>
      <c r="C2003" s="23" t="s">
        <v>46</v>
      </c>
      <c r="D2003" s="23">
        <v>36.826576916397158</v>
      </c>
      <c r="E2003" s="23">
        <v>2024</v>
      </c>
      <c r="F2003" s="15" t="s">
        <v>3322</v>
      </c>
      <c r="G2003" s="15" t="s">
        <v>3320</v>
      </c>
      <c r="H2003" s="23" t="s">
        <v>58</v>
      </c>
    </row>
    <row r="2004" spans="1:8" ht="54.95" customHeight="1" x14ac:dyDescent="0.2">
      <c r="A2004" s="23" t="s">
        <v>1336</v>
      </c>
      <c r="B2004" s="23" t="s">
        <v>8</v>
      </c>
      <c r="C2004" s="23" t="s">
        <v>46</v>
      </c>
      <c r="D2004" s="23">
        <v>2.7752524553112772</v>
      </c>
      <c r="E2004" s="23">
        <v>2024</v>
      </c>
      <c r="F2004" s="15" t="s">
        <v>3324</v>
      </c>
      <c r="G2004" s="15" t="s">
        <v>3320</v>
      </c>
      <c r="H2004" s="23" t="s">
        <v>58</v>
      </c>
    </row>
    <row r="2005" spans="1:8" ht="54.95" customHeight="1" x14ac:dyDescent="0.2">
      <c r="A2005" s="23" t="s">
        <v>1336</v>
      </c>
      <c r="B2005" s="23" t="s">
        <v>9</v>
      </c>
      <c r="C2005" s="23" t="s">
        <v>46</v>
      </c>
      <c r="D2005" s="23">
        <v>15.263997080470254</v>
      </c>
      <c r="E2005" s="23">
        <v>2024</v>
      </c>
      <c r="F2005" s="15" t="s">
        <v>3325</v>
      </c>
      <c r="G2005" s="15" t="s">
        <v>3320</v>
      </c>
      <c r="H2005" s="23" t="s">
        <v>58</v>
      </c>
    </row>
    <row r="2006" spans="1:8" ht="54.95" customHeight="1" x14ac:dyDescent="0.2">
      <c r="A2006" s="23" t="s">
        <v>1336</v>
      </c>
      <c r="B2006" s="23" t="s">
        <v>10</v>
      </c>
      <c r="C2006" s="23" t="s">
        <v>46</v>
      </c>
      <c r="D2006" s="23">
        <v>6.0113795403007124</v>
      </c>
      <c r="E2006" s="23">
        <v>2024</v>
      </c>
      <c r="F2006" s="15" t="s">
        <v>3326</v>
      </c>
      <c r="G2006" s="15" t="s">
        <v>3320</v>
      </c>
      <c r="H2006" s="23" t="s">
        <v>58</v>
      </c>
    </row>
    <row r="2007" spans="1:8" ht="54.95" customHeight="1" x14ac:dyDescent="0.2">
      <c r="A2007" s="23" t="s">
        <v>1336</v>
      </c>
      <c r="B2007" s="23" t="s">
        <v>5</v>
      </c>
      <c r="C2007" s="23" t="s">
        <v>46</v>
      </c>
      <c r="D2007" s="23">
        <v>0.97216833331199992</v>
      </c>
      <c r="E2007" s="23">
        <v>2024</v>
      </c>
      <c r="F2007" s="15" t="s">
        <v>3316</v>
      </c>
      <c r="G2007" s="15" t="s">
        <v>3311</v>
      </c>
      <c r="H2007" s="23" t="s">
        <v>58</v>
      </c>
    </row>
    <row r="2008" spans="1:8" ht="54.95" customHeight="1" x14ac:dyDescent="0.2">
      <c r="A2008" s="23" t="s">
        <v>1341</v>
      </c>
      <c r="B2008" s="23" t="s">
        <v>11</v>
      </c>
      <c r="C2008" s="23" t="s">
        <v>46</v>
      </c>
      <c r="D2008" s="23">
        <v>0</v>
      </c>
      <c r="E2008" s="23">
        <v>2025</v>
      </c>
      <c r="F2008" s="15" t="s">
        <v>3299</v>
      </c>
      <c r="G2008" s="15" t="s">
        <v>3300</v>
      </c>
      <c r="H2008" s="23" t="s">
        <v>58</v>
      </c>
    </row>
    <row r="2009" spans="1:8" ht="54.95" customHeight="1" x14ac:dyDescent="0.2">
      <c r="A2009" s="23" t="s">
        <v>1341</v>
      </c>
      <c r="B2009" s="23" t="s">
        <v>13</v>
      </c>
      <c r="C2009" s="23" t="s">
        <v>46</v>
      </c>
      <c r="D2009" s="23">
        <v>0</v>
      </c>
      <c r="E2009" s="23">
        <v>2025</v>
      </c>
      <c r="F2009" s="15" t="s">
        <v>3302</v>
      </c>
      <c r="G2009" s="15" t="s">
        <v>3300</v>
      </c>
      <c r="H2009" s="23" t="s">
        <v>58</v>
      </c>
    </row>
    <row r="2010" spans="1:8" ht="54.95" customHeight="1" x14ac:dyDescent="0.2">
      <c r="A2010" s="23" t="s">
        <v>1341</v>
      </c>
      <c r="B2010" s="23" t="s">
        <v>14</v>
      </c>
      <c r="C2010" s="23" t="s">
        <v>46</v>
      </c>
      <c r="D2010" s="23">
        <v>0</v>
      </c>
      <c r="E2010" s="23">
        <v>2025</v>
      </c>
      <c r="F2010" s="15" t="s">
        <v>3304</v>
      </c>
      <c r="G2010" s="15" t="s">
        <v>3300</v>
      </c>
      <c r="H2010" s="23" t="s">
        <v>58</v>
      </c>
    </row>
    <row r="2011" spans="1:8" ht="54.95" customHeight="1" x14ac:dyDescent="0.2">
      <c r="A2011" s="23" t="s">
        <v>1341</v>
      </c>
      <c r="B2011" s="23" t="s">
        <v>3</v>
      </c>
      <c r="C2011" s="23" t="s">
        <v>46</v>
      </c>
      <c r="D2011" s="23">
        <v>1215.8583100000001</v>
      </c>
      <c r="E2011" s="23">
        <v>2024</v>
      </c>
      <c r="F2011" s="15" t="s">
        <v>3316</v>
      </c>
      <c r="G2011" s="15" t="s">
        <v>3317</v>
      </c>
      <c r="H2011" s="23" t="s">
        <v>58</v>
      </c>
    </row>
    <row r="2012" spans="1:8" ht="54.95" customHeight="1" x14ac:dyDescent="0.2">
      <c r="A2012" s="23" t="s">
        <v>1341</v>
      </c>
      <c r="B2012" s="23" t="s">
        <v>6</v>
      </c>
      <c r="C2012" s="23" t="s">
        <v>46</v>
      </c>
      <c r="D2012" s="23">
        <v>60.276021142628046</v>
      </c>
      <c r="E2012" s="23">
        <v>2024</v>
      </c>
      <c r="F2012" s="15" t="s">
        <v>3319</v>
      </c>
      <c r="G2012" s="15" t="s">
        <v>3320</v>
      </c>
      <c r="H2012" s="23" t="s">
        <v>58</v>
      </c>
    </row>
    <row r="2013" spans="1:8" ht="54.95" customHeight="1" x14ac:dyDescent="0.2">
      <c r="A2013" s="23" t="s">
        <v>1341</v>
      </c>
      <c r="B2013" s="23" t="s">
        <v>7</v>
      </c>
      <c r="C2013" s="23" t="s">
        <v>46</v>
      </c>
      <c r="D2013" s="23">
        <v>19.532194586061593</v>
      </c>
      <c r="E2013" s="23">
        <v>2024</v>
      </c>
      <c r="F2013" s="15" t="s">
        <v>3322</v>
      </c>
      <c r="G2013" s="15" t="s">
        <v>3320</v>
      </c>
      <c r="H2013" s="23" t="s">
        <v>58</v>
      </c>
    </row>
    <row r="2014" spans="1:8" ht="54.95" customHeight="1" x14ac:dyDescent="0.2">
      <c r="A2014" s="23" t="s">
        <v>1341</v>
      </c>
      <c r="B2014" s="23" t="s">
        <v>8</v>
      </c>
      <c r="C2014" s="23" t="s">
        <v>46</v>
      </c>
      <c r="D2014" s="23">
        <v>0.58396714005269246</v>
      </c>
      <c r="E2014" s="23">
        <v>2024</v>
      </c>
      <c r="F2014" s="15" t="s">
        <v>3324</v>
      </c>
      <c r="G2014" s="15" t="s">
        <v>3320</v>
      </c>
      <c r="H2014" s="23" t="s">
        <v>58</v>
      </c>
    </row>
    <row r="2015" spans="1:8" ht="54.95" customHeight="1" x14ac:dyDescent="0.2">
      <c r="A2015" s="23" t="s">
        <v>1341</v>
      </c>
      <c r="B2015" s="23" t="s">
        <v>9</v>
      </c>
      <c r="C2015" s="23" t="s">
        <v>46</v>
      </c>
      <c r="D2015" s="23">
        <v>16.903154529576721</v>
      </c>
      <c r="E2015" s="23">
        <v>2024</v>
      </c>
      <c r="F2015" s="15" t="s">
        <v>3325</v>
      </c>
      <c r="G2015" s="15" t="s">
        <v>3320</v>
      </c>
      <c r="H2015" s="23" t="s">
        <v>58</v>
      </c>
    </row>
    <row r="2016" spans="1:8" ht="54.95" customHeight="1" x14ac:dyDescent="0.2">
      <c r="A2016" s="23" t="s">
        <v>1341</v>
      </c>
      <c r="B2016" s="23" t="s">
        <v>10</v>
      </c>
      <c r="C2016" s="23" t="s">
        <v>46</v>
      </c>
      <c r="D2016" s="23">
        <v>0</v>
      </c>
      <c r="E2016" s="23">
        <v>2024</v>
      </c>
      <c r="F2016" s="15" t="s">
        <v>3326</v>
      </c>
      <c r="G2016" s="15" t="s">
        <v>3320</v>
      </c>
      <c r="H2016" s="23" t="s">
        <v>58</v>
      </c>
    </row>
    <row r="2017" spans="1:8" ht="54.95" customHeight="1" x14ac:dyDescent="0.2">
      <c r="A2017" s="23" t="s">
        <v>1341</v>
      </c>
      <c r="B2017" s="23" t="s">
        <v>5</v>
      </c>
      <c r="C2017" s="23" t="s">
        <v>46</v>
      </c>
      <c r="D2017" s="23">
        <v>0.44500414146</v>
      </c>
      <c r="E2017" s="23">
        <v>2024</v>
      </c>
      <c r="F2017" s="15" t="s">
        <v>3316</v>
      </c>
      <c r="G2017" s="15" t="s">
        <v>3311</v>
      </c>
      <c r="H2017" s="23" t="s">
        <v>58</v>
      </c>
    </row>
    <row r="2018" spans="1:8" ht="54.95" customHeight="1" x14ac:dyDescent="0.2">
      <c r="A2018" s="23" t="s">
        <v>1346</v>
      </c>
      <c r="B2018" s="23" t="s">
        <v>11</v>
      </c>
      <c r="C2018" s="23" t="s">
        <v>46</v>
      </c>
      <c r="D2018" s="23">
        <v>0</v>
      </c>
      <c r="E2018" s="23">
        <v>2025</v>
      </c>
      <c r="F2018" s="15" t="s">
        <v>3299</v>
      </c>
      <c r="G2018" s="15" t="s">
        <v>3300</v>
      </c>
      <c r="H2018" s="23" t="s">
        <v>58</v>
      </c>
    </row>
    <row r="2019" spans="1:8" ht="54.95" customHeight="1" x14ac:dyDescent="0.2">
      <c r="A2019" s="23" t="s">
        <v>1346</v>
      </c>
      <c r="B2019" s="23" t="s">
        <v>13</v>
      </c>
      <c r="C2019" s="23" t="s">
        <v>46</v>
      </c>
      <c r="D2019" s="23">
        <v>0</v>
      </c>
      <c r="E2019" s="23">
        <v>2025</v>
      </c>
      <c r="F2019" s="15" t="s">
        <v>3302</v>
      </c>
      <c r="G2019" s="15" t="s">
        <v>3300</v>
      </c>
      <c r="H2019" s="23" t="s">
        <v>58</v>
      </c>
    </row>
    <row r="2020" spans="1:8" ht="54.95" customHeight="1" x14ac:dyDescent="0.2">
      <c r="A2020" s="23" t="s">
        <v>1346</v>
      </c>
      <c r="B2020" s="23" t="s">
        <v>14</v>
      </c>
      <c r="C2020" s="23" t="s">
        <v>46</v>
      </c>
      <c r="D2020" s="23">
        <v>0</v>
      </c>
      <c r="E2020" s="23">
        <v>2025</v>
      </c>
      <c r="F2020" s="15" t="s">
        <v>3304</v>
      </c>
      <c r="G2020" s="15" t="s">
        <v>3300</v>
      </c>
      <c r="H2020" s="23" t="s">
        <v>58</v>
      </c>
    </row>
    <row r="2021" spans="1:8" ht="54.95" customHeight="1" x14ac:dyDescent="0.2">
      <c r="A2021" s="23" t="s">
        <v>1346</v>
      </c>
      <c r="B2021" s="23" t="s">
        <v>3</v>
      </c>
      <c r="C2021" s="23" t="s">
        <v>3782</v>
      </c>
      <c r="D2021" s="23">
        <v>4791.4689250000001</v>
      </c>
      <c r="E2021" s="23">
        <v>2024</v>
      </c>
      <c r="F2021" s="15" t="s">
        <v>3316</v>
      </c>
      <c r="G2021" s="15" t="s">
        <v>3317</v>
      </c>
      <c r="H2021" s="23" t="s">
        <v>58</v>
      </c>
    </row>
    <row r="2022" spans="1:8" ht="54.95" customHeight="1" x14ac:dyDescent="0.2">
      <c r="A2022" s="23" t="s">
        <v>1346</v>
      </c>
      <c r="B2022" s="23" t="s">
        <v>6</v>
      </c>
      <c r="C2022" s="23" t="s">
        <v>46</v>
      </c>
      <c r="D2022" s="23">
        <v>37.229383471374597</v>
      </c>
      <c r="E2022" s="23">
        <v>2024</v>
      </c>
      <c r="F2022" s="15" t="s">
        <v>3319</v>
      </c>
      <c r="G2022" s="15" t="s">
        <v>3320</v>
      </c>
      <c r="H2022" s="23" t="s">
        <v>58</v>
      </c>
    </row>
    <row r="2023" spans="1:8" ht="54.95" customHeight="1" x14ac:dyDescent="0.2">
      <c r="A2023" s="23" t="s">
        <v>1346</v>
      </c>
      <c r="B2023" s="23" t="s">
        <v>7</v>
      </c>
      <c r="C2023" s="23" t="s">
        <v>46</v>
      </c>
      <c r="D2023" s="23">
        <v>7.218658649654083</v>
      </c>
      <c r="E2023" s="23">
        <v>2024</v>
      </c>
      <c r="F2023" s="15" t="s">
        <v>3322</v>
      </c>
      <c r="G2023" s="15" t="s">
        <v>3320</v>
      </c>
      <c r="H2023" s="23" t="s">
        <v>58</v>
      </c>
    </row>
    <row r="2024" spans="1:8" ht="54.95" customHeight="1" x14ac:dyDescent="0.2">
      <c r="A2024" s="23" t="s">
        <v>1346</v>
      </c>
      <c r="B2024" s="23" t="s">
        <v>8</v>
      </c>
      <c r="C2024" s="23" t="s">
        <v>46</v>
      </c>
      <c r="D2024" s="23">
        <v>8.9367130978523441</v>
      </c>
      <c r="E2024" s="23">
        <v>2024</v>
      </c>
      <c r="F2024" s="15" t="s">
        <v>3324</v>
      </c>
      <c r="G2024" s="15" t="s">
        <v>3320</v>
      </c>
      <c r="H2024" s="23" t="s">
        <v>58</v>
      </c>
    </row>
    <row r="2025" spans="1:8" ht="54.95" customHeight="1" x14ac:dyDescent="0.2">
      <c r="A2025" s="23" t="s">
        <v>1346</v>
      </c>
      <c r="B2025" s="23" t="s">
        <v>9</v>
      </c>
      <c r="C2025" s="23" t="s">
        <v>46</v>
      </c>
      <c r="D2025" s="23">
        <v>14.641790231374607</v>
      </c>
      <c r="E2025" s="23">
        <v>2024</v>
      </c>
      <c r="F2025" s="15" t="s">
        <v>3325</v>
      </c>
      <c r="G2025" s="15" t="s">
        <v>3320</v>
      </c>
      <c r="H2025" s="23" t="s">
        <v>58</v>
      </c>
    </row>
    <row r="2026" spans="1:8" ht="54.95" customHeight="1" x14ac:dyDescent="0.2">
      <c r="A2026" s="23" t="s">
        <v>1346</v>
      </c>
      <c r="B2026" s="23" t="s">
        <v>10</v>
      </c>
      <c r="C2026" s="23" t="s">
        <v>46</v>
      </c>
      <c r="D2026" s="23">
        <v>30.958299807819373</v>
      </c>
      <c r="E2026" s="23">
        <v>2024</v>
      </c>
      <c r="F2026" s="15" t="s">
        <v>3326</v>
      </c>
      <c r="G2026" s="15" t="s">
        <v>3320</v>
      </c>
      <c r="H2026" s="23" t="s">
        <v>58</v>
      </c>
    </row>
    <row r="2027" spans="1:8" ht="54.95" customHeight="1" x14ac:dyDescent="0.2">
      <c r="A2027" s="23" t="s">
        <v>1346</v>
      </c>
      <c r="B2027" s="23" t="s">
        <v>5</v>
      </c>
      <c r="C2027" s="23" t="s">
        <v>3783</v>
      </c>
      <c r="D2027" s="23">
        <v>1.7536776265500003</v>
      </c>
      <c r="E2027" s="23">
        <v>2024</v>
      </c>
      <c r="F2027" s="15" t="s">
        <v>3316</v>
      </c>
      <c r="G2027" s="15" t="s">
        <v>3311</v>
      </c>
      <c r="H2027" s="23" t="s">
        <v>58</v>
      </c>
    </row>
    <row r="2028" spans="1:8" ht="54.95" customHeight="1" x14ac:dyDescent="0.2">
      <c r="A2028" s="23" t="s">
        <v>1352</v>
      </c>
      <c r="B2028" s="23" t="s">
        <v>11</v>
      </c>
      <c r="C2028" s="23" t="s">
        <v>46</v>
      </c>
      <c r="D2028" s="23">
        <v>0</v>
      </c>
      <c r="E2028" s="23">
        <v>2025</v>
      </c>
      <c r="F2028" s="15" t="s">
        <v>3299</v>
      </c>
      <c r="G2028" s="15" t="s">
        <v>3300</v>
      </c>
      <c r="H2028" s="23" t="s">
        <v>58</v>
      </c>
    </row>
    <row r="2029" spans="1:8" ht="54.95" customHeight="1" x14ac:dyDescent="0.2">
      <c r="A2029" s="23" t="s">
        <v>1352</v>
      </c>
      <c r="B2029" s="23" t="s">
        <v>13</v>
      </c>
      <c r="C2029" s="23" t="s">
        <v>46</v>
      </c>
      <c r="D2029" s="23">
        <v>0</v>
      </c>
      <c r="E2029" s="23">
        <v>2025</v>
      </c>
      <c r="F2029" s="15" t="s">
        <v>3302</v>
      </c>
      <c r="G2029" s="15" t="s">
        <v>3300</v>
      </c>
      <c r="H2029" s="23" t="s">
        <v>58</v>
      </c>
    </row>
    <row r="2030" spans="1:8" ht="54.95" customHeight="1" x14ac:dyDescent="0.2">
      <c r="A2030" s="23" t="s">
        <v>1352</v>
      </c>
      <c r="B2030" s="23" t="s">
        <v>14</v>
      </c>
      <c r="C2030" s="23" t="s">
        <v>46</v>
      </c>
      <c r="D2030" s="23">
        <v>0</v>
      </c>
      <c r="E2030" s="23">
        <v>2025</v>
      </c>
      <c r="F2030" s="15" t="s">
        <v>3304</v>
      </c>
      <c r="G2030" s="15" t="s">
        <v>3300</v>
      </c>
      <c r="H2030" s="23" t="s">
        <v>58</v>
      </c>
    </row>
    <row r="2031" spans="1:8" ht="54.95" customHeight="1" x14ac:dyDescent="0.2">
      <c r="A2031" s="23" t="s">
        <v>1352</v>
      </c>
      <c r="B2031" s="23" t="s">
        <v>3</v>
      </c>
      <c r="C2031" s="23" t="s">
        <v>3784</v>
      </c>
      <c r="D2031" s="23">
        <v>10029.682191780821</v>
      </c>
      <c r="E2031" s="23">
        <v>2025</v>
      </c>
      <c r="F2031" s="15" t="s">
        <v>3305</v>
      </c>
      <c r="G2031" s="15" t="s">
        <v>3306</v>
      </c>
      <c r="H2031" s="23" t="s">
        <v>58</v>
      </c>
    </row>
    <row r="2032" spans="1:8" ht="54.95" customHeight="1" x14ac:dyDescent="0.2">
      <c r="A2032" s="23" t="s">
        <v>1352</v>
      </c>
      <c r="B2032" s="23" t="s">
        <v>6</v>
      </c>
      <c r="C2032" s="23" t="s">
        <v>46</v>
      </c>
      <c r="D2032" s="23">
        <v>38.106617235307581</v>
      </c>
      <c r="E2032" s="23">
        <v>2025</v>
      </c>
      <c r="F2032" s="15" t="s">
        <v>3305</v>
      </c>
      <c r="G2032" s="15" t="s">
        <v>3308</v>
      </c>
      <c r="H2032" s="23" t="s">
        <v>58</v>
      </c>
    </row>
    <row r="2033" spans="1:8" ht="54.95" customHeight="1" x14ac:dyDescent="0.2">
      <c r="A2033" s="23" t="s">
        <v>1352</v>
      </c>
      <c r="B2033" s="23" t="s">
        <v>7</v>
      </c>
      <c r="C2033" s="23" t="s">
        <v>46</v>
      </c>
      <c r="D2033" s="23">
        <v>21.23559822707066</v>
      </c>
      <c r="E2033" s="23">
        <v>2025</v>
      </c>
      <c r="F2033" s="15" t="s">
        <v>3305</v>
      </c>
      <c r="G2033" s="15" t="s">
        <v>3308</v>
      </c>
      <c r="H2033" s="23" t="s">
        <v>58</v>
      </c>
    </row>
    <row r="2034" spans="1:8" ht="54.95" customHeight="1" x14ac:dyDescent="0.2">
      <c r="A2034" s="23" t="s">
        <v>1352</v>
      </c>
      <c r="B2034" s="23" t="s">
        <v>8</v>
      </c>
      <c r="C2034" s="23" t="s">
        <v>46</v>
      </c>
      <c r="D2034" s="23">
        <v>8.2385598472916275</v>
      </c>
      <c r="E2034" s="23">
        <v>2025</v>
      </c>
      <c r="F2034" s="15" t="s">
        <v>3305</v>
      </c>
      <c r="G2034" s="15" t="s">
        <v>3308</v>
      </c>
      <c r="H2034" s="23" t="s">
        <v>58</v>
      </c>
    </row>
    <row r="2035" spans="1:8" ht="54.95" customHeight="1" x14ac:dyDescent="0.2">
      <c r="A2035" s="23" t="s">
        <v>1352</v>
      </c>
      <c r="B2035" s="23" t="s">
        <v>9</v>
      </c>
      <c r="C2035" s="23" t="s">
        <v>46</v>
      </c>
      <c r="D2035" s="23" t="s">
        <v>46</v>
      </c>
      <c r="E2035" s="23">
        <v>2025</v>
      </c>
      <c r="F2035" s="15" t="s">
        <v>3305</v>
      </c>
      <c r="G2035" s="15" t="s">
        <v>3357</v>
      </c>
      <c r="H2035" s="23" t="s">
        <v>58</v>
      </c>
    </row>
    <row r="2036" spans="1:8" ht="54.95" customHeight="1" x14ac:dyDescent="0.2">
      <c r="A2036" s="23" t="s">
        <v>1352</v>
      </c>
      <c r="B2036" s="23" t="s">
        <v>10</v>
      </c>
      <c r="C2036" s="23" t="s">
        <v>46</v>
      </c>
      <c r="D2036" s="23">
        <v>2.1142723215529577</v>
      </c>
      <c r="E2036" s="23">
        <v>2025</v>
      </c>
      <c r="F2036" s="15" t="s">
        <v>3305</v>
      </c>
      <c r="G2036" s="15" t="s">
        <v>3308</v>
      </c>
      <c r="H2036" s="23" t="s">
        <v>58</v>
      </c>
    </row>
    <row r="2037" spans="1:8" ht="54.95" customHeight="1" x14ac:dyDescent="0.2">
      <c r="A2037" s="23" t="s">
        <v>1352</v>
      </c>
      <c r="B2037" s="23" t="s">
        <v>5</v>
      </c>
      <c r="C2037" s="23" t="s">
        <v>3785</v>
      </c>
      <c r="D2037" s="23">
        <v>3.6608339999999995</v>
      </c>
      <c r="E2037" s="23">
        <v>2025</v>
      </c>
      <c r="F2037" s="15" t="s">
        <v>3305</v>
      </c>
      <c r="G2037" s="15" t="s">
        <v>3311</v>
      </c>
      <c r="H2037" s="23" t="s">
        <v>58</v>
      </c>
    </row>
    <row r="2038" spans="1:8" ht="54.95" customHeight="1" x14ac:dyDescent="0.2">
      <c r="A2038" s="23" t="s">
        <v>1374</v>
      </c>
      <c r="B2038" s="23" t="s">
        <v>11</v>
      </c>
      <c r="C2038" s="23" t="s">
        <v>46</v>
      </c>
      <c r="D2038" s="23">
        <v>0</v>
      </c>
      <c r="E2038" s="23">
        <v>2025</v>
      </c>
      <c r="F2038" s="15" t="s">
        <v>3299</v>
      </c>
      <c r="G2038" s="15" t="s">
        <v>3300</v>
      </c>
      <c r="H2038" s="23" t="s">
        <v>58</v>
      </c>
    </row>
    <row r="2039" spans="1:8" ht="54.95" customHeight="1" x14ac:dyDescent="0.2">
      <c r="A2039" s="23" t="s">
        <v>1374</v>
      </c>
      <c r="B2039" s="23" t="s">
        <v>13</v>
      </c>
      <c r="C2039" s="23" t="s">
        <v>46</v>
      </c>
      <c r="D2039" s="23">
        <v>0</v>
      </c>
      <c r="E2039" s="23">
        <v>2025</v>
      </c>
      <c r="F2039" s="15" t="s">
        <v>3302</v>
      </c>
      <c r="G2039" s="15" t="s">
        <v>3300</v>
      </c>
      <c r="H2039" s="23" t="s">
        <v>58</v>
      </c>
    </row>
    <row r="2040" spans="1:8" ht="54.95" customHeight="1" x14ac:dyDescent="0.2">
      <c r="A2040" s="23" t="s">
        <v>1374</v>
      </c>
      <c r="B2040" s="23" t="s">
        <v>14</v>
      </c>
      <c r="C2040" s="23" t="s">
        <v>46</v>
      </c>
      <c r="D2040" s="23">
        <v>0</v>
      </c>
      <c r="E2040" s="23">
        <v>2025</v>
      </c>
      <c r="F2040" s="15" t="s">
        <v>3304</v>
      </c>
      <c r="G2040" s="15" t="s">
        <v>3300</v>
      </c>
      <c r="H2040" s="23" t="s">
        <v>58</v>
      </c>
    </row>
    <row r="2041" spans="1:8" ht="54.95" customHeight="1" x14ac:dyDescent="0.2">
      <c r="A2041" s="23" t="s">
        <v>1374</v>
      </c>
      <c r="B2041" s="23" t="s">
        <v>3</v>
      </c>
      <c r="C2041" s="23" t="s">
        <v>3786</v>
      </c>
      <c r="D2041" s="23">
        <v>5288.0132599999997</v>
      </c>
      <c r="E2041" s="23">
        <v>2024</v>
      </c>
      <c r="F2041" s="15" t="s">
        <v>3316</v>
      </c>
      <c r="G2041" s="15" t="s">
        <v>3317</v>
      </c>
      <c r="H2041" s="23" t="s">
        <v>58</v>
      </c>
    </row>
    <row r="2042" spans="1:8" ht="54.95" customHeight="1" x14ac:dyDescent="0.2">
      <c r="A2042" s="23" t="s">
        <v>1374</v>
      </c>
      <c r="B2042" s="23" t="s">
        <v>6</v>
      </c>
      <c r="C2042" s="23" t="s">
        <v>46</v>
      </c>
      <c r="D2042" s="23">
        <v>69.594592695858708</v>
      </c>
      <c r="E2042" s="23">
        <v>2024</v>
      </c>
      <c r="F2042" s="15" t="s">
        <v>3319</v>
      </c>
      <c r="G2042" s="15" t="s">
        <v>3320</v>
      </c>
      <c r="H2042" s="23" t="s">
        <v>58</v>
      </c>
    </row>
    <row r="2043" spans="1:8" ht="54.95" customHeight="1" x14ac:dyDescent="0.2">
      <c r="A2043" s="23" t="s">
        <v>1374</v>
      </c>
      <c r="B2043" s="23" t="s">
        <v>7</v>
      </c>
      <c r="C2043" s="23" t="s">
        <v>46</v>
      </c>
      <c r="D2043" s="23">
        <v>4.8692984934005255</v>
      </c>
      <c r="E2043" s="23">
        <v>2024</v>
      </c>
      <c r="F2043" s="15" t="s">
        <v>3322</v>
      </c>
      <c r="G2043" s="15" t="s">
        <v>3320</v>
      </c>
      <c r="H2043" s="23" t="s">
        <v>58</v>
      </c>
    </row>
    <row r="2044" spans="1:8" ht="54.95" customHeight="1" x14ac:dyDescent="0.2">
      <c r="A2044" s="23" t="s">
        <v>1374</v>
      </c>
      <c r="B2044" s="23" t="s">
        <v>8</v>
      </c>
      <c r="C2044" s="23" t="s">
        <v>46</v>
      </c>
      <c r="D2044" s="23">
        <v>0</v>
      </c>
      <c r="E2044" s="23">
        <v>2024</v>
      </c>
      <c r="F2044" s="15" t="s">
        <v>3324</v>
      </c>
      <c r="G2044" s="15" t="s">
        <v>3320</v>
      </c>
      <c r="H2044" s="23" t="s">
        <v>58</v>
      </c>
    </row>
    <row r="2045" spans="1:8" ht="54.95" customHeight="1" x14ac:dyDescent="0.2">
      <c r="A2045" s="23" t="s">
        <v>1374</v>
      </c>
      <c r="B2045" s="23" t="s">
        <v>9</v>
      </c>
      <c r="C2045" s="23" t="s">
        <v>46</v>
      </c>
      <c r="D2045" s="23">
        <v>0</v>
      </c>
      <c r="E2045" s="23">
        <v>2024</v>
      </c>
      <c r="F2045" s="15" t="s">
        <v>3325</v>
      </c>
      <c r="G2045" s="15" t="s">
        <v>3320</v>
      </c>
      <c r="H2045" s="23" t="s">
        <v>58</v>
      </c>
    </row>
    <row r="2046" spans="1:8" ht="54.95" customHeight="1" x14ac:dyDescent="0.2">
      <c r="A2046" s="23" t="s">
        <v>1374</v>
      </c>
      <c r="B2046" s="23" t="s">
        <v>10</v>
      </c>
      <c r="C2046" s="23" t="s">
        <v>46</v>
      </c>
      <c r="D2046" s="23">
        <v>25.520297390479698</v>
      </c>
      <c r="E2046" s="23">
        <v>2024</v>
      </c>
      <c r="F2046" s="15" t="s">
        <v>3326</v>
      </c>
      <c r="G2046" s="15" t="s">
        <v>3320</v>
      </c>
      <c r="H2046" s="23" t="s">
        <v>58</v>
      </c>
    </row>
    <row r="2047" spans="1:8" ht="54.95" customHeight="1" x14ac:dyDescent="0.2">
      <c r="A2047" s="23" t="s">
        <v>1374</v>
      </c>
      <c r="B2047" s="23" t="s">
        <v>5</v>
      </c>
      <c r="C2047" s="23" t="s">
        <v>3787</v>
      </c>
      <c r="D2047" s="23">
        <v>1.9354128531599999</v>
      </c>
      <c r="E2047" s="23">
        <v>2024</v>
      </c>
      <c r="F2047" s="15" t="s">
        <v>3316</v>
      </c>
      <c r="G2047" s="15" t="s">
        <v>3311</v>
      </c>
      <c r="H2047" s="23" t="s">
        <v>58</v>
      </c>
    </row>
    <row r="2048" spans="1:8" ht="54.95" customHeight="1" x14ac:dyDescent="0.2">
      <c r="A2048" s="23" t="s">
        <v>1379</v>
      </c>
      <c r="B2048" s="23" t="s">
        <v>3</v>
      </c>
      <c r="C2048" s="23" t="s">
        <v>46</v>
      </c>
      <c r="D2048" s="23">
        <v>1107772.602739726</v>
      </c>
      <c r="E2048" s="23">
        <v>2025</v>
      </c>
      <c r="F2048" s="15" t="s">
        <v>3305</v>
      </c>
      <c r="G2048" s="15" t="s">
        <v>3306</v>
      </c>
      <c r="H2048" s="23" t="s">
        <v>58</v>
      </c>
    </row>
    <row r="2049" spans="1:8" ht="54.95" customHeight="1" x14ac:dyDescent="0.2">
      <c r="A2049" s="23" t="s">
        <v>1379</v>
      </c>
      <c r="B2049" s="23" t="s">
        <v>6</v>
      </c>
      <c r="C2049" s="23" t="s">
        <v>46</v>
      </c>
      <c r="D2049" s="23">
        <v>52.006736954570073</v>
      </c>
      <c r="E2049" s="23">
        <v>2025</v>
      </c>
      <c r="F2049" s="15" t="s">
        <v>3305</v>
      </c>
      <c r="G2049" s="15" t="s">
        <v>3308</v>
      </c>
      <c r="H2049" s="23" t="s">
        <v>58</v>
      </c>
    </row>
    <row r="2050" spans="1:8" ht="54.95" customHeight="1" x14ac:dyDescent="0.2">
      <c r="A2050" s="23" t="s">
        <v>1379</v>
      </c>
      <c r="B2050" s="23" t="s">
        <v>7</v>
      </c>
      <c r="C2050" s="23" t="s">
        <v>46</v>
      </c>
      <c r="D2050" s="23">
        <v>24.779671412707714</v>
      </c>
      <c r="E2050" s="23">
        <v>2025</v>
      </c>
      <c r="F2050" s="15" t="s">
        <v>3305</v>
      </c>
      <c r="G2050" s="15" t="s">
        <v>3308</v>
      </c>
      <c r="H2050" s="23" t="s">
        <v>58</v>
      </c>
    </row>
    <row r="2051" spans="1:8" ht="54.95" customHeight="1" x14ac:dyDescent="0.2">
      <c r="A2051" s="23" t="s">
        <v>1379</v>
      </c>
      <c r="B2051" s="23" t="s">
        <v>8</v>
      </c>
      <c r="C2051" s="23" t="s">
        <v>46</v>
      </c>
      <c r="D2051" s="23">
        <v>2.2807707432166735</v>
      </c>
      <c r="E2051" s="23">
        <v>2025</v>
      </c>
      <c r="F2051" s="15" t="s">
        <v>3305</v>
      </c>
      <c r="G2051" s="15" t="s">
        <v>3308</v>
      </c>
      <c r="H2051" s="23" t="s">
        <v>58</v>
      </c>
    </row>
    <row r="2052" spans="1:8" ht="54.95" customHeight="1" x14ac:dyDescent="0.2">
      <c r="A2052" s="23" t="s">
        <v>1379</v>
      </c>
      <c r="B2052" s="23" t="s">
        <v>9</v>
      </c>
      <c r="C2052" s="23" t="s">
        <v>46</v>
      </c>
      <c r="D2052" s="23">
        <v>31.422912075817944</v>
      </c>
      <c r="E2052" s="23">
        <v>2025</v>
      </c>
      <c r="F2052" s="15" t="s">
        <v>3305</v>
      </c>
      <c r="G2052" s="15" t="s">
        <v>3308</v>
      </c>
      <c r="H2052" s="23" t="s">
        <v>58</v>
      </c>
    </row>
    <row r="2053" spans="1:8" ht="54.95" customHeight="1" x14ac:dyDescent="0.2">
      <c r="A2053" s="23" t="s">
        <v>1379</v>
      </c>
      <c r="B2053" s="23" t="s">
        <v>10</v>
      </c>
      <c r="C2053" s="23" t="s">
        <v>46</v>
      </c>
      <c r="D2053" s="23">
        <v>1.0442873147893958</v>
      </c>
      <c r="E2053" s="23">
        <v>2025</v>
      </c>
      <c r="F2053" s="15" t="s">
        <v>3305</v>
      </c>
      <c r="G2053" s="15" t="s">
        <v>3308</v>
      </c>
      <c r="H2053" s="23" t="s">
        <v>58</v>
      </c>
    </row>
    <row r="2054" spans="1:8" ht="54.95" customHeight="1" x14ac:dyDescent="0.2">
      <c r="A2054" s="23" t="s">
        <v>1379</v>
      </c>
      <c r="B2054" s="23" t="s">
        <v>5</v>
      </c>
      <c r="C2054" s="23" t="s">
        <v>46</v>
      </c>
      <c r="D2054" s="23">
        <v>404.33699999999999</v>
      </c>
      <c r="E2054" s="23">
        <v>2025</v>
      </c>
      <c r="F2054" s="15" t="s">
        <v>3305</v>
      </c>
      <c r="G2054" s="15" t="s">
        <v>3311</v>
      </c>
      <c r="H2054" s="23" t="s">
        <v>58</v>
      </c>
    </row>
    <row r="2055" spans="1:8" ht="54.95" customHeight="1" x14ac:dyDescent="0.2">
      <c r="A2055" s="23" t="s">
        <v>1386</v>
      </c>
      <c r="B2055" s="23" t="s">
        <v>11</v>
      </c>
      <c r="C2055" s="23" t="s">
        <v>46</v>
      </c>
      <c r="D2055" s="23">
        <v>20538.084232827397</v>
      </c>
      <c r="E2055" s="23">
        <v>2025</v>
      </c>
      <c r="F2055" s="15" t="s">
        <v>3299</v>
      </c>
      <c r="G2055" s="15" t="s">
        <v>3300</v>
      </c>
      <c r="H2055" s="23" t="s">
        <v>58</v>
      </c>
    </row>
    <row r="2056" spans="1:8" ht="54.95" customHeight="1" x14ac:dyDescent="0.2">
      <c r="A2056" s="23" t="s">
        <v>1386</v>
      </c>
      <c r="B2056" s="23" t="s">
        <v>13</v>
      </c>
      <c r="C2056" s="23" t="s">
        <v>46</v>
      </c>
      <c r="D2056" s="23">
        <v>0</v>
      </c>
      <c r="E2056" s="23">
        <v>2025</v>
      </c>
      <c r="F2056" s="15" t="s">
        <v>3302</v>
      </c>
      <c r="G2056" s="15" t="s">
        <v>3300</v>
      </c>
      <c r="H2056" s="23" t="s">
        <v>58</v>
      </c>
    </row>
    <row r="2057" spans="1:8" ht="54.95" customHeight="1" x14ac:dyDescent="0.2">
      <c r="A2057" s="23" t="s">
        <v>1386</v>
      </c>
      <c r="B2057" s="23" t="s">
        <v>14</v>
      </c>
      <c r="C2057" s="23" t="s">
        <v>46</v>
      </c>
      <c r="D2057" s="23">
        <v>0</v>
      </c>
      <c r="E2057" s="23">
        <v>2025</v>
      </c>
      <c r="F2057" s="15" t="s">
        <v>3304</v>
      </c>
      <c r="G2057" s="15" t="s">
        <v>3300</v>
      </c>
      <c r="H2057" s="23" t="s">
        <v>58</v>
      </c>
    </row>
    <row r="2058" spans="1:8" ht="54.95" customHeight="1" x14ac:dyDescent="0.2">
      <c r="A2058" s="23" t="s">
        <v>1386</v>
      </c>
      <c r="B2058" s="23" t="s">
        <v>3</v>
      </c>
      <c r="C2058" s="23" t="s">
        <v>3788</v>
      </c>
      <c r="D2058" s="23">
        <v>1482170.465383</v>
      </c>
      <c r="E2058" s="23">
        <v>2024</v>
      </c>
      <c r="F2058" s="15" t="s">
        <v>3316</v>
      </c>
      <c r="G2058" s="15" t="s">
        <v>3317</v>
      </c>
      <c r="H2058" s="23" t="s">
        <v>58</v>
      </c>
    </row>
    <row r="2059" spans="1:8" ht="54.95" customHeight="1" x14ac:dyDescent="0.2">
      <c r="A2059" s="23" t="s">
        <v>1386</v>
      </c>
      <c r="B2059" s="23" t="s">
        <v>6</v>
      </c>
      <c r="C2059" s="23" t="s">
        <v>46</v>
      </c>
      <c r="D2059" s="23">
        <v>7.0987222291473664</v>
      </c>
      <c r="E2059" s="23">
        <v>2024</v>
      </c>
      <c r="F2059" s="15" t="s">
        <v>3319</v>
      </c>
      <c r="G2059" s="15" t="s">
        <v>3320</v>
      </c>
      <c r="H2059" s="23" t="s">
        <v>58</v>
      </c>
    </row>
    <row r="2060" spans="1:8" ht="54.95" customHeight="1" x14ac:dyDescent="0.2">
      <c r="A2060" s="23" t="s">
        <v>1386</v>
      </c>
      <c r="B2060" s="23" t="s">
        <v>7</v>
      </c>
      <c r="C2060" s="23" t="s">
        <v>46</v>
      </c>
      <c r="D2060" s="23">
        <v>1.2332133453540914</v>
      </c>
      <c r="E2060" s="23">
        <v>2024</v>
      </c>
      <c r="F2060" s="15" t="s">
        <v>3322</v>
      </c>
      <c r="G2060" s="15" t="s">
        <v>3320</v>
      </c>
      <c r="H2060" s="23" t="s">
        <v>58</v>
      </c>
    </row>
    <row r="2061" spans="1:8" ht="54.95" customHeight="1" x14ac:dyDescent="0.2">
      <c r="A2061" s="23" t="s">
        <v>1386</v>
      </c>
      <c r="B2061" s="23" t="s">
        <v>8</v>
      </c>
      <c r="C2061" s="23" t="s">
        <v>46</v>
      </c>
      <c r="D2061" s="23">
        <v>1.6268803463013985</v>
      </c>
      <c r="E2061" s="23">
        <v>2024</v>
      </c>
      <c r="F2061" s="15" t="s">
        <v>3324</v>
      </c>
      <c r="G2061" s="15" t="s">
        <v>3320</v>
      </c>
      <c r="H2061" s="23" t="s">
        <v>58</v>
      </c>
    </row>
    <row r="2062" spans="1:8" ht="54.95" customHeight="1" x14ac:dyDescent="0.2">
      <c r="A2062" s="23" t="s">
        <v>1386</v>
      </c>
      <c r="B2062" s="23" t="s">
        <v>9</v>
      </c>
      <c r="C2062" s="23" t="s">
        <v>46</v>
      </c>
      <c r="D2062" s="23">
        <v>10.37231523570226</v>
      </c>
      <c r="E2062" s="23">
        <v>2024</v>
      </c>
      <c r="F2062" s="15" t="s">
        <v>3325</v>
      </c>
      <c r="G2062" s="15" t="s">
        <v>3320</v>
      </c>
      <c r="H2062" s="23" t="s">
        <v>58</v>
      </c>
    </row>
    <row r="2063" spans="1:8" ht="54.95" customHeight="1" x14ac:dyDescent="0.2">
      <c r="A2063" s="23" t="s">
        <v>1386</v>
      </c>
      <c r="B2063" s="23" t="s">
        <v>10</v>
      </c>
      <c r="C2063" s="23" t="s">
        <v>46</v>
      </c>
      <c r="D2063" s="23">
        <v>60.39899583808478</v>
      </c>
      <c r="E2063" s="23">
        <v>2024</v>
      </c>
      <c r="F2063" s="15" t="s">
        <v>3326</v>
      </c>
      <c r="G2063" s="15" t="s">
        <v>3320</v>
      </c>
      <c r="H2063" s="23" t="s">
        <v>58</v>
      </c>
    </row>
    <row r="2064" spans="1:8" ht="54.95" customHeight="1" x14ac:dyDescent="0.2">
      <c r="A2064" s="23" t="s">
        <v>1386</v>
      </c>
      <c r="B2064" s="23" t="s">
        <v>5</v>
      </c>
      <c r="C2064" s="23" t="s">
        <v>3789</v>
      </c>
      <c r="D2064" s="23">
        <v>542.47439033017804</v>
      </c>
      <c r="E2064" s="23">
        <v>2024</v>
      </c>
      <c r="F2064" s="15" t="s">
        <v>3316</v>
      </c>
      <c r="G2064" s="15" t="s">
        <v>3311</v>
      </c>
      <c r="H2064" s="23" t="s">
        <v>58</v>
      </c>
    </row>
    <row r="2065" spans="1:8" ht="54.95" customHeight="1" x14ac:dyDescent="0.2">
      <c r="A2065" s="23" t="s">
        <v>1396</v>
      </c>
      <c r="B2065" s="23" t="s">
        <v>11</v>
      </c>
      <c r="C2065" s="23" t="s">
        <v>46</v>
      </c>
      <c r="D2065" s="23">
        <v>0</v>
      </c>
      <c r="E2065" s="23">
        <v>2025</v>
      </c>
      <c r="F2065" s="15" t="s">
        <v>3299</v>
      </c>
      <c r="G2065" s="15" t="s">
        <v>3300</v>
      </c>
      <c r="H2065" s="23" t="s">
        <v>58</v>
      </c>
    </row>
    <row r="2066" spans="1:8" ht="54.95" customHeight="1" x14ac:dyDescent="0.2">
      <c r="A2066" s="23" t="s">
        <v>1396</v>
      </c>
      <c r="B2066" s="23" t="s">
        <v>13</v>
      </c>
      <c r="C2066" s="23" t="s">
        <v>46</v>
      </c>
      <c r="D2066" s="23">
        <v>0</v>
      </c>
      <c r="E2066" s="23">
        <v>2025</v>
      </c>
      <c r="F2066" s="15" t="s">
        <v>3302</v>
      </c>
      <c r="G2066" s="15" t="s">
        <v>3300</v>
      </c>
      <c r="H2066" s="23" t="s">
        <v>58</v>
      </c>
    </row>
    <row r="2067" spans="1:8" ht="54.95" customHeight="1" x14ac:dyDescent="0.2">
      <c r="A2067" s="23" t="s">
        <v>1396</v>
      </c>
      <c r="B2067" s="23" t="s">
        <v>14</v>
      </c>
      <c r="C2067" s="23" t="s">
        <v>46</v>
      </c>
      <c r="D2067" s="23">
        <v>0</v>
      </c>
      <c r="E2067" s="23">
        <v>2025</v>
      </c>
      <c r="F2067" s="15" t="s">
        <v>3304</v>
      </c>
      <c r="G2067" s="15" t="s">
        <v>3300</v>
      </c>
      <c r="H2067" s="23" t="s">
        <v>58</v>
      </c>
    </row>
    <row r="2068" spans="1:8" ht="54.95" customHeight="1" x14ac:dyDescent="0.2">
      <c r="A2068" s="23" t="s">
        <v>1396</v>
      </c>
      <c r="B2068" s="23" t="s">
        <v>3</v>
      </c>
      <c r="C2068" s="23" t="s">
        <v>46</v>
      </c>
      <c r="D2068" s="23">
        <v>794.96393699999999</v>
      </c>
      <c r="E2068" s="23">
        <v>2024</v>
      </c>
      <c r="F2068" s="15" t="s">
        <v>3316</v>
      </c>
      <c r="G2068" s="15" t="s">
        <v>3317</v>
      </c>
      <c r="H2068" s="23" t="s">
        <v>58</v>
      </c>
    </row>
    <row r="2069" spans="1:8" ht="54.95" customHeight="1" x14ac:dyDescent="0.2">
      <c r="A2069" s="23" t="s">
        <v>1396</v>
      </c>
      <c r="B2069" s="23" t="s">
        <v>6</v>
      </c>
      <c r="C2069" s="23" t="s">
        <v>46</v>
      </c>
      <c r="D2069" s="23">
        <v>40.672887781574929</v>
      </c>
      <c r="E2069" s="23">
        <v>2024</v>
      </c>
      <c r="F2069" s="15" t="s">
        <v>3319</v>
      </c>
      <c r="G2069" s="15" t="s">
        <v>3320</v>
      </c>
      <c r="H2069" s="23" t="s">
        <v>58</v>
      </c>
    </row>
    <row r="2070" spans="1:8" ht="54.95" customHeight="1" x14ac:dyDescent="0.2">
      <c r="A2070" s="23" t="s">
        <v>1396</v>
      </c>
      <c r="B2070" s="23" t="s">
        <v>7</v>
      </c>
      <c r="C2070" s="23" t="s">
        <v>46</v>
      </c>
      <c r="D2070" s="23">
        <v>20.872145549918198</v>
      </c>
      <c r="E2070" s="23">
        <v>2024</v>
      </c>
      <c r="F2070" s="15" t="s">
        <v>3322</v>
      </c>
      <c r="G2070" s="15" t="s">
        <v>3320</v>
      </c>
      <c r="H2070" s="23" t="s">
        <v>58</v>
      </c>
    </row>
    <row r="2071" spans="1:8" ht="54.95" customHeight="1" x14ac:dyDescent="0.2">
      <c r="A2071" s="23" t="s">
        <v>1396</v>
      </c>
      <c r="B2071" s="23" t="s">
        <v>8</v>
      </c>
      <c r="C2071" s="23" t="s">
        <v>46</v>
      </c>
      <c r="D2071" s="23">
        <v>0</v>
      </c>
      <c r="E2071" s="23">
        <v>2024</v>
      </c>
      <c r="F2071" s="15" t="s">
        <v>3324</v>
      </c>
      <c r="G2071" s="15" t="s">
        <v>3320</v>
      </c>
      <c r="H2071" s="23" t="s">
        <v>58</v>
      </c>
    </row>
    <row r="2072" spans="1:8" ht="54.95" customHeight="1" x14ac:dyDescent="0.2">
      <c r="A2072" s="23" t="s">
        <v>1396</v>
      </c>
      <c r="B2072" s="23" t="s">
        <v>9</v>
      </c>
      <c r="C2072" s="23" t="s">
        <v>46</v>
      </c>
      <c r="D2072" s="23">
        <v>27.425924479389309</v>
      </c>
      <c r="E2072" s="23">
        <v>2024</v>
      </c>
      <c r="F2072" s="15" t="s">
        <v>3325</v>
      </c>
      <c r="G2072" s="15" t="s">
        <v>3320</v>
      </c>
      <c r="H2072" s="23" t="s">
        <v>58</v>
      </c>
    </row>
    <row r="2073" spans="1:8" ht="54.95" customHeight="1" x14ac:dyDescent="0.2">
      <c r="A2073" s="23" t="s">
        <v>1396</v>
      </c>
      <c r="B2073" s="23" t="s">
        <v>10</v>
      </c>
      <c r="C2073" s="23" t="s">
        <v>46</v>
      </c>
      <c r="D2073" s="23">
        <v>11.029042189117568</v>
      </c>
      <c r="E2073" s="23">
        <v>2024</v>
      </c>
      <c r="F2073" s="15" t="s">
        <v>3326</v>
      </c>
      <c r="G2073" s="15" t="s">
        <v>3320</v>
      </c>
      <c r="H2073" s="23" t="s">
        <v>58</v>
      </c>
    </row>
    <row r="2074" spans="1:8" ht="54.95" customHeight="1" x14ac:dyDescent="0.2">
      <c r="A2074" s="23" t="s">
        <v>1396</v>
      </c>
      <c r="B2074" s="23" t="s">
        <v>5</v>
      </c>
      <c r="C2074" s="23" t="s">
        <v>46</v>
      </c>
      <c r="D2074" s="23">
        <v>0.29095680094199999</v>
      </c>
      <c r="E2074" s="23">
        <v>2024</v>
      </c>
      <c r="F2074" s="15" t="s">
        <v>3316</v>
      </c>
      <c r="G2074" s="15" t="s">
        <v>3311</v>
      </c>
      <c r="H2074" s="23" t="s">
        <v>58</v>
      </c>
    </row>
    <row r="2075" spans="1:8" ht="54.95" customHeight="1" x14ac:dyDescent="0.2">
      <c r="A2075" s="23" t="s">
        <v>1400</v>
      </c>
      <c r="B2075" s="23" t="s">
        <v>11</v>
      </c>
      <c r="C2075" s="23" t="s">
        <v>46</v>
      </c>
      <c r="D2075" s="23">
        <v>0</v>
      </c>
      <c r="E2075" s="23">
        <v>2025</v>
      </c>
      <c r="F2075" s="15" t="s">
        <v>3299</v>
      </c>
      <c r="G2075" s="15" t="s">
        <v>3300</v>
      </c>
      <c r="H2075" s="23" t="s">
        <v>58</v>
      </c>
    </row>
    <row r="2076" spans="1:8" ht="54.95" customHeight="1" x14ac:dyDescent="0.2">
      <c r="A2076" s="23" t="s">
        <v>1400</v>
      </c>
      <c r="B2076" s="23" t="s">
        <v>13</v>
      </c>
      <c r="C2076" s="23" t="s">
        <v>46</v>
      </c>
      <c r="D2076" s="23">
        <v>0</v>
      </c>
      <c r="E2076" s="23">
        <v>2025</v>
      </c>
      <c r="F2076" s="15" t="s">
        <v>3302</v>
      </c>
      <c r="G2076" s="15" t="s">
        <v>3300</v>
      </c>
      <c r="H2076" s="23" t="s">
        <v>58</v>
      </c>
    </row>
    <row r="2077" spans="1:8" ht="54.95" customHeight="1" x14ac:dyDescent="0.2">
      <c r="A2077" s="23" t="s">
        <v>1400</v>
      </c>
      <c r="B2077" s="23" t="s">
        <v>14</v>
      </c>
      <c r="C2077" s="23" t="s">
        <v>46</v>
      </c>
      <c r="D2077" s="23">
        <v>0</v>
      </c>
      <c r="E2077" s="23">
        <v>2025</v>
      </c>
      <c r="F2077" s="15" t="s">
        <v>3304</v>
      </c>
      <c r="G2077" s="15" t="s">
        <v>3300</v>
      </c>
      <c r="H2077" s="23" t="s">
        <v>58</v>
      </c>
    </row>
    <row r="2078" spans="1:8" ht="54.95" customHeight="1" x14ac:dyDescent="0.2">
      <c r="A2078" s="23" t="s">
        <v>1400</v>
      </c>
      <c r="B2078" s="23" t="s">
        <v>3</v>
      </c>
      <c r="C2078" s="23" t="s">
        <v>46</v>
      </c>
      <c r="D2078" s="23">
        <v>1512.7240429999999</v>
      </c>
      <c r="E2078" s="23">
        <v>2024</v>
      </c>
      <c r="F2078" s="15" t="s">
        <v>3316</v>
      </c>
      <c r="G2078" s="15" t="s">
        <v>3317</v>
      </c>
      <c r="H2078" s="23" t="s">
        <v>58</v>
      </c>
    </row>
    <row r="2079" spans="1:8" ht="54.95" customHeight="1" x14ac:dyDescent="0.2">
      <c r="A2079" s="23" t="s">
        <v>1400</v>
      </c>
      <c r="B2079" s="23" t="s">
        <v>6</v>
      </c>
      <c r="C2079" s="23" t="s">
        <v>46</v>
      </c>
      <c r="D2079" s="23">
        <v>39.801666522464338</v>
      </c>
      <c r="E2079" s="23">
        <v>2024</v>
      </c>
      <c r="F2079" s="15" t="s">
        <v>3319</v>
      </c>
      <c r="G2079" s="15" t="s">
        <v>3320</v>
      </c>
      <c r="H2079" s="23" t="s">
        <v>58</v>
      </c>
    </row>
    <row r="2080" spans="1:8" ht="54.95" customHeight="1" x14ac:dyDescent="0.2">
      <c r="A2080" s="23" t="s">
        <v>1400</v>
      </c>
      <c r="B2080" s="23" t="s">
        <v>7</v>
      </c>
      <c r="C2080" s="23" t="s">
        <v>46</v>
      </c>
      <c r="D2080" s="23">
        <v>32.072296348105311</v>
      </c>
      <c r="E2080" s="23">
        <v>2024</v>
      </c>
      <c r="F2080" s="15" t="s">
        <v>3322</v>
      </c>
      <c r="G2080" s="15" t="s">
        <v>3320</v>
      </c>
      <c r="H2080" s="23" t="s">
        <v>58</v>
      </c>
    </row>
    <row r="2081" spans="1:8" ht="54.95" customHeight="1" x14ac:dyDescent="0.2">
      <c r="A2081" s="23" t="s">
        <v>1400</v>
      </c>
      <c r="B2081" s="23" t="s">
        <v>8</v>
      </c>
      <c r="C2081" s="23" t="s">
        <v>46</v>
      </c>
      <c r="D2081" s="23">
        <v>5.6545988275800809</v>
      </c>
      <c r="E2081" s="23">
        <v>2024</v>
      </c>
      <c r="F2081" s="15" t="s">
        <v>3324</v>
      </c>
      <c r="G2081" s="15" t="s">
        <v>3320</v>
      </c>
      <c r="H2081" s="23" t="s">
        <v>58</v>
      </c>
    </row>
    <row r="2082" spans="1:8" ht="54.95" customHeight="1" x14ac:dyDescent="0.2">
      <c r="A2082" s="23" t="s">
        <v>1400</v>
      </c>
      <c r="B2082" s="23" t="s">
        <v>9</v>
      </c>
      <c r="C2082" s="23" t="s">
        <v>46</v>
      </c>
      <c r="D2082" s="23">
        <v>0.32317434383503085</v>
      </c>
      <c r="E2082" s="23">
        <v>2024</v>
      </c>
      <c r="F2082" s="15" t="s">
        <v>3325</v>
      </c>
      <c r="G2082" s="15" t="s">
        <v>3320</v>
      </c>
      <c r="H2082" s="23" t="s">
        <v>58</v>
      </c>
    </row>
    <row r="2083" spans="1:8" ht="54.95" customHeight="1" x14ac:dyDescent="0.2">
      <c r="A2083" s="23" t="s">
        <v>1400</v>
      </c>
      <c r="B2083" s="23" t="s">
        <v>10</v>
      </c>
      <c r="C2083" s="23" t="s">
        <v>46</v>
      </c>
      <c r="D2083" s="23">
        <v>21.460929275386682</v>
      </c>
      <c r="E2083" s="23">
        <v>2024</v>
      </c>
      <c r="F2083" s="15" t="s">
        <v>3326</v>
      </c>
      <c r="G2083" s="15" t="s">
        <v>3320</v>
      </c>
      <c r="H2083" s="23" t="s">
        <v>58</v>
      </c>
    </row>
    <row r="2084" spans="1:8" ht="54.95" customHeight="1" x14ac:dyDescent="0.2">
      <c r="A2084" s="23" t="s">
        <v>1400</v>
      </c>
      <c r="B2084" s="23" t="s">
        <v>5</v>
      </c>
      <c r="C2084" s="23" t="s">
        <v>46</v>
      </c>
      <c r="D2084" s="23">
        <v>0.55365699973799998</v>
      </c>
      <c r="E2084" s="23">
        <v>2024</v>
      </c>
      <c r="F2084" s="15" t="s">
        <v>3316</v>
      </c>
      <c r="G2084" s="15" t="s">
        <v>3311</v>
      </c>
      <c r="H2084" s="23" t="s">
        <v>58</v>
      </c>
    </row>
    <row r="2085" spans="1:8" ht="54.95" customHeight="1" x14ac:dyDescent="0.2">
      <c r="A2085" s="23" t="s">
        <v>1410</v>
      </c>
      <c r="B2085" s="23" t="s">
        <v>11</v>
      </c>
      <c r="C2085" s="23" t="s">
        <v>46</v>
      </c>
      <c r="D2085" s="23">
        <v>0</v>
      </c>
      <c r="E2085" s="23">
        <v>2025</v>
      </c>
      <c r="F2085" s="15" t="s">
        <v>3299</v>
      </c>
      <c r="G2085" s="15" t="s">
        <v>3300</v>
      </c>
      <c r="H2085" s="23" t="s">
        <v>58</v>
      </c>
    </row>
    <row r="2086" spans="1:8" ht="54.95" customHeight="1" x14ac:dyDescent="0.2">
      <c r="A2086" s="23" t="s">
        <v>1410</v>
      </c>
      <c r="B2086" s="23" t="s">
        <v>13</v>
      </c>
      <c r="C2086" s="23" t="s">
        <v>46</v>
      </c>
      <c r="D2086" s="23">
        <v>0</v>
      </c>
      <c r="E2086" s="23">
        <v>2025</v>
      </c>
      <c r="F2086" s="15" t="s">
        <v>3302</v>
      </c>
      <c r="G2086" s="15" t="s">
        <v>3300</v>
      </c>
      <c r="H2086" s="23" t="s">
        <v>58</v>
      </c>
    </row>
    <row r="2087" spans="1:8" ht="54.95" customHeight="1" x14ac:dyDescent="0.2">
      <c r="A2087" s="23" t="s">
        <v>1410</v>
      </c>
      <c r="B2087" s="23" t="s">
        <v>14</v>
      </c>
      <c r="C2087" s="23" t="s">
        <v>46</v>
      </c>
      <c r="D2087" s="23">
        <v>0</v>
      </c>
      <c r="E2087" s="23">
        <v>2025</v>
      </c>
      <c r="F2087" s="15" t="s">
        <v>3304</v>
      </c>
      <c r="G2087" s="15" t="s">
        <v>3300</v>
      </c>
      <c r="H2087" s="23" t="s">
        <v>58</v>
      </c>
    </row>
    <row r="2088" spans="1:8" ht="54.95" customHeight="1" x14ac:dyDescent="0.2">
      <c r="A2088" s="23" t="s">
        <v>1410</v>
      </c>
      <c r="B2088" s="23" t="s">
        <v>3</v>
      </c>
      <c r="C2088" s="23" t="s">
        <v>46</v>
      </c>
      <c r="D2088" s="23">
        <v>2308.172556</v>
      </c>
      <c r="E2088" s="23">
        <v>2024</v>
      </c>
      <c r="F2088" s="15" t="s">
        <v>3316</v>
      </c>
      <c r="G2088" s="15" t="s">
        <v>3317</v>
      </c>
      <c r="H2088" s="23" t="s">
        <v>58</v>
      </c>
    </row>
    <row r="2089" spans="1:8" ht="54.95" customHeight="1" x14ac:dyDescent="0.2">
      <c r="A2089" s="23" t="s">
        <v>1410</v>
      </c>
      <c r="B2089" s="23" t="s">
        <v>6</v>
      </c>
      <c r="C2089" s="23" t="s">
        <v>46</v>
      </c>
      <c r="D2089" s="23">
        <v>44.038978687172289</v>
      </c>
      <c r="E2089" s="23">
        <v>2024</v>
      </c>
      <c r="F2089" s="15" t="s">
        <v>3319</v>
      </c>
      <c r="G2089" s="15" t="s">
        <v>3320</v>
      </c>
      <c r="H2089" s="23" t="s">
        <v>58</v>
      </c>
    </row>
    <row r="2090" spans="1:8" ht="54.95" customHeight="1" x14ac:dyDescent="0.2">
      <c r="A2090" s="23" t="s">
        <v>1410</v>
      </c>
      <c r="B2090" s="23" t="s">
        <v>7</v>
      </c>
      <c r="C2090" s="23" t="s">
        <v>46</v>
      </c>
      <c r="D2090" s="23">
        <v>31.043944012650325</v>
      </c>
      <c r="E2090" s="23">
        <v>2024</v>
      </c>
      <c r="F2090" s="15" t="s">
        <v>3322</v>
      </c>
      <c r="G2090" s="15" t="s">
        <v>3320</v>
      </c>
      <c r="H2090" s="23" t="s">
        <v>58</v>
      </c>
    </row>
    <row r="2091" spans="1:8" ht="54.95" customHeight="1" x14ac:dyDescent="0.2">
      <c r="A2091" s="23" t="s">
        <v>1410</v>
      </c>
      <c r="B2091" s="23" t="s">
        <v>8</v>
      </c>
      <c r="C2091" s="23" t="s">
        <v>46</v>
      </c>
      <c r="D2091" s="23">
        <v>4.2358048034949425</v>
      </c>
      <c r="E2091" s="23">
        <v>2024</v>
      </c>
      <c r="F2091" s="15" t="s">
        <v>3324</v>
      </c>
      <c r="G2091" s="15" t="s">
        <v>3320</v>
      </c>
      <c r="H2091" s="23" t="s">
        <v>58</v>
      </c>
    </row>
    <row r="2092" spans="1:8" ht="54.95" customHeight="1" x14ac:dyDescent="0.2">
      <c r="A2092" s="23" t="s">
        <v>1410</v>
      </c>
      <c r="B2092" s="23" t="s">
        <v>9</v>
      </c>
      <c r="C2092" s="23" t="s">
        <v>46</v>
      </c>
      <c r="D2092" s="23">
        <v>18.125183358258418</v>
      </c>
      <c r="E2092" s="23">
        <v>2024</v>
      </c>
      <c r="F2092" s="15" t="s">
        <v>3325</v>
      </c>
      <c r="G2092" s="15" t="s">
        <v>3320</v>
      </c>
      <c r="H2092" s="23" t="s">
        <v>58</v>
      </c>
    </row>
    <row r="2093" spans="1:8" ht="54.95" customHeight="1" x14ac:dyDescent="0.2">
      <c r="A2093" s="23" t="s">
        <v>1410</v>
      </c>
      <c r="B2093" s="23" t="s">
        <v>10</v>
      </c>
      <c r="C2093" s="23" t="s">
        <v>46</v>
      </c>
      <c r="D2093" s="23">
        <v>0</v>
      </c>
      <c r="E2093" s="23">
        <v>2024</v>
      </c>
      <c r="F2093" s="15" t="s">
        <v>3326</v>
      </c>
      <c r="G2093" s="15" t="s">
        <v>3320</v>
      </c>
      <c r="H2093" s="23" t="s">
        <v>58</v>
      </c>
    </row>
    <row r="2094" spans="1:8" ht="54.95" customHeight="1" x14ac:dyDescent="0.2">
      <c r="A2094" s="23" t="s">
        <v>1410</v>
      </c>
      <c r="B2094" s="23" t="s">
        <v>5</v>
      </c>
      <c r="C2094" s="23" t="s">
        <v>46</v>
      </c>
      <c r="D2094" s="23">
        <v>0.84479115549599992</v>
      </c>
      <c r="E2094" s="23">
        <v>2024</v>
      </c>
      <c r="F2094" s="15" t="s">
        <v>3316</v>
      </c>
      <c r="G2094" s="15" t="s">
        <v>3311</v>
      </c>
      <c r="H2094" s="23" t="s">
        <v>58</v>
      </c>
    </row>
    <row r="2095" spans="1:8" ht="54.95" customHeight="1" x14ac:dyDescent="0.2">
      <c r="A2095" s="23" t="s">
        <v>1415</v>
      </c>
      <c r="B2095" s="23" t="s">
        <v>11</v>
      </c>
      <c r="C2095" s="23" t="s">
        <v>46</v>
      </c>
      <c r="D2095" s="23">
        <v>0</v>
      </c>
      <c r="E2095" s="23">
        <v>2025</v>
      </c>
      <c r="F2095" s="15" t="s">
        <v>3299</v>
      </c>
      <c r="G2095" s="15" t="s">
        <v>3300</v>
      </c>
      <c r="H2095" s="23" t="s">
        <v>58</v>
      </c>
    </row>
    <row r="2096" spans="1:8" ht="54.95" customHeight="1" x14ac:dyDescent="0.2">
      <c r="A2096" s="23" t="s">
        <v>1415</v>
      </c>
      <c r="B2096" s="23" t="s">
        <v>13</v>
      </c>
      <c r="C2096" s="23" t="s">
        <v>46</v>
      </c>
      <c r="D2096" s="23">
        <v>0</v>
      </c>
      <c r="E2096" s="23">
        <v>2025</v>
      </c>
      <c r="F2096" s="15" t="s">
        <v>3302</v>
      </c>
      <c r="G2096" s="15" t="s">
        <v>3300</v>
      </c>
      <c r="H2096" s="23" t="s">
        <v>58</v>
      </c>
    </row>
    <row r="2097" spans="1:8" ht="54.95" customHeight="1" x14ac:dyDescent="0.2">
      <c r="A2097" s="23" t="s">
        <v>1415</v>
      </c>
      <c r="B2097" s="23" t="s">
        <v>14</v>
      </c>
      <c r="C2097" s="23" t="s">
        <v>46</v>
      </c>
      <c r="D2097" s="23">
        <v>0</v>
      </c>
      <c r="E2097" s="23">
        <v>2025</v>
      </c>
      <c r="F2097" s="15" t="s">
        <v>3304</v>
      </c>
      <c r="G2097" s="15" t="s">
        <v>3300</v>
      </c>
      <c r="H2097" s="23" t="s">
        <v>58</v>
      </c>
    </row>
    <row r="2098" spans="1:8" ht="54.95" customHeight="1" x14ac:dyDescent="0.2">
      <c r="A2098" s="23" t="s">
        <v>1415</v>
      </c>
      <c r="B2098" s="23" t="s">
        <v>3</v>
      </c>
      <c r="C2098" s="23" t="s">
        <v>46</v>
      </c>
      <c r="D2098" s="23">
        <v>2189.4907639999997</v>
      </c>
      <c r="E2098" s="23">
        <v>2024</v>
      </c>
      <c r="F2098" s="15" t="s">
        <v>3316</v>
      </c>
      <c r="G2098" s="15" t="s">
        <v>3317</v>
      </c>
      <c r="H2098" s="23" t="s">
        <v>58</v>
      </c>
    </row>
    <row r="2099" spans="1:8" ht="54.95" customHeight="1" x14ac:dyDescent="0.2">
      <c r="A2099" s="23" t="s">
        <v>1415</v>
      </c>
      <c r="B2099" s="23" t="s">
        <v>6</v>
      </c>
      <c r="C2099" s="23" t="s">
        <v>46</v>
      </c>
      <c r="D2099" s="23">
        <v>69.243262357054647</v>
      </c>
      <c r="E2099" s="23">
        <v>2024</v>
      </c>
      <c r="F2099" s="15" t="s">
        <v>3319</v>
      </c>
      <c r="G2099" s="15" t="s">
        <v>3320</v>
      </c>
      <c r="H2099" s="23" t="s">
        <v>58</v>
      </c>
    </row>
    <row r="2100" spans="1:8" ht="54.95" customHeight="1" x14ac:dyDescent="0.2">
      <c r="A2100" s="23" t="s">
        <v>1415</v>
      </c>
      <c r="B2100" s="23" t="s">
        <v>7</v>
      </c>
      <c r="C2100" s="23" t="s">
        <v>46</v>
      </c>
      <c r="D2100" s="23">
        <v>24.59476759866341</v>
      </c>
      <c r="E2100" s="23">
        <v>2024</v>
      </c>
      <c r="F2100" s="15" t="s">
        <v>3322</v>
      </c>
      <c r="G2100" s="15" t="s">
        <v>3320</v>
      </c>
      <c r="H2100" s="23" t="s">
        <v>58</v>
      </c>
    </row>
    <row r="2101" spans="1:8" ht="54.95" customHeight="1" x14ac:dyDescent="0.2">
      <c r="A2101" s="23" t="s">
        <v>1415</v>
      </c>
      <c r="B2101" s="23" t="s">
        <v>8</v>
      </c>
      <c r="C2101" s="23" t="s">
        <v>46</v>
      </c>
      <c r="D2101" s="23">
        <v>0.43679115515099753</v>
      </c>
      <c r="E2101" s="23">
        <v>2024</v>
      </c>
      <c r="F2101" s="15" t="s">
        <v>3324</v>
      </c>
      <c r="G2101" s="15" t="s">
        <v>3320</v>
      </c>
      <c r="H2101" s="23" t="s">
        <v>58</v>
      </c>
    </row>
    <row r="2102" spans="1:8" ht="54.95" customHeight="1" x14ac:dyDescent="0.2">
      <c r="A2102" s="23" t="s">
        <v>1415</v>
      </c>
      <c r="B2102" s="23" t="s">
        <v>9</v>
      </c>
      <c r="C2102" s="23" t="s">
        <v>46</v>
      </c>
      <c r="D2102" s="23">
        <v>2.6101338694662797</v>
      </c>
      <c r="E2102" s="23">
        <v>2024</v>
      </c>
      <c r="F2102" s="15" t="s">
        <v>3325</v>
      </c>
      <c r="G2102" s="15" t="s">
        <v>3320</v>
      </c>
      <c r="H2102" s="23" t="s">
        <v>58</v>
      </c>
    </row>
    <row r="2103" spans="1:8" ht="54.95" customHeight="1" x14ac:dyDescent="0.2">
      <c r="A2103" s="23" t="s">
        <v>1415</v>
      </c>
      <c r="B2103" s="23" t="s">
        <v>10</v>
      </c>
      <c r="C2103" s="23" t="s">
        <v>46</v>
      </c>
      <c r="D2103" s="23">
        <v>0</v>
      </c>
      <c r="E2103" s="23">
        <v>2024</v>
      </c>
      <c r="F2103" s="15" t="s">
        <v>3326</v>
      </c>
      <c r="G2103" s="15" t="s">
        <v>3320</v>
      </c>
      <c r="H2103" s="23" t="s">
        <v>58</v>
      </c>
    </row>
    <row r="2104" spans="1:8" ht="54.95" customHeight="1" x14ac:dyDescent="0.2">
      <c r="A2104" s="23" t="s">
        <v>1415</v>
      </c>
      <c r="B2104" s="23" t="s">
        <v>5</v>
      </c>
      <c r="C2104" s="23" t="s">
        <v>46</v>
      </c>
      <c r="D2104" s="23">
        <v>0.80135361962399998</v>
      </c>
      <c r="E2104" s="23">
        <v>2024</v>
      </c>
      <c r="F2104" s="15" t="s">
        <v>3316</v>
      </c>
      <c r="G2104" s="15" t="s">
        <v>3311</v>
      </c>
      <c r="H2104" s="23" t="s">
        <v>58</v>
      </c>
    </row>
    <row r="2105" spans="1:8" ht="54.95" customHeight="1" x14ac:dyDescent="0.2">
      <c r="A2105" s="23" t="s">
        <v>1425</v>
      </c>
      <c r="B2105" s="23" t="s">
        <v>11</v>
      </c>
      <c r="C2105" s="23" t="s">
        <v>46</v>
      </c>
      <c r="D2105" s="23">
        <v>0</v>
      </c>
      <c r="E2105" s="23">
        <v>2025</v>
      </c>
      <c r="F2105" s="15" t="s">
        <v>3299</v>
      </c>
      <c r="G2105" s="15" t="s">
        <v>3300</v>
      </c>
      <c r="H2105" s="23" t="s">
        <v>58</v>
      </c>
    </row>
    <row r="2106" spans="1:8" ht="54.95" customHeight="1" x14ac:dyDescent="0.2">
      <c r="A2106" s="23" t="s">
        <v>1425</v>
      </c>
      <c r="B2106" s="23" t="s">
        <v>13</v>
      </c>
      <c r="C2106" s="23" t="s">
        <v>46</v>
      </c>
      <c r="D2106" s="23">
        <v>0</v>
      </c>
      <c r="E2106" s="23">
        <v>2025</v>
      </c>
      <c r="F2106" s="15" t="s">
        <v>3302</v>
      </c>
      <c r="G2106" s="15" t="s">
        <v>3300</v>
      </c>
      <c r="H2106" s="23" t="s">
        <v>58</v>
      </c>
    </row>
    <row r="2107" spans="1:8" ht="54.95" customHeight="1" x14ac:dyDescent="0.2">
      <c r="A2107" s="23" t="s">
        <v>1425</v>
      </c>
      <c r="B2107" s="23" t="s">
        <v>14</v>
      </c>
      <c r="C2107" s="23" t="s">
        <v>46</v>
      </c>
      <c r="D2107" s="23">
        <v>0</v>
      </c>
      <c r="E2107" s="23">
        <v>2025</v>
      </c>
      <c r="F2107" s="15" t="s">
        <v>3304</v>
      </c>
      <c r="G2107" s="15" t="s">
        <v>3300</v>
      </c>
      <c r="H2107" s="23" t="s">
        <v>58</v>
      </c>
    </row>
    <row r="2108" spans="1:8" ht="54.95" customHeight="1" x14ac:dyDescent="0.2">
      <c r="A2108" s="23" t="s">
        <v>1425</v>
      </c>
      <c r="B2108" s="23" t="s">
        <v>3</v>
      </c>
      <c r="C2108" s="23" t="s">
        <v>3790</v>
      </c>
      <c r="D2108" s="23">
        <v>12786.506115</v>
      </c>
      <c r="E2108" s="23">
        <v>2024</v>
      </c>
      <c r="F2108" s="15" t="s">
        <v>3316</v>
      </c>
      <c r="G2108" s="15" t="s">
        <v>3317</v>
      </c>
      <c r="H2108" s="23" t="s">
        <v>58</v>
      </c>
    </row>
    <row r="2109" spans="1:8" ht="54.95" customHeight="1" x14ac:dyDescent="0.2">
      <c r="A2109" s="23" t="s">
        <v>1425</v>
      </c>
      <c r="B2109" s="23" t="s">
        <v>6</v>
      </c>
      <c r="C2109" s="23" t="s">
        <v>46</v>
      </c>
      <c r="D2109" s="23">
        <v>66.168997081029417</v>
      </c>
      <c r="E2109" s="23">
        <v>2024</v>
      </c>
      <c r="F2109" s="15" t="s">
        <v>3319</v>
      </c>
      <c r="G2109" s="15" t="s">
        <v>3320</v>
      </c>
      <c r="H2109" s="23" t="s">
        <v>58</v>
      </c>
    </row>
    <row r="2110" spans="1:8" ht="54.95" customHeight="1" x14ac:dyDescent="0.2">
      <c r="A2110" s="23" t="s">
        <v>1425</v>
      </c>
      <c r="B2110" s="23" t="s">
        <v>7</v>
      </c>
      <c r="C2110" s="23" t="s">
        <v>46</v>
      </c>
      <c r="D2110" s="23">
        <v>19.59950717936993</v>
      </c>
      <c r="E2110" s="23">
        <v>2024</v>
      </c>
      <c r="F2110" s="15" t="s">
        <v>3322</v>
      </c>
      <c r="G2110" s="15" t="s">
        <v>3320</v>
      </c>
      <c r="H2110" s="23" t="s">
        <v>58</v>
      </c>
    </row>
    <row r="2111" spans="1:8" ht="54.95" customHeight="1" x14ac:dyDescent="0.2">
      <c r="A2111" s="23" t="s">
        <v>1425</v>
      </c>
      <c r="B2111" s="23" t="s">
        <v>8</v>
      </c>
      <c r="C2111" s="23" t="s">
        <v>46</v>
      </c>
      <c r="D2111" s="23">
        <v>4.6165378148728164</v>
      </c>
      <c r="E2111" s="23">
        <v>2024</v>
      </c>
      <c r="F2111" s="15" t="s">
        <v>3324</v>
      </c>
      <c r="G2111" s="15" t="s">
        <v>3320</v>
      </c>
      <c r="H2111" s="23" t="s">
        <v>58</v>
      </c>
    </row>
    <row r="2112" spans="1:8" ht="54.95" customHeight="1" x14ac:dyDescent="0.2">
      <c r="A2112" s="23" t="s">
        <v>1425</v>
      </c>
      <c r="B2112" s="23" t="s">
        <v>9</v>
      </c>
      <c r="C2112" s="23" t="s">
        <v>46</v>
      </c>
      <c r="D2112" s="23">
        <v>9.1714660240476498</v>
      </c>
      <c r="E2112" s="23">
        <v>2024</v>
      </c>
      <c r="F2112" s="15" t="s">
        <v>3325</v>
      </c>
      <c r="G2112" s="15" t="s">
        <v>3320</v>
      </c>
      <c r="H2112" s="23" t="s">
        <v>58</v>
      </c>
    </row>
    <row r="2113" spans="1:8" ht="54.95" customHeight="1" x14ac:dyDescent="0.2">
      <c r="A2113" s="23" t="s">
        <v>1425</v>
      </c>
      <c r="B2113" s="23" t="s">
        <v>10</v>
      </c>
      <c r="C2113" s="23" t="s">
        <v>46</v>
      </c>
      <c r="D2113" s="23">
        <v>0.21965711154708192</v>
      </c>
      <c r="E2113" s="23">
        <v>2024</v>
      </c>
      <c r="F2113" s="15" t="s">
        <v>3326</v>
      </c>
      <c r="G2113" s="15" t="s">
        <v>3320</v>
      </c>
      <c r="H2113" s="23" t="s">
        <v>58</v>
      </c>
    </row>
    <row r="2114" spans="1:8" ht="54.95" customHeight="1" x14ac:dyDescent="0.2">
      <c r="A2114" s="23" t="s">
        <v>1425</v>
      </c>
      <c r="B2114" s="23" t="s">
        <v>5</v>
      </c>
      <c r="C2114" s="23" t="s">
        <v>3791</v>
      </c>
      <c r="D2114" s="23">
        <v>4.67986123809</v>
      </c>
      <c r="E2114" s="23">
        <v>2024</v>
      </c>
      <c r="F2114" s="15" t="s">
        <v>3316</v>
      </c>
      <c r="G2114" s="15" t="s">
        <v>3311</v>
      </c>
      <c r="H2114" s="23" t="s">
        <v>58</v>
      </c>
    </row>
    <row r="2115" spans="1:8" ht="54.95" customHeight="1" x14ac:dyDescent="0.2">
      <c r="A2115" s="23" t="s">
        <v>1431</v>
      </c>
      <c r="B2115" s="23" t="s">
        <v>11</v>
      </c>
      <c r="C2115" s="23" t="s">
        <v>46</v>
      </c>
      <c r="D2115" s="23">
        <v>0</v>
      </c>
      <c r="E2115" s="23">
        <v>2025</v>
      </c>
      <c r="F2115" s="15" t="s">
        <v>3299</v>
      </c>
      <c r="G2115" s="15" t="s">
        <v>3300</v>
      </c>
      <c r="H2115" s="23" t="s">
        <v>58</v>
      </c>
    </row>
    <row r="2116" spans="1:8" ht="54.95" customHeight="1" x14ac:dyDescent="0.2">
      <c r="A2116" s="23" t="s">
        <v>1431</v>
      </c>
      <c r="B2116" s="23" t="s">
        <v>13</v>
      </c>
      <c r="C2116" s="23" t="s">
        <v>46</v>
      </c>
      <c r="D2116" s="23">
        <v>0</v>
      </c>
      <c r="E2116" s="23">
        <v>2025</v>
      </c>
      <c r="F2116" s="15" t="s">
        <v>3302</v>
      </c>
      <c r="G2116" s="15" t="s">
        <v>3300</v>
      </c>
      <c r="H2116" s="23" t="s">
        <v>58</v>
      </c>
    </row>
    <row r="2117" spans="1:8" ht="54.95" customHeight="1" x14ac:dyDescent="0.2">
      <c r="A2117" s="23" t="s">
        <v>1431</v>
      </c>
      <c r="B2117" s="23" t="s">
        <v>14</v>
      </c>
      <c r="C2117" s="23" t="s">
        <v>46</v>
      </c>
      <c r="D2117" s="23">
        <v>0</v>
      </c>
      <c r="E2117" s="23">
        <v>2025</v>
      </c>
      <c r="F2117" s="15" t="s">
        <v>3304</v>
      </c>
      <c r="G2117" s="15" t="s">
        <v>3300</v>
      </c>
      <c r="H2117" s="23" t="s">
        <v>58</v>
      </c>
    </row>
    <row r="2118" spans="1:8" ht="54.95" customHeight="1" x14ac:dyDescent="0.2">
      <c r="A2118" s="23" t="s">
        <v>1431</v>
      </c>
      <c r="B2118" s="23" t="s">
        <v>3</v>
      </c>
      <c r="C2118" s="23" t="s">
        <v>46</v>
      </c>
      <c r="D2118" s="23">
        <v>602.30978500000003</v>
      </c>
      <c r="E2118" s="23">
        <v>2024</v>
      </c>
      <c r="F2118" s="15" t="s">
        <v>3316</v>
      </c>
      <c r="G2118" s="15" t="s">
        <v>3317</v>
      </c>
      <c r="H2118" s="23" t="s">
        <v>58</v>
      </c>
    </row>
    <row r="2119" spans="1:8" ht="54.95" customHeight="1" x14ac:dyDescent="0.2">
      <c r="A2119" s="23" t="s">
        <v>1431</v>
      </c>
      <c r="B2119" s="23" t="s">
        <v>6</v>
      </c>
      <c r="C2119" s="23" t="s">
        <v>46</v>
      </c>
      <c r="D2119" s="23">
        <v>43.378950916429162</v>
      </c>
      <c r="E2119" s="23">
        <v>2024</v>
      </c>
      <c r="F2119" s="15" t="s">
        <v>3319</v>
      </c>
      <c r="G2119" s="15" t="s">
        <v>3320</v>
      </c>
      <c r="H2119" s="23" t="s">
        <v>58</v>
      </c>
    </row>
    <row r="2120" spans="1:8" ht="54.95" customHeight="1" x14ac:dyDescent="0.2">
      <c r="A2120" s="23" t="s">
        <v>1431</v>
      </c>
      <c r="B2120" s="23" t="s">
        <v>7</v>
      </c>
      <c r="C2120" s="23" t="s">
        <v>46</v>
      </c>
      <c r="D2120" s="23">
        <v>13.052859335499589</v>
      </c>
      <c r="E2120" s="23">
        <v>2024</v>
      </c>
      <c r="F2120" s="15" t="s">
        <v>3322</v>
      </c>
      <c r="G2120" s="15" t="s">
        <v>3320</v>
      </c>
      <c r="H2120" s="23" t="s">
        <v>58</v>
      </c>
    </row>
    <row r="2121" spans="1:8" ht="54.95" customHeight="1" x14ac:dyDescent="0.2">
      <c r="A2121" s="23" t="s">
        <v>1431</v>
      </c>
      <c r="B2121" s="23" t="s">
        <v>8</v>
      </c>
      <c r="C2121" s="23" t="s">
        <v>46</v>
      </c>
      <c r="D2121" s="23">
        <v>8.875283339452969E-2</v>
      </c>
      <c r="E2121" s="23">
        <v>2024</v>
      </c>
      <c r="F2121" s="15" t="s">
        <v>3324</v>
      </c>
      <c r="G2121" s="15" t="s">
        <v>3320</v>
      </c>
      <c r="H2121" s="23" t="s">
        <v>58</v>
      </c>
    </row>
    <row r="2122" spans="1:8" ht="54.95" customHeight="1" x14ac:dyDescent="0.2">
      <c r="A2122" s="23" t="s">
        <v>1431</v>
      </c>
      <c r="B2122" s="23" t="s">
        <v>9</v>
      </c>
      <c r="C2122" s="23" t="s">
        <v>46</v>
      </c>
      <c r="D2122" s="23">
        <v>14.157175779569975</v>
      </c>
      <c r="E2122" s="23">
        <v>2024</v>
      </c>
      <c r="F2122" s="15" t="s">
        <v>3325</v>
      </c>
      <c r="G2122" s="15" t="s">
        <v>3320</v>
      </c>
      <c r="H2122" s="23" t="s">
        <v>58</v>
      </c>
    </row>
    <row r="2123" spans="1:8" ht="54.95" customHeight="1" x14ac:dyDescent="0.2">
      <c r="A2123" s="23" t="s">
        <v>1431</v>
      </c>
      <c r="B2123" s="23" t="s">
        <v>10</v>
      </c>
      <c r="C2123" s="23" t="s">
        <v>46</v>
      </c>
      <c r="D2123" s="23">
        <v>29.215145491949794</v>
      </c>
      <c r="E2123" s="23">
        <v>2024</v>
      </c>
      <c r="F2123" s="15" t="s">
        <v>3326</v>
      </c>
      <c r="G2123" s="15" t="s">
        <v>3320</v>
      </c>
      <c r="H2123" s="23" t="s">
        <v>58</v>
      </c>
    </row>
    <row r="2124" spans="1:8" ht="54.95" customHeight="1" x14ac:dyDescent="0.2">
      <c r="A2124" s="23" t="s">
        <v>1431</v>
      </c>
      <c r="B2124" s="23" t="s">
        <v>5</v>
      </c>
      <c r="C2124" s="23" t="s">
        <v>46</v>
      </c>
      <c r="D2124" s="23">
        <v>0.22044538131000002</v>
      </c>
      <c r="E2124" s="23">
        <v>2024</v>
      </c>
      <c r="F2124" s="15" t="s">
        <v>3316</v>
      </c>
      <c r="G2124" s="15" t="s">
        <v>3311</v>
      </c>
      <c r="H2124" s="23" t="s">
        <v>58</v>
      </c>
    </row>
    <row r="2125" spans="1:8" ht="54.95" customHeight="1" x14ac:dyDescent="0.2">
      <c r="A2125" s="23" t="s">
        <v>1436</v>
      </c>
      <c r="B2125" s="23" t="s">
        <v>3</v>
      </c>
      <c r="C2125" s="23" t="s">
        <v>46</v>
      </c>
      <c r="D2125" s="23">
        <v>1174.9969619999999</v>
      </c>
      <c r="E2125" s="23">
        <v>2024</v>
      </c>
      <c r="F2125" s="15" t="s">
        <v>3316</v>
      </c>
      <c r="G2125" s="15" t="s">
        <v>3317</v>
      </c>
      <c r="H2125" s="23" t="s">
        <v>58</v>
      </c>
    </row>
    <row r="2126" spans="1:8" ht="54.95" customHeight="1" x14ac:dyDescent="0.2">
      <c r="A2126" s="23" t="s">
        <v>1436</v>
      </c>
      <c r="B2126" s="23" t="s">
        <v>6</v>
      </c>
      <c r="C2126" s="23" t="s">
        <v>46</v>
      </c>
      <c r="D2126" s="23">
        <v>48.007167868745519</v>
      </c>
      <c r="E2126" s="23">
        <v>2024</v>
      </c>
      <c r="F2126" s="15" t="s">
        <v>3319</v>
      </c>
      <c r="G2126" s="15" t="s">
        <v>3320</v>
      </c>
      <c r="H2126" s="23" t="s">
        <v>58</v>
      </c>
    </row>
    <row r="2127" spans="1:8" ht="54.95" customHeight="1" x14ac:dyDescent="0.2">
      <c r="A2127" s="23" t="s">
        <v>1436</v>
      </c>
      <c r="B2127" s="23" t="s">
        <v>7</v>
      </c>
      <c r="C2127" s="23" t="s">
        <v>46</v>
      </c>
      <c r="D2127" s="23">
        <v>37.193415824338103</v>
      </c>
      <c r="E2127" s="23">
        <v>2024</v>
      </c>
      <c r="F2127" s="15" t="s">
        <v>3322</v>
      </c>
      <c r="G2127" s="15" t="s">
        <v>3320</v>
      </c>
      <c r="H2127" s="23" t="s">
        <v>58</v>
      </c>
    </row>
    <row r="2128" spans="1:8" ht="54.95" customHeight="1" x14ac:dyDescent="0.2">
      <c r="A2128" s="23" t="s">
        <v>1436</v>
      </c>
      <c r="B2128" s="23" t="s">
        <v>8</v>
      </c>
      <c r="C2128" s="23" t="s">
        <v>46</v>
      </c>
      <c r="D2128" s="23">
        <v>0</v>
      </c>
      <c r="E2128" s="23">
        <v>2024</v>
      </c>
      <c r="F2128" s="15" t="s">
        <v>3324</v>
      </c>
      <c r="G2128" s="15" t="s">
        <v>3320</v>
      </c>
      <c r="H2128" s="23" t="s">
        <v>58</v>
      </c>
    </row>
    <row r="2129" spans="1:8" ht="54.95" customHeight="1" x14ac:dyDescent="0.2">
      <c r="A2129" s="23" t="s">
        <v>1436</v>
      </c>
      <c r="B2129" s="23" t="s">
        <v>9</v>
      </c>
      <c r="C2129" s="23" t="s">
        <v>46</v>
      </c>
      <c r="D2129" s="23">
        <v>14.331352969064104</v>
      </c>
      <c r="E2129" s="23">
        <v>2024</v>
      </c>
      <c r="F2129" s="15" t="s">
        <v>3325</v>
      </c>
      <c r="G2129" s="15" t="s">
        <v>3320</v>
      </c>
      <c r="H2129" s="23" t="s">
        <v>58</v>
      </c>
    </row>
    <row r="2130" spans="1:8" ht="54.95" customHeight="1" x14ac:dyDescent="0.2">
      <c r="A2130" s="23" t="s">
        <v>1436</v>
      </c>
      <c r="B2130" s="23" t="s">
        <v>10</v>
      </c>
      <c r="C2130" s="23" t="s">
        <v>46</v>
      </c>
      <c r="D2130" s="23">
        <v>0</v>
      </c>
      <c r="E2130" s="23">
        <v>2024</v>
      </c>
      <c r="F2130" s="15" t="s">
        <v>3326</v>
      </c>
      <c r="G2130" s="15" t="s">
        <v>3320</v>
      </c>
      <c r="H2130" s="23" t="s">
        <v>58</v>
      </c>
    </row>
    <row r="2131" spans="1:8" ht="54.95" customHeight="1" x14ac:dyDescent="0.2">
      <c r="A2131" s="23" t="s">
        <v>1436</v>
      </c>
      <c r="B2131" s="23" t="s">
        <v>5</v>
      </c>
      <c r="C2131" s="23" t="s">
        <v>46</v>
      </c>
      <c r="D2131" s="23">
        <v>0.43004888809199998</v>
      </c>
      <c r="E2131" s="23">
        <v>2024</v>
      </c>
      <c r="F2131" s="15" t="s">
        <v>3316</v>
      </c>
      <c r="G2131" s="15" t="s">
        <v>3311</v>
      </c>
      <c r="H2131" s="23" t="s">
        <v>58</v>
      </c>
    </row>
    <row r="2132" spans="1:8" ht="54.95" customHeight="1" x14ac:dyDescent="0.2">
      <c r="A2132" s="23" t="s">
        <v>1445</v>
      </c>
      <c r="B2132" s="23" t="s">
        <v>11</v>
      </c>
      <c r="C2132" s="23" t="s">
        <v>46</v>
      </c>
      <c r="D2132" s="23">
        <v>0</v>
      </c>
      <c r="E2132" s="23">
        <v>2025</v>
      </c>
      <c r="F2132" s="15" t="s">
        <v>3299</v>
      </c>
      <c r="G2132" s="15" t="s">
        <v>3300</v>
      </c>
      <c r="H2132" s="23" t="s">
        <v>58</v>
      </c>
    </row>
    <row r="2133" spans="1:8" ht="54.95" customHeight="1" x14ac:dyDescent="0.2">
      <c r="A2133" s="23" t="s">
        <v>1445</v>
      </c>
      <c r="B2133" s="23" t="s">
        <v>13</v>
      </c>
      <c r="C2133" s="23" t="s">
        <v>46</v>
      </c>
      <c r="D2133" s="23">
        <v>0</v>
      </c>
      <c r="E2133" s="23">
        <v>2025</v>
      </c>
      <c r="F2133" s="15" t="s">
        <v>3302</v>
      </c>
      <c r="G2133" s="15" t="s">
        <v>3300</v>
      </c>
      <c r="H2133" s="23" t="s">
        <v>58</v>
      </c>
    </row>
    <row r="2134" spans="1:8" ht="54.95" customHeight="1" x14ac:dyDescent="0.2">
      <c r="A2134" s="23" t="s">
        <v>1445</v>
      </c>
      <c r="B2134" s="23" t="s">
        <v>14</v>
      </c>
      <c r="C2134" s="23" t="s">
        <v>46</v>
      </c>
      <c r="D2134" s="23">
        <v>0</v>
      </c>
      <c r="E2134" s="23">
        <v>2025</v>
      </c>
      <c r="F2134" s="15" t="s">
        <v>3304</v>
      </c>
      <c r="G2134" s="15" t="s">
        <v>3300</v>
      </c>
      <c r="H2134" s="23" t="s">
        <v>58</v>
      </c>
    </row>
    <row r="2135" spans="1:8" ht="54.95" customHeight="1" x14ac:dyDescent="0.2">
      <c r="A2135" s="23" t="s">
        <v>1445</v>
      </c>
      <c r="B2135" s="23" t="s">
        <v>3</v>
      </c>
      <c r="C2135" s="23" t="s">
        <v>46</v>
      </c>
      <c r="D2135" s="23">
        <v>755.23182499999996</v>
      </c>
      <c r="E2135" s="23">
        <v>2024</v>
      </c>
      <c r="F2135" s="15" t="s">
        <v>3316</v>
      </c>
      <c r="G2135" s="15" t="s">
        <v>3317</v>
      </c>
      <c r="H2135" s="23" t="s">
        <v>58</v>
      </c>
    </row>
    <row r="2136" spans="1:8" ht="54.95" customHeight="1" x14ac:dyDescent="0.2">
      <c r="A2136" s="23" t="s">
        <v>1445</v>
      </c>
      <c r="B2136" s="23" t="s">
        <v>6</v>
      </c>
      <c r="C2136" s="23" t="s">
        <v>46</v>
      </c>
      <c r="D2136" s="23">
        <v>32.104768360364055</v>
      </c>
      <c r="E2136" s="23">
        <v>2024</v>
      </c>
      <c r="F2136" s="15" t="s">
        <v>3319</v>
      </c>
      <c r="G2136" s="15" t="s">
        <v>3320</v>
      </c>
      <c r="H2136" s="23" t="s">
        <v>58</v>
      </c>
    </row>
    <row r="2137" spans="1:8" ht="54.95" customHeight="1" x14ac:dyDescent="0.2">
      <c r="A2137" s="23" t="s">
        <v>1445</v>
      </c>
      <c r="B2137" s="23" t="s">
        <v>7</v>
      </c>
      <c r="C2137" s="23" t="s">
        <v>46</v>
      </c>
      <c r="D2137" s="23">
        <v>0.41550142567151488</v>
      </c>
      <c r="E2137" s="23">
        <v>2024</v>
      </c>
      <c r="F2137" s="15" t="s">
        <v>3322</v>
      </c>
      <c r="G2137" s="15" t="s">
        <v>3320</v>
      </c>
      <c r="H2137" s="23" t="s">
        <v>58</v>
      </c>
    </row>
    <row r="2138" spans="1:8" ht="54.95" customHeight="1" x14ac:dyDescent="0.2">
      <c r="A2138" s="23" t="s">
        <v>1445</v>
      </c>
      <c r="B2138" s="23" t="s">
        <v>8</v>
      </c>
      <c r="C2138" s="23" t="s">
        <v>46</v>
      </c>
      <c r="D2138" s="23">
        <v>0.32139972385300364</v>
      </c>
      <c r="E2138" s="23">
        <v>2024</v>
      </c>
      <c r="F2138" s="15" t="s">
        <v>3324</v>
      </c>
      <c r="G2138" s="15" t="s">
        <v>3320</v>
      </c>
      <c r="H2138" s="23" t="s">
        <v>58</v>
      </c>
    </row>
    <row r="2139" spans="1:8" ht="54.95" customHeight="1" x14ac:dyDescent="0.2">
      <c r="A2139" s="23" t="s">
        <v>1445</v>
      </c>
      <c r="B2139" s="23" t="s">
        <v>9</v>
      </c>
      <c r="C2139" s="23" t="s">
        <v>46</v>
      </c>
      <c r="D2139" s="23">
        <v>10.438286813456255</v>
      </c>
      <c r="E2139" s="23">
        <v>2024</v>
      </c>
      <c r="F2139" s="15" t="s">
        <v>3325</v>
      </c>
      <c r="G2139" s="15" t="s">
        <v>3320</v>
      </c>
      <c r="H2139" s="23" t="s">
        <v>58</v>
      </c>
    </row>
    <row r="2140" spans="1:8" ht="54.95" customHeight="1" x14ac:dyDescent="0.2">
      <c r="A2140" s="23" t="s">
        <v>1445</v>
      </c>
      <c r="B2140" s="23" t="s">
        <v>10</v>
      </c>
      <c r="C2140" s="23" t="s">
        <v>46</v>
      </c>
      <c r="D2140" s="23">
        <v>55.953617420717137</v>
      </c>
      <c r="E2140" s="23">
        <v>2024</v>
      </c>
      <c r="F2140" s="15" t="s">
        <v>3326</v>
      </c>
      <c r="G2140" s="15" t="s">
        <v>3320</v>
      </c>
      <c r="H2140" s="23" t="s">
        <v>58</v>
      </c>
    </row>
    <row r="2141" spans="1:8" ht="54.95" customHeight="1" x14ac:dyDescent="0.2">
      <c r="A2141" s="23" t="s">
        <v>1445</v>
      </c>
      <c r="B2141" s="23" t="s">
        <v>5</v>
      </c>
      <c r="C2141" s="23" t="s">
        <v>46</v>
      </c>
      <c r="D2141" s="23">
        <v>0.27641484794999999</v>
      </c>
      <c r="E2141" s="23">
        <v>2024</v>
      </c>
      <c r="F2141" s="15" t="s">
        <v>3316</v>
      </c>
      <c r="G2141" s="15" t="s">
        <v>3311</v>
      </c>
      <c r="H2141" s="23" t="s">
        <v>58</v>
      </c>
    </row>
    <row r="2142" spans="1:8" ht="54.95" customHeight="1" x14ac:dyDescent="0.2">
      <c r="A2142" s="23" t="s">
        <v>1449</v>
      </c>
      <c r="B2142" s="23" t="s">
        <v>11</v>
      </c>
      <c r="C2142" s="23" t="s">
        <v>46</v>
      </c>
      <c r="D2142" s="23">
        <v>0</v>
      </c>
      <c r="E2142" s="23">
        <v>2025</v>
      </c>
      <c r="F2142" s="15" t="s">
        <v>3299</v>
      </c>
      <c r="G2142" s="15" t="s">
        <v>3300</v>
      </c>
      <c r="H2142" s="23" t="s">
        <v>58</v>
      </c>
    </row>
    <row r="2143" spans="1:8" ht="54.95" customHeight="1" x14ac:dyDescent="0.2">
      <c r="A2143" s="23" t="s">
        <v>1449</v>
      </c>
      <c r="B2143" s="23" t="s">
        <v>13</v>
      </c>
      <c r="C2143" s="23" t="s">
        <v>46</v>
      </c>
      <c r="D2143" s="23">
        <v>0</v>
      </c>
      <c r="E2143" s="23">
        <v>2025</v>
      </c>
      <c r="F2143" s="15" t="s">
        <v>3302</v>
      </c>
      <c r="G2143" s="15" t="s">
        <v>3300</v>
      </c>
      <c r="H2143" s="23" t="s">
        <v>58</v>
      </c>
    </row>
    <row r="2144" spans="1:8" ht="54.95" customHeight="1" x14ac:dyDescent="0.2">
      <c r="A2144" s="23" t="s">
        <v>1449</v>
      </c>
      <c r="B2144" s="23" t="s">
        <v>14</v>
      </c>
      <c r="C2144" s="23" t="s">
        <v>46</v>
      </c>
      <c r="D2144" s="23">
        <v>0</v>
      </c>
      <c r="E2144" s="23">
        <v>2025</v>
      </c>
      <c r="F2144" s="15" t="s">
        <v>3304</v>
      </c>
      <c r="G2144" s="15" t="s">
        <v>3300</v>
      </c>
      <c r="H2144" s="23" t="s">
        <v>58</v>
      </c>
    </row>
    <row r="2145" spans="1:8" ht="54.95" customHeight="1" x14ac:dyDescent="0.2">
      <c r="A2145" s="23" t="s">
        <v>1449</v>
      </c>
      <c r="B2145" s="23" t="s">
        <v>3</v>
      </c>
      <c r="C2145" s="23" t="s">
        <v>46</v>
      </c>
      <c r="D2145" s="23">
        <v>2193.618336</v>
      </c>
      <c r="E2145" s="23">
        <v>2024</v>
      </c>
      <c r="F2145" s="15" t="s">
        <v>3316</v>
      </c>
      <c r="G2145" s="15" t="s">
        <v>3317</v>
      </c>
      <c r="H2145" s="23" t="s">
        <v>58</v>
      </c>
    </row>
    <row r="2146" spans="1:8" ht="54.95" customHeight="1" x14ac:dyDescent="0.2">
      <c r="A2146" s="23" t="s">
        <v>1449</v>
      </c>
      <c r="B2146" s="23" t="s">
        <v>6</v>
      </c>
      <c r="C2146" s="23" t="s">
        <v>46</v>
      </c>
      <c r="D2146" s="23">
        <v>59.996860228651919</v>
      </c>
      <c r="E2146" s="23">
        <v>2024</v>
      </c>
      <c r="F2146" s="15" t="s">
        <v>3319</v>
      </c>
      <c r="G2146" s="15" t="s">
        <v>3320</v>
      </c>
      <c r="H2146" s="23" t="s">
        <v>58</v>
      </c>
    </row>
    <row r="2147" spans="1:8" ht="54.95" customHeight="1" x14ac:dyDescent="0.2">
      <c r="A2147" s="23" t="s">
        <v>1449</v>
      </c>
      <c r="B2147" s="23" t="s">
        <v>7</v>
      </c>
      <c r="C2147" s="23" t="s">
        <v>46</v>
      </c>
      <c r="D2147" s="23">
        <v>18.650830788825065</v>
      </c>
      <c r="E2147" s="23">
        <v>2024</v>
      </c>
      <c r="F2147" s="15" t="s">
        <v>3322</v>
      </c>
      <c r="G2147" s="15" t="s">
        <v>3320</v>
      </c>
      <c r="H2147" s="23" t="s">
        <v>58</v>
      </c>
    </row>
    <row r="2148" spans="1:8" ht="54.95" customHeight="1" x14ac:dyDescent="0.2">
      <c r="A2148" s="23" t="s">
        <v>1449</v>
      </c>
      <c r="B2148" s="23" t="s">
        <v>8</v>
      </c>
      <c r="C2148" s="23" t="s">
        <v>46</v>
      </c>
      <c r="D2148" s="23">
        <v>2.9058382652031223</v>
      </c>
      <c r="E2148" s="23">
        <v>2024</v>
      </c>
      <c r="F2148" s="15" t="s">
        <v>3324</v>
      </c>
      <c r="G2148" s="15" t="s">
        <v>3320</v>
      </c>
      <c r="H2148" s="23" t="s">
        <v>58</v>
      </c>
    </row>
    <row r="2149" spans="1:8" ht="54.95" customHeight="1" x14ac:dyDescent="0.2">
      <c r="A2149" s="23" t="s">
        <v>1449</v>
      </c>
      <c r="B2149" s="23" t="s">
        <v>9</v>
      </c>
      <c r="C2149" s="23" t="s">
        <v>46</v>
      </c>
      <c r="D2149" s="23">
        <v>12.703088884100211</v>
      </c>
      <c r="E2149" s="23">
        <v>2024</v>
      </c>
      <c r="F2149" s="15" t="s">
        <v>3325</v>
      </c>
      <c r="G2149" s="15" t="s">
        <v>3320</v>
      </c>
      <c r="H2149" s="23" t="s">
        <v>58</v>
      </c>
    </row>
    <row r="2150" spans="1:8" ht="54.95" customHeight="1" x14ac:dyDescent="0.2">
      <c r="A2150" s="23" t="s">
        <v>1449</v>
      </c>
      <c r="B2150" s="23" t="s">
        <v>10</v>
      </c>
      <c r="C2150" s="23" t="s">
        <v>46</v>
      </c>
      <c r="D2150" s="23">
        <v>5.0050560846515459</v>
      </c>
      <c r="E2150" s="23">
        <v>2024</v>
      </c>
      <c r="F2150" s="15" t="s">
        <v>3326</v>
      </c>
      <c r="G2150" s="15" t="s">
        <v>3320</v>
      </c>
      <c r="H2150" s="23" t="s">
        <v>58</v>
      </c>
    </row>
    <row r="2151" spans="1:8" ht="54.95" customHeight="1" x14ac:dyDescent="0.2">
      <c r="A2151" s="23" t="s">
        <v>1449</v>
      </c>
      <c r="B2151" s="23" t="s">
        <v>5</v>
      </c>
      <c r="C2151" s="23" t="s">
        <v>46</v>
      </c>
      <c r="D2151" s="23">
        <v>0.80286431097600008</v>
      </c>
      <c r="E2151" s="23">
        <v>2024</v>
      </c>
      <c r="F2151" s="15" t="s">
        <v>3316</v>
      </c>
      <c r="G2151" s="15" t="s">
        <v>3311</v>
      </c>
      <c r="H2151" s="23" t="s">
        <v>58</v>
      </c>
    </row>
    <row r="2152" spans="1:8" ht="54.95" customHeight="1" x14ac:dyDescent="0.2">
      <c r="A2152" s="23" t="s">
        <v>1454</v>
      </c>
      <c r="B2152" s="23" t="s">
        <v>11</v>
      </c>
      <c r="C2152" s="23" t="s">
        <v>46</v>
      </c>
      <c r="D2152" s="23">
        <v>0</v>
      </c>
      <c r="E2152" s="23">
        <v>2025</v>
      </c>
      <c r="F2152" s="15" t="s">
        <v>3299</v>
      </c>
      <c r="G2152" s="15" t="s">
        <v>3300</v>
      </c>
      <c r="H2152" s="23" t="s">
        <v>58</v>
      </c>
    </row>
    <row r="2153" spans="1:8" ht="54.95" customHeight="1" x14ac:dyDescent="0.2">
      <c r="A2153" s="23" t="s">
        <v>1454</v>
      </c>
      <c r="B2153" s="23" t="s">
        <v>13</v>
      </c>
      <c r="C2153" s="23" t="s">
        <v>46</v>
      </c>
      <c r="D2153" s="23">
        <v>0</v>
      </c>
      <c r="E2153" s="23">
        <v>2025</v>
      </c>
      <c r="F2153" s="15" t="s">
        <v>3302</v>
      </c>
      <c r="G2153" s="15" t="s">
        <v>3300</v>
      </c>
      <c r="H2153" s="23" t="s">
        <v>58</v>
      </c>
    </row>
    <row r="2154" spans="1:8" ht="54.95" customHeight="1" x14ac:dyDescent="0.2">
      <c r="A2154" s="23" t="s">
        <v>1454</v>
      </c>
      <c r="B2154" s="23" t="s">
        <v>14</v>
      </c>
      <c r="C2154" s="23" t="s">
        <v>46</v>
      </c>
      <c r="D2154" s="23">
        <v>0</v>
      </c>
      <c r="E2154" s="23">
        <v>2025</v>
      </c>
      <c r="F2154" s="15" t="s">
        <v>3304</v>
      </c>
      <c r="G2154" s="15" t="s">
        <v>3300</v>
      </c>
      <c r="H2154" s="23" t="s">
        <v>58</v>
      </c>
    </row>
    <row r="2155" spans="1:8" ht="54.95" customHeight="1" x14ac:dyDescent="0.2">
      <c r="A2155" s="23" t="s">
        <v>1454</v>
      </c>
      <c r="B2155" s="23" t="s">
        <v>3</v>
      </c>
      <c r="C2155" s="23" t="s">
        <v>46</v>
      </c>
      <c r="D2155" s="23">
        <v>57.751643000000001</v>
      </c>
      <c r="E2155" s="23">
        <v>2024</v>
      </c>
      <c r="F2155" s="15" t="s">
        <v>3316</v>
      </c>
      <c r="G2155" s="15" t="s">
        <v>3317</v>
      </c>
      <c r="H2155" s="23" t="s">
        <v>58</v>
      </c>
    </row>
    <row r="2156" spans="1:8" ht="54.95" customHeight="1" x14ac:dyDescent="0.2">
      <c r="A2156" s="23" t="s">
        <v>1454</v>
      </c>
      <c r="B2156" s="23" t="s">
        <v>6</v>
      </c>
      <c r="C2156" s="23" t="s">
        <v>46</v>
      </c>
      <c r="D2156" s="23">
        <v>43.793612936691687</v>
      </c>
      <c r="E2156" s="23">
        <v>2024</v>
      </c>
      <c r="F2156" s="15" t="s">
        <v>3319</v>
      </c>
      <c r="G2156" s="15" t="s">
        <v>3320</v>
      </c>
      <c r="H2156" s="23" t="s">
        <v>58</v>
      </c>
    </row>
    <row r="2157" spans="1:8" ht="54.95" customHeight="1" x14ac:dyDescent="0.2">
      <c r="A2157" s="23" t="s">
        <v>1454</v>
      </c>
      <c r="B2157" s="23" t="s">
        <v>7</v>
      </c>
      <c r="C2157" s="23" t="s">
        <v>46</v>
      </c>
      <c r="D2157" s="23">
        <v>33.189722411880126</v>
      </c>
      <c r="E2157" s="23">
        <v>2024</v>
      </c>
      <c r="F2157" s="15" t="s">
        <v>3322</v>
      </c>
      <c r="G2157" s="15" t="s">
        <v>3320</v>
      </c>
      <c r="H2157" s="23" t="s">
        <v>58</v>
      </c>
    </row>
    <row r="2158" spans="1:8" ht="54.95" customHeight="1" x14ac:dyDescent="0.2">
      <c r="A2158" s="23" t="s">
        <v>1454</v>
      </c>
      <c r="B2158" s="23" t="s">
        <v>8</v>
      </c>
      <c r="C2158" s="23" t="s">
        <v>46</v>
      </c>
      <c r="D2158" s="23">
        <v>2.1439061049743637</v>
      </c>
      <c r="E2158" s="23">
        <v>2024</v>
      </c>
      <c r="F2158" s="15" t="s">
        <v>3324</v>
      </c>
      <c r="G2158" s="15" t="s">
        <v>3320</v>
      </c>
      <c r="H2158" s="23" t="s">
        <v>58</v>
      </c>
    </row>
    <row r="2159" spans="1:8" ht="54.95" customHeight="1" x14ac:dyDescent="0.2">
      <c r="A2159" s="23" t="s">
        <v>1454</v>
      </c>
      <c r="B2159" s="23" t="s">
        <v>9</v>
      </c>
      <c r="C2159" s="23" t="s">
        <v>46</v>
      </c>
      <c r="D2159" s="23">
        <v>19.747308314674267</v>
      </c>
      <c r="E2159" s="23">
        <v>2024</v>
      </c>
      <c r="F2159" s="15" t="s">
        <v>3325</v>
      </c>
      <c r="G2159" s="15" t="s">
        <v>3320</v>
      </c>
      <c r="H2159" s="23" t="s">
        <v>58</v>
      </c>
    </row>
    <row r="2160" spans="1:8" ht="54.95" customHeight="1" x14ac:dyDescent="0.2">
      <c r="A2160" s="23" t="s">
        <v>1454</v>
      </c>
      <c r="B2160" s="23" t="s">
        <v>10</v>
      </c>
      <c r="C2160" s="23" t="s">
        <v>46</v>
      </c>
      <c r="D2160" s="23">
        <v>0</v>
      </c>
      <c r="E2160" s="23">
        <v>2024</v>
      </c>
      <c r="F2160" s="15" t="s">
        <v>3326</v>
      </c>
      <c r="G2160" s="15" t="s">
        <v>3320</v>
      </c>
      <c r="H2160" s="23" t="s">
        <v>58</v>
      </c>
    </row>
    <row r="2161" spans="1:8" ht="54.95" customHeight="1" x14ac:dyDescent="0.2">
      <c r="A2161" s="23" t="s">
        <v>1454</v>
      </c>
      <c r="B2161" s="23" t="s">
        <v>5</v>
      </c>
      <c r="C2161" s="23" t="s">
        <v>46</v>
      </c>
      <c r="D2161" s="23">
        <v>2.1137101338000001E-2</v>
      </c>
      <c r="E2161" s="23">
        <v>2024</v>
      </c>
      <c r="F2161" s="15" t="s">
        <v>3316</v>
      </c>
      <c r="G2161" s="15" t="s">
        <v>3311</v>
      </c>
      <c r="H2161" s="23" t="s">
        <v>58</v>
      </c>
    </row>
    <row r="2162" spans="1:8" ht="54.95" customHeight="1" x14ac:dyDescent="0.2">
      <c r="A2162" s="23" t="s">
        <v>1458</v>
      </c>
      <c r="B2162" s="23" t="s">
        <v>11</v>
      </c>
      <c r="C2162" s="23" t="s">
        <v>46</v>
      </c>
      <c r="D2162" s="23">
        <v>0</v>
      </c>
      <c r="E2162" s="23">
        <v>2025</v>
      </c>
      <c r="F2162" s="15" t="s">
        <v>3299</v>
      </c>
      <c r="G2162" s="15" t="s">
        <v>3300</v>
      </c>
      <c r="H2162" s="23" t="s">
        <v>58</v>
      </c>
    </row>
    <row r="2163" spans="1:8" ht="54.95" customHeight="1" x14ac:dyDescent="0.2">
      <c r="A2163" s="23" t="s">
        <v>1458</v>
      </c>
      <c r="B2163" s="23" t="s">
        <v>13</v>
      </c>
      <c r="C2163" s="23" t="s">
        <v>46</v>
      </c>
      <c r="D2163" s="23">
        <v>0</v>
      </c>
      <c r="E2163" s="23">
        <v>2025</v>
      </c>
      <c r="F2163" s="15" t="s">
        <v>3302</v>
      </c>
      <c r="G2163" s="15" t="s">
        <v>3300</v>
      </c>
      <c r="H2163" s="23" t="s">
        <v>58</v>
      </c>
    </row>
    <row r="2164" spans="1:8" ht="54.95" customHeight="1" x14ac:dyDescent="0.2">
      <c r="A2164" s="23" t="s">
        <v>1458</v>
      </c>
      <c r="B2164" s="23" t="s">
        <v>14</v>
      </c>
      <c r="C2164" s="23" t="s">
        <v>46</v>
      </c>
      <c r="D2164" s="23">
        <v>0</v>
      </c>
      <c r="E2164" s="23">
        <v>2025</v>
      </c>
      <c r="F2164" s="15" t="s">
        <v>3304</v>
      </c>
      <c r="G2164" s="15" t="s">
        <v>3300</v>
      </c>
      <c r="H2164" s="23" t="s">
        <v>58</v>
      </c>
    </row>
    <row r="2165" spans="1:8" ht="54.95" customHeight="1" x14ac:dyDescent="0.2">
      <c r="A2165" s="23" t="s">
        <v>1458</v>
      </c>
      <c r="B2165" s="23" t="s">
        <v>3</v>
      </c>
      <c r="C2165" s="23" t="s">
        <v>46</v>
      </c>
      <c r="D2165" s="23">
        <v>3864.9995650000001</v>
      </c>
      <c r="E2165" s="23">
        <v>2024</v>
      </c>
      <c r="F2165" s="15" t="s">
        <v>3316</v>
      </c>
      <c r="G2165" s="15" t="s">
        <v>3317</v>
      </c>
      <c r="H2165" s="23" t="s">
        <v>58</v>
      </c>
    </row>
    <row r="2166" spans="1:8" ht="54.95" customHeight="1" x14ac:dyDescent="0.2">
      <c r="A2166" s="23" t="s">
        <v>1458</v>
      </c>
      <c r="B2166" s="23" t="s">
        <v>6</v>
      </c>
      <c r="C2166" s="23" t="s">
        <v>46</v>
      </c>
      <c r="D2166" s="23">
        <v>59.692054480218282</v>
      </c>
      <c r="E2166" s="23">
        <v>2024</v>
      </c>
      <c r="F2166" s="15" t="s">
        <v>3319</v>
      </c>
      <c r="G2166" s="15" t="s">
        <v>3320</v>
      </c>
      <c r="H2166" s="23" t="s">
        <v>58</v>
      </c>
    </row>
    <row r="2167" spans="1:8" ht="54.95" customHeight="1" x14ac:dyDescent="0.2">
      <c r="A2167" s="23" t="s">
        <v>1458</v>
      </c>
      <c r="B2167" s="23" t="s">
        <v>7</v>
      </c>
      <c r="C2167" s="23" t="s">
        <v>46</v>
      </c>
      <c r="D2167" s="23">
        <v>9.0682618744356827</v>
      </c>
      <c r="E2167" s="23">
        <v>2024</v>
      </c>
      <c r="F2167" s="15" t="s">
        <v>3322</v>
      </c>
      <c r="G2167" s="15" t="s">
        <v>3320</v>
      </c>
      <c r="H2167" s="23" t="s">
        <v>58</v>
      </c>
    </row>
    <row r="2168" spans="1:8" ht="54.95" customHeight="1" x14ac:dyDescent="0.2">
      <c r="A2168" s="23" t="s">
        <v>1458</v>
      </c>
      <c r="B2168" s="23" t="s">
        <v>8</v>
      </c>
      <c r="C2168" s="23" t="s">
        <v>46</v>
      </c>
      <c r="D2168" s="23">
        <v>10.397493951593756</v>
      </c>
      <c r="E2168" s="23">
        <v>2024</v>
      </c>
      <c r="F2168" s="15" t="s">
        <v>3324</v>
      </c>
      <c r="G2168" s="15" t="s">
        <v>3320</v>
      </c>
      <c r="H2168" s="23" t="s">
        <v>58</v>
      </c>
    </row>
    <row r="2169" spans="1:8" ht="54.95" customHeight="1" x14ac:dyDescent="0.2">
      <c r="A2169" s="23" t="s">
        <v>1458</v>
      </c>
      <c r="B2169" s="23" t="s">
        <v>9</v>
      </c>
      <c r="C2169" s="23" t="s">
        <v>46</v>
      </c>
      <c r="D2169" s="23">
        <v>10.397493951593756</v>
      </c>
      <c r="E2169" s="23">
        <v>2024</v>
      </c>
      <c r="F2169" s="15" t="s">
        <v>3325</v>
      </c>
      <c r="G2169" s="15" t="s">
        <v>3320</v>
      </c>
      <c r="H2169" s="23" t="s">
        <v>58</v>
      </c>
    </row>
    <row r="2170" spans="1:8" ht="54.95" customHeight="1" x14ac:dyDescent="0.2">
      <c r="A2170" s="23" t="s">
        <v>1458</v>
      </c>
      <c r="B2170" s="23" t="s">
        <v>10</v>
      </c>
      <c r="C2170" s="23" t="s">
        <v>46</v>
      </c>
      <c r="D2170" s="23">
        <v>4.7201790564755208E-2</v>
      </c>
      <c r="E2170" s="23">
        <v>2024</v>
      </c>
      <c r="F2170" s="15" t="s">
        <v>3326</v>
      </c>
      <c r="G2170" s="15" t="s">
        <v>3320</v>
      </c>
      <c r="H2170" s="23" t="s">
        <v>58</v>
      </c>
    </row>
    <row r="2171" spans="1:8" ht="54.95" customHeight="1" x14ac:dyDescent="0.2">
      <c r="A2171" s="23" t="s">
        <v>1458</v>
      </c>
      <c r="B2171" s="23" t="s">
        <v>5</v>
      </c>
      <c r="C2171" s="23" t="s">
        <v>46</v>
      </c>
      <c r="D2171" s="23">
        <v>1.4145898407899999</v>
      </c>
      <c r="E2171" s="23">
        <v>2024</v>
      </c>
      <c r="F2171" s="15" t="s">
        <v>3316</v>
      </c>
      <c r="G2171" s="15" t="s">
        <v>3311</v>
      </c>
      <c r="H2171" s="23" t="s">
        <v>58</v>
      </c>
    </row>
    <row r="2172" spans="1:8" ht="54.95" customHeight="1" x14ac:dyDescent="0.2">
      <c r="A2172" s="23" t="s">
        <v>1467</v>
      </c>
      <c r="B2172" s="23" t="s">
        <v>11</v>
      </c>
      <c r="C2172" s="23" t="s">
        <v>46</v>
      </c>
      <c r="D2172" s="23">
        <v>0</v>
      </c>
      <c r="E2172" s="23">
        <v>2025</v>
      </c>
      <c r="F2172" s="15" t="s">
        <v>3299</v>
      </c>
      <c r="G2172" s="15" t="s">
        <v>3300</v>
      </c>
      <c r="H2172" s="23" t="s">
        <v>58</v>
      </c>
    </row>
    <row r="2173" spans="1:8" ht="54.95" customHeight="1" x14ac:dyDescent="0.2">
      <c r="A2173" s="23" t="s">
        <v>1467</v>
      </c>
      <c r="B2173" s="23" t="s">
        <v>13</v>
      </c>
      <c r="C2173" s="23" t="s">
        <v>46</v>
      </c>
      <c r="D2173" s="23">
        <v>0</v>
      </c>
      <c r="E2173" s="23">
        <v>2025</v>
      </c>
      <c r="F2173" s="15" t="s">
        <v>3302</v>
      </c>
      <c r="G2173" s="15" t="s">
        <v>3300</v>
      </c>
      <c r="H2173" s="23" t="s">
        <v>58</v>
      </c>
    </row>
    <row r="2174" spans="1:8" ht="54.95" customHeight="1" x14ac:dyDescent="0.2">
      <c r="A2174" s="23" t="s">
        <v>1467</v>
      </c>
      <c r="B2174" s="23" t="s">
        <v>14</v>
      </c>
      <c r="C2174" s="23" t="s">
        <v>46</v>
      </c>
      <c r="D2174" s="23">
        <v>0</v>
      </c>
      <c r="E2174" s="23">
        <v>2025</v>
      </c>
      <c r="F2174" s="15" t="s">
        <v>3304</v>
      </c>
      <c r="G2174" s="15" t="s">
        <v>3300</v>
      </c>
      <c r="H2174" s="23" t="s">
        <v>58</v>
      </c>
    </row>
    <row r="2175" spans="1:8" ht="54.95" customHeight="1" x14ac:dyDescent="0.2">
      <c r="A2175" s="23" t="s">
        <v>1467</v>
      </c>
      <c r="B2175" s="23" t="s">
        <v>3</v>
      </c>
      <c r="C2175" s="23" t="s">
        <v>3792</v>
      </c>
      <c r="D2175" s="23">
        <v>22006.408469999998</v>
      </c>
      <c r="E2175" s="23">
        <v>2024</v>
      </c>
      <c r="F2175" s="15" t="s">
        <v>3316</v>
      </c>
      <c r="G2175" s="15" t="s">
        <v>3317</v>
      </c>
      <c r="H2175" s="23" t="s">
        <v>58</v>
      </c>
    </row>
    <row r="2176" spans="1:8" ht="54.95" customHeight="1" x14ac:dyDescent="0.2">
      <c r="A2176" s="23" t="s">
        <v>1467</v>
      </c>
      <c r="B2176" s="23" t="s">
        <v>6</v>
      </c>
      <c r="C2176" s="23" t="s">
        <v>46</v>
      </c>
      <c r="D2176" s="23">
        <v>31.67259214288319</v>
      </c>
      <c r="E2176" s="23">
        <v>2024</v>
      </c>
      <c r="F2176" s="15" t="s">
        <v>3319</v>
      </c>
      <c r="G2176" s="15" t="s">
        <v>3320</v>
      </c>
      <c r="H2176" s="23" t="s">
        <v>58</v>
      </c>
    </row>
    <row r="2177" spans="1:8" ht="54.95" customHeight="1" x14ac:dyDescent="0.2">
      <c r="A2177" s="23" t="s">
        <v>1467</v>
      </c>
      <c r="B2177" s="23" t="s">
        <v>7</v>
      </c>
      <c r="C2177" s="23" t="s">
        <v>46</v>
      </c>
      <c r="D2177" s="23">
        <v>21.522859927174657</v>
      </c>
      <c r="E2177" s="23">
        <v>2024</v>
      </c>
      <c r="F2177" s="15" t="s">
        <v>3322</v>
      </c>
      <c r="G2177" s="15" t="s">
        <v>3320</v>
      </c>
      <c r="H2177" s="23" t="s">
        <v>58</v>
      </c>
    </row>
    <row r="2178" spans="1:8" ht="54.95" customHeight="1" x14ac:dyDescent="0.2">
      <c r="A2178" s="23" t="s">
        <v>1467</v>
      </c>
      <c r="B2178" s="23" t="s">
        <v>8</v>
      </c>
      <c r="C2178" s="23" t="s">
        <v>46</v>
      </c>
      <c r="D2178" s="23">
        <v>0.90882617339693506</v>
      </c>
      <c r="E2178" s="23">
        <v>2024</v>
      </c>
      <c r="F2178" s="15" t="s">
        <v>3324</v>
      </c>
      <c r="G2178" s="15" t="s">
        <v>3320</v>
      </c>
      <c r="H2178" s="23" t="s">
        <v>58</v>
      </c>
    </row>
    <row r="2179" spans="1:8" ht="54.95" customHeight="1" x14ac:dyDescent="0.2">
      <c r="A2179" s="23" t="s">
        <v>1467</v>
      </c>
      <c r="B2179" s="23" t="s">
        <v>9</v>
      </c>
      <c r="C2179" s="23" t="s">
        <v>46</v>
      </c>
      <c r="D2179" s="23">
        <v>35.535103379820157</v>
      </c>
      <c r="E2179" s="23">
        <v>2024</v>
      </c>
      <c r="F2179" s="15" t="s">
        <v>3325</v>
      </c>
      <c r="G2179" s="15" t="s">
        <v>3320</v>
      </c>
      <c r="H2179" s="23" t="s">
        <v>58</v>
      </c>
    </row>
    <row r="2180" spans="1:8" ht="54.95" customHeight="1" x14ac:dyDescent="0.2">
      <c r="A2180" s="23" t="s">
        <v>1467</v>
      </c>
      <c r="B2180" s="23" t="s">
        <v>10</v>
      </c>
      <c r="C2180" s="23" t="s">
        <v>46</v>
      </c>
      <c r="D2180" s="23">
        <v>10.360618376725061</v>
      </c>
      <c r="E2180" s="23">
        <v>2024</v>
      </c>
      <c r="F2180" s="15" t="s">
        <v>3326</v>
      </c>
      <c r="G2180" s="15" t="s">
        <v>3320</v>
      </c>
      <c r="H2180" s="23" t="s">
        <v>58</v>
      </c>
    </row>
    <row r="2181" spans="1:8" ht="54.95" customHeight="1" x14ac:dyDescent="0.2">
      <c r="A2181" s="23" t="s">
        <v>1467</v>
      </c>
      <c r="B2181" s="23" t="s">
        <v>5</v>
      </c>
      <c r="C2181" s="23" t="s">
        <v>3793</v>
      </c>
      <c r="D2181" s="23">
        <v>8.0543455000199984</v>
      </c>
      <c r="E2181" s="23">
        <v>2024</v>
      </c>
      <c r="F2181" s="15" t="s">
        <v>3316</v>
      </c>
      <c r="G2181" s="15" t="s">
        <v>3311</v>
      </c>
      <c r="H2181" s="23" t="s">
        <v>58</v>
      </c>
    </row>
    <row r="2182" spans="1:8" ht="54.95" customHeight="1" x14ac:dyDescent="0.2">
      <c r="A2182" s="23" t="s">
        <v>1475</v>
      </c>
      <c r="B2182" s="23" t="s">
        <v>11</v>
      </c>
      <c r="C2182" s="23" t="s">
        <v>46</v>
      </c>
      <c r="D2182" s="23">
        <v>188628.9607520274</v>
      </c>
      <c r="E2182" s="23">
        <v>2025</v>
      </c>
      <c r="F2182" s="15" t="s">
        <v>3299</v>
      </c>
      <c r="G2182" s="15" t="s">
        <v>3300</v>
      </c>
      <c r="H2182" s="23" t="s">
        <v>58</v>
      </c>
    </row>
    <row r="2183" spans="1:8" ht="54.95" customHeight="1" x14ac:dyDescent="0.2">
      <c r="A2183" s="23" t="s">
        <v>1475</v>
      </c>
      <c r="B2183" s="23" t="s">
        <v>13</v>
      </c>
      <c r="C2183" s="23" t="s">
        <v>46</v>
      </c>
      <c r="D2183" s="23">
        <v>175780.82191780824</v>
      </c>
      <c r="E2183" s="23">
        <v>2025</v>
      </c>
      <c r="F2183" s="15" t="s">
        <v>3302</v>
      </c>
      <c r="G2183" s="15" t="s">
        <v>3300</v>
      </c>
      <c r="H2183" s="23" t="s">
        <v>58</v>
      </c>
    </row>
    <row r="2184" spans="1:8" ht="54.95" customHeight="1" x14ac:dyDescent="0.2">
      <c r="A2184" s="23" t="s">
        <v>1475</v>
      </c>
      <c r="B2184" s="23" t="s">
        <v>14</v>
      </c>
      <c r="C2184" s="23" t="s">
        <v>46</v>
      </c>
      <c r="D2184" s="23">
        <v>9628.8630136986303</v>
      </c>
      <c r="E2184" s="23">
        <v>2025</v>
      </c>
      <c r="F2184" s="15" t="s">
        <v>3304</v>
      </c>
      <c r="G2184" s="15" t="s">
        <v>3300</v>
      </c>
      <c r="H2184" s="23" t="s">
        <v>58</v>
      </c>
    </row>
    <row r="2185" spans="1:8" ht="54.95" customHeight="1" x14ac:dyDescent="0.2">
      <c r="A2185" s="23" t="s">
        <v>1475</v>
      </c>
      <c r="B2185" s="23" t="s">
        <v>3</v>
      </c>
      <c r="C2185" s="23" t="s">
        <v>3794</v>
      </c>
      <c r="D2185" s="23">
        <v>52465.753424657538</v>
      </c>
      <c r="E2185" s="23">
        <v>2025</v>
      </c>
      <c r="F2185" s="15" t="s">
        <v>3305</v>
      </c>
      <c r="G2185" s="15" t="s">
        <v>3306</v>
      </c>
      <c r="H2185" s="23" t="s">
        <v>58</v>
      </c>
    </row>
    <row r="2186" spans="1:8" ht="54.95" customHeight="1" x14ac:dyDescent="0.2">
      <c r="A2186" s="23" t="s">
        <v>1475</v>
      </c>
      <c r="B2186" s="23" t="s">
        <v>6</v>
      </c>
      <c r="C2186" s="23" t="s">
        <v>46</v>
      </c>
      <c r="D2186" s="23">
        <v>21.06005221932115</v>
      </c>
      <c r="E2186" s="23">
        <v>2025</v>
      </c>
      <c r="F2186" s="15" t="s">
        <v>3305</v>
      </c>
      <c r="G2186" s="15" t="s">
        <v>3308</v>
      </c>
      <c r="H2186" s="23" t="s">
        <v>58</v>
      </c>
    </row>
    <row r="2187" spans="1:8" ht="54.95" customHeight="1" x14ac:dyDescent="0.2">
      <c r="A2187" s="23" t="s">
        <v>1475</v>
      </c>
      <c r="B2187" s="23" t="s">
        <v>7</v>
      </c>
      <c r="C2187" s="23" t="s">
        <v>46</v>
      </c>
      <c r="D2187" s="23">
        <v>45.229765013054831</v>
      </c>
      <c r="E2187" s="23">
        <v>2025</v>
      </c>
      <c r="F2187" s="15" t="s">
        <v>3305</v>
      </c>
      <c r="G2187" s="15" t="s">
        <v>3308</v>
      </c>
      <c r="H2187" s="23" t="s">
        <v>58</v>
      </c>
    </row>
    <row r="2188" spans="1:8" ht="54.95" customHeight="1" x14ac:dyDescent="0.2">
      <c r="A2188" s="23" t="s">
        <v>1475</v>
      </c>
      <c r="B2188" s="23" t="s">
        <v>8</v>
      </c>
      <c r="C2188" s="23" t="s">
        <v>46</v>
      </c>
      <c r="D2188" s="23">
        <v>6.2997389033942559</v>
      </c>
      <c r="E2188" s="23">
        <v>2025</v>
      </c>
      <c r="F2188" s="15" t="s">
        <v>3305</v>
      </c>
      <c r="G2188" s="15" t="s">
        <v>3308</v>
      </c>
      <c r="H2188" s="23" t="s">
        <v>58</v>
      </c>
    </row>
    <row r="2189" spans="1:8" ht="54.95" customHeight="1" x14ac:dyDescent="0.2">
      <c r="A2189" s="23" t="s">
        <v>1475</v>
      </c>
      <c r="B2189" s="23" t="s">
        <v>9</v>
      </c>
      <c r="C2189" s="23" t="s">
        <v>46</v>
      </c>
      <c r="D2189" s="23" t="s">
        <v>46</v>
      </c>
      <c r="E2189" s="23">
        <v>2025</v>
      </c>
      <c r="F2189" s="15" t="s">
        <v>3305</v>
      </c>
      <c r="G2189" s="15" t="s">
        <v>3357</v>
      </c>
      <c r="H2189" s="23" t="s">
        <v>58</v>
      </c>
    </row>
    <row r="2190" spans="1:8" ht="54.95" customHeight="1" x14ac:dyDescent="0.2">
      <c r="A2190" s="23" t="s">
        <v>1475</v>
      </c>
      <c r="B2190" s="23" t="s">
        <v>10</v>
      </c>
      <c r="C2190" s="23" t="s">
        <v>46</v>
      </c>
      <c r="D2190" s="23" t="s">
        <v>46</v>
      </c>
      <c r="E2190" s="23">
        <v>2025</v>
      </c>
      <c r="F2190" s="15" t="s">
        <v>3305</v>
      </c>
      <c r="G2190" s="15" t="s">
        <v>3357</v>
      </c>
      <c r="H2190" s="23" t="s">
        <v>58</v>
      </c>
    </row>
    <row r="2191" spans="1:8" ht="54.95" customHeight="1" x14ac:dyDescent="0.2">
      <c r="A2191" s="23" t="s">
        <v>1475</v>
      </c>
      <c r="B2191" s="23" t="s">
        <v>5</v>
      </c>
      <c r="C2191" s="23" t="s">
        <v>3795</v>
      </c>
      <c r="D2191" s="23">
        <v>19.149999999999999</v>
      </c>
      <c r="E2191" s="23">
        <v>2025</v>
      </c>
      <c r="F2191" s="15" t="s">
        <v>3305</v>
      </c>
      <c r="G2191" s="15" t="s">
        <v>3311</v>
      </c>
      <c r="H2191" s="23" t="s">
        <v>58</v>
      </c>
    </row>
    <row r="2192" spans="1:8" ht="54.95" customHeight="1" x14ac:dyDescent="0.2">
      <c r="A2192" s="23" t="s">
        <v>1481</v>
      </c>
      <c r="B2192" s="23" t="s">
        <v>3</v>
      </c>
      <c r="C2192" s="23" t="s">
        <v>46</v>
      </c>
      <c r="D2192" s="23">
        <v>1107772.602739726</v>
      </c>
      <c r="E2192" s="23">
        <v>2025</v>
      </c>
      <c r="F2192" s="15" t="s">
        <v>3305</v>
      </c>
      <c r="G2192" s="15" t="s">
        <v>3306</v>
      </c>
      <c r="H2192" s="23" t="s">
        <v>58</v>
      </c>
    </row>
    <row r="2193" spans="1:8" ht="54.95" customHeight="1" x14ac:dyDescent="0.2">
      <c r="A2193" s="23" t="s">
        <v>1481</v>
      </c>
      <c r="B2193" s="23" t="s">
        <v>6</v>
      </c>
      <c r="C2193" s="23" t="s">
        <v>46</v>
      </c>
      <c r="D2193" s="23">
        <v>52.006736954570073</v>
      </c>
      <c r="E2193" s="23">
        <v>2025</v>
      </c>
      <c r="F2193" s="15" t="s">
        <v>3305</v>
      </c>
      <c r="G2193" s="15" t="s">
        <v>3308</v>
      </c>
      <c r="H2193" s="23" t="s">
        <v>58</v>
      </c>
    </row>
    <row r="2194" spans="1:8" ht="54.95" customHeight="1" x14ac:dyDescent="0.2">
      <c r="A2194" s="23" t="s">
        <v>1481</v>
      </c>
      <c r="B2194" s="23" t="s">
        <v>7</v>
      </c>
      <c r="C2194" s="23" t="s">
        <v>46</v>
      </c>
      <c r="D2194" s="23">
        <v>24.779671412707714</v>
      </c>
      <c r="E2194" s="23">
        <v>2025</v>
      </c>
      <c r="F2194" s="15" t="s">
        <v>3305</v>
      </c>
      <c r="G2194" s="15" t="s">
        <v>3308</v>
      </c>
      <c r="H2194" s="23" t="s">
        <v>58</v>
      </c>
    </row>
    <row r="2195" spans="1:8" ht="54.95" customHeight="1" x14ac:dyDescent="0.2">
      <c r="A2195" s="23" t="s">
        <v>1481</v>
      </c>
      <c r="B2195" s="23" t="s">
        <v>8</v>
      </c>
      <c r="C2195" s="23" t="s">
        <v>46</v>
      </c>
      <c r="D2195" s="23">
        <v>2.2807707432166735</v>
      </c>
      <c r="E2195" s="23">
        <v>2025</v>
      </c>
      <c r="F2195" s="15" t="s">
        <v>3305</v>
      </c>
      <c r="G2195" s="15" t="s">
        <v>3308</v>
      </c>
      <c r="H2195" s="23" t="s">
        <v>58</v>
      </c>
    </row>
    <row r="2196" spans="1:8" ht="54.95" customHeight="1" x14ac:dyDescent="0.2">
      <c r="A2196" s="23" t="s">
        <v>1481</v>
      </c>
      <c r="B2196" s="23" t="s">
        <v>9</v>
      </c>
      <c r="C2196" s="23" t="s">
        <v>46</v>
      </c>
      <c r="D2196" s="23">
        <v>31.422912075817944</v>
      </c>
      <c r="E2196" s="23">
        <v>2025</v>
      </c>
      <c r="F2196" s="15" t="s">
        <v>3305</v>
      </c>
      <c r="G2196" s="15" t="s">
        <v>3308</v>
      </c>
      <c r="H2196" s="23" t="s">
        <v>58</v>
      </c>
    </row>
    <row r="2197" spans="1:8" ht="54.95" customHeight="1" x14ac:dyDescent="0.2">
      <c r="A2197" s="23" t="s">
        <v>1481</v>
      </c>
      <c r="B2197" s="23" t="s">
        <v>10</v>
      </c>
      <c r="C2197" s="23" t="s">
        <v>46</v>
      </c>
      <c r="D2197" s="23">
        <v>1.0442873147893958</v>
      </c>
      <c r="E2197" s="23">
        <v>2025</v>
      </c>
      <c r="F2197" s="15" t="s">
        <v>3305</v>
      </c>
      <c r="G2197" s="15" t="s">
        <v>3308</v>
      </c>
      <c r="H2197" s="23" t="s">
        <v>58</v>
      </c>
    </row>
    <row r="2198" spans="1:8" ht="54.95" customHeight="1" x14ac:dyDescent="0.2">
      <c r="A2198" s="23" t="s">
        <v>1481</v>
      </c>
      <c r="B2198" s="23" t="s">
        <v>5</v>
      </c>
      <c r="C2198" s="23" t="s">
        <v>46</v>
      </c>
      <c r="D2198" s="23">
        <v>404.33699999999999</v>
      </c>
      <c r="E2198" s="23">
        <v>2025</v>
      </c>
      <c r="F2198" s="15" t="s">
        <v>3305</v>
      </c>
      <c r="G2198" s="15" t="s">
        <v>3311</v>
      </c>
      <c r="H2198" s="23" t="s">
        <v>58</v>
      </c>
    </row>
    <row r="2199" spans="1:8" ht="54.95" customHeight="1" x14ac:dyDescent="0.2">
      <c r="A2199" s="23" t="s">
        <v>1483</v>
      </c>
      <c r="B2199" s="23" t="s">
        <v>11</v>
      </c>
      <c r="C2199" s="23" t="s">
        <v>46</v>
      </c>
      <c r="D2199" s="23">
        <v>0</v>
      </c>
      <c r="E2199" s="23">
        <v>2025</v>
      </c>
      <c r="F2199" s="15" t="s">
        <v>3299</v>
      </c>
      <c r="G2199" s="15" t="s">
        <v>3300</v>
      </c>
      <c r="H2199" s="23" t="s">
        <v>58</v>
      </c>
    </row>
    <row r="2200" spans="1:8" ht="54.95" customHeight="1" x14ac:dyDescent="0.2">
      <c r="A2200" s="23" t="s">
        <v>1483</v>
      </c>
      <c r="B2200" s="23" t="s">
        <v>13</v>
      </c>
      <c r="C2200" s="23" t="s">
        <v>46</v>
      </c>
      <c r="D2200" s="23">
        <v>0</v>
      </c>
      <c r="E2200" s="23">
        <v>2025</v>
      </c>
      <c r="F2200" s="15" t="s">
        <v>3302</v>
      </c>
      <c r="G2200" s="15" t="s">
        <v>3300</v>
      </c>
      <c r="H2200" s="23" t="s">
        <v>58</v>
      </c>
    </row>
    <row r="2201" spans="1:8" ht="54.95" customHeight="1" x14ac:dyDescent="0.2">
      <c r="A2201" s="23" t="s">
        <v>1483</v>
      </c>
      <c r="B2201" s="23" t="s">
        <v>14</v>
      </c>
      <c r="C2201" s="23" t="s">
        <v>46</v>
      </c>
      <c r="D2201" s="23">
        <v>0</v>
      </c>
      <c r="E2201" s="23">
        <v>2025</v>
      </c>
      <c r="F2201" s="15" t="s">
        <v>3304</v>
      </c>
      <c r="G2201" s="15" t="s">
        <v>3300</v>
      </c>
      <c r="H2201" s="23" t="s">
        <v>58</v>
      </c>
    </row>
    <row r="2202" spans="1:8" ht="54.95" customHeight="1" x14ac:dyDescent="0.2">
      <c r="A2202" s="23" t="s">
        <v>1483</v>
      </c>
      <c r="B2202" s="23" t="s">
        <v>3</v>
      </c>
      <c r="C2202" s="23" t="s">
        <v>46</v>
      </c>
      <c r="D2202" s="23">
        <v>8303.5499999999993</v>
      </c>
      <c r="E2202" s="23">
        <v>2024</v>
      </c>
      <c r="F2202" s="15" t="s">
        <v>3316</v>
      </c>
      <c r="G2202" s="15" t="s">
        <v>3317</v>
      </c>
      <c r="H2202" s="23" t="s">
        <v>58</v>
      </c>
    </row>
    <row r="2203" spans="1:8" ht="54.95" customHeight="1" x14ac:dyDescent="0.2">
      <c r="A2203" s="23" t="s">
        <v>1483</v>
      </c>
      <c r="B2203" s="23" t="s">
        <v>6</v>
      </c>
      <c r="C2203" s="23" t="s">
        <v>46</v>
      </c>
      <c r="D2203" s="23">
        <v>5.9880412594613155</v>
      </c>
      <c r="E2203" s="23">
        <v>2024</v>
      </c>
      <c r="F2203" s="15" t="s">
        <v>3319</v>
      </c>
      <c r="G2203" s="15" t="s">
        <v>3320</v>
      </c>
      <c r="H2203" s="23" t="s">
        <v>58</v>
      </c>
    </row>
    <row r="2204" spans="1:8" ht="54.95" customHeight="1" x14ac:dyDescent="0.2">
      <c r="A2204" s="23" t="s">
        <v>1483</v>
      </c>
      <c r="B2204" s="23" t="s">
        <v>7</v>
      </c>
      <c r="C2204" s="23" t="s">
        <v>46</v>
      </c>
      <c r="D2204" s="23">
        <v>0</v>
      </c>
      <c r="E2204" s="23">
        <v>2024</v>
      </c>
      <c r="F2204" s="15" t="s">
        <v>3322</v>
      </c>
      <c r="G2204" s="15" t="s">
        <v>3320</v>
      </c>
      <c r="H2204" s="23" t="s">
        <v>58</v>
      </c>
    </row>
    <row r="2205" spans="1:8" ht="54.95" customHeight="1" x14ac:dyDescent="0.2">
      <c r="A2205" s="23" t="s">
        <v>1483</v>
      </c>
      <c r="B2205" s="23" t="s">
        <v>8</v>
      </c>
      <c r="C2205" s="23" t="s">
        <v>46</v>
      </c>
      <c r="D2205" s="23">
        <v>0</v>
      </c>
      <c r="E2205" s="23">
        <v>2024</v>
      </c>
      <c r="F2205" s="15" t="s">
        <v>3324</v>
      </c>
      <c r="G2205" s="15" t="s">
        <v>3320</v>
      </c>
      <c r="H2205" s="23" t="s">
        <v>58</v>
      </c>
    </row>
    <row r="2206" spans="1:8" ht="54.95" customHeight="1" x14ac:dyDescent="0.2">
      <c r="A2206" s="23" t="s">
        <v>1483</v>
      </c>
      <c r="B2206" s="23" t="s">
        <v>9</v>
      </c>
      <c r="C2206" s="23" t="s">
        <v>46</v>
      </c>
      <c r="D2206" s="23">
        <v>94.011958740538688</v>
      </c>
      <c r="E2206" s="23">
        <v>2024</v>
      </c>
      <c r="F2206" s="15" t="s">
        <v>3325</v>
      </c>
      <c r="G2206" s="15" t="s">
        <v>3320</v>
      </c>
      <c r="H2206" s="23" t="s">
        <v>58</v>
      </c>
    </row>
    <row r="2207" spans="1:8" ht="54.95" customHeight="1" x14ac:dyDescent="0.2">
      <c r="A2207" s="23" t="s">
        <v>1483</v>
      </c>
      <c r="B2207" s="23" t="s">
        <v>10</v>
      </c>
      <c r="C2207" s="23" t="s">
        <v>46</v>
      </c>
      <c r="D2207" s="23">
        <v>0</v>
      </c>
      <c r="E2207" s="23">
        <v>2024</v>
      </c>
      <c r="F2207" s="15" t="s">
        <v>3326</v>
      </c>
      <c r="G2207" s="15" t="s">
        <v>3320</v>
      </c>
      <c r="H2207" s="23" t="s">
        <v>58</v>
      </c>
    </row>
    <row r="2208" spans="1:8" ht="54.95" customHeight="1" x14ac:dyDescent="0.2">
      <c r="A2208" s="23" t="s">
        <v>1483</v>
      </c>
      <c r="B2208" s="23" t="s">
        <v>5</v>
      </c>
      <c r="C2208" s="23" t="s">
        <v>46</v>
      </c>
      <c r="D2208" s="23">
        <v>3.0390992999999997</v>
      </c>
      <c r="E2208" s="23">
        <v>2024</v>
      </c>
      <c r="F2208" s="15" t="s">
        <v>3316</v>
      </c>
      <c r="G2208" s="15" t="s">
        <v>3311</v>
      </c>
      <c r="H2208" s="23" t="s">
        <v>58</v>
      </c>
    </row>
    <row r="2209" spans="1:8" ht="54.95" customHeight="1" x14ac:dyDescent="0.2">
      <c r="A2209" s="23" t="s">
        <v>1485</v>
      </c>
      <c r="B2209" s="23" t="s">
        <v>3</v>
      </c>
      <c r="C2209" s="23" t="s">
        <v>46</v>
      </c>
      <c r="D2209" s="23">
        <v>1512298.6301369863</v>
      </c>
      <c r="E2209" s="23">
        <v>2025</v>
      </c>
      <c r="F2209" s="15" t="s">
        <v>3305</v>
      </c>
      <c r="G2209" s="15" t="s">
        <v>3306</v>
      </c>
      <c r="H2209" s="23" t="s">
        <v>58</v>
      </c>
    </row>
    <row r="2210" spans="1:8" ht="54.95" customHeight="1" x14ac:dyDescent="0.2">
      <c r="A2210" s="23" t="s">
        <v>1485</v>
      </c>
      <c r="B2210" s="23" t="s">
        <v>6</v>
      </c>
      <c r="C2210" s="23" t="s">
        <v>46</v>
      </c>
      <c r="D2210" s="23">
        <v>49.173461789999436</v>
      </c>
      <c r="E2210" s="23">
        <v>2025</v>
      </c>
      <c r="F2210" s="15" t="s">
        <v>3305</v>
      </c>
      <c r="G2210" s="15" t="s">
        <v>3308</v>
      </c>
      <c r="H2210" s="23" t="s">
        <v>58</v>
      </c>
    </row>
    <row r="2211" spans="1:8" ht="54.95" customHeight="1" x14ac:dyDescent="0.2">
      <c r="A2211" s="23" t="s">
        <v>1485</v>
      </c>
      <c r="B2211" s="23" t="s">
        <v>7</v>
      </c>
      <c r="C2211" s="23" t="s">
        <v>46</v>
      </c>
      <c r="D2211" s="23">
        <v>18.512298252320246</v>
      </c>
      <c r="E2211" s="23">
        <v>2025</v>
      </c>
      <c r="F2211" s="15" t="s">
        <v>3305</v>
      </c>
      <c r="G2211" s="15" t="s">
        <v>3308</v>
      </c>
      <c r="H2211" s="23" t="s">
        <v>58</v>
      </c>
    </row>
    <row r="2212" spans="1:8" ht="54.95" customHeight="1" x14ac:dyDescent="0.2">
      <c r="A2212" s="23" t="s">
        <v>1485</v>
      </c>
      <c r="B2212" s="23" t="s">
        <v>8</v>
      </c>
      <c r="C2212" s="23" t="s">
        <v>46</v>
      </c>
      <c r="D2212" s="23">
        <v>6.438968892496046</v>
      </c>
      <c r="E2212" s="23">
        <v>2025</v>
      </c>
      <c r="F2212" s="15" t="s">
        <v>3305</v>
      </c>
      <c r="G2212" s="15" t="s">
        <v>3308</v>
      </c>
      <c r="H2212" s="23" t="s">
        <v>58</v>
      </c>
    </row>
    <row r="2213" spans="1:8" ht="54.95" customHeight="1" x14ac:dyDescent="0.2">
      <c r="A2213" s="23" t="s">
        <v>1485</v>
      </c>
      <c r="B2213" s="23" t="s">
        <v>9</v>
      </c>
      <c r="C2213" s="23" t="s">
        <v>46</v>
      </c>
      <c r="D2213" s="23">
        <v>22.826759228897679</v>
      </c>
      <c r="E2213" s="23">
        <v>2025</v>
      </c>
      <c r="F2213" s="15" t="s">
        <v>3305</v>
      </c>
      <c r="G2213" s="15" t="s">
        <v>3308</v>
      </c>
      <c r="H2213" s="23" t="s">
        <v>58</v>
      </c>
    </row>
    <row r="2214" spans="1:8" ht="54.95" customHeight="1" x14ac:dyDescent="0.2">
      <c r="A2214" s="23" t="s">
        <v>1485</v>
      </c>
      <c r="B2214" s="23" t="s">
        <v>10</v>
      </c>
      <c r="C2214" s="23" t="s">
        <v>46</v>
      </c>
      <c r="D2214" s="23">
        <v>1.519052010094404</v>
      </c>
      <c r="E2214" s="23">
        <v>2025</v>
      </c>
      <c r="F2214" s="15" t="s">
        <v>3305</v>
      </c>
      <c r="G2214" s="15" t="s">
        <v>3308</v>
      </c>
      <c r="H2214" s="23" t="s">
        <v>58</v>
      </c>
    </row>
    <row r="2215" spans="1:8" ht="54.95" customHeight="1" x14ac:dyDescent="0.2">
      <c r="A2215" s="23" t="s">
        <v>1485</v>
      </c>
      <c r="B2215" s="23" t="s">
        <v>5</v>
      </c>
      <c r="C2215" s="23" t="s">
        <v>46</v>
      </c>
      <c r="D2215" s="23">
        <v>551.98900000000003</v>
      </c>
      <c r="E2215" s="23">
        <v>2025</v>
      </c>
      <c r="F2215" s="15" t="s">
        <v>3305</v>
      </c>
      <c r="G2215" s="15" t="s">
        <v>3311</v>
      </c>
      <c r="H2215" s="23" t="s">
        <v>58</v>
      </c>
    </row>
    <row r="2216" spans="1:8" ht="54.95" customHeight="1" x14ac:dyDescent="0.2">
      <c r="A2216" s="23" t="s">
        <v>1487</v>
      </c>
      <c r="B2216" s="23" t="s">
        <v>11</v>
      </c>
      <c r="C2216" s="23" t="s">
        <v>46</v>
      </c>
      <c r="D2216" s="23">
        <v>0</v>
      </c>
      <c r="E2216" s="23">
        <v>2025</v>
      </c>
      <c r="F2216" s="15" t="s">
        <v>3299</v>
      </c>
      <c r="G2216" s="15" t="s">
        <v>3300</v>
      </c>
      <c r="H2216" s="23" t="s">
        <v>58</v>
      </c>
    </row>
    <row r="2217" spans="1:8" ht="54.95" customHeight="1" x14ac:dyDescent="0.2">
      <c r="A2217" s="23" t="s">
        <v>1487</v>
      </c>
      <c r="B2217" s="23" t="s">
        <v>13</v>
      </c>
      <c r="C2217" s="23" t="s">
        <v>46</v>
      </c>
      <c r="D2217" s="23">
        <v>0</v>
      </c>
      <c r="E2217" s="23">
        <v>2025</v>
      </c>
      <c r="F2217" s="15" t="s">
        <v>3302</v>
      </c>
      <c r="G2217" s="15" t="s">
        <v>3300</v>
      </c>
      <c r="H2217" s="23" t="s">
        <v>58</v>
      </c>
    </row>
    <row r="2218" spans="1:8" ht="54.95" customHeight="1" x14ac:dyDescent="0.2">
      <c r="A2218" s="23" t="s">
        <v>1487</v>
      </c>
      <c r="B2218" s="23" t="s">
        <v>14</v>
      </c>
      <c r="C2218" s="23" t="s">
        <v>46</v>
      </c>
      <c r="D2218" s="23">
        <v>0</v>
      </c>
      <c r="E2218" s="23">
        <v>2025</v>
      </c>
      <c r="F2218" s="15" t="s">
        <v>3304</v>
      </c>
      <c r="G2218" s="15" t="s">
        <v>3300</v>
      </c>
      <c r="H2218" s="23" t="s">
        <v>58</v>
      </c>
    </row>
    <row r="2219" spans="1:8" ht="54.95" customHeight="1" x14ac:dyDescent="0.2">
      <c r="A2219" s="23" t="s">
        <v>1487</v>
      </c>
      <c r="B2219" s="23" t="s">
        <v>3</v>
      </c>
      <c r="C2219" s="23" t="s">
        <v>46</v>
      </c>
      <c r="D2219" s="23">
        <v>10870.289752000001</v>
      </c>
      <c r="E2219" s="23">
        <v>2024</v>
      </c>
      <c r="F2219" s="15" t="s">
        <v>3316</v>
      </c>
      <c r="G2219" s="15" t="s">
        <v>3317</v>
      </c>
      <c r="H2219" s="23" t="s">
        <v>58</v>
      </c>
    </row>
    <row r="2220" spans="1:8" ht="54.95" customHeight="1" x14ac:dyDescent="0.2">
      <c r="A2220" s="23" t="s">
        <v>1487</v>
      </c>
      <c r="B2220" s="23" t="s">
        <v>6</v>
      </c>
      <c r="C2220" s="23" t="s">
        <v>46</v>
      </c>
      <c r="D2220" s="23">
        <v>18.27602075312187</v>
      </c>
      <c r="E2220" s="23">
        <v>2024</v>
      </c>
      <c r="F2220" s="15" t="s">
        <v>3319</v>
      </c>
      <c r="G2220" s="15" t="s">
        <v>3320</v>
      </c>
      <c r="H2220" s="23" t="s">
        <v>58</v>
      </c>
    </row>
    <row r="2221" spans="1:8" ht="54.95" customHeight="1" x14ac:dyDescent="0.2">
      <c r="A2221" s="23" t="s">
        <v>1487</v>
      </c>
      <c r="B2221" s="23" t="s">
        <v>7</v>
      </c>
      <c r="C2221" s="23" t="s">
        <v>46</v>
      </c>
      <c r="D2221" s="23">
        <v>15.680296191611578</v>
      </c>
      <c r="E2221" s="23">
        <v>2024</v>
      </c>
      <c r="F2221" s="15" t="s">
        <v>3322</v>
      </c>
      <c r="G2221" s="15" t="s">
        <v>3320</v>
      </c>
      <c r="H2221" s="23" t="s">
        <v>58</v>
      </c>
    </row>
    <row r="2222" spans="1:8" ht="54.95" customHeight="1" x14ac:dyDescent="0.2">
      <c r="A2222" s="23" t="s">
        <v>1487</v>
      </c>
      <c r="B2222" s="23" t="s">
        <v>8</v>
      </c>
      <c r="C2222" s="23" t="s">
        <v>46</v>
      </c>
      <c r="D2222" s="23">
        <v>9.0137532241928042</v>
      </c>
      <c r="E2222" s="23">
        <v>2024</v>
      </c>
      <c r="F2222" s="15" t="s">
        <v>3324</v>
      </c>
      <c r="G2222" s="15" t="s">
        <v>3320</v>
      </c>
      <c r="H2222" s="23" t="s">
        <v>58</v>
      </c>
    </row>
    <row r="2223" spans="1:8" ht="54.95" customHeight="1" x14ac:dyDescent="0.2">
      <c r="A2223" s="23" t="s">
        <v>1487</v>
      </c>
      <c r="B2223" s="23" t="s">
        <v>9</v>
      </c>
      <c r="C2223" s="23" t="s">
        <v>46</v>
      </c>
      <c r="D2223" s="23">
        <v>42.207601532938419</v>
      </c>
      <c r="E2223" s="23">
        <v>2024</v>
      </c>
      <c r="F2223" s="15" t="s">
        <v>3325</v>
      </c>
      <c r="G2223" s="15" t="s">
        <v>3320</v>
      </c>
      <c r="H2223" s="23" t="s">
        <v>58</v>
      </c>
    </row>
    <row r="2224" spans="1:8" ht="54.95" customHeight="1" x14ac:dyDescent="0.2">
      <c r="A2224" s="23" t="s">
        <v>1487</v>
      </c>
      <c r="B2224" s="23" t="s">
        <v>10</v>
      </c>
      <c r="C2224" s="23" t="s">
        <v>46</v>
      </c>
      <c r="D2224" s="23">
        <v>2.2844048196076088</v>
      </c>
      <c r="E2224" s="23">
        <v>2024</v>
      </c>
      <c r="F2224" s="15" t="s">
        <v>3326</v>
      </c>
      <c r="G2224" s="15" t="s">
        <v>3320</v>
      </c>
      <c r="H2224" s="23" t="s">
        <v>58</v>
      </c>
    </row>
    <row r="2225" spans="1:8" ht="54.95" customHeight="1" x14ac:dyDescent="0.2">
      <c r="A2225" s="23" t="s">
        <v>1487</v>
      </c>
      <c r="B2225" s="23" t="s">
        <v>5</v>
      </c>
      <c r="C2225" s="23" t="s">
        <v>46</v>
      </c>
      <c r="D2225" s="23">
        <v>3.9785260492319998</v>
      </c>
      <c r="E2225" s="23">
        <v>2024</v>
      </c>
      <c r="F2225" s="15" t="s">
        <v>3316</v>
      </c>
      <c r="G2225" s="15" t="s">
        <v>3311</v>
      </c>
      <c r="H2225" s="23" t="s">
        <v>58</v>
      </c>
    </row>
    <row r="2226" spans="1:8" ht="54.95" customHeight="1" x14ac:dyDescent="0.2">
      <c r="A2226" s="23" t="s">
        <v>1492</v>
      </c>
      <c r="B2226" s="23" t="s">
        <v>3</v>
      </c>
      <c r="C2226" s="23" t="s">
        <v>46</v>
      </c>
      <c r="D2226" s="23">
        <v>1107772.602739726</v>
      </c>
      <c r="E2226" s="23">
        <v>2025</v>
      </c>
      <c r="F2226" s="15" t="s">
        <v>3305</v>
      </c>
      <c r="G2226" s="15" t="s">
        <v>3306</v>
      </c>
      <c r="H2226" s="23" t="s">
        <v>58</v>
      </c>
    </row>
    <row r="2227" spans="1:8" ht="54.95" customHeight="1" x14ac:dyDescent="0.2">
      <c r="A2227" s="23" t="s">
        <v>1492</v>
      </c>
      <c r="B2227" s="23" t="s">
        <v>6</v>
      </c>
      <c r="C2227" s="23" t="s">
        <v>46</v>
      </c>
      <c r="D2227" s="23">
        <v>52.006736954570073</v>
      </c>
      <c r="E2227" s="23">
        <v>2025</v>
      </c>
      <c r="F2227" s="15" t="s">
        <v>3305</v>
      </c>
      <c r="G2227" s="15" t="s">
        <v>3308</v>
      </c>
      <c r="H2227" s="23" t="s">
        <v>58</v>
      </c>
    </row>
    <row r="2228" spans="1:8" ht="54.95" customHeight="1" x14ac:dyDescent="0.2">
      <c r="A2228" s="23" t="s">
        <v>1492</v>
      </c>
      <c r="B2228" s="23" t="s">
        <v>7</v>
      </c>
      <c r="C2228" s="23" t="s">
        <v>46</v>
      </c>
      <c r="D2228" s="23">
        <v>24.779671412707714</v>
      </c>
      <c r="E2228" s="23">
        <v>2025</v>
      </c>
      <c r="F2228" s="15" t="s">
        <v>3305</v>
      </c>
      <c r="G2228" s="15" t="s">
        <v>3308</v>
      </c>
      <c r="H2228" s="23" t="s">
        <v>58</v>
      </c>
    </row>
    <row r="2229" spans="1:8" ht="54.95" customHeight="1" x14ac:dyDescent="0.2">
      <c r="A2229" s="23" t="s">
        <v>1492</v>
      </c>
      <c r="B2229" s="23" t="s">
        <v>8</v>
      </c>
      <c r="C2229" s="23" t="s">
        <v>46</v>
      </c>
      <c r="D2229" s="23">
        <v>2.2807707432166735</v>
      </c>
      <c r="E2229" s="23">
        <v>2025</v>
      </c>
      <c r="F2229" s="15" t="s">
        <v>3305</v>
      </c>
      <c r="G2229" s="15" t="s">
        <v>3308</v>
      </c>
      <c r="H2229" s="23" t="s">
        <v>58</v>
      </c>
    </row>
    <row r="2230" spans="1:8" ht="54.95" customHeight="1" x14ac:dyDescent="0.2">
      <c r="A2230" s="23" t="s">
        <v>1492</v>
      </c>
      <c r="B2230" s="23" t="s">
        <v>9</v>
      </c>
      <c r="C2230" s="23" t="s">
        <v>46</v>
      </c>
      <c r="D2230" s="23">
        <v>31.422912075817944</v>
      </c>
      <c r="E2230" s="23">
        <v>2025</v>
      </c>
      <c r="F2230" s="15" t="s">
        <v>3305</v>
      </c>
      <c r="G2230" s="15" t="s">
        <v>3308</v>
      </c>
      <c r="H2230" s="23" t="s">
        <v>58</v>
      </c>
    </row>
    <row r="2231" spans="1:8" ht="54.95" customHeight="1" x14ac:dyDescent="0.2">
      <c r="A2231" s="23" t="s">
        <v>1492</v>
      </c>
      <c r="B2231" s="23" t="s">
        <v>10</v>
      </c>
      <c r="C2231" s="23" t="s">
        <v>46</v>
      </c>
      <c r="D2231" s="23">
        <v>1.0442873147893958</v>
      </c>
      <c r="E2231" s="23">
        <v>2025</v>
      </c>
      <c r="F2231" s="15" t="s">
        <v>3305</v>
      </c>
      <c r="G2231" s="15" t="s">
        <v>3308</v>
      </c>
      <c r="H2231" s="23" t="s">
        <v>58</v>
      </c>
    </row>
    <row r="2232" spans="1:8" ht="54.95" customHeight="1" x14ac:dyDescent="0.2">
      <c r="A2232" s="23" t="s">
        <v>1492</v>
      </c>
      <c r="B2232" s="23" t="s">
        <v>5</v>
      </c>
      <c r="C2232" s="23" t="s">
        <v>46</v>
      </c>
      <c r="D2232" s="23">
        <v>404.33699999999999</v>
      </c>
      <c r="E2232" s="23">
        <v>2025</v>
      </c>
      <c r="F2232" s="15" t="s">
        <v>3305</v>
      </c>
      <c r="G2232" s="15" t="s">
        <v>3311</v>
      </c>
      <c r="H2232" s="23" t="s">
        <v>58</v>
      </c>
    </row>
    <row r="2233" spans="1:8" ht="54.95" customHeight="1" x14ac:dyDescent="0.2">
      <c r="A2233" s="23" t="s">
        <v>44</v>
      </c>
      <c r="B2233" s="23" t="s">
        <v>15</v>
      </c>
      <c r="C2233" s="23" t="s">
        <v>1539</v>
      </c>
      <c r="D2233" s="23">
        <v>1445.6425841638102</v>
      </c>
      <c r="E2233" s="23">
        <v>2025</v>
      </c>
      <c r="F2233" s="15" t="s">
        <v>3796</v>
      </c>
      <c r="G2233" s="15" t="s">
        <v>3797</v>
      </c>
      <c r="H2233" s="23" t="s">
        <v>58</v>
      </c>
    </row>
    <row r="2234" spans="1:8" ht="54.95" customHeight="1" x14ac:dyDescent="0.2">
      <c r="A2234" s="23" t="s">
        <v>59</v>
      </c>
      <c r="B2234" s="23" t="s">
        <v>15</v>
      </c>
      <c r="C2234" s="23" t="s">
        <v>3798</v>
      </c>
      <c r="D2234" s="23">
        <v>472.19312864459698</v>
      </c>
      <c r="E2234" s="23">
        <v>2025</v>
      </c>
      <c r="F2234" s="15" t="s">
        <v>3799</v>
      </c>
      <c r="G2234" s="15" t="s">
        <v>3797</v>
      </c>
      <c r="H2234" s="23" t="s">
        <v>58</v>
      </c>
    </row>
    <row r="2235" spans="1:8" ht="54.95" customHeight="1" x14ac:dyDescent="0.2">
      <c r="A2235" s="23" t="s">
        <v>67</v>
      </c>
      <c r="B2235" s="23" t="s">
        <v>15</v>
      </c>
      <c r="C2235" s="23" t="s">
        <v>3800</v>
      </c>
      <c r="D2235" s="23">
        <v>357.37115957486202</v>
      </c>
      <c r="E2235" s="23">
        <v>2025</v>
      </c>
      <c r="F2235" s="15" t="s">
        <v>3801</v>
      </c>
      <c r="G2235" s="15" t="s">
        <v>3797</v>
      </c>
      <c r="H2235" s="23" t="s">
        <v>58</v>
      </c>
    </row>
    <row r="2236" spans="1:8" ht="54.95" customHeight="1" x14ac:dyDescent="0.2">
      <c r="A2236" s="23" t="s">
        <v>76</v>
      </c>
      <c r="B2236" s="23" t="s">
        <v>15</v>
      </c>
      <c r="C2236" s="23" t="s">
        <v>3802</v>
      </c>
      <c r="D2236" s="23">
        <v>64.768947525325601</v>
      </c>
      <c r="E2236" s="23">
        <v>2025</v>
      </c>
      <c r="F2236" s="15" t="s">
        <v>3803</v>
      </c>
      <c r="G2236" s="15" t="s">
        <v>3797</v>
      </c>
      <c r="H2236" s="23" t="s">
        <v>58</v>
      </c>
    </row>
    <row r="2237" spans="1:8" ht="54.95" customHeight="1" x14ac:dyDescent="0.2">
      <c r="A2237" s="23" t="s">
        <v>84</v>
      </c>
      <c r="B2237" s="23" t="s">
        <v>15</v>
      </c>
      <c r="C2237" s="23" t="s">
        <v>3804</v>
      </c>
      <c r="D2237" s="23">
        <v>334.854659181893</v>
      </c>
      <c r="E2237" s="23">
        <v>2025</v>
      </c>
      <c r="F2237" s="15" t="s">
        <v>3805</v>
      </c>
      <c r="G2237" s="15" t="s">
        <v>3797</v>
      </c>
      <c r="H2237" s="23" t="s">
        <v>58</v>
      </c>
    </row>
    <row r="2238" spans="1:8" ht="54.95" customHeight="1" x14ac:dyDescent="0.2">
      <c r="A2238" s="23" t="s">
        <v>91</v>
      </c>
      <c r="B2238" s="23" t="s">
        <v>15</v>
      </c>
      <c r="C2238" s="23" t="s">
        <v>3806</v>
      </c>
      <c r="D2238" s="23">
        <v>683.09789161859703</v>
      </c>
      <c r="E2238" s="23">
        <v>2025</v>
      </c>
      <c r="F2238" s="15" t="s">
        <v>3807</v>
      </c>
      <c r="G2238" s="15" t="s">
        <v>3797</v>
      </c>
      <c r="H2238" s="23" t="s">
        <v>58</v>
      </c>
    </row>
    <row r="2239" spans="1:8" ht="54.95" customHeight="1" x14ac:dyDescent="0.2">
      <c r="A2239" s="23" t="s">
        <v>107</v>
      </c>
      <c r="B2239" s="23" t="s">
        <v>15</v>
      </c>
      <c r="C2239" s="23" t="s">
        <v>3808</v>
      </c>
      <c r="D2239" s="23">
        <v>41.225787247330899</v>
      </c>
      <c r="E2239" s="23">
        <v>2025</v>
      </c>
      <c r="F2239" s="15" t="s">
        <v>3809</v>
      </c>
      <c r="G2239" s="15" t="s">
        <v>3797</v>
      </c>
      <c r="H2239" s="23" t="s">
        <v>58</v>
      </c>
    </row>
    <row r="2240" spans="1:8" ht="54.95" customHeight="1" x14ac:dyDescent="0.2">
      <c r="A2240" s="23" t="s">
        <v>114</v>
      </c>
      <c r="B2240" s="23" t="s">
        <v>15</v>
      </c>
      <c r="C2240" s="23" t="s">
        <v>3810</v>
      </c>
      <c r="D2240" s="23">
        <v>3956.0671157716297</v>
      </c>
      <c r="E2240" s="23">
        <v>2025</v>
      </c>
      <c r="F2240" s="15" t="s">
        <v>3811</v>
      </c>
      <c r="G2240" s="15" t="s">
        <v>3797</v>
      </c>
      <c r="H2240" s="23" t="s">
        <v>58</v>
      </c>
    </row>
    <row r="2241" spans="1:8" ht="54.95" customHeight="1" x14ac:dyDescent="0.2">
      <c r="A2241" s="23" t="s">
        <v>122</v>
      </c>
      <c r="B2241" s="23" t="s">
        <v>15</v>
      </c>
      <c r="C2241" s="23" t="s">
        <v>3812</v>
      </c>
      <c r="D2241" s="23">
        <v>19498.039388042602</v>
      </c>
      <c r="E2241" s="23">
        <v>2025</v>
      </c>
      <c r="F2241" s="15" t="s">
        <v>3813</v>
      </c>
      <c r="G2241" s="15" t="s">
        <v>3797</v>
      </c>
      <c r="H2241" s="23" t="s">
        <v>58</v>
      </c>
    </row>
    <row r="2242" spans="1:8" ht="54.95" customHeight="1" x14ac:dyDescent="0.2">
      <c r="A2242" s="23" t="s">
        <v>129</v>
      </c>
      <c r="B2242" s="23" t="s">
        <v>15</v>
      </c>
      <c r="C2242" s="23" t="s">
        <v>3814</v>
      </c>
      <c r="D2242" s="23">
        <v>610.77784287359498</v>
      </c>
      <c r="E2242" s="23">
        <v>2025</v>
      </c>
      <c r="F2242" s="15" t="s">
        <v>3815</v>
      </c>
      <c r="G2242" s="15" t="s">
        <v>3797</v>
      </c>
      <c r="H2242" s="23" t="s">
        <v>58</v>
      </c>
    </row>
    <row r="2243" spans="1:8" ht="54.95" customHeight="1" x14ac:dyDescent="0.2">
      <c r="A2243" s="23" t="s">
        <v>137</v>
      </c>
      <c r="B2243" s="23" t="s">
        <v>15</v>
      </c>
      <c r="C2243" s="23" t="s">
        <v>3816</v>
      </c>
      <c r="D2243" s="23">
        <v>17.167100000000001</v>
      </c>
      <c r="E2243" s="23">
        <v>2025</v>
      </c>
      <c r="F2243" s="15" t="s">
        <v>3817</v>
      </c>
      <c r="G2243" s="15" t="s">
        <v>3797</v>
      </c>
      <c r="H2243" s="23" t="s">
        <v>58</v>
      </c>
    </row>
    <row r="2244" spans="1:8" ht="54.95" customHeight="1" x14ac:dyDescent="0.2">
      <c r="A2244" s="23" t="s">
        <v>143</v>
      </c>
      <c r="B2244" s="23" t="s">
        <v>15</v>
      </c>
      <c r="C2244" s="23" t="s">
        <v>3818</v>
      </c>
      <c r="D2244" s="23">
        <v>25.971643441340802</v>
      </c>
      <c r="E2244" s="23">
        <v>2024</v>
      </c>
      <c r="F2244" s="15" t="s">
        <v>3819</v>
      </c>
      <c r="G2244" s="15" t="s">
        <v>3797</v>
      </c>
      <c r="H2244" s="23" t="s">
        <v>58</v>
      </c>
    </row>
    <row r="2245" spans="1:8" ht="54.95" customHeight="1" x14ac:dyDescent="0.2">
      <c r="A2245" s="23" t="s">
        <v>150</v>
      </c>
      <c r="B2245" s="23" t="s">
        <v>15</v>
      </c>
      <c r="C2245" s="23" t="s">
        <v>3820</v>
      </c>
      <c r="D2245" s="23">
        <v>126.358758448356</v>
      </c>
      <c r="E2245" s="23">
        <v>2025</v>
      </c>
      <c r="F2245" s="15" t="s">
        <v>3821</v>
      </c>
      <c r="G2245" s="15" t="s">
        <v>3797</v>
      </c>
      <c r="H2245" s="23" t="s">
        <v>58</v>
      </c>
    </row>
    <row r="2246" spans="1:8" ht="54.95" customHeight="1" x14ac:dyDescent="0.2">
      <c r="A2246" s="23" t="s">
        <v>163</v>
      </c>
      <c r="B2246" s="23" t="s">
        <v>15</v>
      </c>
      <c r="C2246" s="23" t="s">
        <v>3822</v>
      </c>
      <c r="D2246" s="23">
        <v>12.9952000002658</v>
      </c>
      <c r="E2246" s="23">
        <v>2025</v>
      </c>
      <c r="F2246" s="15" t="s">
        <v>3823</v>
      </c>
      <c r="G2246" s="15" t="s">
        <v>3797</v>
      </c>
      <c r="H2246" s="23" t="s">
        <v>58</v>
      </c>
    </row>
    <row r="2247" spans="1:8" ht="54.95" customHeight="1" x14ac:dyDescent="0.2">
      <c r="A2247" s="23" t="s">
        <v>169</v>
      </c>
      <c r="B2247" s="23" t="s">
        <v>15</v>
      </c>
      <c r="C2247" s="23" t="s">
        <v>3824</v>
      </c>
      <c r="D2247" s="23">
        <v>135.94127887881501</v>
      </c>
      <c r="E2247" s="23">
        <v>2025</v>
      </c>
      <c r="F2247" s="15" t="s">
        <v>3825</v>
      </c>
      <c r="G2247" s="15" t="s">
        <v>3797</v>
      </c>
      <c r="H2247" s="23" t="s">
        <v>58</v>
      </c>
    </row>
    <row r="2248" spans="1:8" ht="54.95" customHeight="1" x14ac:dyDescent="0.2">
      <c r="A2248" s="23" t="s">
        <v>176</v>
      </c>
      <c r="B2248" s="23" t="s">
        <v>15</v>
      </c>
      <c r="C2248" s="23" t="s">
        <v>3826</v>
      </c>
      <c r="D2248" s="23">
        <v>14.918276698303</v>
      </c>
      <c r="E2248" s="23">
        <v>2025</v>
      </c>
      <c r="F2248" s="15" t="s">
        <v>3827</v>
      </c>
      <c r="G2248" s="15" t="s">
        <v>3797</v>
      </c>
      <c r="H2248" s="23" t="s">
        <v>58</v>
      </c>
    </row>
    <row r="2249" spans="1:8" ht="54.95" customHeight="1" x14ac:dyDescent="0.2">
      <c r="A2249" s="23" t="s">
        <v>183</v>
      </c>
      <c r="B2249" s="23" t="s">
        <v>15</v>
      </c>
      <c r="C2249" s="23" t="s">
        <v>46</v>
      </c>
      <c r="D2249" s="23">
        <v>90.143496090441104</v>
      </c>
      <c r="E2249" s="23">
        <v>2025</v>
      </c>
      <c r="F2249" s="15" t="s">
        <v>3828</v>
      </c>
      <c r="G2249" s="15" t="s">
        <v>3797</v>
      </c>
      <c r="H2249" s="23" t="s">
        <v>58</v>
      </c>
    </row>
    <row r="2250" spans="1:8" ht="54.95" customHeight="1" x14ac:dyDescent="0.2">
      <c r="A2250" s="23" t="s">
        <v>199</v>
      </c>
      <c r="B2250" s="23" t="s">
        <v>15</v>
      </c>
      <c r="C2250" s="23" t="s">
        <v>3829</v>
      </c>
      <c r="D2250" s="23">
        <v>3366.3159274473301</v>
      </c>
      <c r="E2250" s="23">
        <v>2025</v>
      </c>
      <c r="F2250" s="15" t="s">
        <v>3830</v>
      </c>
      <c r="G2250" s="15" t="s">
        <v>3797</v>
      </c>
      <c r="H2250" s="23" t="s">
        <v>58</v>
      </c>
    </row>
    <row r="2251" spans="1:8" ht="54.95" customHeight="1" x14ac:dyDescent="0.2">
      <c r="A2251" s="23" t="s">
        <v>206</v>
      </c>
      <c r="B2251" s="23" t="s">
        <v>15</v>
      </c>
      <c r="C2251" s="23" t="s">
        <v>3831</v>
      </c>
      <c r="D2251" s="23">
        <v>4.5236577968642102</v>
      </c>
      <c r="E2251" s="23">
        <v>2025</v>
      </c>
      <c r="F2251" s="15" t="s">
        <v>3832</v>
      </c>
      <c r="G2251" s="15" t="s">
        <v>3797</v>
      </c>
      <c r="H2251" s="23" t="s">
        <v>58</v>
      </c>
    </row>
    <row r="2252" spans="1:8" ht="54.95" customHeight="1" x14ac:dyDescent="0.2">
      <c r="A2252" s="23" t="s">
        <v>213</v>
      </c>
      <c r="B2252" s="23" t="s">
        <v>15</v>
      </c>
      <c r="C2252" s="23" t="s">
        <v>3833</v>
      </c>
      <c r="D2252" s="23">
        <v>27.0974772182254</v>
      </c>
      <c r="E2252" s="23">
        <v>2025</v>
      </c>
      <c r="F2252" s="15" t="s">
        <v>3834</v>
      </c>
      <c r="G2252" s="15" t="s">
        <v>3797</v>
      </c>
      <c r="H2252" s="23" t="s">
        <v>58</v>
      </c>
    </row>
    <row r="2253" spans="1:8" ht="54.95" customHeight="1" x14ac:dyDescent="0.2">
      <c r="A2253" s="23" t="s">
        <v>220</v>
      </c>
      <c r="B2253" s="23" t="s">
        <v>15</v>
      </c>
      <c r="C2253" s="23" t="s">
        <v>46</v>
      </c>
      <c r="D2253" s="23">
        <v>1872.3749615531499</v>
      </c>
      <c r="E2253" s="23">
        <v>2025</v>
      </c>
      <c r="F2253" s="15" t="s">
        <v>3835</v>
      </c>
      <c r="G2253" s="15" t="s">
        <v>3797</v>
      </c>
      <c r="H2253" s="23" t="s">
        <v>58</v>
      </c>
    </row>
    <row r="2254" spans="1:8" ht="54.95" customHeight="1" x14ac:dyDescent="0.2">
      <c r="A2254" s="23" t="s">
        <v>232</v>
      </c>
      <c r="B2254" s="23" t="s">
        <v>15</v>
      </c>
      <c r="C2254" s="23" t="s">
        <v>3836</v>
      </c>
      <c r="D2254" s="23">
        <v>182.37425061228001</v>
      </c>
      <c r="E2254" s="23">
        <v>2025</v>
      </c>
      <c r="F2254" s="15" t="s">
        <v>3837</v>
      </c>
      <c r="G2254" s="15" t="s">
        <v>3797</v>
      </c>
      <c r="H2254" s="23" t="s">
        <v>58</v>
      </c>
    </row>
    <row r="2255" spans="1:8" ht="54.95" customHeight="1" x14ac:dyDescent="0.2">
      <c r="A2255" s="23" t="s">
        <v>244</v>
      </c>
      <c r="B2255" s="23" t="s">
        <v>15</v>
      </c>
      <c r="C2255" s="23" t="s">
        <v>46</v>
      </c>
      <c r="D2255" s="23">
        <v>102.904921157478</v>
      </c>
      <c r="E2255" s="23">
        <v>2025</v>
      </c>
      <c r="F2255" s="15" t="s">
        <v>3838</v>
      </c>
      <c r="G2255" s="15" t="s">
        <v>3797</v>
      </c>
      <c r="H2255" s="23" t="s">
        <v>58</v>
      </c>
    </row>
    <row r="2256" spans="1:8" ht="54.95" customHeight="1" x14ac:dyDescent="0.2">
      <c r="A2256" s="23" t="s">
        <v>251</v>
      </c>
      <c r="B2256" s="23" t="s">
        <v>15</v>
      </c>
      <c r="C2256" s="23" t="s">
        <v>3839</v>
      </c>
      <c r="D2256" s="23">
        <v>22.237167113091598</v>
      </c>
      <c r="E2256" s="23">
        <v>2025</v>
      </c>
      <c r="F2256" s="15" t="s">
        <v>3840</v>
      </c>
      <c r="G2256" s="15" t="s">
        <v>3797</v>
      </c>
      <c r="H2256" s="23" t="s">
        <v>58</v>
      </c>
    </row>
    <row r="2257" spans="1:8" ht="54.95" customHeight="1" x14ac:dyDescent="0.2">
      <c r="A2257" s="23" t="s">
        <v>258</v>
      </c>
      <c r="B2257" s="23" t="s">
        <v>15</v>
      </c>
      <c r="C2257" s="23" t="s">
        <v>3841</v>
      </c>
      <c r="D2257" s="23">
        <v>16.306633778765001</v>
      </c>
      <c r="E2257" s="23">
        <v>2025</v>
      </c>
      <c r="F2257" s="15" t="s">
        <v>3842</v>
      </c>
      <c r="G2257" s="15" t="s">
        <v>3797</v>
      </c>
      <c r="H2257" s="23" t="s">
        <v>58</v>
      </c>
    </row>
    <row r="2258" spans="1:8" ht="54.95" customHeight="1" x14ac:dyDescent="0.2">
      <c r="A2258" s="23" t="s">
        <v>264</v>
      </c>
      <c r="B2258" s="23" t="s">
        <v>15</v>
      </c>
      <c r="C2258" s="23" t="s">
        <v>46</v>
      </c>
      <c r="D2258" s="23">
        <v>91.030531316993603</v>
      </c>
      <c r="E2258" s="23">
        <v>2025</v>
      </c>
      <c r="F2258" s="15" t="s">
        <v>3843</v>
      </c>
      <c r="G2258" s="15" t="s">
        <v>3797</v>
      </c>
      <c r="H2258" s="23" t="s">
        <v>58</v>
      </c>
    </row>
    <row r="2259" spans="1:8" ht="54.95" customHeight="1" x14ac:dyDescent="0.2">
      <c r="A2259" s="23" t="s">
        <v>271</v>
      </c>
      <c r="B2259" s="23" t="s">
        <v>15</v>
      </c>
      <c r="C2259" s="23" t="s">
        <v>3844</v>
      </c>
      <c r="D2259" s="23">
        <v>3.5793201451307701</v>
      </c>
      <c r="E2259" s="23">
        <v>2025</v>
      </c>
      <c r="F2259" s="15" t="s">
        <v>3845</v>
      </c>
      <c r="G2259" s="15" t="s">
        <v>3797</v>
      </c>
      <c r="H2259" s="23" t="s">
        <v>58</v>
      </c>
    </row>
    <row r="2260" spans="1:8" ht="54.95" customHeight="1" x14ac:dyDescent="0.2">
      <c r="A2260" s="23" t="s">
        <v>278</v>
      </c>
      <c r="B2260" s="23" t="s">
        <v>15</v>
      </c>
      <c r="C2260" s="23" t="s">
        <v>3846</v>
      </c>
      <c r="D2260" s="23">
        <v>214.23331278439701</v>
      </c>
      <c r="E2260" s="23">
        <v>2025</v>
      </c>
      <c r="F2260" s="15" t="s">
        <v>3847</v>
      </c>
      <c r="G2260" s="15" t="s">
        <v>3797</v>
      </c>
      <c r="H2260" s="23" t="s">
        <v>58</v>
      </c>
    </row>
    <row r="2261" spans="1:8" ht="54.95" customHeight="1" x14ac:dyDescent="0.2">
      <c r="A2261" s="23" t="s">
        <v>285</v>
      </c>
      <c r="B2261" s="23" t="s">
        <v>15</v>
      </c>
      <c r="C2261" s="23" t="s">
        <v>46</v>
      </c>
      <c r="D2261" s="23">
        <v>93.397215864198003</v>
      </c>
      <c r="E2261" s="23">
        <v>2025</v>
      </c>
      <c r="F2261" s="15" t="s">
        <v>3848</v>
      </c>
      <c r="G2261" s="15" t="s">
        <v>3797</v>
      </c>
      <c r="H2261" s="23" t="s">
        <v>58</v>
      </c>
    </row>
    <row r="2262" spans="1:8" ht="54.95" customHeight="1" x14ac:dyDescent="0.2">
      <c r="A2262" s="23" t="s">
        <v>292</v>
      </c>
      <c r="B2262" s="23" t="s">
        <v>15</v>
      </c>
      <c r="C2262" s="23" t="s">
        <v>46</v>
      </c>
      <c r="D2262" s="23">
        <v>15.0803406535276</v>
      </c>
      <c r="E2262" s="23">
        <v>2025</v>
      </c>
      <c r="F2262" s="15" t="s">
        <v>3849</v>
      </c>
      <c r="G2262" s="15" t="s">
        <v>3797</v>
      </c>
      <c r="H2262" s="23" t="s">
        <v>58</v>
      </c>
    </row>
    <row r="2263" spans="1:8" ht="54.95" customHeight="1" x14ac:dyDescent="0.2">
      <c r="A2263" s="23" t="s">
        <v>299</v>
      </c>
      <c r="B2263" s="23" t="s">
        <v>15</v>
      </c>
      <c r="C2263" s="23" t="s">
        <v>46</v>
      </c>
      <c r="D2263" s="23">
        <v>427.18432599730698</v>
      </c>
      <c r="E2263" s="23">
        <v>2025</v>
      </c>
      <c r="F2263" s="15" t="s">
        <v>3850</v>
      </c>
      <c r="G2263" s="15" t="s">
        <v>3797</v>
      </c>
      <c r="H2263" s="23" t="s">
        <v>58</v>
      </c>
    </row>
    <row r="2264" spans="1:8" ht="54.95" customHeight="1" x14ac:dyDescent="0.2">
      <c r="A2264" s="23" t="s">
        <v>310</v>
      </c>
      <c r="B2264" s="23" t="s">
        <v>15</v>
      </c>
      <c r="C2264" s="23" t="s">
        <v>46</v>
      </c>
      <c r="D2264" s="23">
        <v>1.8877284804469299</v>
      </c>
      <c r="E2264" s="23">
        <v>2025</v>
      </c>
      <c r="F2264" s="15" t="s">
        <v>3851</v>
      </c>
      <c r="G2264" s="15" t="s">
        <v>3797</v>
      </c>
      <c r="H2264" s="23" t="s">
        <v>58</v>
      </c>
    </row>
    <row r="2265" spans="1:8" ht="54.95" customHeight="1" x14ac:dyDescent="0.2">
      <c r="A2265" s="23" t="s">
        <v>315</v>
      </c>
      <c r="B2265" s="23" t="s">
        <v>15</v>
      </c>
      <c r="C2265" s="23" t="s">
        <v>46</v>
      </c>
      <c r="D2265" s="23">
        <v>109.60478069622999</v>
      </c>
      <c r="E2265" s="23">
        <v>2025</v>
      </c>
      <c r="F2265" s="15" t="s">
        <v>3852</v>
      </c>
      <c r="G2265" s="15" t="s">
        <v>3797</v>
      </c>
      <c r="H2265" s="23" t="s">
        <v>58</v>
      </c>
    </row>
    <row r="2266" spans="1:8" ht="54.95" customHeight="1" x14ac:dyDescent="0.2">
      <c r="A2266" s="23" t="s">
        <v>322</v>
      </c>
      <c r="B2266" s="23" t="s">
        <v>15</v>
      </c>
      <c r="C2266" s="23" t="s">
        <v>46</v>
      </c>
      <c r="D2266" s="23">
        <v>147.03808112940499</v>
      </c>
      <c r="E2266" s="23">
        <v>2025</v>
      </c>
      <c r="F2266" s="15" t="s">
        <v>3853</v>
      </c>
      <c r="G2266" s="15" t="s">
        <v>3797</v>
      </c>
      <c r="H2266" s="23" t="s">
        <v>58</v>
      </c>
    </row>
    <row r="2267" spans="1:8" ht="54.95" customHeight="1" x14ac:dyDescent="0.2">
      <c r="A2267" s="23" t="s">
        <v>329</v>
      </c>
      <c r="B2267" s="23" t="s">
        <v>15</v>
      </c>
      <c r="C2267" s="23" t="s">
        <v>46</v>
      </c>
      <c r="D2267" s="23">
        <v>306.23920965002401</v>
      </c>
      <c r="E2267" s="23">
        <v>2025</v>
      </c>
      <c r="F2267" s="15" t="s">
        <v>3854</v>
      </c>
      <c r="G2267" s="15" t="s">
        <v>3797</v>
      </c>
      <c r="H2267" s="23" t="s">
        <v>58</v>
      </c>
    </row>
    <row r="2268" spans="1:8" ht="54.95" customHeight="1" x14ac:dyDescent="0.2">
      <c r="A2268" s="23" t="s">
        <v>336</v>
      </c>
      <c r="B2268" s="23" t="s">
        <v>15</v>
      </c>
      <c r="C2268" s="23" t="s">
        <v>46</v>
      </c>
      <c r="D2268" s="23">
        <v>17.660626562483198</v>
      </c>
      <c r="E2268" s="23">
        <v>2025</v>
      </c>
      <c r="F2268" s="15" t="s">
        <v>3855</v>
      </c>
      <c r="G2268" s="15" t="s">
        <v>3797</v>
      </c>
      <c r="H2268" s="23" t="s">
        <v>58</v>
      </c>
    </row>
    <row r="2269" spans="1:8" ht="54.95" customHeight="1" x14ac:dyDescent="0.2">
      <c r="A2269" s="23" t="s">
        <v>342</v>
      </c>
      <c r="B2269" s="23" t="s">
        <v>15</v>
      </c>
      <c r="C2269" s="23" t="s">
        <v>46</v>
      </c>
      <c r="D2269" s="23">
        <v>95.210150818351195</v>
      </c>
      <c r="E2269" s="23">
        <v>2025</v>
      </c>
      <c r="F2269" s="15" t="s">
        <v>3856</v>
      </c>
      <c r="G2269" s="15" t="s">
        <v>3797</v>
      </c>
      <c r="H2269" s="23" t="s">
        <v>58</v>
      </c>
    </row>
    <row r="2270" spans="1:8" ht="54.95" customHeight="1" x14ac:dyDescent="0.2">
      <c r="A2270" s="23" t="s">
        <v>349</v>
      </c>
      <c r="B2270" s="23" t="s">
        <v>15</v>
      </c>
      <c r="C2270" s="23" t="s">
        <v>46</v>
      </c>
      <c r="D2270" s="23">
        <v>2279.9200924921297</v>
      </c>
      <c r="E2270" s="23">
        <v>2025</v>
      </c>
      <c r="F2270" s="15" t="s">
        <v>3857</v>
      </c>
      <c r="G2270" s="15" t="s">
        <v>3797</v>
      </c>
      <c r="H2270" s="23" t="s">
        <v>58</v>
      </c>
    </row>
    <row r="2271" spans="1:8" ht="54.95" customHeight="1" x14ac:dyDescent="0.2">
      <c r="A2271" s="23" t="s">
        <v>356</v>
      </c>
      <c r="B2271" s="23" t="s">
        <v>15</v>
      </c>
      <c r="C2271" s="23" t="s">
        <v>46</v>
      </c>
      <c r="D2271" s="23">
        <v>85.347696277685898</v>
      </c>
      <c r="E2271" s="23">
        <v>2025</v>
      </c>
      <c r="F2271" s="15" t="s">
        <v>3858</v>
      </c>
      <c r="G2271" s="15" t="s">
        <v>3797</v>
      </c>
      <c r="H2271" s="23" t="s">
        <v>58</v>
      </c>
    </row>
    <row r="2272" spans="1:8" ht="54.95" customHeight="1" x14ac:dyDescent="0.2">
      <c r="A2272" s="23" t="s">
        <v>362</v>
      </c>
      <c r="B2272" s="23" t="s">
        <v>15</v>
      </c>
      <c r="C2272" s="23" t="s">
        <v>46</v>
      </c>
      <c r="D2272" s="23">
        <v>25.369107325454898</v>
      </c>
      <c r="E2272" s="23">
        <v>2025</v>
      </c>
      <c r="F2272" s="15" t="s">
        <v>3859</v>
      </c>
      <c r="G2272" s="15" t="s">
        <v>3797</v>
      </c>
      <c r="H2272" s="23" t="s">
        <v>58</v>
      </c>
    </row>
    <row r="2273" spans="1:8" ht="54.95" customHeight="1" x14ac:dyDescent="0.2">
      <c r="A2273" s="23" t="s">
        <v>368</v>
      </c>
      <c r="B2273" s="23" t="s">
        <v>15</v>
      </c>
      <c r="C2273" s="23" t="s">
        <v>46</v>
      </c>
      <c r="D2273" s="23">
        <v>2561.31016935874</v>
      </c>
      <c r="E2273" s="23">
        <v>2025</v>
      </c>
      <c r="F2273" s="15" t="s">
        <v>3860</v>
      </c>
      <c r="G2273" s="15" t="s">
        <v>3797</v>
      </c>
      <c r="H2273" s="23" t="s">
        <v>58</v>
      </c>
    </row>
    <row r="2274" spans="1:8" ht="54.95" customHeight="1" x14ac:dyDescent="0.2">
      <c r="A2274" s="23" t="s">
        <v>374</v>
      </c>
      <c r="B2274" s="23" t="s">
        <v>15</v>
      </c>
      <c r="C2274" s="23" t="s">
        <v>46</v>
      </c>
      <c r="D2274" s="23">
        <v>391.02696280047496</v>
      </c>
      <c r="E2274" s="23">
        <v>2025</v>
      </c>
      <c r="F2274" s="15" t="s">
        <v>3861</v>
      </c>
      <c r="G2274" s="15" t="s">
        <v>3797</v>
      </c>
      <c r="H2274" s="23" t="s">
        <v>58</v>
      </c>
    </row>
    <row r="2275" spans="1:8" ht="54.95" customHeight="1" x14ac:dyDescent="0.2">
      <c r="A2275" s="23" t="s">
        <v>381</v>
      </c>
      <c r="B2275" s="23" t="s">
        <v>15</v>
      </c>
      <c r="C2275" s="23" t="s">
        <v>46</v>
      </c>
      <c r="D2275" s="23">
        <v>5050.9229250470498</v>
      </c>
      <c r="E2275" s="23">
        <v>2025</v>
      </c>
      <c r="F2275" s="15" t="s">
        <v>3862</v>
      </c>
      <c r="G2275" s="15" t="s">
        <v>3797</v>
      </c>
      <c r="H2275" s="23" t="s">
        <v>58</v>
      </c>
    </row>
    <row r="2276" spans="1:8" ht="54.95" customHeight="1" x14ac:dyDescent="0.2">
      <c r="A2276" s="23" t="s">
        <v>388</v>
      </c>
      <c r="B2276" s="23" t="s">
        <v>15</v>
      </c>
      <c r="C2276" s="23" t="s">
        <v>46</v>
      </c>
      <c r="D2276" s="23">
        <v>47.030833798586599</v>
      </c>
      <c r="E2276" s="23">
        <v>2025</v>
      </c>
      <c r="F2276" s="15" t="s">
        <v>3863</v>
      </c>
      <c r="G2276" s="15" t="s">
        <v>3797</v>
      </c>
      <c r="H2276" s="23" t="s">
        <v>58</v>
      </c>
    </row>
    <row r="2277" spans="1:8" ht="54.95" customHeight="1" x14ac:dyDescent="0.2">
      <c r="A2277" s="23" t="s">
        <v>395</v>
      </c>
      <c r="B2277" s="23" t="s">
        <v>15</v>
      </c>
      <c r="C2277" s="23" t="s">
        <v>46</v>
      </c>
      <c r="D2277" s="23">
        <v>48.618869160325403</v>
      </c>
      <c r="E2277" s="23">
        <v>2025</v>
      </c>
      <c r="F2277" s="15" t="s">
        <v>3864</v>
      </c>
      <c r="G2277" s="15" t="s">
        <v>3797</v>
      </c>
      <c r="H2277" s="23" t="s">
        <v>58</v>
      </c>
    </row>
    <row r="2278" spans="1:8" ht="54.95" customHeight="1" x14ac:dyDescent="0.2">
      <c r="A2278" s="23" t="s">
        <v>401</v>
      </c>
      <c r="B2278" s="23" t="s">
        <v>15</v>
      </c>
      <c r="C2278" s="23" t="s">
        <v>46</v>
      </c>
      <c r="D2278" s="23">
        <v>530.75571943887905</v>
      </c>
      <c r="E2278" s="23">
        <v>2025</v>
      </c>
      <c r="F2278" s="15" t="s">
        <v>3865</v>
      </c>
      <c r="G2278" s="15" t="s">
        <v>3797</v>
      </c>
      <c r="H2278" s="23" t="s">
        <v>58</v>
      </c>
    </row>
    <row r="2279" spans="1:8" ht="54.95" customHeight="1" x14ac:dyDescent="0.2">
      <c r="A2279" s="23" t="s">
        <v>407</v>
      </c>
      <c r="B2279" s="23" t="s">
        <v>15</v>
      </c>
      <c r="C2279" s="23" t="s">
        <v>46</v>
      </c>
      <c r="D2279" s="23">
        <v>668.99866408208106</v>
      </c>
      <c r="E2279" s="23">
        <v>2025</v>
      </c>
      <c r="F2279" s="15" t="s">
        <v>3866</v>
      </c>
      <c r="G2279" s="15" t="s">
        <v>3797</v>
      </c>
      <c r="H2279" s="23" t="s">
        <v>58</v>
      </c>
    </row>
    <row r="2280" spans="1:8" ht="54.95" customHeight="1" x14ac:dyDescent="0.2">
      <c r="A2280" s="23" t="s">
        <v>413</v>
      </c>
      <c r="B2280" s="23" t="s">
        <v>15</v>
      </c>
      <c r="C2280" s="23" t="s">
        <v>46</v>
      </c>
      <c r="D2280" s="23">
        <v>317.03936881960698</v>
      </c>
      <c r="E2280" s="23">
        <v>2025</v>
      </c>
      <c r="F2280" s="15" t="s">
        <v>3867</v>
      </c>
      <c r="G2280" s="15" t="s">
        <v>3797</v>
      </c>
      <c r="H2280" s="23" t="s">
        <v>58</v>
      </c>
    </row>
    <row r="2281" spans="1:8" ht="54.95" customHeight="1" x14ac:dyDescent="0.2">
      <c r="A2281" s="23" t="s">
        <v>419</v>
      </c>
      <c r="B2281" s="23" t="s">
        <v>15</v>
      </c>
      <c r="C2281" s="23" t="s">
        <v>46</v>
      </c>
      <c r="D2281" s="23">
        <v>514.69721516506502</v>
      </c>
      <c r="E2281" s="23">
        <v>2025</v>
      </c>
      <c r="F2281" s="15" t="s">
        <v>3868</v>
      </c>
      <c r="G2281" s="15" t="s">
        <v>3797</v>
      </c>
      <c r="H2281" s="23" t="s">
        <v>58</v>
      </c>
    </row>
    <row r="2282" spans="1:8" ht="54.95" customHeight="1" x14ac:dyDescent="0.2">
      <c r="A2282" s="23" t="s">
        <v>426</v>
      </c>
      <c r="B2282" s="23" t="s">
        <v>15</v>
      </c>
      <c r="C2282" s="23" t="s">
        <v>46</v>
      </c>
      <c r="D2282" s="23">
        <v>51.267065842964101</v>
      </c>
      <c r="E2282" s="23">
        <v>2025</v>
      </c>
      <c r="F2282" s="15" t="s">
        <v>3869</v>
      </c>
      <c r="G2282" s="15" t="s">
        <v>3797</v>
      </c>
      <c r="H2282" s="23" t="s">
        <v>58</v>
      </c>
    </row>
    <row r="2283" spans="1:8" ht="54.95" customHeight="1" x14ac:dyDescent="0.2">
      <c r="A2283" s="23" t="s">
        <v>432</v>
      </c>
      <c r="B2283" s="23" t="s">
        <v>15</v>
      </c>
      <c r="C2283" s="23" t="s">
        <v>46</v>
      </c>
      <c r="D2283" s="23">
        <v>101.15782949110699</v>
      </c>
      <c r="E2283" s="23">
        <v>2025</v>
      </c>
      <c r="F2283" s="15" t="s">
        <v>3870</v>
      </c>
      <c r="G2283" s="15" t="s">
        <v>3797</v>
      </c>
      <c r="H2283" s="23" t="s">
        <v>58</v>
      </c>
    </row>
    <row r="2284" spans="1:8" ht="54.95" customHeight="1" x14ac:dyDescent="0.2">
      <c r="A2284" s="23" t="s">
        <v>439</v>
      </c>
      <c r="B2284" s="23" t="s">
        <v>15</v>
      </c>
      <c r="C2284" s="23" t="s">
        <v>46</v>
      </c>
      <c r="D2284" s="23">
        <v>552.32491909587191</v>
      </c>
      <c r="E2284" s="23">
        <v>2024</v>
      </c>
      <c r="F2284" s="15" t="s">
        <v>3871</v>
      </c>
      <c r="G2284" s="15" t="s">
        <v>3797</v>
      </c>
      <c r="H2284" s="23" t="s">
        <v>58</v>
      </c>
    </row>
    <row r="2285" spans="1:8" ht="54.95" customHeight="1" x14ac:dyDescent="0.2">
      <c r="A2285" s="23" t="s">
        <v>445</v>
      </c>
      <c r="B2285" s="23" t="s">
        <v>15</v>
      </c>
      <c r="C2285" s="23" t="s">
        <v>46</v>
      </c>
      <c r="D2285" s="23">
        <v>725.46646285964596</v>
      </c>
      <c r="E2285" s="23">
        <v>2025</v>
      </c>
      <c r="F2285" s="15" t="s">
        <v>3872</v>
      </c>
      <c r="G2285" s="15" t="s">
        <v>3797</v>
      </c>
      <c r="H2285" s="23" t="s">
        <v>58</v>
      </c>
    </row>
    <row r="2286" spans="1:8" ht="54.95" customHeight="1" x14ac:dyDescent="0.2">
      <c r="A2286" s="23" t="s">
        <v>451</v>
      </c>
      <c r="B2286" s="23" t="s">
        <v>15</v>
      </c>
      <c r="C2286" s="23" t="s">
        <v>46</v>
      </c>
      <c r="D2286" s="23">
        <v>38.143612855136702</v>
      </c>
      <c r="E2286" s="23">
        <v>2025</v>
      </c>
      <c r="F2286" s="15" t="s">
        <v>3873</v>
      </c>
      <c r="G2286" s="15" t="s">
        <v>3797</v>
      </c>
      <c r="H2286" s="23" t="s">
        <v>58</v>
      </c>
    </row>
    <row r="2287" spans="1:8" ht="54.95" customHeight="1" x14ac:dyDescent="0.2">
      <c r="A2287" s="23" t="s">
        <v>458</v>
      </c>
      <c r="B2287" s="23" t="s">
        <v>15</v>
      </c>
      <c r="C2287" s="23" t="s">
        <v>46</v>
      </c>
      <c r="D2287" s="23">
        <v>19.101199817017399</v>
      </c>
      <c r="E2287" s="23">
        <v>2025</v>
      </c>
      <c r="F2287" s="15" t="s">
        <v>3874</v>
      </c>
      <c r="G2287" s="15" t="s">
        <v>3797</v>
      </c>
      <c r="H2287" s="23" t="s">
        <v>58</v>
      </c>
    </row>
    <row r="2288" spans="1:8" ht="54.95" customHeight="1" x14ac:dyDescent="0.2">
      <c r="A2288" s="23" t="s">
        <v>464</v>
      </c>
      <c r="B2288" s="23" t="s">
        <v>15</v>
      </c>
      <c r="C2288" s="23" t="s">
        <v>46</v>
      </c>
      <c r="D2288" s="23">
        <v>30.5401882713421</v>
      </c>
      <c r="E2288" s="23">
        <v>2025</v>
      </c>
      <c r="F2288" s="15" t="s">
        <v>3875</v>
      </c>
      <c r="G2288" s="15" t="s">
        <v>3797</v>
      </c>
      <c r="H2288" s="23" t="s">
        <v>58</v>
      </c>
    </row>
    <row r="2289" spans="1:8" ht="54.95" customHeight="1" x14ac:dyDescent="0.2">
      <c r="A2289" s="23" t="s">
        <v>471</v>
      </c>
      <c r="B2289" s="23" t="s">
        <v>15</v>
      </c>
      <c r="C2289" s="23" t="s">
        <v>46</v>
      </c>
      <c r="D2289" s="23">
        <v>75.937647058823501</v>
      </c>
      <c r="E2289" s="23">
        <v>2025</v>
      </c>
      <c r="F2289" s="15" t="s">
        <v>3876</v>
      </c>
      <c r="G2289" s="15" t="s">
        <v>3797</v>
      </c>
      <c r="H2289" s="23" t="s">
        <v>58</v>
      </c>
    </row>
    <row r="2290" spans="1:8" ht="54.95" customHeight="1" x14ac:dyDescent="0.2">
      <c r="A2290" s="23" t="s">
        <v>478</v>
      </c>
      <c r="B2290" s="23" t="s">
        <v>15</v>
      </c>
      <c r="C2290" s="23" t="s">
        <v>46</v>
      </c>
      <c r="D2290" s="23">
        <v>12.4564033068191</v>
      </c>
      <c r="E2290" s="23">
        <v>2025</v>
      </c>
      <c r="F2290" s="15" t="s">
        <v>3877</v>
      </c>
      <c r="G2290" s="15" t="s">
        <v>3797</v>
      </c>
      <c r="H2290" s="23" t="s">
        <v>58</v>
      </c>
    </row>
    <row r="2291" spans="1:8" ht="54.95" customHeight="1" x14ac:dyDescent="0.2">
      <c r="A2291" s="23" t="s">
        <v>482</v>
      </c>
      <c r="B2291" s="23" t="s">
        <v>15</v>
      </c>
      <c r="C2291" s="23" t="s">
        <v>46</v>
      </c>
      <c r="D2291" s="23">
        <v>1597.293229287</v>
      </c>
      <c r="E2291" s="23">
        <v>2025</v>
      </c>
      <c r="F2291" s="15" t="s">
        <v>3878</v>
      </c>
      <c r="G2291" s="15" t="s">
        <v>3797</v>
      </c>
      <c r="H2291" s="23" t="s">
        <v>58</v>
      </c>
    </row>
    <row r="2292" spans="1:8" ht="54.95" customHeight="1" x14ac:dyDescent="0.2">
      <c r="A2292" s="23" t="s">
        <v>488</v>
      </c>
      <c r="B2292" s="23" t="s">
        <v>15</v>
      </c>
      <c r="C2292" s="23" t="s">
        <v>46</v>
      </c>
      <c r="D2292" s="23">
        <v>1906.45330998588</v>
      </c>
      <c r="E2292" s="23">
        <v>2025</v>
      </c>
      <c r="F2292" s="15" t="s">
        <v>3879</v>
      </c>
      <c r="G2292" s="15" t="s">
        <v>3797</v>
      </c>
      <c r="H2292" s="23" t="s">
        <v>58</v>
      </c>
    </row>
    <row r="2293" spans="1:8" ht="54.95" customHeight="1" x14ac:dyDescent="0.2">
      <c r="A2293" s="23" t="s">
        <v>494</v>
      </c>
      <c r="B2293" s="23" t="s">
        <v>15</v>
      </c>
      <c r="C2293" s="23" t="s">
        <v>46</v>
      </c>
      <c r="D2293" s="23">
        <v>18.302970218590197</v>
      </c>
      <c r="E2293" s="23">
        <v>2025</v>
      </c>
      <c r="F2293" s="15" t="s">
        <v>3880</v>
      </c>
      <c r="G2293" s="15" t="s">
        <v>3797</v>
      </c>
      <c r="H2293" s="23" t="s">
        <v>58</v>
      </c>
    </row>
    <row r="2294" spans="1:8" ht="54.95" customHeight="1" x14ac:dyDescent="0.2">
      <c r="A2294" s="23" t="s">
        <v>500</v>
      </c>
      <c r="B2294" s="23" t="s">
        <v>15</v>
      </c>
      <c r="C2294" s="23" t="s">
        <v>46</v>
      </c>
      <c r="D2294" s="23">
        <v>22.623752095461299</v>
      </c>
      <c r="E2294" s="23">
        <v>2025</v>
      </c>
      <c r="F2294" s="15" t="s">
        <v>3881</v>
      </c>
      <c r="G2294" s="15" t="s">
        <v>3797</v>
      </c>
      <c r="H2294" s="23" t="s">
        <v>58</v>
      </c>
    </row>
    <row r="2295" spans="1:8" ht="54.95" customHeight="1" x14ac:dyDescent="0.2">
      <c r="A2295" s="23" t="s">
        <v>506</v>
      </c>
      <c r="B2295" s="23" t="s">
        <v>15</v>
      </c>
      <c r="C2295" s="23" t="s">
        <v>46</v>
      </c>
      <c r="D2295" s="23">
        <v>29.2434528823545</v>
      </c>
      <c r="E2295" s="23">
        <v>2025</v>
      </c>
      <c r="F2295" s="15" t="s">
        <v>3882</v>
      </c>
      <c r="G2295" s="15" t="s">
        <v>3797</v>
      </c>
      <c r="H2295" s="23" t="s">
        <v>58</v>
      </c>
    </row>
    <row r="2296" spans="1:8" ht="54.95" customHeight="1" x14ac:dyDescent="0.2">
      <c r="A2296" s="23" t="s">
        <v>512</v>
      </c>
      <c r="B2296" s="23" t="s">
        <v>15</v>
      </c>
      <c r="C2296" s="23" t="s">
        <v>46</v>
      </c>
      <c r="D2296" s="23">
        <v>462.526660468393</v>
      </c>
      <c r="E2296" s="23">
        <v>2025</v>
      </c>
      <c r="F2296" s="15" t="s">
        <v>3883</v>
      </c>
      <c r="G2296" s="15" t="s">
        <v>3797</v>
      </c>
      <c r="H2296" s="23" t="s">
        <v>58</v>
      </c>
    </row>
    <row r="2297" spans="1:8" ht="54.95" customHeight="1" x14ac:dyDescent="0.2">
      <c r="A2297" s="23" t="s">
        <v>518</v>
      </c>
      <c r="B2297" s="23" t="s">
        <v>15</v>
      </c>
      <c r="C2297" s="23" t="s">
        <v>46</v>
      </c>
      <c r="D2297" s="23">
        <v>48.098909613631598</v>
      </c>
      <c r="E2297" s="23">
        <v>2025</v>
      </c>
      <c r="F2297" s="15" t="s">
        <v>3884</v>
      </c>
      <c r="G2297" s="15" t="s">
        <v>3797</v>
      </c>
      <c r="H2297" s="23" t="s">
        <v>58</v>
      </c>
    </row>
    <row r="2298" spans="1:8" ht="54.95" customHeight="1" x14ac:dyDescent="0.2">
      <c r="A2298" s="23" t="s">
        <v>524</v>
      </c>
      <c r="B2298" s="23" t="s">
        <v>15</v>
      </c>
      <c r="C2298" s="23" t="s">
        <v>46</v>
      </c>
      <c r="D2298" s="23">
        <v>57.502836548087799</v>
      </c>
      <c r="E2298" s="23">
        <v>2025</v>
      </c>
      <c r="F2298" s="15" t="s">
        <v>3885</v>
      </c>
      <c r="G2298" s="15" t="s">
        <v>3797</v>
      </c>
      <c r="H2298" s="23" t="s">
        <v>58</v>
      </c>
    </row>
    <row r="2299" spans="1:8" ht="54.95" customHeight="1" x14ac:dyDescent="0.2">
      <c r="A2299" s="23" t="s">
        <v>530</v>
      </c>
      <c r="B2299" s="23" t="s">
        <v>15</v>
      </c>
      <c r="C2299" s="23" t="s">
        <v>46</v>
      </c>
      <c r="D2299" s="23">
        <v>428.677977854826</v>
      </c>
      <c r="E2299" s="23">
        <v>2025</v>
      </c>
      <c r="F2299" s="15" t="s">
        <v>3886</v>
      </c>
      <c r="G2299" s="15" t="s">
        <v>3797</v>
      </c>
      <c r="H2299" s="23" t="s">
        <v>58</v>
      </c>
    </row>
    <row r="2300" spans="1:8" ht="54.95" customHeight="1" x14ac:dyDescent="0.2">
      <c r="A2300" s="23" t="s">
        <v>537</v>
      </c>
      <c r="B2300" s="23" t="s">
        <v>15</v>
      </c>
      <c r="C2300" s="23" t="s">
        <v>46</v>
      </c>
      <c r="D2300" s="23">
        <v>246.49021351305399</v>
      </c>
      <c r="E2300" s="23">
        <v>2025</v>
      </c>
      <c r="F2300" s="15" t="s">
        <v>3887</v>
      </c>
      <c r="G2300" s="15" t="s">
        <v>3797</v>
      </c>
      <c r="H2300" s="23" t="s">
        <v>58</v>
      </c>
    </row>
    <row r="2301" spans="1:8" ht="54.95" customHeight="1" x14ac:dyDescent="0.2">
      <c r="A2301" s="23" t="s">
        <v>543</v>
      </c>
      <c r="B2301" s="23" t="s">
        <v>15</v>
      </c>
      <c r="C2301" s="23" t="s">
        <v>46</v>
      </c>
      <c r="D2301" s="23">
        <v>154.530066506895</v>
      </c>
      <c r="E2301" s="23">
        <v>2025</v>
      </c>
      <c r="F2301" s="15" t="s">
        <v>3888</v>
      </c>
      <c r="G2301" s="15" t="s">
        <v>3797</v>
      </c>
      <c r="H2301" s="23" t="s">
        <v>58</v>
      </c>
    </row>
    <row r="2302" spans="1:8" ht="54.95" customHeight="1" x14ac:dyDescent="0.2">
      <c r="A2302" s="23" t="s">
        <v>549</v>
      </c>
      <c r="B2302" s="23" t="s">
        <v>15</v>
      </c>
      <c r="C2302" s="23" t="s">
        <v>46</v>
      </c>
      <c r="D2302" s="23">
        <v>1035.49178419744</v>
      </c>
      <c r="E2302" s="23">
        <v>2025</v>
      </c>
      <c r="F2302" s="15" t="s">
        <v>3889</v>
      </c>
      <c r="G2302" s="15" t="s">
        <v>3797</v>
      </c>
      <c r="H2302" s="23" t="s">
        <v>58</v>
      </c>
    </row>
    <row r="2303" spans="1:8" ht="54.95" customHeight="1" x14ac:dyDescent="0.2">
      <c r="A2303" s="23" t="s">
        <v>555</v>
      </c>
      <c r="B2303" s="23" t="s">
        <v>15</v>
      </c>
      <c r="C2303" s="23" t="s">
        <v>46</v>
      </c>
      <c r="D2303" s="23">
        <v>721.70135904631297</v>
      </c>
      <c r="E2303" s="23">
        <v>2025</v>
      </c>
      <c r="F2303" s="15" t="s">
        <v>3890</v>
      </c>
      <c r="G2303" s="15" t="s">
        <v>3797</v>
      </c>
      <c r="H2303" s="23" t="s">
        <v>58</v>
      </c>
    </row>
    <row r="2304" spans="1:8" ht="54.95" customHeight="1" x14ac:dyDescent="0.2">
      <c r="A2304" s="23" t="s">
        <v>561</v>
      </c>
      <c r="B2304" s="23" t="s">
        <v>15</v>
      </c>
      <c r="C2304" s="23" t="s">
        <v>46</v>
      </c>
      <c r="D2304" s="23">
        <v>4002.5875418460096</v>
      </c>
      <c r="E2304" s="23">
        <v>2025</v>
      </c>
      <c r="F2304" s="15" t="s">
        <v>3891</v>
      </c>
      <c r="G2304" s="15" t="s">
        <v>3797</v>
      </c>
      <c r="H2304" s="23" t="s">
        <v>58</v>
      </c>
    </row>
    <row r="2305" spans="1:8" ht="54.95" customHeight="1" x14ac:dyDescent="0.2">
      <c r="A2305" s="23" t="s">
        <v>567</v>
      </c>
      <c r="B2305" s="23" t="s">
        <v>15</v>
      </c>
      <c r="C2305" s="23" t="s">
        <v>46</v>
      </c>
      <c r="D2305" s="23">
        <v>280.63552132444096</v>
      </c>
      <c r="E2305" s="23">
        <v>2025</v>
      </c>
      <c r="F2305" s="15" t="s">
        <v>3892</v>
      </c>
      <c r="G2305" s="15" t="s">
        <v>3797</v>
      </c>
      <c r="H2305" s="23" t="s">
        <v>58</v>
      </c>
    </row>
    <row r="2306" spans="1:8" ht="54.95" customHeight="1" x14ac:dyDescent="0.2">
      <c r="A2306" s="23" t="s">
        <v>573</v>
      </c>
      <c r="B2306" s="23" t="s">
        <v>15</v>
      </c>
      <c r="C2306" s="23" t="s">
        <v>46</v>
      </c>
      <c r="D2306" s="23">
        <v>28.879806220126401</v>
      </c>
      <c r="E2306" s="23">
        <v>2025</v>
      </c>
      <c r="F2306" s="15" t="s">
        <v>3893</v>
      </c>
      <c r="G2306" s="15" t="s">
        <v>3797</v>
      </c>
      <c r="H2306" s="23" t="s">
        <v>58</v>
      </c>
    </row>
    <row r="2307" spans="1:8" ht="54.95" customHeight="1" x14ac:dyDescent="0.2">
      <c r="A2307" s="23" t="s">
        <v>579</v>
      </c>
      <c r="B2307" s="23" t="s">
        <v>15</v>
      </c>
      <c r="C2307" s="23" t="s">
        <v>46</v>
      </c>
      <c r="D2307" s="23">
        <v>7.4641579044350896</v>
      </c>
      <c r="E2307" s="23">
        <v>2025</v>
      </c>
      <c r="F2307" s="15" t="s">
        <v>3894</v>
      </c>
      <c r="G2307" s="15" t="s">
        <v>3797</v>
      </c>
      <c r="H2307" s="23" t="s">
        <v>58</v>
      </c>
    </row>
    <row r="2308" spans="1:8" ht="54.95" customHeight="1" x14ac:dyDescent="0.2">
      <c r="A2308" s="23" t="s">
        <v>585</v>
      </c>
      <c r="B2308" s="23" t="s">
        <v>15</v>
      </c>
      <c r="C2308" s="23" t="s">
        <v>46</v>
      </c>
      <c r="D2308" s="23">
        <v>28.346024753292401</v>
      </c>
      <c r="E2308" s="23">
        <v>2025</v>
      </c>
      <c r="F2308" s="15" t="s">
        <v>3895</v>
      </c>
      <c r="G2308" s="15" t="s">
        <v>3797</v>
      </c>
      <c r="H2308" s="23" t="s">
        <v>58</v>
      </c>
    </row>
    <row r="2309" spans="1:8" ht="54.95" customHeight="1" x14ac:dyDescent="0.2">
      <c r="A2309" s="23" t="s">
        <v>591</v>
      </c>
      <c r="B2309" s="23" t="s">
        <v>15</v>
      </c>
      <c r="C2309" s="23" t="s">
        <v>46</v>
      </c>
      <c r="D2309" s="23">
        <v>5.2459388999999996</v>
      </c>
      <c r="E2309" s="23">
        <v>2025</v>
      </c>
      <c r="F2309" s="15" t="s">
        <v>3896</v>
      </c>
      <c r="G2309" s="15" t="s">
        <v>3797</v>
      </c>
      <c r="H2309" s="23" t="s">
        <v>58</v>
      </c>
    </row>
    <row r="2310" spans="1:8" ht="54.95" customHeight="1" x14ac:dyDescent="0.2">
      <c r="A2310" s="23" t="s">
        <v>597</v>
      </c>
      <c r="B2310" s="23" t="s">
        <v>15</v>
      </c>
      <c r="C2310" s="23" t="s">
        <v>46</v>
      </c>
      <c r="D2310" s="23">
        <v>3.0661092264016498</v>
      </c>
      <c r="E2310" s="23">
        <v>2025</v>
      </c>
      <c r="F2310" s="15" t="s">
        <v>3897</v>
      </c>
      <c r="G2310" s="15" t="s">
        <v>3797</v>
      </c>
      <c r="H2310" s="23" t="s">
        <v>58</v>
      </c>
    </row>
    <row r="2311" spans="1:8" ht="54.95" customHeight="1" x14ac:dyDescent="0.2">
      <c r="A2311" s="23" t="s">
        <v>603</v>
      </c>
      <c r="B2311" s="23" t="s">
        <v>15</v>
      </c>
      <c r="C2311" s="23" t="s">
        <v>46</v>
      </c>
      <c r="D2311" s="23">
        <v>60.162634574468903</v>
      </c>
      <c r="E2311" s="23">
        <v>2025</v>
      </c>
      <c r="F2311" s="15" t="s">
        <v>3898</v>
      </c>
      <c r="G2311" s="15" t="s">
        <v>3797</v>
      </c>
      <c r="H2311" s="23" t="s">
        <v>58</v>
      </c>
    </row>
    <row r="2312" spans="1:8" ht="54.95" customHeight="1" x14ac:dyDescent="0.2">
      <c r="A2312" s="23" t="s">
        <v>610</v>
      </c>
      <c r="B2312" s="23" t="s">
        <v>15</v>
      </c>
      <c r="C2312" s="23" t="s">
        <v>46</v>
      </c>
      <c r="D2312" s="23">
        <v>4.6245330923188597</v>
      </c>
      <c r="E2312" s="23">
        <v>2025</v>
      </c>
      <c r="F2312" s="15" t="s">
        <v>3899</v>
      </c>
      <c r="G2312" s="15" t="s">
        <v>3797</v>
      </c>
      <c r="H2312" s="23" t="s">
        <v>58</v>
      </c>
    </row>
    <row r="2313" spans="1:8" ht="54.95" customHeight="1" x14ac:dyDescent="0.2">
      <c r="A2313" s="23" t="s">
        <v>619</v>
      </c>
      <c r="B2313" s="23" t="s">
        <v>15</v>
      </c>
      <c r="C2313" s="23" t="s">
        <v>46</v>
      </c>
      <c r="D2313" s="23">
        <v>579.47002109541802</v>
      </c>
      <c r="E2313" s="23">
        <v>2025</v>
      </c>
      <c r="F2313" s="15" t="s">
        <v>3900</v>
      </c>
      <c r="G2313" s="15" t="s">
        <v>3797</v>
      </c>
      <c r="H2313" s="23" t="s">
        <v>58</v>
      </c>
    </row>
    <row r="2314" spans="1:8" ht="54.95" customHeight="1" x14ac:dyDescent="0.2">
      <c r="A2314" s="23" t="s">
        <v>626</v>
      </c>
      <c r="B2314" s="23" t="s">
        <v>15</v>
      </c>
      <c r="C2314" s="23" t="s">
        <v>46</v>
      </c>
      <c r="D2314" s="23">
        <v>254.36729353846201</v>
      </c>
      <c r="E2314" s="23">
        <v>2025</v>
      </c>
      <c r="F2314" s="15" t="s">
        <v>3901</v>
      </c>
      <c r="G2314" s="15" t="s">
        <v>3797</v>
      </c>
      <c r="H2314" s="23" t="s">
        <v>58</v>
      </c>
    </row>
    <row r="2315" spans="1:8" ht="54.95" customHeight="1" x14ac:dyDescent="0.2">
      <c r="A2315" s="23" t="s">
        <v>634</v>
      </c>
      <c r="B2315" s="23" t="s">
        <v>15</v>
      </c>
      <c r="C2315" s="23" t="s">
        <v>46</v>
      </c>
      <c r="D2315" s="23">
        <v>2551.5569541003501</v>
      </c>
      <c r="E2315" s="23">
        <v>2025</v>
      </c>
      <c r="F2315" s="15" t="s">
        <v>3902</v>
      </c>
      <c r="G2315" s="15" t="s">
        <v>3797</v>
      </c>
      <c r="H2315" s="23" t="s">
        <v>58</v>
      </c>
    </row>
    <row r="2316" spans="1:8" ht="54.95" customHeight="1" x14ac:dyDescent="0.2">
      <c r="A2316" s="23" t="s">
        <v>641</v>
      </c>
      <c r="B2316" s="23" t="s">
        <v>15</v>
      </c>
      <c r="C2316" s="23" t="s">
        <v>46</v>
      </c>
      <c r="D2316" s="23">
        <v>1043.5298992509202</v>
      </c>
      <c r="E2316" s="23">
        <v>2025</v>
      </c>
      <c r="F2316" s="15" t="s">
        <v>3903</v>
      </c>
      <c r="G2316" s="15" t="s">
        <v>3797</v>
      </c>
      <c r="H2316" s="23" t="s">
        <v>58</v>
      </c>
    </row>
    <row r="2317" spans="1:8" ht="54.95" customHeight="1" x14ac:dyDescent="0.2">
      <c r="A2317" s="23" t="s">
        <v>647</v>
      </c>
      <c r="B2317" s="23" t="s">
        <v>15</v>
      </c>
      <c r="C2317" s="23" t="s">
        <v>46</v>
      </c>
      <c r="D2317" s="23">
        <v>362.682115433364</v>
      </c>
      <c r="E2317" s="23">
        <v>2025</v>
      </c>
      <c r="F2317" s="15" t="s">
        <v>3904</v>
      </c>
      <c r="G2317" s="15" t="s">
        <v>3797</v>
      </c>
      <c r="H2317" s="23" t="s">
        <v>58</v>
      </c>
    </row>
    <row r="2318" spans="1:8" ht="54.95" customHeight="1" x14ac:dyDescent="0.2">
      <c r="A2318" s="23" t="s">
        <v>653</v>
      </c>
      <c r="B2318" s="23" t="s">
        <v>15</v>
      </c>
      <c r="C2318" s="23" t="s">
        <v>46</v>
      </c>
      <c r="D2318" s="23">
        <v>1332.7676511003899</v>
      </c>
      <c r="E2318" s="23">
        <v>2025</v>
      </c>
      <c r="F2318" s="15" t="s">
        <v>3905</v>
      </c>
      <c r="G2318" s="15" t="s">
        <v>3797</v>
      </c>
      <c r="H2318" s="23" t="s">
        <v>58</v>
      </c>
    </row>
    <row r="2319" spans="1:8" ht="54.95" customHeight="1" x14ac:dyDescent="0.2">
      <c r="A2319" s="23" t="s">
        <v>660</v>
      </c>
      <c r="B2319" s="23" t="s">
        <v>15</v>
      </c>
      <c r="C2319" s="23" t="s">
        <v>46</v>
      </c>
      <c r="D2319" s="23">
        <v>8.905764270405399</v>
      </c>
      <c r="E2319" s="23">
        <v>2024</v>
      </c>
      <c r="F2319" s="15" t="s">
        <v>3906</v>
      </c>
      <c r="G2319" s="15" t="s">
        <v>3797</v>
      </c>
      <c r="H2319" s="23" t="s">
        <v>58</v>
      </c>
    </row>
    <row r="2320" spans="1:8" ht="54.95" customHeight="1" x14ac:dyDescent="0.2">
      <c r="A2320" s="23" t="s">
        <v>666</v>
      </c>
      <c r="B2320" s="23" t="s">
        <v>15</v>
      </c>
      <c r="C2320" s="23" t="s">
        <v>46</v>
      </c>
      <c r="D2320" s="23">
        <v>99.773555666198803</v>
      </c>
      <c r="E2320" s="23">
        <v>2025</v>
      </c>
      <c r="F2320" s="15" t="s">
        <v>3907</v>
      </c>
      <c r="G2320" s="15" t="s">
        <v>3797</v>
      </c>
      <c r="H2320" s="23" t="s">
        <v>58</v>
      </c>
    </row>
    <row r="2321" spans="1:8" ht="54.95" customHeight="1" x14ac:dyDescent="0.2">
      <c r="A2321" s="23" t="s">
        <v>672</v>
      </c>
      <c r="B2321" s="23" t="s">
        <v>15</v>
      </c>
      <c r="C2321" s="23" t="s">
        <v>46</v>
      </c>
      <c r="D2321" s="23">
        <v>99.9533244729042</v>
      </c>
      <c r="E2321" s="23">
        <v>2025</v>
      </c>
      <c r="F2321" s="15" t="s">
        <v>3908</v>
      </c>
      <c r="G2321" s="15" t="s">
        <v>3797</v>
      </c>
      <c r="H2321" s="23" t="s">
        <v>58</v>
      </c>
    </row>
    <row r="2322" spans="1:8" ht="54.95" customHeight="1" x14ac:dyDescent="0.2">
      <c r="A2322" s="23" t="s">
        <v>678</v>
      </c>
      <c r="B2322" s="23" t="s">
        <v>15</v>
      </c>
      <c r="C2322" s="23" t="s">
        <v>46</v>
      </c>
      <c r="D2322" s="23">
        <v>30.0691485807688</v>
      </c>
      <c r="E2322" s="23">
        <v>2025</v>
      </c>
      <c r="F2322" s="15" t="s">
        <v>3909</v>
      </c>
      <c r="G2322" s="15" t="s">
        <v>3797</v>
      </c>
      <c r="H2322" s="23" t="s">
        <v>58</v>
      </c>
    </row>
    <row r="2323" spans="1:8" ht="54.95" customHeight="1" x14ac:dyDescent="0.2">
      <c r="A2323" s="23" t="s">
        <v>684</v>
      </c>
      <c r="B2323" s="23" t="s">
        <v>15</v>
      </c>
      <c r="C2323" s="23" t="s">
        <v>46</v>
      </c>
      <c r="D2323" s="23">
        <v>37.006536238373101</v>
      </c>
      <c r="E2323" s="23">
        <v>2025</v>
      </c>
      <c r="F2323" s="15" t="s">
        <v>3910</v>
      </c>
      <c r="G2323" s="15" t="s">
        <v>3797</v>
      </c>
      <c r="H2323" s="23" t="s">
        <v>58</v>
      </c>
    </row>
    <row r="2324" spans="1:8" ht="54.95" customHeight="1" x14ac:dyDescent="0.2">
      <c r="A2324" s="23" t="s">
        <v>690</v>
      </c>
      <c r="B2324" s="23" t="s">
        <v>15</v>
      </c>
      <c r="C2324" s="23" t="s">
        <v>46</v>
      </c>
      <c r="D2324" s="23">
        <v>290.79436154211197</v>
      </c>
      <c r="E2324" s="23">
        <v>2025</v>
      </c>
      <c r="F2324" s="15" t="s">
        <v>3911</v>
      </c>
      <c r="G2324" s="15" t="s">
        <v>3797</v>
      </c>
      <c r="H2324" s="23" t="s">
        <v>58</v>
      </c>
    </row>
    <row r="2325" spans="1:8" ht="54.95" customHeight="1" x14ac:dyDescent="0.2">
      <c r="A2325" s="23" t="s">
        <v>696</v>
      </c>
      <c r="B2325" s="23" t="s">
        <v>15</v>
      </c>
      <c r="C2325" s="23" t="s">
        <v>46</v>
      </c>
      <c r="D2325" s="23">
        <v>24.5664209035337</v>
      </c>
      <c r="E2325" s="23">
        <v>2025</v>
      </c>
      <c r="F2325" s="15" t="s">
        <v>3912</v>
      </c>
      <c r="G2325" s="15" t="s">
        <v>3797</v>
      </c>
      <c r="H2325" s="23" t="s">
        <v>58</v>
      </c>
    </row>
    <row r="2326" spans="1:8" ht="54.95" customHeight="1" x14ac:dyDescent="0.2">
      <c r="A2326" s="23" t="s">
        <v>702</v>
      </c>
      <c r="B2326" s="23" t="s">
        <v>15</v>
      </c>
      <c r="C2326" s="23" t="s">
        <v>46</v>
      </c>
      <c r="D2326" s="23">
        <v>122.17488942363499</v>
      </c>
      <c r="E2326" s="23">
        <v>2025</v>
      </c>
      <c r="F2326" s="15" t="s">
        <v>3913</v>
      </c>
      <c r="G2326" s="15" t="s">
        <v>3797</v>
      </c>
      <c r="H2326" s="23" t="s">
        <v>58</v>
      </c>
    </row>
    <row r="2327" spans="1:8" ht="54.95" customHeight="1" x14ac:dyDescent="0.2">
      <c r="A2327" s="23" t="s">
        <v>708</v>
      </c>
      <c r="B2327" s="23" t="s">
        <v>15</v>
      </c>
      <c r="C2327" s="23" t="s">
        <v>46</v>
      </c>
      <c r="D2327" s="23">
        <v>105.06018218627401</v>
      </c>
      <c r="E2327" s="23">
        <v>2025</v>
      </c>
      <c r="F2327" s="15" t="s">
        <v>3914</v>
      </c>
      <c r="G2327" s="15" t="s">
        <v>3797</v>
      </c>
      <c r="H2327" s="23" t="s">
        <v>58</v>
      </c>
    </row>
    <row r="2328" spans="1:8" ht="54.95" customHeight="1" x14ac:dyDescent="0.2">
      <c r="A2328" s="23" t="s">
        <v>714</v>
      </c>
      <c r="B2328" s="23" t="s">
        <v>15</v>
      </c>
      <c r="C2328" s="23" t="s">
        <v>46</v>
      </c>
      <c r="D2328" s="23">
        <v>79.648204979361807</v>
      </c>
      <c r="E2328" s="23">
        <v>2025</v>
      </c>
      <c r="F2328" s="15" t="s">
        <v>3915</v>
      </c>
      <c r="G2328" s="15" t="s">
        <v>3797</v>
      </c>
      <c r="H2328" s="23" t="s">
        <v>58</v>
      </c>
    </row>
    <row r="2329" spans="1:8" ht="54.95" customHeight="1" x14ac:dyDescent="0.2">
      <c r="A2329" s="23" t="s">
        <v>720</v>
      </c>
      <c r="B2329" s="23" t="s">
        <v>15</v>
      </c>
      <c r="C2329" s="23" t="s">
        <v>46</v>
      </c>
      <c r="D2329" s="23">
        <v>215.559615384615</v>
      </c>
      <c r="E2329" s="23">
        <v>2025</v>
      </c>
      <c r="F2329" s="15" t="s">
        <v>3916</v>
      </c>
      <c r="G2329" s="15" t="s">
        <v>3797</v>
      </c>
      <c r="H2329" s="23" t="s">
        <v>58</v>
      </c>
    </row>
    <row r="2330" spans="1:8" ht="54.95" customHeight="1" x14ac:dyDescent="0.2">
      <c r="A2330" s="23" t="s">
        <v>726</v>
      </c>
      <c r="B2330" s="23" t="s">
        <v>15</v>
      </c>
      <c r="C2330" s="23" t="s">
        <v>46</v>
      </c>
      <c r="D2330" s="23">
        <v>1276.9429333333301</v>
      </c>
      <c r="E2330" s="23">
        <v>2025</v>
      </c>
      <c r="F2330" s="15" t="s">
        <v>3917</v>
      </c>
      <c r="G2330" s="15" t="s">
        <v>3797</v>
      </c>
      <c r="H2330" s="23" t="s">
        <v>58</v>
      </c>
    </row>
    <row r="2331" spans="1:8" ht="54.95" customHeight="1" x14ac:dyDescent="0.2">
      <c r="A2331" s="23" t="s">
        <v>732</v>
      </c>
      <c r="B2331" s="23" t="s">
        <v>15</v>
      </c>
      <c r="C2331" s="23" t="s">
        <v>46</v>
      </c>
      <c r="D2331" s="23">
        <v>19.928479839447601</v>
      </c>
      <c r="E2331" s="23">
        <v>2025</v>
      </c>
      <c r="F2331" s="15" t="s">
        <v>3918</v>
      </c>
      <c r="G2331" s="15" t="s">
        <v>3797</v>
      </c>
      <c r="H2331" s="23" t="s">
        <v>58</v>
      </c>
    </row>
    <row r="2332" spans="1:8" ht="54.95" customHeight="1" x14ac:dyDescent="0.2">
      <c r="A2332" s="23" t="s">
        <v>738</v>
      </c>
      <c r="B2332" s="23" t="s">
        <v>15</v>
      </c>
      <c r="C2332" s="23" t="s">
        <v>46</v>
      </c>
      <c r="D2332" s="23">
        <v>51.2156439055886</v>
      </c>
      <c r="E2332" s="23">
        <v>2025</v>
      </c>
      <c r="F2332" s="15" t="s">
        <v>3919</v>
      </c>
      <c r="G2332" s="15" t="s">
        <v>3797</v>
      </c>
      <c r="H2332" s="23" t="s">
        <v>58</v>
      </c>
    </row>
    <row r="2333" spans="1:8" ht="54.95" customHeight="1" x14ac:dyDescent="0.2">
      <c r="A2333" s="23" t="s">
        <v>744</v>
      </c>
      <c r="B2333" s="23" t="s">
        <v>15</v>
      </c>
      <c r="C2333" s="23" t="s">
        <v>46</v>
      </c>
      <c r="D2333" s="23">
        <v>407.30721447622199</v>
      </c>
      <c r="E2333" s="23">
        <v>2025</v>
      </c>
      <c r="F2333" s="15" t="s">
        <v>3920</v>
      </c>
      <c r="G2333" s="15" t="s">
        <v>3797</v>
      </c>
      <c r="H2333" s="23" t="s">
        <v>58</v>
      </c>
    </row>
    <row r="2334" spans="1:8" ht="54.95" customHeight="1" x14ac:dyDescent="0.2">
      <c r="A2334" s="23" t="s">
        <v>750</v>
      </c>
      <c r="B2334" s="23" t="s">
        <v>15</v>
      </c>
      <c r="C2334" s="23" t="s">
        <v>46</v>
      </c>
      <c r="D2334" s="23">
        <v>130.777235529606</v>
      </c>
      <c r="E2334" s="23">
        <v>2025</v>
      </c>
      <c r="F2334" s="15" t="s">
        <v>3921</v>
      </c>
      <c r="G2334" s="15" t="s">
        <v>3797</v>
      </c>
      <c r="H2334" s="23" t="s">
        <v>58</v>
      </c>
    </row>
    <row r="2335" spans="1:8" ht="54.95" customHeight="1" x14ac:dyDescent="0.2">
      <c r="A2335" s="23" t="s">
        <v>756</v>
      </c>
      <c r="B2335" s="23" t="s">
        <v>15</v>
      </c>
      <c r="C2335" s="23" t="s">
        <v>46</v>
      </c>
      <c r="D2335" s="23">
        <v>577.009981112015</v>
      </c>
      <c r="E2335" s="23">
        <v>2025</v>
      </c>
      <c r="F2335" s="15" t="s">
        <v>3922</v>
      </c>
      <c r="G2335" s="15" t="s">
        <v>3797</v>
      </c>
      <c r="H2335" s="23" t="s">
        <v>58</v>
      </c>
    </row>
    <row r="2336" spans="1:8" ht="54.95" customHeight="1" x14ac:dyDescent="0.2">
      <c r="A2336" s="23" t="s">
        <v>768</v>
      </c>
      <c r="B2336" s="23" t="s">
        <v>15</v>
      </c>
      <c r="C2336" s="23" t="s">
        <v>46</v>
      </c>
      <c r="D2336" s="23">
        <v>32.077278409233898</v>
      </c>
      <c r="E2336" s="23">
        <v>2025</v>
      </c>
      <c r="F2336" s="15" t="s">
        <v>3923</v>
      </c>
      <c r="G2336" s="15" t="s">
        <v>3797</v>
      </c>
      <c r="H2336" s="23" t="s">
        <v>58</v>
      </c>
    </row>
    <row r="2337" spans="1:8" ht="54.95" customHeight="1" x14ac:dyDescent="0.2">
      <c r="A2337" s="23" t="s">
        <v>774</v>
      </c>
      <c r="B2337" s="23" t="s">
        <v>15</v>
      </c>
      <c r="C2337" s="23" t="s">
        <v>46</v>
      </c>
      <c r="D2337" s="23">
        <v>127.407463759043</v>
      </c>
      <c r="E2337" s="23">
        <v>2025</v>
      </c>
      <c r="F2337" s="15" t="s">
        <v>3924</v>
      </c>
      <c r="G2337" s="15" t="s">
        <v>3797</v>
      </c>
      <c r="H2337" s="23" t="s">
        <v>58</v>
      </c>
    </row>
    <row r="2338" spans="1:8" ht="54.95" customHeight="1" x14ac:dyDescent="0.2">
      <c r="A2338" s="23" t="s">
        <v>780</v>
      </c>
      <c r="B2338" s="23" t="s">
        <v>15</v>
      </c>
      <c r="C2338" s="23" t="s">
        <v>46</v>
      </c>
      <c r="D2338" s="23">
        <v>21.472835225433801</v>
      </c>
      <c r="E2338" s="23">
        <v>2025</v>
      </c>
      <c r="F2338" s="15" t="s">
        <v>3925</v>
      </c>
      <c r="G2338" s="15" t="s">
        <v>3797</v>
      </c>
      <c r="H2338" s="23" t="s">
        <v>58</v>
      </c>
    </row>
    <row r="2339" spans="1:8" ht="54.95" customHeight="1" x14ac:dyDescent="0.2">
      <c r="A2339" s="23" t="s">
        <v>785</v>
      </c>
      <c r="B2339" s="23" t="s">
        <v>15</v>
      </c>
      <c r="C2339" s="23" t="s">
        <v>46</v>
      </c>
      <c r="D2339" s="23">
        <v>157.20902692641801</v>
      </c>
      <c r="E2339" s="23">
        <v>2025</v>
      </c>
      <c r="F2339" s="15" t="s">
        <v>3926</v>
      </c>
      <c r="G2339" s="15" t="s">
        <v>3797</v>
      </c>
      <c r="H2339" s="23" t="s">
        <v>58</v>
      </c>
    </row>
    <row r="2340" spans="1:8" ht="54.95" customHeight="1" x14ac:dyDescent="0.2">
      <c r="A2340" s="23" t="s">
        <v>791</v>
      </c>
      <c r="B2340" s="23" t="s">
        <v>15</v>
      </c>
      <c r="C2340" s="23" t="s">
        <v>46</v>
      </c>
      <c r="D2340" s="23">
        <v>36.708109999999998</v>
      </c>
      <c r="E2340" s="23">
        <v>2025</v>
      </c>
      <c r="F2340" s="15" t="s">
        <v>3927</v>
      </c>
      <c r="G2340" s="15" t="s">
        <v>3797</v>
      </c>
      <c r="H2340" s="23" t="s">
        <v>58</v>
      </c>
    </row>
    <row r="2341" spans="1:8" ht="54.95" customHeight="1" x14ac:dyDescent="0.2">
      <c r="A2341" s="23" t="s">
        <v>797</v>
      </c>
      <c r="B2341" s="23" t="s">
        <v>15</v>
      </c>
      <c r="C2341" s="23" t="s">
        <v>46</v>
      </c>
      <c r="D2341" s="23">
        <v>123.306008821471</v>
      </c>
      <c r="E2341" s="23">
        <v>2025</v>
      </c>
      <c r="F2341" s="15" t="s">
        <v>3928</v>
      </c>
      <c r="G2341" s="15" t="s">
        <v>3797</v>
      </c>
      <c r="H2341" s="23" t="s">
        <v>58</v>
      </c>
    </row>
    <row r="2342" spans="1:8" ht="54.95" customHeight="1" x14ac:dyDescent="0.2">
      <c r="A2342" s="23" t="s">
        <v>803</v>
      </c>
      <c r="B2342" s="23" t="s">
        <v>15</v>
      </c>
      <c r="C2342" s="23" t="s">
        <v>46</v>
      </c>
      <c r="D2342" s="23">
        <v>1.9021802578273699</v>
      </c>
      <c r="E2342" s="23">
        <v>2025</v>
      </c>
      <c r="F2342" s="15" t="s">
        <v>3929</v>
      </c>
      <c r="G2342" s="15" t="s">
        <v>3797</v>
      </c>
      <c r="H2342" s="23" t="s">
        <v>58</v>
      </c>
    </row>
    <row r="2343" spans="1:8" ht="54.95" customHeight="1" x14ac:dyDescent="0.2">
      <c r="A2343" s="23" t="s">
        <v>808</v>
      </c>
      <c r="B2343" s="23" t="s">
        <v>15</v>
      </c>
      <c r="C2343" s="23" t="s">
        <v>46</v>
      </c>
      <c r="D2343" s="23">
        <v>15.0319809941121</v>
      </c>
      <c r="E2343" s="23">
        <v>2025</v>
      </c>
      <c r="F2343" s="15" t="s">
        <v>3930</v>
      </c>
      <c r="G2343" s="15" t="s">
        <v>3797</v>
      </c>
      <c r="H2343" s="23" t="s">
        <v>58</v>
      </c>
    </row>
    <row r="2344" spans="1:8" ht="54.95" customHeight="1" x14ac:dyDescent="0.2">
      <c r="A2344" s="23" t="s">
        <v>813</v>
      </c>
      <c r="B2344" s="23" t="s">
        <v>15</v>
      </c>
      <c r="C2344" s="23" t="s">
        <v>46</v>
      </c>
      <c r="D2344" s="23">
        <v>11.125788838281201</v>
      </c>
      <c r="E2344" s="23">
        <v>2024</v>
      </c>
      <c r="F2344" s="15" t="s">
        <v>3931</v>
      </c>
      <c r="G2344" s="15" t="s">
        <v>3797</v>
      </c>
      <c r="H2344" s="23" t="s">
        <v>58</v>
      </c>
    </row>
    <row r="2345" spans="1:8" ht="54.95" customHeight="1" x14ac:dyDescent="0.2">
      <c r="A2345" s="23" t="s">
        <v>819</v>
      </c>
      <c r="B2345" s="23" t="s">
        <v>15</v>
      </c>
      <c r="C2345" s="23" t="s">
        <v>46</v>
      </c>
      <c r="D2345" s="23">
        <v>287.03122598773604</v>
      </c>
      <c r="E2345" s="23">
        <v>2025</v>
      </c>
      <c r="F2345" s="15" t="s">
        <v>3932</v>
      </c>
      <c r="G2345" s="15" t="s">
        <v>3797</v>
      </c>
      <c r="H2345" s="23" t="s">
        <v>58</v>
      </c>
    </row>
    <row r="2346" spans="1:8" ht="54.95" customHeight="1" x14ac:dyDescent="0.2">
      <c r="A2346" s="23" t="s">
        <v>825</v>
      </c>
      <c r="B2346" s="23" t="s">
        <v>15</v>
      </c>
      <c r="C2346" s="23" t="s">
        <v>46</v>
      </c>
      <c r="D2346" s="23">
        <v>22.337997046191301</v>
      </c>
      <c r="E2346" s="23">
        <v>2025</v>
      </c>
      <c r="F2346" s="15" t="s">
        <v>3933</v>
      </c>
      <c r="G2346" s="15" t="s">
        <v>3797</v>
      </c>
      <c r="H2346" s="23" t="s">
        <v>58</v>
      </c>
    </row>
    <row r="2347" spans="1:8" ht="54.95" customHeight="1" x14ac:dyDescent="0.2">
      <c r="A2347" s="23" t="s">
        <v>831</v>
      </c>
      <c r="B2347" s="23" t="s">
        <v>15</v>
      </c>
      <c r="C2347" s="23" t="s">
        <v>46</v>
      </c>
      <c r="D2347" s="23">
        <v>5.16067961281734</v>
      </c>
      <c r="E2347" s="23">
        <v>2025</v>
      </c>
      <c r="F2347" s="15" t="s">
        <v>3934</v>
      </c>
      <c r="G2347" s="15" t="s">
        <v>3797</v>
      </c>
      <c r="H2347" s="23" t="s">
        <v>58</v>
      </c>
    </row>
    <row r="2348" spans="1:8" ht="54.95" customHeight="1" x14ac:dyDescent="0.2">
      <c r="A2348" s="23" t="s">
        <v>837</v>
      </c>
      <c r="B2348" s="23" t="s">
        <v>15</v>
      </c>
      <c r="C2348" s="23" t="s">
        <v>46</v>
      </c>
      <c r="D2348" s="23">
        <v>3.3647138640848797</v>
      </c>
      <c r="E2348" s="23">
        <v>2025</v>
      </c>
      <c r="F2348" s="15" t="s">
        <v>3935</v>
      </c>
      <c r="G2348" s="15" t="s">
        <v>3797</v>
      </c>
      <c r="H2348" s="23" t="s">
        <v>58</v>
      </c>
    </row>
    <row r="2349" spans="1:8" ht="54.95" customHeight="1" x14ac:dyDescent="0.2">
      <c r="A2349" s="23" t="s">
        <v>843</v>
      </c>
      <c r="B2349" s="23" t="s">
        <v>15</v>
      </c>
      <c r="C2349" s="23" t="s">
        <v>46</v>
      </c>
      <c r="D2349" s="23">
        <v>16.372132990227101</v>
      </c>
      <c r="E2349" s="23">
        <v>2025</v>
      </c>
      <c r="F2349" s="15" t="s">
        <v>3936</v>
      </c>
      <c r="G2349" s="15" t="s">
        <v>3797</v>
      </c>
      <c r="H2349" s="23" t="s">
        <v>58</v>
      </c>
    </row>
    <row r="2350" spans="1:8" ht="54.95" customHeight="1" x14ac:dyDescent="0.2">
      <c r="A2350" s="23" t="s">
        <v>849</v>
      </c>
      <c r="B2350" s="23" t="s">
        <v>15</v>
      </c>
      <c r="C2350" s="23" t="s">
        <v>46</v>
      </c>
      <c r="D2350" s="23">
        <v>81.665773809523799</v>
      </c>
      <c r="E2350" s="23">
        <v>2025</v>
      </c>
      <c r="F2350" s="15" t="s">
        <v>3937</v>
      </c>
      <c r="G2350" s="15" t="s">
        <v>3797</v>
      </c>
      <c r="H2350" s="23" t="s">
        <v>58</v>
      </c>
    </row>
    <row r="2351" spans="1:8" ht="54.95" customHeight="1" x14ac:dyDescent="0.2">
      <c r="A2351" s="23" t="s">
        <v>855</v>
      </c>
      <c r="B2351" s="23" t="s">
        <v>15</v>
      </c>
      <c r="C2351" s="23" t="s">
        <v>46</v>
      </c>
      <c r="D2351" s="23">
        <v>456.31922925557802</v>
      </c>
      <c r="E2351" s="23">
        <v>2025</v>
      </c>
      <c r="F2351" s="15" t="s">
        <v>3938</v>
      </c>
      <c r="G2351" s="15" t="s">
        <v>3797</v>
      </c>
      <c r="H2351" s="23" t="s">
        <v>58</v>
      </c>
    </row>
    <row r="2352" spans="1:8" ht="54.95" customHeight="1" x14ac:dyDescent="0.2">
      <c r="A2352" s="23" t="s">
        <v>861</v>
      </c>
      <c r="B2352" s="23" t="s">
        <v>15</v>
      </c>
      <c r="C2352" s="23" t="s">
        <v>46</v>
      </c>
      <c r="D2352" s="23">
        <v>4.5009827318078406</v>
      </c>
      <c r="E2352" s="23">
        <v>2025</v>
      </c>
      <c r="F2352" s="15" t="s">
        <v>3939</v>
      </c>
      <c r="G2352" s="15" t="s">
        <v>3797</v>
      </c>
      <c r="H2352" s="23" t="s">
        <v>58</v>
      </c>
    </row>
    <row r="2353" spans="1:8" ht="54.95" customHeight="1" x14ac:dyDescent="0.2">
      <c r="A2353" s="23" t="s">
        <v>867</v>
      </c>
      <c r="B2353" s="23" t="s">
        <v>15</v>
      </c>
      <c r="C2353" s="23" t="s">
        <v>46</v>
      </c>
      <c r="D2353" s="23">
        <v>17.7785088757396</v>
      </c>
      <c r="E2353" s="23">
        <v>2024</v>
      </c>
      <c r="F2353" s="15" t="s">
        <v>3940</v>
      </c>
      <c r="G2353" s="15" t="s">
        <v>3797</v>
      </c>
      <c r="H2353" s="23" t="s">
        <v>58</v>
      </c>
    </row>
    <row r="2354" spans="1:8" ht="54.95" customHeight="1" x14ac:dyDescent="0.2">
      <c r="A2354" s="23" t="s">
        <v>873</v>
      </c>
      <c r="B2354" s="23" t="s">
        <v>15</v>
      </c>
      <c r="C2354" s="23" t="s">
        <v>46</v>
      </c>
      <c r="D2354" s="23">
        <v>9.2328014647925709</v>
      </c>
      <c r="E2354" s="23">
        <v>2025</v>
      </c>
      <c r="F2354" s="15" t="s">
        <v>3941</v>
      </c>
      <c r="G2354" s="15" t="s">
        <v>3797</v>
      </c>
      <c r="H2354" s="23" t="s">
        <v>58</v>
      </c>
    </row>
    <row r="2355" spans="1:8" ht="54.95" customHeight="1" x14ac:dyDescent="0.2">
      <c r="A2355" s="23" t="s">
        <v>879</v>
      </c>
      <c r="B2355" s="23" t="s">
        <v>15</v>
      </c>
      <c r="C2355" s="23" t="s">
        <v>46</v>
      </c>
      <c r="D2355" s="23">
        <v>32.599982936393104</v>
      </c>
      <c r="E2355" s="23">
        <v>2025</v>
      </c>
      <c r="F2355" s="15" t="s">
        <v>3942</v>
      </c>
      <c r="G2355" s="15" t="s">
        <v>3797</v>
      </c>
      <c r="H2355" s="23" t="s">
        <v>58</v>
      </c>
    </row>
    <row r="2356" spans="1:8" ht="54.95" customHeight="1" x14ac:dyDescent="0.2">
      <c r="A2356" s="23" t="s">
        <v>885</v>
      </c>
      <c r="B2356" s="23" t="s">
        <v>15</v>
      </c>
      <c r="C2356" s="23" t="s">
        <v>46</v>
      </c>
      <c r="D2356" s="23">
        <v>61.985829288149596</v>
      </c>
      <c r="E2356" s="23">
        <v>2025</v>
      </c>
      <c r="F2356" s="15" t="s">
        <v>3943</v>
      </c>
      <c r="G2356" s="15" t="s">
        <v>3797</v>
      </c>
      <c r="H2356" s="23" t="s">
        <v>58</v>
      </c>
    </row>
    <row r="2357" spans="1:8" ht="54.95" customHeight="1" x14ac:dyDescent="0.2">
      <c r="A2357" s="23" t="s">
        <v>899</v>
      </c>
      <c r="B2357" s="23" t="s">
        <v>15</v>
      </c>
      <c r="C2357" s="23" t="s">
        <v>46</v>
      </c>
      <c r="D2357" s="23">
        <v>39.601409103300497</v>
      </c>
      <c r="E2357" s="23">
        <v>2025</v>
      </c>
      <c r="F2357" s="15" t="s">
        <v>3944</v>
      </c>
      <c r="G2357" s="15" t="s">
        <v>3797</v>
      </c>
      <c r="H2357" s="23" t="s">
        <v>58</v>
      </c>
    </row>
    <row r="2358" spans="1:8" ht="54.95" customHeight="1" x14ac:dyDescent="0.2">
      <c r="A2358" s="23" t="s">
        <v>905</v>
      </c>
      <c r="B2358" s="23" t="s">
        <v>15</v>
      </c>
      <c r="C2358" s="23" t="s">
        <v>46</v>
      </c>
      <c r="D2358" s="23">
        <v>130.32056040000001</v>
      </c>
      <c r="E2358" s="23">
        <v>2025</v>
      </c>
      <c r="F2358" s="15" t="s">
        <v>3945</v>
      </c>
      <c r="G2358" s="15" t="s">
        <v>3797</v>
      </c>
      <c r="H2358" s="23" t="s">
        <v>58</v>
      </c>
    </row>
    <row r="2359" spans="1:8" ht="54.95" customHeight="1" x14ac:dyDescent="0.2">
      <c r="A2359" s="23" t="s">
        <v>911</v>
      </c>
      <c r="B2359" s="23" t="s">
        <v>15</v>
      </c>
      <c r="C2359" s="23" t="s">
        <v>46</v>
      </c>
      <c r="D2359" s="23">
        <v>457.41003420252304</v>
      </c>
      <c r="E2359" s="23">
        <v>2025</v>
      </c>
      <c r="F2359" s="15" t="s">
        <v>3946</v>
      </c>
      <c r="G2359" s="15" t="s">
        <v>3797</v>
      </c>
      <c r="H2359" s="23" t="s">
        <v>58</v>
      </c>
    </row>
    <row r="2360" spans="1:8" ht="54.95" customHeight="1" x14ac:dyDescent="0.2">
      <c r="A2360" s="23" t="s">
        <v>917</v>
      </c>
      <c r="B2360" s="23" t="s">
        <v>15</v>
      </c>
      <c r="C2360" s="23" t="s">
        <v>46</v>
      </c>
      <c r="D2360" s="23">
        <v>49.278227554333903</v>
      </c>
      <c r="E2360" s="23">
        <v>2025</v>
      </c>
      <c r="F2360" s="15" t="s">
        <v>3947</v>
      </c>
      <c r="G2360" s="15" t="s">
        <v>3797</v>
      </c>
      <c r="H2360" s="23" t="s">
        <v>58</v>
      </c>
    </row>
    <row r="2361" spans="1:8" ht="54.95" customHeight="1" x14ac:dyDescent="0.2">
      <c r="A2361" s="23" t="s">
        <v>923</v>
      </c>
      <c r="B2361" s="23" t="s">
        <v>15</v>
      </c>
      <c r="C2361" s="23" t="s">
        <v>46</v>
      </c>
      <c r="D2361" s="23">
        <v>2279.9200924921297</v>
      </c>
      <c r="E2361" s="23">
        <v>2025</v>
      </c>
      <c r="F2361" s="15" t="s">
        <v>3857</v>
      </c>
      <c r="G2361" s="15" t="s">
        <v>3797</v>
      </c>
      <c r="H2361" s="23" t="s">
        <v>58</v>
      </c>
    </row>
    <row r="2362" spans="1:8" ht="54.95" customHeight="1" x14ac:dyDescent="0.2">
      <c r="A2362" s="23" t="s">
        <v>925</v>
      </c>
      <c r="B2362" s="23" t="s">
        <v>15</v>
      </c>
      <c r="C2362" s="23" t="s">
        <v>46</v>
      </c>
      <c r="D2362" s="23">
        <v>346.63982514182101</v>
      </c>
      <c r="E2362" s="23">
        <v>2025</v>
      </c>
      <c r="F2362" s="15" t="s">
        <v>3948</v>
      </c>
      <c r="G2362" s="15" t="s">
        <v>3797</v>
      </c>
      <c r="H2362" s="23" t="s">
        <v>58</v>
      </c>
    </row>
    <row r="2363" spans="1:8" ht="54.95" customHeight="1" x14ac:dyDescent="0.2">
      <c r="A2363" s="23" t="s">
        <v>931</v>
      </c>
      <c r="B2363" s="23" t="s">
        <v>15</v>
      </c>
      <c r="C2363" s="23" t="s">
        <v>46</v>
      </c>
      <c r="D2363" s="23">
        <v>20.351796275294301</v>
      </c>
      <c r="E2363" s="23">
        <v>2025</v>
      </c>
      <c r="F2363" s="15" t="s">
        <v>3949</v>
      </c>
      <c r="G2363" s="15" t="s">
        <v>3797</v>
      </c>
      <c r="H2363" s="23" t="s">
        <v>58</v>
      </c>
    </row>
    <row r="2364" spans="1:8" ht="54.95" customHeight="1" x14ac:dyDescent="0.2">
      <c r="A2364" s="23" t="s">
        <v>937</v>
      </c>
      <c r="B2364" s="23" t="s">
        <v>15</v>
      </c>
      <c r="C2364" s="23" t="s">
        <v>46</v>
      </c>
      <c r="D2364" s="23">
        <v>49.828621355651606</v>
      </c>
      <c r="E2364" s="23">
        <v>2025</v>
      </c>
      <c r="F2364" s="15" t="s">
        <v>3950</v>
      </c>
      <c r="G2364" s="15" t="s">
        <v>3797</v>
      </c>
      <c r="H2364" s="23" t="s">
        <v>58</v>
      </c>
    </row>
    <row r="2365" spans="1:8" ht="54.95" customHeight="1" x14ac:dyDescent="0.2">
      <c r="A2365" s="23" t="s">
        <v>943</v>
      </c>
      <c r="B2365" s="23" t="s">
        <v>15</v>
      </c>
      <c r="C2365" s="23" t="s">
        <v>46</v>
      </c>
      <c r="D2365" s="23">
        <v>61.610052535211302</v>
      </c>
      <c r="E2365" s="23">
        <v>2025</v>
      </c>
      <c r="F2365" s="15" t="s">
        <v>3951</v>
      </c>
      <c r="G2365" s="15" t="s">
        <v>3797</v>
      </c>
      <c r="H2365" s="23" t="s">
        <v>58</v>
      </c>
    </row>
    <row r="2366" spans="1:8" ht="54.95" customHeight="1" x14ac:dyDescent="0.2">
      <c r="A2366" s="23" t="s">
        <v>949</v>
      </c>
      <c r="B2366" s="23" t="s">
        <v>15</v>
      </c>
      <c r="C2366" s="23" t="s">
        <v>46</v>
      </c>
      <c r="D2366" s="23">
        <v>45.489810283113201</v>
      </c>
      <c r="E2366" s="23">
        <v>2025</v>
      </c>
      <c r="F2366" s="15" t="s">
        <v>3952</v>
      </c>
      <c r="G2366" s="15" t="s">
        <v>3797</v>
      </c>
      <c r="H2366" s="23" t="s">
        <v>58</v>
      </c>
    </row>
    <row r="2367" spans="1:8" ht="54.95" customHeight="1" x14ac:dyDescent="0.2">
      <c r="A2367" s="23" t="s">
        <v>955</v>
      </c>
      <c r="B2367" s="23" t="s">
        <v>15</v>
      </c>
      <c r="C2367" s="23" t="s">
        <v>46</v>
      </c>
      <c r="D2367" s="23">
        <v>2.57357292005159</v>
      </c>
      <c r="E2367" s="23">
        <v>2025</v>
      </c>
      <c r="F2367" s="15" t="s">
        <v>3953</v>
      </c>
      <c r="G2367" s="15" t="s">
        <v>3797</v>
      </c>
      <c r="H2367" s="23" t="s">
        <v>58</v>
      </c>
    </row>
    <row r="2368" spans="1:8" ht="54.95" customHeight="1" x14ac:dyDescent="0.2">
      <c r="A2368" s="23" t="s">
        <v>961</v>
      </c>
      <c r="B2368" s="23" t="s">
        <v>15</v>
      </c>
      <c r="C2368" s="23" t="s">
        <v>46</v>
      </c>
      <c r="D2368" s="23">
        <v>58.933453923761</v>
      </c>
      <c r="E2368" s="23">
        <v>2025</v>
      </c>
      <c r="F2368" s="15" t="s">
        <v>3954</v>
      </c>
      <c r="G2368" s="15" t="s">
        <v>3797</v>
      </c>
      <c r="H2368" s="23" t="s">
        <v>58</v>
      </c>
    </row>
    <row r="2369" spans="1:8" ht="54.95" customHeight="1" x14ac:dyDescent="0.2">
      <c r="A2369" s="23" t="s">
        <v>967</v>
      </c>
      <c r="B2369" s="23" t="s">
        <v>15</v>
      </c>
      <c r="C2369" s="23" t="s">
        <v>46</v>
      </c>
      <c r="D2369" s="23">
        <v>21.427119323276401</v>
      </c>
      <c r="E2369" s="23">
        <v>2025</v>
      </c>
      <c r="F2369" s="15" t="s">
        <v>3955</v>
      </c>
      <c r="G2369" s="15" t="s">
        <v>3797</v>
      </c>
      <c r="H2369" s="23" t="s">
        <v>58</v>
      </c>
    </row>
    <row r="2370" spans="1:8" ht="54.95" customHeight="1" x14ac:dyDescent="0.2">
      <c r="A2370" s="23" t="s">
        <v>974</v>
      </c>
      <c r="B2370" s="23" t="s">
        <v>15</v>
      </c>
      <c r="C2370" s="23" t="s">
        <v>46</v>
      </c>
      <c r="D2370" s="23">
        <v>21.646191388250703</v>
      </c>
      <c r="E2370" s="23">
        <v>2025</v>
      </c>
      <c r="F2370" s="15" t="s">
        <v>3956</v>
      </c>
      <c r="G2370" s="15" t="s">
        <v>3797</v>
      </c>
      <c r="H2370" s="23" t="s">
        <v>58</v>
      </c>
    </row>
    <row r="2371" spans="1:8" ht="54.95" customHeight="1" x14ac:dyDescent="0.2">
      <c r="A2371" s="23" t="s">
        <v>980</v>
      </c>
      <c r="B2371" s="23" t="s">
        <v>15</v>
      </c>
      <c r="C2371" s="23" t="s">
        <v>46</v>
      </c>
      <c r="D2371" s="23">
        <v>27.627297461318101</v>
      </c>
      <c r="E2371" s="23">
        <v>2025</v>
      </c>
      <c r="F2371" s="15" t="s">
        <v>3957</v>
      </c>
      <c r="G2371" s="15" t="s">
        <v>3797</v>
      </c>
      <c r="H2371" s="23" t="s">
        <v>58</v>
      </c>
    </row>
    <row r="2372" spans="1:8" ht="54.95" customHeight="1" x14ac:dyDescent="0.2">
      <c r="A2372" s="23" t="s">
        <v>986</v>
      </c>
      <c r="B2372" s="23" t="s">
        <v>15</v>
      </c>
      <c r="C2372" s="23" t="s">
        <v>46</v>
      </c>
      <c r="D2372" s="23">
        <v>11.889949067469701</v>
      </c>
      <c r="E2372" s="23">
        <v>2025</v>
      </c>
      <c r="F2372" s="15" t="s">
        <v>3958</v>
      </c>
      <c r="G2372" s="15" t="s">
        <v>3797</v>
      </c>
      <c r="H2372" s="23" t="s">
        <v>58</v>
      </c>
    </row>
    <row r="2373" spans="1:8" ht="54.95" customHeight="1" x14ac:dyDescent="0.2">
      <c r="A2373" s="23" t="s">
        <v>992</v>
      </c>
      <c r="B2373" s="23" t="s">
        <v>15</v>
      </c>
      <c r="C2373" s="23" t="s">
        <v>46</v>
      </c>
      <c r="D2373" s="23">
        <v>114.20990527871699</v>
      </c>
      <c r="E2373" s="23">
        <v>2025</v>
      </c>
      <c r="F2373" s="15" t="s">
        <v>3959</v>
      </c>
      <c r="G2373" s="15" t="s">
        <v>3797</v>
      </c>
      <c r="H2373" s="23" t="s">
        <v>58</v>
      </c>
    </row>
    <row r="2374" spans="1:8" ht="54.95" customHeight="1" x14ac:dyDescent="0.2">
      <c r="A2374" s="23" t="s">
        <v>998</v>
      </c>
      <c r="B2374" s="23" t="s">
        <v>15</v>
      </c>
      <c r="C2374" s="23" t="s">
        <v>46</v>
      </c>
      <c r="D2374" s="23">
        <v>2.52793027292988</v>
      </c>
      <c r="E2374" s="23">
        <v>2025</v>
      </c>
      <c r="F2374" s="15" t="s">
        <v>3960</v>
      </c>
      <c r="G2374" s="15" t="s">
        <v>3797</v>
      </c>
      <c r="H2374" s="23" t="s">
        <v>58</v>
      </c>
    </row>
    <row r="2375" spans="1:8" ht="54.95" customHeight="1" x14ac:dyDescent="0.2">
      <c r="A2375" s="23" t="s">
        <v>1007</v>
      </c>
      <c r="B2375" s="23" t="s">
        <v>15</v>
      </c>
      <c r="C2375" s="23" t="s">
        <v>46</v>
      </c>
      <c r="D2375" s="23">
        <v>30769.7</v>
      </c>
      <c r="E2375" s="23">
        <v>2025</v>
      </c>
      <c r="F2375" s="15" t="s">
        <v>3961</v>
      </c>
      <c r="G2375" s="15" t="s">
        <v>3797</v>
      </c>
      <c r="H2375" s="23" t="s">
        <v>58</v>
      </c>
    </row>
    <row r="2376" spans="1:8" ht="54.95" customHeight="1" x14ac:dyDescent="0.2">
      <c r="A2376" s="23" t="s">
        <v>1013</v>
      </c>
      <c r="B2376" s="23" t="s">
        <v>15</v>
      </c>
      <c r="C2376" s="23" t="s">
        <v>46</v>
      </c>
      <c r="D2376" s="23">
        <v>2319.8997724259198</v>
      </c>
      <c r="E2376" s="23">
        <v>2025</v>
      </c>
      <c r="F2376" s="15" t="s">
        <v>3962</v>
      </c>
      <c r="G2376" s="15" t="s">
        <v>3797</v>
      </c>
      <c r="H2376" s="23" t="s">
        <v>58</v>
      </c>
    </row>
    <row r="2377" spans="1:8" ht="54.95" customHeight="1" x14ac:dyDescent="0.2">
      <c r="A2377" s="23" t="s">
        <v>1019</v>
      </c>
      <c r="B2377" s="23" t="s">
        <v>15</v>
      </c>
      <c r="C2377" s="23" t="s">
        <v>46</v>
      </c>
      <c r="D2377" s="23">
        <v>1832.6413647755201</v>
      </c>
      <c r="E2377" s="23">
        <v>2025</v>
      </c>
      <c r="F2377" s="15" t="s">
        <v>3963</v>
      </c>
      <c r="G2377" s="15" t="s">
        <v>3797</v>
      </c>
      <c r="H2377" s="23" t="s">
        <v>58</v>
      </c>
    </row>
    <row r="2378" spans="1:8" ht="54.95" customHeight="1" x14ac:dyDescent="0.2">
      <c r="A2378" s="23" t="s">
        <v>1025</v>
      </c>
      <c r="B2378" s="23" t="s">
        <v>15</v>
      </c>
      <c r="C2378" s="23" t="s">
        <v>46</v>
      </c>
      <c r="D2378" s="23">
        <v>3.3264999999999998</v>
      </c>
      <c r="E2378" s="23">
        <v>2025</v>
      </c>
      <c r="F2378" s="15" t="s">
        <v>3964</v>
      </c>
      <c r="G2378" s="15" t="s">
        <v>3797</v>
      </c>
      <c r="H2378" s="23" t="s">
        <v>58</v>
      </c>
    </row>
    <row r="2379" spans="1:8" ht="54.95" customHeight="1" x14ac:dyDescent="0.2">
      <c r="A2379" s="23" t="s">
        <v>1031</v>
      </c>
      <c r="B2379" s="23" t="s">
        <v>15</v>
      </c>
      <c r="C2379" s="23" t="s">
        <v>46</v>
      </c>
      <c r="D2379" s="23">
        <v>90.462599999999995</v>
      </c>
      <c r="E2379" s="23">
        <v>2025</v>
      </c>
      <c r="F2379" s="15" t="s">
        <v>3965</v>
      </c>
      <c r="G2379" s="15" t="s">
        <v>3797</v>
      </c>
      <c r="H2379" s="23" t="s">
        <v>58</v>
      </c>
    </row>
    <row r="2380" spans="1:8" ht="54.95" customHeight="1" x14ac:dyDescent="0.2">
      <c r="A2380" s="23" t="s">
        <v>1037</v>
      </c>
      <c r="B2380" s="23" t="s">
        <v>15</v>
      </c>
      <c r="C2380" s="23" t="s">
        <v>46</v>
      </c>
      <c r="D2380" s="23">
        <v>99.661244155630598</v>
      </c>
      <c r="E2380" s="23">
        <v>2025</v>
      </c>
      <c r="F2380" s="15" t="s">
        <v>3966</v>
      </c>
      <c r="G2380" s="15" t="s">
        <v>3797</v>
      </c>
      <c r="H2380" s="23" t="s">
        <v>58</v>
      </c>
    </row>
    <row r="2381" spans="1:8" ht="54.95" customHeight="1" x14ac:dyDescent="0.2">
      <c r="A2381" s="23" t="s">
        <v>1043</v>
      </c>
      <c r="B2381" s="23" t="s">
        <v>15</v>
      </c>
      <c r="C2381" s="23" t="s">
        <v>46</v>
      </c>
      <c r="D2381" s="23">
        <v>32.498658653841503</v>
      </c>
      <c r="E2381" s="23">
        <v>2025</v>
      </c>
      <c r="F2381" s="15" t="s">
        <v>3967</v>
      </c>
      <c r="G2381" s="15" t="s">
        <v>3797</v>
      </c>
      <c r="H2381" s="23" t="s">
        <v>58</v>
      </c>
    </row>
    <row r="2382" spans="1:8" ht="54.95" customHeight="1" x14ac:dyDescent="0.2">
      <c r="A2382" s="23" t="s">
        <v>1048</v>
      </c>
      <c r="B2382" s="23" t="s">
        <v>15</v>
      </c>
      <c r="C2382" s="23" t="s">
        <v>46</v>
      </c>
      <c r="D2382" s="23">
        <v>365.25463017973698</v>
      </c>
      <c r="E2382" s="23">
        <v>2025</v>
      </c>
      <c r="F2382" s="15" t="s">
        <v>3968</v>
      </c>
      <c r="G2382" s="15" t="s">
        <v>3797</v>
      </c>
      <c r="H2382" s="23" t="s">
        <v>58</v>
      </c>
    </row>
    <row r="2383" spans="1:8" ht="54.95" customHeight="1" x14ac:dyDescent="0.2">
      <c r="A2383" s="23" t="s">
        <v>1060</v>
      </c>
      <c r="B2383" s="23" t="s">
        <v>15</v>
      </c>
      <c r="C2383" s="23" t="s">
        <v>46</v>
      </c>
      <c r="D2383" s="23">
        <v>11.679910946437099</v>
      </c>
      <c r="E2383" s="23">
        <v>2025</v>
      </c>
      <c r="F2383" s="15" t="s">
        <v>3969</v>
      </c>
      <c r="G2383" s="15" t="s">
        <v>3797</v>
      </c>
      <c r="H2383" s="23" t="s">
        <v>58</v>
      </c>
    </row>
    <row r="2384" spans="1:8" ht="54.95" customHeight="1" x14ac:dyDescent="0.2">
      <c r="A2384" s="23" t="s">
        <v>1066</v>
      </c>
      <c r="B2384" s="23" t="s">
        <v>15</v>
      </c>
      <c r="C2384" s="23" t="s">
        <v>46</v>
      </c>
      <c r="D2384" s="23">
        <v>12.823210425921699</v>
      </c>
      <c r="E2384" s="23">
        <v>2025</v>
      </c>
      <c r="F2384" s="15" t="s">
        <v>3970</v>
      </c>
      <c r="G2384" s="15" t="s">
        <v>3797</v>
      </c>
      <c r="H2384" s="23" t="s">
        <v>58</v>
      </c>
    </row>
    <row r="2385" spans="1:8" ht="54.95" customHeight="1" x14ac:dyDescent="0.2">
      <c r="A2385" s="23" t="s">
        <v>1072</v>
      </c>
      <c r="B2385" s="23" t="s">
        <v>15</v>
      </c>
      <c r="C2385" s="23" t="s">
        <v>46</v>
      </c>
      <c r="D2385" s="23">
        <v>2.5936739875330601</v>
      </c>
      <c r="E2385" s="23">
        <v>2025</v>
      </c>
      <c r="F2385" s="15" t="s">
        <v>3971</v>
      </c>
      <c r="G2385" s="15" t="s">
        <v>3797</v>
      </c>
      <c r="H2385" s="23" t="s">
        <v>58</v>
      </c>
    </row>
    <row r="2386" spans="1:8" ht="54.95" customHeight="1" x14ac:dyDescent="0.2">
      <c r="A2386" s="23" t="s">
        <v>1078</v>
      </c>
      <c r="B2386" s="23" t="s">
        <v>15</v>
      </c>
      <c r="C2386" s="23" t="s">
        <v>46</v>
      </c>
      <c r="D2386" s="23">
        <v>427.31031592199298</v>
      </c>
      <c r="E2386" s="23">
        <v>2025</v>
      </c>
      <c r="F2386" s="15" t="s">
        <v>3972</v>
      </c>
      <c r="G2386" s="15" t="s">
        <v>3797</v>
      </c>
      <c r="H2386" s="23" t="s">
        <v>58</v>
      </c>
    </row>
    <row r="2387" spans="1:8" ht="54.95" customHeight="1" x14ac:dyDescent="0.2">
      <c r="A2387" s="23" t="s">
        <v>1095</v>
      </c>
      <c r="B2387" s="23" t="s">
        <v>15</v>
      </c>
      <c r="C2387" s="23" t="s">
        <v>46</v>
      </c>
      <c r="D2387" s="23">
        <v>306.23920965002401</v>
      </c>
      <c r="E2387" s="23">
        <v>2025</v>
      </c>
      <c r="F2387" s="15" t="s">
        <v>3854</v>
      </c>
      <c r="G2387" s="15" t="s">
        <v>3797</v>
      </c>
      <c r="H2387" s="23" t="s">
        <v>58</v>
      </c>
    </row>
    <row r="2388" spans="1:8" ht="54.95" customHeight="1" x14ac:dyDescent="0.2">
      <c r="A2388" s="23" t="s">
        <v>1107</v>
      </c>
      <c r="B2388" s="23" t="s">
        <v>15</v>
      </c>
      <c r="C2388" s="23" t="s">
        <v>46</v>
      </c>
      <c r="D2388" s="23">
        <v>1798.5189336892099</v>
      </c>
      <c r="E2388" s="23">
        <v>2025</v>
      </c>
      <c r="F2388" s="15" t="s">
        <v>3973</v>
      </c>
      <c r="G2388" s="15" t="s">
        <v>3797</v>
      </c>
      <c r="H2388" s="23" t="s">
        <v>58</v>
      </c>
    </row>
    <row r="2389" spans="1:8" ht="54.95" customHeight="1" x14ac:dyDescent="0.2">
      <c r="A2389" s="23" t="s">
        <v>1117</v>
      </c>
      <c r="B2389" s="23" t="s">
        <v>15</v>
      </c>
      <c r="C2389" s="23" t="s">
        <v>46</v>
      </c>
      <c r="D2389" s="23">
        <v>6.19801306206553</v>
      </c>
      <c r="E2389" s="23">
        <v>2025</v>
      </c>
      <c r="F2389" s="15" t="s">
        <v>3974</v>
      </c>
      <c r="G2389" s="15" t="s">
        <v>3797</v>
      </c>
      <c r="H2389" s="23" t="s">
        <v>58</v>
      </c>
    </row>
    <row r="2390" spans="1:8" ht="54.95" customHeight="1" x14ac:dyDescent="0.2">
      <c r="A2390" s="23" t="s">
        <v>1123</v>
      </c>
      <c r="B2390" s="23" t="s">
        <v>15</v>
      </c>
      <c r="C2390" s="23" t="s">
        <v>46</v>
      </c>
      <c r="D2390" s="23">
        <v>264.057413739965</v>
      </c>
      <c r="E2390" s="23">
        <v>2025</v>
      </c>
      <c r="F2390" s="15" t="s">
        <v>3975</v>
      </c>
      <c r="G2390" s="15" t="s">
        <v>3797</v>
      </c>
      <c r="H2390" s="23" t="s">
        <v>58</v>
      </c>
    </row>
    <row r="2391" spans="1:8" ht="54.95" customHeight="1" x14ac:dyDescent="0.2">
      <c r="A2391" s="23" t="s">
        <v>1130</v>
      </c>
      <c r="B2391" s="23" t="s">
        <v>15</v>
      </c>
      <c r="C2391" s="23" t="s">
        <v>46</v>
      </c>
      <c r="D2391" s="23">
        <v>8.5489193871260696</v>
      </c>
      <c r="E2391" s="23">
        <v>2024</v>
      </c>
      <c r="F2391" s="15" t="s">
        <v>3976</v>
      </c>
      <c r="G2391" s="15" t="s">
        <v>3797</v>
      </c>
      <c r="H2391" s="23" t="s">
        <v>58</v>
      </c>
    </row>
    <row r="2392" spans="1:8" ht="54.95" customHeight="1" x14ac:dyDescent="0.2">
      <c r="A2392" s="23" t="s">
        <v>1135</v>
      </c>
      <c r="B2392" s="23" t="s">
        <v>15</v>
      </c>
      <c r="C2392" s="23" t="s">
        <v>46</v>
      </c>
      <c r="D2392" s="23">
        <v>19.620352035789903</v>
      </c>
      <c r="E2392" s="23">
        <v>2025</v>
      </c>
      <c r="F2392" s="15" t="s">
        <v>3977</v>
      </c>
      <c r="G2392" s="15" t="s">
        <v>3797</v>
      </c>
      <c r="H2392" s="23" t="s">
        <v>58</v>
      </c>
    </row>
    <row r="2393" spans="1:8" ht="54.95" customHeight="1" x14ac:dyDescent="0.2">
      <c r="A2393" s="23" t="s">
        <v>1141</v>
      </c>
      <c r="B2393" s="23" t="s">
        <v>15</v>
      </c>
      <c r="C2393" s="23" t="s">
        <v>46</v>
      </c>
      <c r="D2393" s="23">
        <v>487.08612372041699</v>
      </c>
      <c r="E2393" s="23">
        <v>2025</v>
      </c>
      <c r="F2393" s="15" t="s">
        <v>3978</v>
      </c>
      <c r="G2393" s="15" t="s">
        <v>3797</v>
      </c>
      <c r="H2393" s="23" t="s">
        <v>58</v>
      </c>
    </row>
    <row r="2394" spans="1:8" ht="54.95" customHeight="1" x14ac:dyDescent="0.2">
      <c r="A2394" s="23" t="s">
        <v>1148</v>
      </c>
      <c r="B2394" s="23" t="s">
        <v>15</v>
      </c>
      <c r="C2394" s="23" t="s">
        <v>46</v>
      </c>
      <c r="D2394" s="23">
        <v>108.82523167119599</v>
      </c>
      <c r="E2394" s="23">
        <v>2025</v>
      </c>
      <c r="F2394" s="15" t="s">
        <v>3979</v>
      </c>
      <c r="G2394" s="15" t="s">
        <v>3797</v>
      </c>
      <c r="H2394" s="23" t="s">
        <v>58</v>
      </c>
    </row>
    <row r="2395" spans="1:8" ht="54.95" customHeight="1" x14ac:dyDescent="0.2">
      <c r="A2395" s="23" t="s">
        <v>1155</v>
      </c>
      <c r="B2395" s="23" t="s">
        <v>15</v>
      </c>
      <c r="C2395" s="23" t="s">
        <v>46</v>
      </c>
      <c r="D2395" s="23">
        <v>3.5611782122905002</v>
      </c>
      <c r="E2395" s="23">
        <v>2024</v>
      </c>
      <c r="F2395" s="15" t="s">
        <v>3980</v>
      </c>
      <c r="G2395" s="15" t="s">
        <v>3797</v>
      </c>
      <c r="H2395" s="23" t="s">
        <v>58</v>
      </c>
    </row>
    <row r="2396" spans="1:8" ht="54.95" customHeight="1" x14ac:dyDescent="0.2">
      <c r="A2396" s="23" t="s">
        <v>1161</v>
      </c>
      <c r="B2396" s="23" t="s">
        <v>15</v>
      </c>
      <c r="C2396" s="23" t="s">
        <v>46</v>
      </c>
      <c r="D2396" s="23">
        <v>4.1675880702921697</v>
      </c>
      <c r="E2396" s="23">
        <v>2024</v>
      </c>
      <c r="F2396" s="15" t="s">
        <v>3981</v>
      </c>
      <c r="G2396" s="15" t="s">
        <v>3797</v>
      </c>
      <c r="H2396" s="23" t="s">
        <v>58</v>
      </c>
    </row>
    <row r="2397" spans="1:8" ht="54.95" customHeight="1" x14ac:dyDescent="0.2">
      <c r="A2397" s="23" t="s">
        <v>1167</v>
      </c>
      <c r="B2397" s="23" t="s">
        <v>15</v>
      </c>
      <c r="C2397" s="23" t="s">
        <v>46</v>
      </c>
      <c r="D2397" s="23">
        <v>15.832800000000001</v>
      </c>
      <c r="E2397" s="23">
        <v>2024</v>
      </c>
      <c r="F2397" s="15" t="s">
        <v>3982</v>
      </c>
      <c r="G2397" s="15" t="s">
        <v>3797</v>
      </c>
      <c r="H2397" s="23" t="s">
        <v>58</v>
      </c>
    </row>
    <row r="2398" spans="1:8" ht="54.95" customHeight="1" x14ac:dyDescent="0.2">
      <c r="A2398" s="23" t="s">
        <v>1173</v>
      </c>
      <c r="B2398" s="23" t="s">
        <v>15</v>
      </c>
      <c r="C2398" s="23" t="s">
        <v>46</v>
      </c>
      <c r="D2398" s="23">
        <v>1.7453780000000001</v>
      </c>
      <c r="E2398" s="23">
        <v>2024</v>
      </c>
      <c r="F2398" s="15" t="s">
        <v>3983</v>
      </c>
      <c r="G2398" s="15" t="s">
        <v>3797</v>
      </c>
      <c r="H2398" s="23" t="s">
        <v>58</v>
      </c>
    </row>
    <row r="2399" spans="1:8" ht="54.95" customHeight="1" x14ac:dyDescent="0.2">
      <c r="A2399" s="23" t="s">
        <v>1184</v>
      </c>
      <c r="B2399" s="23" t="s">
        <v>15</v>
      </c>
      <c r="C2399" s="23" t="s">
        <v>46</v>
      </c>
      <c r="D2399" s="23">
        <v>4435.1629999769402</v>
      </c>
      <c r="E2399" s="23">
        <v>2025</v>
      </c>
      <c r="F2399" s="15" t="s">
        <v>3984</v>
      </c>
      <c r="G2399" s="15" t="s">
        <v>3797</v>
      </c>
      <c r="H2399" s="23" t="s">
        <v>58</v>
      </c>
    </row>
    <row r="2400" spans="1:8" ht="54.95" customHeight="1" x14ac:dyDescent="0.2">
      <c r="A2400" s="23" t="s">
        <v>1195</v>
      </c>
      <c r="B2400" s="23" t="s">
        <v>15</v>
      </c>
      <c r="C2400" s="23" t="s">
        <v>46</v>
      </c>
      <c r="D2400" s="23">
        <v>38.582528789003305</v>
      </c>
      <c r="E2400" s="23">
        <v>2025</v>
      </c>
      <c r="F2400" s="15" t="s">
        <v>3985</v>
      </c>
      <c r="G2400" s="15" t="s">
        <v>3797</v>
      </c>
      <c r="H2400" s="23" t="s">
        <v>58</v>
      </c>
    </row>
    <row r="2401" spans="1:8" ht="54.95" customHeight="1" x14ac:dyDescent="0.2">
      <c r="A2401" s="23" t="s">
        <v>1205</v>
      </c>
      <c r="B2401" s="23" t="s">
        <v>15</v>
      </c>
      <c r="C2401" s="23" t="s">
        <v>46</v>
      </c>
      <c r="D2401" s="23">
        <v>6.3237163550500899</v>
      </c>
      <c r="E2401" s="23">
        <v>2024</v>
      </c>
      <c r="F2401" s="15" t="s">
        <v>3986</v>
      </c>
      <c r="G2401" s="15" t="s">
        <v>3797</v>
      </c>
      <c r="H2401" s="23" t="s">
        <v>58</v>
      </c>
    </row>
    <row r="2402" spans="1:8" ht="54.95" customHeight="1" x14ac:dyDescent="0.2">
      <c r="A2402" s="23" t="s">
        <v>1214</v>
      </c>
      <c r="B2402" s="23" t="s">
        <v>15</v>
      </c>
      <c r="C2402" s="23" t="s">
        <v>46</v>
      </c>
      <c r="D2402" s="23">
        <v>2.38702285348583</v>
      </c>
      <c r="E2402" s="23">
        <v>2025</v>
      </c>
      <c r="F2402" s="15" t="s">
        <v>3987</v>
      </c>
      <c r="G2402" s="15" t="s">
        <v>3797</v>
      </c>
      <c r="H2402" s="23" t="s">
        <v>58</v>
      </c>
    </row>
    <row r="2403" spans="1:8" ht="54.95" customHeight="1" x14ac:dyDescent="0.2">
      <c r="A2403" s="23" t="s">
        <v>1220</v>
      </c>
      <c r="B2403" s="23" t="s">
        <v>15</v>
      </c>
      <c r="C2403" s="23" t="s">
        <v>46</v>
      </c>
      <c r="D2403" s="23">
        <v>0.34922725415883304</v>
      </c>
      <c r="E2403" s="23">
        <v>2025</v>
      </c>
      <c r="F2403" s="15" t="s">
        <v>3988</v>
      </c>
      <c r="G2403" s="15" t="s">
        <v>3797</v>
      </c>
      <c r="H2403" s="23" t="s">
        <v>58</v>
      </c>
    </row>
    <row r="2404" spans="1:8" ht="54.95" customHeight="1" x14ac:dyDescent="0.2">
      <c r="A2404" s="23" t="s">
        <v>1225</v>
      </c>
      <c r="B2404" s="23" t="s">
        <v>15</v>
      </c>
      <c r="C2404" s="23" t="s">
        <v>46</v>
      </c>
      <c r="D2404" s="23">
        <v>0.308</v>
      </c>
      <c r="E2404" s="23">
        <v>2025</v>
      </c>
      <c r="F2404" s="15" t="s">
        <v>3989</v>
      </c>
      <c r="G2404" s="15" t="s">
        <v>3797</v>
      </c>
      <c r="H2404" s="23" t="s">
        <v>58</v>
      </c>
    </row>
    <row r="2405" spans="1:8" ht="54.95" customHeight="1" x14ac:dyDescent="0.2">
      <c r="A2405" s="23" t="s">
        <v>1230</v>
      </c>
      <c r="B2405" s="23" t="s">
        <v>15</v>
      </c>
      <c r="C2405" s="23" t="s">
        <v>46</v>
      </c>
      <c r="D2405" s="23">
        <v>25.942749718468498</v>
      </c>
      <c r="E2405" s="23">
        <v>2025</v>
      </c>
      <c r="F2405" s="15" t="s">
        <v>3990</v>
      </c>
      <c r="G2405" s="15" t="s">
        <v>3797</v>
      </c>
      <c r="H2405" s="23" t="s">
        <v>58</v>
      </c>
    </row>
    <row r="2406" spans="1:8" ht="54.95" customHeight="1" x14ac:dyDescent="0.2">
      <c r="A2406" s="23" t="s">
        <v>1236</v>
      </c>
      <c r="B2406" s="23" t="s">
        <v>15</v>
      </c>
      <c r="C2406" s="23" t="s">
        <v>46</v>
      </c>
      <c r="D2406" s="23">
        <v>1.4201732285694799</v>
      </c>
      <c r="E2406" s="23">
        <v>2025</v>
      </c>
      <c r="F2406" s="15" t="s">
        <v>3991</v>
      </c>
      <c r="G2406" s="15" t="s">
        <v>3797</v>
      </c>
      <c r="H2406" s="23" t="s">
        <v>58</v>
      </c>
    </row>
    <row r="2407" spans="1:8" ht="54.95" customHeight="1" x14ac:dyDescent="0.2">
      <c r="A2407" s="23" t="s">
        <v>1242</v>
      </c>
      <c r="B2407" s="23" t="s">
        <v>15</v>
      </c>
      <c r="C2407" s="23" t="s">
        <v>46</v>
      </c>
      <c r="D2407" s="23">
        <v>1.25522222222222</v>
      </c>
      <c r="E2407" s="23">
        <v>2025</v>
      </c>
      <c r="F2407" s="15" t="s">
        <v>3992</v>
      </c>
      <c r="G2407" s="15" t="s">
        <v>3797</v>
      </c>
      <c r="H2407" s="23" t="s">
        <v>58</v>
      </c>
    </row>
    <row r="2408" spans="1:8" ht="54.95" customHeight="1" x14ac:dyDescent="0.2">
      <c r="A2408" s="23" t="s">
        <v>1247</v>
      </c>
      <c r="B2408" s="23" t="s">
        <v>15</v>
      </c>
      <c r="C2408" s="23" t="s">
        <v>46</v>
      </c>
      <c r="D2408" s="23">
        <v>8.0165500000000005</v>
      </c>
      <c r="E2408" s="23">
        <v>2025</v>
      </c>
      <c r="F2408" s="15" t="s">
        <v>3993</v>
      </c>
      <c r="G2408" s="15" t="s">
        <v>3797</v>
      </c>
      <c r="H2408" s="23" t="s">
        <v>58</v>
      </c>
    </row>
    <row r="2409" spans="1:8" ht="54.95" customHeight="1" x14ac:dyDescent="0.2">
      <c r="A2409" s="23" t="s">
        <v>1253</v>
      </c>
      <c r="B2409" s="23" t="s">
        <v>15</v>
      </c>
      <c r="C2409" s="23" t="s">
        <v>46</v>
      </c>
      <c r="D2409" s="23">
        <v>2.6564444444444399</v>
      </c>
      <c r="E2409" s="23">
        <v>2025</v>
      </c>
      <c r="F2409" s="15" t="s">
        <v>3994</v>
      </c>
      <c r="G2409" s="15" t="s">
        <v>3797</v>
      </c>
      <c r="H2409" s="23" t="s">
        <v>58</v>
      </c>
    </row>
    <row r="2410" spans="1:8" ht="54.95" customHeight="1" x14ac:dyDescent="0.2">
      <c r="A2410" s="23" t="s">
        <v>1259</v>
      </c>
      <c r="B2410" s="23" t="s">
        <v>15</v>
      </c>
      <c r="C2410" s="23" t="s">
        <v>46</v>
      </c>
      <c r="D2410" s="23">
        <v>0.72385925925925898</v>
      </c>
      <c r="E2410" s="23">
        <v>2025</v>
      </c>
      <c r="F2410" s="15" t="s">
        <v>3995</v>
      </c>
      <c r="G2410" s="15" t="s">
        <v>3797</v>
      </c>
      <c r="H2410" s="23" t="s">
        <v>58</v>
      </c>
    </row>
    <row r="2411" spans="1:8" ht="54.95" customHeight="1" x14ac:dyDescent="0.2">
      <c r="A2411" s="23" t="s">
        <v>1273</v>
      </c>
      <c r="B2411" s="23" t="s">
        <v>15</v>
      </c>
      <c r="C2411" s="23" t="s">
        <v>46</v>
      </c>
      <c r="D2411" s="23">
        <v>2.3381962962962999</v>
      </c>
      <c r="E2411" s="23">
        <v>2025</v>
      </c>
      <c r="F2411" s="15" t="s">
        <v>3996</v>
      </c>
      <c r="G2411" s="15" t="s">
        <v>3797</v>
      </c>
      <c r="H2411" s="23" t="s">
        <v>58</v>
      </c>
    </row>
    <row r="2412" spans="1:8" ht="54.95" customHeight="1" x14ac:dyDescent="0.2">
      <c r="A2412" s="23" t="s">
        <v>1278</v>
      </c>
      <c r="B2412" s="23" t="s">
        <v>15</v>
      </c>
      <c r="C2412" s="23" t="s">
        <v>46</v>
      </c>
      <c r="D2412" s="23">
        <v>1.18351481481481</v>
      </c>
      <c r="E2412" s="23">
        <v>2025</v>
      </c>
      <c r="F2412" s="15" t="s">
        <v>3997</v>
      </c>
      <c r="G2412" s="15" t="s">
        <v>3797</v>
      </c>
      <c r="H2412" s="23" t="s">
        <v>58</v>
      </c>
    </row>
    <row r="2413" spans="1:8" ht="54.95" customHeight="1" x14ac:dyDescent="0.2">
      <c r="A2413" s="23" t="s">
        <v>1291</v>
      </c>
      <c r="B2413" s="23" t="s">
        <v>15</v>
      </c>
      <c r="C2413" s="23" t="s">
        <v>46</v>
      </c>
      <c r="D2413" s="23">
        <v>129.368484</v>
      </c>
      <c r="E2413" s="23">
        <v>2025</v>
      </c>
      <c r="F2413" s="15" t="s">
        <v>3998</v>
      </c>
      <c r="G2413" s="15" t="s">
        <v>3797</v>
      </c>
      <c r="H2413" s="23" t="s">
        <v>58</v>
      </c>
    </row>
    <row r="2414" spans="1:8" ht="54.95" customHeight="1" x14ac:dyDescent="0.2">
      <c r="A2414" s="23" t="s">
        <v>1305</v>
      </c>
      <c r="B2414" s="23" t="s">
        <v>15</v>
      </c>
      <c r="C2414" s="23" t="s">
        <v>46</v>
      </c>
      <c r="D2414" s="23">
        <v>22.7049032175631</v>
      </c>
      <c r="E2414" s="23">
        <v>2025</v>
      </c>
      <c r="F2414" s="15" t="s">
        <v>3999</v>
      </c>
      <c r="G2414" s="15" t="s">
        <v>3797</v>
      </c>
      <c r="H2414" s="23" t="s">
        <v>58</v>
      </c>
    </row>
    <row r="2415" spans="1:8" ht="54.95" customHeight="1" x14ac:dyDescent="0.2">
      <c r="A2415" s="23" t="s">
        <v>1311</v>
      </c>
      <c r="B2415" s="23" t="s">
        <v>15</v>
      </c>
      <c r="C2415" s="23" t="s">
        <v>46</v>
      </c>
      <c r="D2415" s="23">
        <v>7.76533650534319</v>
      </c>
      <c r="E2415" s="23">
        <v>2024</v>
      </c>
      <c r="F2415" s="15" t="s">
        <v>4000</v>
      </c>
      <c r="G2415" s="15" t="s">
        <v>3797</v>
      </c>
      <c r="H2415" s="23" t="s">
        <v>58</v>
      </c>
    </row>
    <row r="2416" spans="1:8" ht="54.95" customHeight="1" x14ac:dyDescent="0.2">
      <c r="A2416" s="23" t="s">
        <v>1317</v>
      </c>
      <c r="B2416" s="23" t="s">
        <v>15</v>
      </c>
      <c r="C2416" s="23" t="s">
        <v>46</v>
      </c>
      <c r="D2416" s="23">
        <v>9.1944990000000004</v>
      </c>
      <c r="E2416" s="23">
        <v>2024</v>
      </c>
      <c r="F2416" s="15" t="s">
        <v>4001</v>
      </c>
      <c r="G2416" s="15" t="s">
        <v>3797</v>
      </c>
      <c r="H2416" s="23" t="s">
        <v>58</v>
      </c>
    </row>
    <row r="2417" spans="1:8" ht="54.95" customHeight="1" x14ac:dyDescent="0.2">
      <c r="A2417" s="23" t="s">
        <v>1330</v>
      </c>
      <c r="B2417" s="23" t="s">
        <v>15</v>
      </c>
      <c r="C2417" s="23" t="s">
        <v>46</v>
      </c>
      <c r="D2417" s="23">
        <v>16.1578044917614</v>
      </c>
      <c r="E2417" s="23">
        <v>2025</v>
      </c>
      <c r="F2417" s="15" t="s">
        <v>4002</v>
      </c>
      <c r="G2417" s="15" t="s">
        <v>3797</v>
      </c>
      <c r="H2417" s="23" t="s">
        <v>58</v>
      </c>
    </row>
    <row r="2418" spans="1:8" ht="54.95" customHeight="1" x14ac:dyDescent="0.2">
      <c r="A2418" s="23" t="s">
        <v>1336</v>
      </c>
      <c r="B2418" s="23" t="s">
        <v>15</v>
      </c>
      <c r="C2418" s="23" t="s">
        <v>46</v>
      </c>
      <c r="D2418" s="23">
        <v>1.8149208562702601</v>
      </c>
      <c r="E2418" s="23">
        <v>2025</v>
      </c>
      <c r="F2418" s="15" t="s">
        <v>4003</v>
      </c>
      <c r="G2418" s="15" t="s">
        <v>3797</v>
      </c>
      <c r="H2418" s="23" t="s">
        <v>58</v>
      </c>
    </row>
    <row r="2419" spans="1:8" ht="54.95" customHeight="1" x14ac:dyDescent="0.2">
      <c r="A2419" s="23" t="s">
        <v>1341</v>
      </c>
      <c r="B2419" s="23" t="s">
        <v>15</v>
      </c>
      <c r="C2419" s="23" t="s">
        <v>46</v>
      </c>
      <c r="D2419" s="23">
        <v>0.981293586906408</v>
      </c>
      <c r="E2419" s="23">
        <v>2025</v>
      </c>
      <c r="F2419" s="15" t="s">
        <v>4004</v>
      </c>
      <c r="G2419" s="15" t="s">
        <v>3797</v>
      </c>
      <c r="H2419" s="23" t="s">
        <v>58</v>
      </c>
    </row>
    <row r="2420" spans="1:8" ht="54.95" customHeight="1" x14ac:dyDescent="0.2">
      <c r="A2420" s="23" t="s">
        <v>1346</v>
      </c>
      <c r="B2420" s="23" t="s">
        <v>15</v>
      </c>
      <c r="C2420" s="23" t="s">
        <v>46</v>
      </c>
      <c r="D2420" s="23">
        <v>3.0566304353246299</v>
      </c>
      <c r="E2420" s="23">
        <v>2025</v>
      </c>
      <c r="F2420" s="15" t="s">
        <v>4005</v>
      </c>
      <c r="G2420" s="15" t="s">
        <v>3797</v>
      </c>
      <c r="H2420" s="23" t="s">
        <v>58</v>
      </c>
    </row>
    <row r="2421" spans="1:8" ht="54.95" customHeight="1" x14ac:dyDescent="0.2">
      <c r="A2421" s="23" t="s">
        <v>1352</v>
      </c>
      <c r="B2421" s="23" t="s">
        <v>15</v>
      </c>
      <c r="C2421" s="23" t="s">
        <v>46</v>
      </c>
      <c r="D2421" s="23">
        <v>27.771821560941103</v>
      </c>
      <c r="E2421" s="23">
        <v>2025</v>
      </c>
      <c r="F2421" s="15" t="s">
        <v>4006</v>
      </c>
      <c r="G2421" s="15" t="s">
        <v>3797</v>
      </c>
      <c r="H2421" s="23" t="s">
        <v>58</v>
      </c>
    </row>
    <row r="2422" spans="1:8" ht="54.95" customHeight="1" x14ac:dyDescent="0.2">
      <c r="A2422" s="23" t="s">
        <v>1374</v>
      </c>
      <c r="B2422" s="23" t="s">
        <v>15</v>
      </c>
      <c r="C2422" s="23" t="s">
        <v>46</v>
      </c>
      <c r="D2422" s="23">
        <v>4.05293716976536</v>
      </c>
      <c r="E2422" s="23">
        <v>2024</v>
      </c>
      <c r="F2422" s="15" t="s">
        <v>4007</v>
      </c>
      <c r="G2422" s="15" t="s">
        <v>3797</v>
      </c>
      <c r="H2422" s="23" t="s">
        <v>58</v>
      </c>
    </row>
    <row r="2423" spans="1:8" ht="54.95" customHeight="1" x14ac:dyDescent="0.2">
      <c r="A2423" s="23" t="s">
        <v>1379</v>
      </c>
      <c r="B2423" s="23" t="s">
        <v>15</v>
      </c>
      <c r="C2423" s="23" t="s">
        <v>46</v>
      </c>
      <c r="D2423" s="23">
        <v>1798.5189336892099</v>
      </c>
      <c r="E2423" s="23">
        <v>2025</v>
      </c>
      <c r="F2423" s="15" t="s">
        <v>3973</v>
      </c>
      <c r="G2423" s="15" t="s">
        <v>3797</v>
      </c>
      <c r="H2423" s="23" t="s">
        <v>58</v>
      </c>
    </row>
    <row r="2424" spans="1:8" ht="54.95" customHeight="1" x14ac:dyDescent="0.2">
      <c r="A2424" s="23" t="s">
        <v>1386</v>
      </c>
      <c r="B2424" s="23" t="s">
        <v>15</v>
      </c>
      <c r="C2424" s="23" t="s">
        <v>46</v>
      </c>
      <c r="D2424" s="23">
        <v>603.86951699873805</v>
      </c>
      <c r="E2424" s="23">
        <v>2025</v>
      </c>
      <c r="F2424" s="15" t="s">
        <v>4008</v>
      </c>
      <c r="G2424" s="15" t="s">
        <v>3797</v>
      </c>
      <c r="H2424" s="23" t="s">
        <v>58</v>
      </c>
    </row>
    <row r="2425" spans="1:8" ht="54.95" customHeight="1" x14ac:dyDescent="0.2">
      <c r="A2425" s="23" t="s">
        <v>1400</v>
      </c>
      <c r="B2425" s="23" t="s">
        <v>15</v>
      </c>
      <c r="C2425" s="23" t="s">
        <v>46</v>
      </c>
      <c r="D2425" s="23">
        <v>0.67921821857801701</v>
      </c>
      <c r="E2425" s="23">
        <v>2025</v>
      </c>
      <c r="F2425" s="15" t="s">
        <v>4009</v>
      </c>
      <c r="G2425" s="15" t="s">
        <v>3797</v>
      </c>
      <c r="H2425" s="23" t="s">
        <v>58</v>
      </c>
    </row>
    <row r="2426" spans="1:8" ht="54.95" customHeight="1" x14ac:dyDescent="0.2">
      <c r="A2426" s="23" t="s">
        <v>1410</v>
      </c>
      <c r="B2426" s="23" t="s">
        <v>15</v>
      </c>
      <c r="C2426" s="23" t="s">
        <v>46</v>
      </c>
      <c r="D2426" s="23">
        <v>1.2879366216461898</v>
      </c>
      <c r="E2426" s="23">
        <v>2025</v>
      </c>
      <c r="F2426" s="15" t="s">
        <v>4010</v>
      </c>
      <c r="G2426" s="15" t="s">
        <v>3797</v>
      </c>
      <c r="H2426" s="23" t="s">
        <v>58</v>
      </c>
    </row>
    <row r="2427" spans="1:8" ht="54.95" customHeight="1" x14ac:dyDescent="0.2">
      <c r="A2427" s="23" t="s">
        <v>1415</v>
      </c>
      <c r="B2427" s="23" t="s">
        <v>15</v>
      </c>
      <c r="C2427" s="23" t="s">
        <v>46</v>
      </c>
      <c r="D2427" s="23">
        <v>1.74957244295016</v>
      </c>
      <c r="E2427" s="23">
        <v>2025</v>
      </c>
      <c r="F2427" s="15" t="s">
        <v>4011</v>
      </c>
      <c r="G2427" s="15" t="s">
        <v>3797</v>
      </c>
      <c r="H2427" s="23" t="s">
        <v>58</v>
      </c>
    </row>
    <row r="2428" spans="1:8" ht="54.95" customHeight="1" x14ac:dyDescent="0.2">
      <c r="A2428" s="23" t="s">
        <v>1420</v>
      </c>
      <c r="B2428" s="23" t="s">
        <v>15</v>
      </c>
      <c r="C2428" s="23" t="s">
        <v>46</v>
      </c>
      <c r="D2428" s="23">
        <v>5.7345434723498394E-2</v>
      </c>
      <c r="E2428" s="23">
        <v>2025</v>
      </c>
      <c r="F2428" s="15" t="s">
        <v>4012</v>
      </c>
      <c r="G2428" s="15" t="s">
        <v>3797</v>
      </c>
      <c r="H2428" s="23" t="s">
        <v>58</v>
      </c>
    </row>
    <row r="2429" spans="1:8" ht="54.95" customHeight="1" x14ac:dyDescent="0.2">
      <c r="A2429" s="23" t="s">
        <v>1425</v>
      </c>
      <c r="B2429" s="23" t="s">
        <v>15</v>
      </c>
      <c r="C2429" s="23" t="s">
        <v>46</v>
      </c>
      <c r="D2429" s="23">
        <v>7.7410668606337003</v>
      </c>
      <c r="E2429" s="23">
        <v>2025</v>
      </c>
      <c r="F2429" s="15" t="s">
        <v>4013</v>
      </c>
      <c r="G2429" s="15" t="s">
        <v>3797</v>
      </c>
      <c r="H2429" s="23" t="s">
        <v>58</v>
      </c>
    </row>
    <row r="2430" spans="1:8" ht="54.95" customHeight="1" x14ac:dyDescent="0.2">
      <c r="A2430" s="23" t="s">
        <v>1431</v>
      </c>
      <c r="B2430" s="23" t="s">
        <v>15</v>
      </c>
      <c r="C2430" s="23" t="s">
        <v>46</v>
      </c>
      <c r="D2430" s="23">
        <v>0.17604004393234599</v>
      </c>
      <c r="E2430" s="23">
        <v>2025</v>
      </c>
      <c r="F2430" s="15" t="s">
        <v>4014</v>
      </c>
      <c r="G2430" s="15" t="s">
        <v>3797</v>
      </c>
      <c r="H2430" s="23" t="s">
        <v>58</v>
      </c>
    </row>
    <row r="2431" spans="1:8" ht="54.95" customHeight="1" x14ac:dyDescent="0.2">
      <c r="A2431" s="23" t="s">
        <v>1436</v>
      </c>
      <c r="B2431" s="23" t="s">
        <v>15</v>
      </c>
      <c r="C2431" s="23" t="s">
        <v>46</v>
      </c>
      <c r="D2431" s="23">
        <v>0.50179759999999995</v>
      </c>
      <c r="E2431" s="23">
        <v>2025</v>
      </c>
      <c r="F2431" s="15" t="s">
        <v>4015</v>
      </c>
      <c r="G2431" s="15" t="s">
        <v>3797</v>
      </c>
      <c r="H2431" s="23" t="s">
        <v>58</v>
      </c>
    </row>
    <row r="2432" spans="1:8" ht="54.95" customHeight="1" x14ac:dyDescent="0.2">
      <c r="A2432" s="23" t="s">
        <v>1449</v>
      </c>
      <c r="B2432" s="23" t="s">
        <v>15</v>
      </c>
      <c r="C2432" s="23" t="s">
        <v>46</v>
      </c>
      <c r="D2432" s="23">
        <v>1.3536588406399299</v>
      </c>
      <c r="E2432" s="23">
        <v>2025</v>
      </c>
      <c r="F2432" s="15" t="s">
        <v>4016</v>
      </c>
      <c r="G2432" s="15" t="s">
        <v>3797</v>
      </c>
      <c r="H2432" s="23" t="s">
        <v>58</v>
      </c>
    </row>
    <row r="2433" spans="1:8" ht="54.95" customHeight="1" x14ac:dyDescent="0.2">
      <c r="A2433" s="23" t="s">
        <v>1462</v>
      </c>
      <c r="B2433" s="23" t="s">
        <v>15</v>
      </c>
      <c r="C2433" s="23" t="s">
        <v>46</v>
      </c>
      <c r="D2433" s="23">
        <v>0.34499999999999997</v>
      </c>
      <c r="E2433" s="23">
        <v>2025</v>
      </c>
      <c r="F2433" s="15" t="s">
        <v>4017</v>
      </c>
      <c r="G2433" s="15" t="s">
        <v>3797</v>
      </c>
      <c r="H2433" s="23" t="s">
        <v>58</v>
      </c>
    </row>
    <row r="2434" spans="1:8" ht="54.95" customHeight="1" x14ac:dyDescent="0.2">
      <c r="A2434" s="23" t="s">
        <v>1475</v>
      </c>
      <c r="B2434" s="23" t="s">
        <v>15</v>
      </c>
      <c r="C2434" s="23" t="s">
        <v>46</v>
      </c>
      <c r="D2434" s="23">
        <v>48.965725531914899</v>
      </c>
      <c r="E2434" s="23">
        <v>2025</v>
      </c>
      <c r="F2434" s="15" t="s">
        <v>4018</v>
      </c>
      <c r="G2434" s="15" t="s">
        <v>3797</v>
      </c>
      <c r="H2434" s="23" t="s">
        <v>58</v>
      </c>
    </row>
    <row r="2435" spans="1:8" ht="54.95" customHeight="1" x14ac:dyDescent="0.2">
      <c r="A2435" s="23" t="s">
        <v>1481</v>
      </c>
      <c r="B2435" s="23" t="s">
        <v>15</v>
      </c>
      <c r="C2435" s="23" t="s">
        <v>46</v>
      </c>
      <c r="D2435" s="23">
        <v>1798.5189336892099</v>
      </c>
      <c r="E2435" s="23">
        <v>2025</v>
      </c>
      <c r="F2435" s="15" t="s">
        <v>3973</v>
      </c>
      <c r="G2435" s="15" t="s">
        <v>3797</v>
      </c>
      <c r="H2435" s="23" t="s">
        <v>58</v>
      </c>
    </row>
    <row r="2436" spans="1:8" ht="54.95" customHeight="1" x14ac:dyDescent="0.2">
      <c r="A2436" s="23" t="s">
        <v>1485</v>
      </c>
      <c r="B2436" s="23" t="s">
        <v>15</v>
      </c>
      <c r="C2436" s="23" t="s">
        <v>46</v>
      </c>
      <c r="D2436" s="23">
        <v>3366.3159274473301</v>
      </c>
      <c r="E2436" s="23">
        <v>2025</v>
      </c>
      <c r="F2436" s="15" t="s">
        <v>3830</v>
      </c>
      <c r="G2436" s="15" t="s">
        <v>3797</v>
      </c>
      <c r="H2436" s="23" t="s">
        <v>58</v>
      </c>
    </row>
    <row r="2437" spans="1:8" ht="54.95" customHeight="1" x14ac:dyDescent="0.2">
      <c r="A2437" s="23" t="s">
        <v>1487</v>
      </c>
      <c r="B2437" s="23" t="s">
        <v>15</v>
      </c>
      <c r="C2437" s="23" t="s">
        <v>46</v>
      </c>
      <c r="D2437" s="23">
        <v>52.061007670168998</v>
      </c>
      <c r="E2437" s="23">
        <v>2025</v>
      </c>
      <c r="F2437" s="15" t="s">
        <v>4019</v>
      </c>
      <c r="G2437" s="15" t="s">
        <v>3797</v>
      </c>
      <c r="H2437" s="23" t="s">
        <v>58</v>
      </c>
    </row>
    <row r="2438" spans="1:8" ht="54.95" customHeight="1" x14ac:dyDescent="0.2">
      <c r="A2438" s="23" t="s">
        <v>1492</v>
      </c>
      <c r="B2438" s="23" t="s">
        <v>15</v>
      </c>
      <c r="C2438" s="23" t="s">
        <v>46</v>
      </c>
      <c r="D2438" s="23">
        <v>1798.5189336892099</v>
      </c>
      <c r="E2438" s="23">
        <v>2025</v>
      </c>
      <c r="F2438" s="15" t="s">
        <v>3973</v>
      </c>
      <c r="G2438" s="15" t="s">
        <v>3797</v>
      </c>
      <c r="H2438" s="23" t="s">
        <v>58</v>
      </c>
    </row>
    <row r="2439" spans="1:8" ht="54.95" customHeight="1" x14ac:dyDescent="0.2">
      <c r="A2439" s="23" t="s">
        <v>44</v>
      </c>
      <c r="B2439" s="23" t="s">
        <v>17</v>
      </c>
      <c r="C2439" s="23" t="s">
        <v>1541</v>
      </c>
      <c r="D2439" s="23">
        <v>5.1080890443802502</v>
      </c>
      <c r="E2439" s="23">
        <v>2025</v>
      </c>
      <c r="F2439" s="15" t="s">
        <v>4020</v>
      </c>
      <c r="G2439" s="15" t="s">
        <v>3797</v>
      </c>
      <c r="H2439" s="23" t="s">
        <v>58</v>
      </c>
    </row>
    <row r="2440" spans="1:8" ht="54.95" customHeight="1" x14ac:dyDescent="0.2">
      <c r="A2440" s="23" t="s">
        <v>59</v>
      </c>
      <c r="B2440" s="23" t="s">
        <v>17</v>
      </c>
      <c r="C2440" s="23" t="s">
        <v>4021</v>
      </c>
      <c r="D2440" s="23">
        <v>5.1712708291105702</v>
      </c>
      <c r="E2440" s="23">
        <v>2025</v>
      </c>
      <c r="F2440" s="15" t="s">
        <v>4022</v>
      </c>
      <c r="G2440" s="15" t="s">
        <v>3797</v>
      </c>
      <c r="H2440" s="23" t="s">
        <v>58</v>
      </c>
    </row>
    <row r="2441" spans="1:8" ht="54.95" customHeight="1" x14ac:dyDescent="0.2">
      <c r="A2441" s="23" t="s">
        <v>67</v>
      </c>
      <c r="B2441" s="23" t="s">
        <v>17</v>
      </c>
      <c r="C2441" s="23" t="s">
        <v>4023</v>
      </c>
      <c r="D2441" s="23">
        <v>2.4592547478137399</v>
      </c>
      <c r="E2441" s="23">
        <v>2025</v>
      </c>
      <c r="F2441" s="15" t="s">
        <v>4024</v>
      </c>
      <c r="G2441" s="15" t="s">
        <v>3797</v>
      </c>
      <c r="H2441" s="23" t="s">
        <v>58</v>
      </c>
    </row>
    <row r="2442" spans="1:8" ht="54.95" customHeight="1" x14ac:dyDescent="0.2">
      <c r="A2442" s="23" t="s">
        <v>76</v>
      </c>
      <c r="B2442" s="23" t="s">
        <v>17</v>
      </c>
      <c r="C2442" s="23" t="s">
        <v>4025</v>
      </c>
      <c r="D2442" s="23">
        <v>-1.5823756734824601</v>
      </c>
      <c r="E2442" s="23">
        <v>2025</v>
      </c>
      <c r="F2442" s="15" t="s">
        <v>4026</v>
      </c>
      <c r="G2442" s="15" t="s">
        <v>3797</v>
      </c>
      <c r="H2442" s="23" t="s">
        <v>58</v>
      </c>
    </row>
    <row r="2443" spans="1:8" ht="54.95" customHeight="1" x14ac:dyDescent="0.2">
      <c r="A2443" s="23" t="s">
        <v>84</v>
      </c>
      <c r="B2443" s="23" t="s">
        <v>17</v>
      </c>
      <c r="C2443" s="23" t="s">
        <v>46</v>
      </c>
      <c r="D2443" s="23">
        <v>3.4305639512446602</v>
      </c>
      <c r="E2443" s="23">
        <v>2025</v>
      </c>
      <c r="F2443" s="15" t="s">
        <v>4027</v>
      </c>
      <c r="G2443" s="15" t="s">
        <v>3797</v>
      </c>
      <c r="H2443" s="23" t="s">
        <v>58</v>
      </c>
    </row>
    <row r="2444" spans="1:8" ht="54.95" customHeight="1" x14ac:dyDescent="0.2">
      <c r="A2444" s="23" t="s">
        <v>91</v>
      </c>
      <c r="B2444" s="23" t="s">
        <v>17</v>
      </c>
      <c r="C2444" s="23" t="s">
        <v>4028</v>
      </c>
      <c r="D2444" s="23">
        <v>4.3673333021702199</v>
      </c>
      <c r="E2444" s="23">
        <v>2025</v>
      </c>
      <c r="F2444" s="15" t="s">
        <v>4029</v>
      </c>
      <c r="G2444" s="15" t="s">
        <v>3797</v>
      </c>
      <c r="H2444" s="23" t="s">
        <v>58</v>
      </c>
    </row>
    <row r="2445" spans="1:8" ht="54.95" customHeight="1" x14ac:dyDescent="0.2">
      <c r="A2445" s="23" t="s">
        <v>107</v>
      </c>
      <c r="B2445" s="23" t="s">
        <v>17</v>
      </c>
      <c r="C2445" s="23" t="s">
        <v>4030</v>
      </c>
      <c r="D2445" s="23">
        <v>3.7732534798272499</v>
      </c>
      <c r="E2445" s="23">
        <v>2025</v>
      </c>
      <c r="F2445" s="15" t="s">
        <v>4031</v>
      </c>
      <c r="G2445" s="15" t="s">
        <v>3797</v>
      </c>
      <c r="H2445" s="23" t="s">
        <v>58</v>
      </c>
    </row>
    <row r="2446" spans="1:8" ht="54.95" customHeight="1" x14ac:dyDescent="0.2">
      <c r="A2446" s="23" t="s">
        <v>114</v>
      </c>
      <c r="B2446" s="23" t="s">
        <v>17</v>
      </c>
      <c r="C2446" s="23" t="s">
        <v>4032</v>
      </c>
      <c r="D2446" s="23">
        <v>7.5666617928424396</v>
      </c>
      <c r="E2446" s="23">
        <v>2025</v>
      </c>
      <c r="F2446" s="15" t="s">
        <v>4033</v>
      </c>
      <c r="G2446" s="15" t="s">
        <v>3797</v>
      </c>
      <c r="H2446" s="23" t="s">
        <v>58</v>
      </c>
    </row>
    <row r="2447" spans="1:8" ht="54.95" customHeight="1" x14ac:dyDescent="0.2">
      <c r="A2447" s="23" t="s">
        <v>122</v>
      </c>
      <c r="B2447" s="23" t="s">
        <v>17</v>
      </c>
      <c r="C2447" s="23" t="s">
        <v>1541</v>
      </c>
      <c r="D2447" s="23">
        <v>4.9599488624099202</v>
      </c>
      <c r="E2447" s="23">
        <v>2025</v>
      </c>
      <c r="F2447" s="15" t="s">
        <v>4034</v>
      </c>
      <c r="G2447" s="15" t="s">
        <v>3797</v>
      </c>
      <c r="H2447" s="23" t="s">
        <v>58</v>
      </c>
    </row>
    <row r="2448" spans="1:8" ht="54.95" customHeight="1" x14ac:dyDescent="0.2">
      <c r="A2448" s="23" t="s">
        <v>129</v>
      </c>
      <c r="B2448" s="23" t="s">
        <v>17</v>
      </c>
      <c r="C2448" s="23" t="s">
        <v>4035</v>
      </c>
      <c r="D2448" s="23">
        <v>2.9311496638796801</v>
      </c>
      <c r="E2448" s="23">
        <v>2025</v>
      </c>
      <c r="F2448" s="15" t="s">
        <v>4036</v>
      </c>
      <c r="G2448" s="15" t="s">
        <v>3797</v>
      </c>
      <c r="H2448" s="23" t="s">
        <v>58</v>
      </c>
    </row>
    <row r="2449" spans="1:8" ht="54.95" customHeight="1" x14ac:dyDescent="0.2">
      <c r="A2449" s="23" t="s">
        <v>137</v>
      </c>
      <c r="B2449" s="23" t="s">
        <v>17</v>
      </c>
      <c r="C2449" s="23" t="s">
        <v>4037</v>
      </c>
      <c r="D2449" s="23">
        <v>4.3444407233757696</v>
      </c>
      <c r="E2449" s="23">
        <v>2025</v>
      </c>
      <c r="F2449" s="15" t="s">
        <v>4038</v>
      </c>
      <c r="G2449" s="15" t="s">
        <v>3797</v>
      </c>
      <c r="H2449" s="23" t="s">
        <v>58</v>
      </c>
    </row>
    <row r="2450" spans="1:8" ht="54.95" customHeight="1" x14ac:dyDescent="0.2">
      <c r="A2450" s="23" t="s">
        <v>143</v>
      </c>
      <c r="B2450" s="23" t="s">
        <v>17</v>
      </c>
      <c r="C2450" s="23" t="s">
        <v>4039</v>
      </c>
      <c r="D2450" s="23">
        <v>-7.0798919286181397</v>
      </c>
      <c r="E2450" s="23">
        <v>2024</v>
      </c>
      <c r="F2450" s="15" t="s">
        <v>4040</v>
      </c>
      <c r="G2450" s="15" t="s">
        <v>3797</v>
      </c>
      <c r="H2450" s="23" t="s">
        <v>58</v>
      </c>
    </row>
    <row r="2451" spans="1:8" ht="54.95" customHeight="1" x14ac:dyDescent="0.2">
      <c r="A2451" s="23" t="s">
        <v>150</v>
      </c>
      <c r="B2451" s="23" t="s">
        <v>17</v>
      </c>
      <c r="C2451" s="23" t="s">
        <v>4041</v>
      </c>
      <c r="D2451" s="23">
        <v>9.7715182202933999</v>
      </c>
      <c r="E2451" s="23">
        <v>2025</v>
      </c>
      <c r="F2451" s="15" t="s">
        <v>4042</v>
      </c>
      <c r="G2451" s="15" t="s">
        <v>3797</v>
      </c>
      <c r="H2451" s="23" t="s">
        <v>58</v>
      </c>
    </row>
    <row r="2452" spans="1:8" ht="54.95" customHeight="1" x14ac:dyDescent="0.2">
      <c r="A2452" s="23" t="s">
        <v>163</v>
      </c>
      <c r="B2452" s="23" t="s">
        <v>17</v>
      </c>
      <c r="C2452" s="23" t="s">
        <v>4043</v>
      </c>
      <c r="D2452" s="23">
        <v>2.9911440448219699</v>
      </c>
      <c r="E2452" s="23">
        <v>2025</v>
      </c>
      <c r="F2452" s="15" t="s">
        <v>4044</v>
      </c>
      <c r="G2452" s="15" t="s">
        <v>3797</v>
      </c>
      <c r="H2452" s="23" t="s">
        <v>58</v>
      </c>
    </row>
    <row r="2453" spans="1:8" ht="54.95" customHeight="1" x14ac:dyDescent="0.2">
      <c r="A2453" s="23" t="s">
        <v>169</v>
      </c>
      <c r="B2453" s="23" t="s">
        <v>17</v>
      </c>
      <c r="C2453" s="23" t="s">
        <v>4045</v>
      </c>
      <c r="D2453" s="23">
        <v>4.6326109384498402</v>
      </c>
      <c r="E2453" s="23">
        <v>2025</v>
      </c>
      <c r="F2453" s="15" t="s">
        <v>4046</v>
      </c>
      <c r="G2453" s="15" t="s">
        <v>3797</v>
      </c>
      <c r="H2453" s="23" t="s">
        <v>58</v>
      </c>
    </row>
    <row r="2454" spans="1:8" ht="54.95" customHeight="1" x14ac:dyDescent="0.2">
      <c r="A2454" s="23" t="s">
        <v>176</v>
      </c>
      <c r="B2454" s="23" t="s">
        <v>17</v>
      </c>
      <c r="C2454" s="23" t="s">
        <v>4047</v>
      </c>
      <c r="D2454" s="23">
        <v>1.88518707821663</v>
      </c>
      <c r="E2454" s="23">
        <v>2025</v>
      </c>
      <c r="F2454" s="15" t="s">
        <v>4048</v>
      </c>
      <c r="G2454" s="15" t="s">
        <v>3797</v>
      </c>
      <c r="H2454" s="23" t="s">
        <v>58</v>
      </c>
    </row>
    <row r="2455" spans="1:8" ht="54.95" customHeight="1" x14ac:dyDescent="0.2">
      <c r="A2455" s="23" t="s">
        <v>183</v>
      </c>
      <c r="B2455" s="23" t="s">
        <v>17</v>
      </c>
      <c r="C2455" s="23" t="s">
        <v>4049</v>
      </c>
      <c r="D2455" s="23">
        <v>5.8528682869273903</v>
      </c>
      <c r="E2455" s="23">
        <v>2025</v>
      </c>
      <c r="F2455" s="15" t="s">
        <v>4050</v>
      </c>
      <c r="G2455" s="15" t="s">
        <v>3797</v>
      </c>
      <c r="H2455" s="23" t="s">
        <v>58</v>
      </c>
    </row>
    <row r="2456" spans="1:8" ht="54.95" customHeight="1" x14ac:dyDescent="0.2">
      <c r="A2456" s="23" t="s">
        <v>199</v>
      </c>
      <c r="B2456" s="23" t="s">
        <v>17</v>
      </c>
      <c r="C2456" s="23" t="s">
        <v>46</v>
      </c>
      <c r="D2456" s="23">
        <v>0.84094995547958695</v>
      </c>
      <c r="E2456" s="23">
        <v>2025</v>
      </c>
      <c r="F2456" s="15" t="s">
        <v>4051</v>
      </c>
      <c r="G2456" s="15" t="s">
        <v>3797</v>
      </c>
      <c r="H2456" s="23" t="s">
        <v>58</v>
      </c>
    </row>
    <row r="2457" spans="1:8" ht="54.95" customHeight="1" x14ac:dyDescent="0.2">
      <c r="A2457" s="23" t="s">
        <v>206</v>
      </c>
      <c r="B2457" s="23" t="s">
        <v>17</v>
      </c>
      <c r="C2457" s="23" t="s">
        <v>4052</v>
      </c>
      <c r="D2457" s="23">
        <v>1.79169153226913</v>
      </c>
      <c r="E2457" s="23">
        <v>2025</v>
      </c>
      <c r="F2457" s="15" t="s">
        <v>4053</v>
      </c>
      <c r="G2457" s="15" t="s">
        <v>3797</v>
      </c>
      <c r="H2457" s="23" t="s">
        <v>58</v>
      </c>
    </row>
    <row r="2458" spans="1:8" ht="54.95" customHeight="1" x14ac:dyDescent="0.2">
      <c r="A2458" s="23" t="s">
        <v>213</v>
      </c>
      <c r="B2458" s="23" t="s">
        <v>17</v>
      </c>
      <c r="C2458" s="23" t="s">
        <v>4054</v>
      </c>
      <c r="D2458" s="23">
        <v>19.336009709181798</v>
      </c>
      <c r="E2458" s="23">
        <v>2025</v>
      </c>
      <c r="F2458" s="15" t="s">
        <v>4055</v>
      </c>
      <c r="G2458" s="15" t="s">
        <v>3797</v>
      </c>
      <c r="H2458" s="23" t="s">
        <v>58</v>
      </c>
    </row>
    <row r="2459" spans="1:8" ht="54.95" customHeight="1" x14ac:dyDescent="0.2">
      <c r="A2459" s="23" t="s">
        <v>220</v>
      </c>
      <c r="B2459" s="23" t="s">
        <v>17</v>
      </c>
      <c r="C2459" s="23" t="s">
        <v>46</v>
      </c>
      <c r="D2459" s="23">
        <v>1.0070184029124201</v>
      </c>
      <c r="E2459" s="23">
        <v>2025</v>
      </c>
      <c r="F2459" s="15" t="s">
        <v>4056</v>
      </c>
      <c r="G2459" s="15" t="s">
        <v>3797</v>
      </c>
      <c r="H2459" s="23" t="s">
        <v>58</v>
      </c>
    </row>
    <row r="2460" spans="1:8" ht="54.95" customHeight="1" x14ac:dyDescent="0.2">
      <c r="A2460" s="23" t="s">
        <v>232</v>
      </c>
      <c r="B2460" s="23" t="s">
        <v>17</v>
      </c>
      <c r="C2460" s="23" t="s">
        <v>4057</v>
      </c>
      <c r="D2460" s="23">
        <v>4.5952434918224698</v>
      </c>
      <c r="E2460" s="23">
        <v>2025</v>
      </c>
      <c r="F2460" s="15" t="s">
        <v>4058</v>
      </c>
      <c r="G2460" s="15" t="s">
        <v>3797</v>
      </c>
      <c r="H2460" s="23" t="s">
        <v>58</v>
      </c>
    </row>
    <row r="2461" spans="1:8" ht="54.95" customHeight="1" x14ac:dyDescent="0.2">
      <c r="A2461" s="23" t="s">
        <v>244</v>
      </c>
      <c r="B2461" s="23" t="s">
        <v>17</v>
      </c>
      <c r="C2461" s="23" t="s">
        <v>46</v>
      </c>
      <c r="D2461" s="23">
        <v>4.5603354784482901</v>
      </c>
      <c r="E2461" s="23">
        <v>2025</v>
      </c>
      <c r="F2461" s="15" t="s">
        <v>4059</v>
      </c>
      <c r="G2461" s="15" t="s">
        <v>3797</v>
      </c>
      <c r="H2461" s="23" t="s">
        <v>58</v>
      </c>
    </row>
    <row r="2462" spans="1:8" ht="54.95" customHeight="1" x14ac:dyDescent="0.2">
      <c r="A2462" s="23" t="s">
        <v>251</v>
      </c>
      <c r="B2462" s="23" t="s">
        <v>17</v>
      </c>
      <c r="C2462" s="23" t="s">
        <v>4060</v>
      </c>
      <c r="D2462" s="23">
        <v>4.9235255677088903</v>
      </c>
      <c r="E2462" s="23">
        <v>2025</v>
      </c>
      <c r="F2462" s="15" t="s">
        <v>4061</v>
      </c>
      <c r="G2462" s="15" t="s">
        <v>3797</v>
      </c>
      <c r="H2462" s="23" t="s">
        <v>58</v>
      </c>
    </row>
    <row r="2463" spans="1:8" ht="54.95" customHeight="1" x14ac:dyDescent="0.2">
      <c r="A2463" s="23" t="s">
        <v>258</v>
      </c>
      <c r="B2463" s="23" t="s">
        <v>17</v>
      </c>
      <c r="C2463" s="23" t="s">
        <v>4062</v>
      </c>
      <c r="D2463" s="23">
        <v>3.0829272812006301</v>
      </c>
      <c r="E2463" s="23">
        <v>2025</v>
      </c>
      <c r="F2463" s="15" t="s">
        <v>4063</v>
      </c>
      <c r="G2463" s="15" t="s">
        <v>3797</v>
      </c>
      <c r="H2463" s="23" t="s">
        <v>58</v>
      </c>
    </row>
    <row r="2464" spans="1:8" ht="54.95" customHeight="1" x14ac:dyDescent="0.2">
      <c r="A2464" s="23" t="s">
        <v>264</v>
      </c>
      <c r="B2464" s="23" t="s">
        <v>17</v>
      </c>
      <c r="C2464" s="23" t="s">
        <v>46</v>
      </c>
      <c r="D2464" s="23">
        <v>5.7592447163999898</v>
      </c>
      <c r="E2464" s="23">
        <v>2025</v>
      </c>
      <c r="F2464" s="15" t="s">
        <v>4064</v>
      </c>
      <c r="G2464" s="15" t="s">
        <v>3797</v>
      </c>
      <c r="H2464" s="23" t="s">
        <v>58</v>
      </c>
    </row>
    <row r="2465" spans="1:8" ht="54.95" customHeight="1" x14ac:dyDescent="0.2">
      <c r="A2465" s="23" t="s">
        <v>271</v>
      </c>
      <c r="B2465" s="23" t="s">
        <v>17</v>
      </c>
      <c r="C2465" s="23" t="s">
        <v>4065</v>
      </c>
      <c r="D2465" s="23">
        <v>8.0050271623309808</v>
      </c>
      <c r="E2465" s="23">
        <v>2025</v>
      </c>
      <c r="F2465" s="15" t="s">
        <v>4066</v>
      </c>
      <c r="G2465" s="15" t="s">
        <v>3797</v>
      </c>
      <c r="H2465" s="23" t="s">
        <v>58</v>
      </c>
    </row>
    <row r="2466" spans="1:8" ht="54.95" customHeight="1" x14ac:dyDescent="0.2">
      <c r="A2466" s="23" t="s">
        <v>278</v>
      </c>
      <c r="B2466" s="23" t="s">
        <v>17</v>
      </c>
      <c r="C2466" s="23" t="s">
        <v>46</v>
      </c>
      <c r="D2466" s="23">
        <v>1.82152376756284</v>
      </c>
      <c r="E2466" s="23">
        <v>2025</v>
      </c>
      <c r="F2466" s="15" t="s">
        <v>4067</v>
      </c>
      <c r="G2466" s="15" t="s">
        <v>3797</v>
      </c>
      <c r="H2466" s="23" t="s">
        <v>58</v>
      </c>
    </row>
    <row r="2467" spans="1:8" ht="54.95" customHeight="1" x14ac:dyDescent="0.2">
      <c r="A2467" s="23" t="s">
        <v>285</v>
      </c>
      <c r="B2467" s="23" t="s">
        <v>17</v>
      </c>
      <c r="C2467" s="23" t="s">
        <v>46</v>
      </c>
      <c r="D2467" s="23">
        <v>1.2999999999999801</v>
      </c>
      <c r="E2467" s="23">
        <v>2025</v>
      </c>
      <c r="F2467" s="15" t="s">
        <v>4068</v>
      </c>
      <c r="G2467" s="15" t="s">
        <v>3797</v>
      </c>
      <c r="H2467" s="23" t="s">
        <v>58</v>
      </c>
    </row>
    <row r="2468" spans="1:8" ht="54.95" customHeight="1" x14ac:dyDescent="0.2">
      <c r="A2468" s="23" t="s">
        <v>292</v>
      </c>
      <c r="B2468" s="23" t="s">
        <v>17</v>
      </c>
      <c r="C2468" s="23" t="s">
        <v>46</v>
      </c>
      <c r="D2468" s="23">
        <v>1.7301815384233501</v>
      </c>
      <c r="E2468" s="23">
        <v>2025</v>
      </c>
      <c r="F2468" s="15" t="s">
        <v>4069</v>
      </c>
      <c r="G2468" s="15" t="s">
        <v>3797</v>
      </c>
      <c r="H2468" s="23" t="s">
        <v>58</v>
      </c>
    </row>
    <row r="2469" spans="1:8" ht="54.95" customHeight="1" x14ac:dyDescent="0.2">
      <c r="A2469" s="23" t="s">
        <v>299</v>
      </c>
      <c r="B2469" s="23" t="s">
        <v>17</v>
      </c>
      <c r="C2469" s="23" t="s">
        <v>46</v>
      </c>
      <c r="D2469" s="23">
        <v>1.1146260810395601</v>
      </c>
      <c r="E2469" s="23">
        <v>2025</v>
      </c>
      <c r="F2469" s="15" t="s">
        <v>4070</v>
      </c>
      <c r="G2469" s="15" t="s">
        <v>3797</v>
      </c>
      <c r="H2469" s="23" t="s">
        <v>58</v>
      </c>
    </row>
    <row r="2470" spans="1:8" ht="54.95" customHeight="1" x14ac:dyDescent="0.2">
      <c r="A2470" s="23" t="s">
        <v>310</v>
      </c>
      <c r="B2470" s="23" t="s">
        <v>17</v>
      </c>
      <c r="C2470" s="23" t="s">
        <v>46</v>
      </c>
      <c r="D2470" s="23">
        <v>3.4000000000000101</v>
      </c>
      <c r="E2470" s="23">
        <v>2025</v>
      </c>
      <c r="F2470" s="15" t="s">
        <v>4071</v>
      </c>
      <c r="G2470" s="15" t="s">
        <v>3797</v>
      </c>
      <c r="H2470" s="23" t="s">
        <v>58</v>
      </c>
    </row>
    <row r="2471" spans="1:8" ht="54.95" customHeight="1" x14ac:dyDescent="0.2">
      <c r="A2471" s="23" t="s">
        <v>315</v>
      </c>
      <c r="B2471" s="23" t="s">
        <v>17</v>
      </c>
      <c r="C2471" s="23" t="s">
        <v>46</v>
      </c>
      <c r="D2471" s="23">
        <v>2.3978738229539802</v>
      </c>
      <c r="E2471" s="23">
        <v>2025</v>
      </c>
      <c r="F2471" s="15" t="s">
        <v>4072</v>
      </c>
      <c r="G2471" s="15" t="s">
        <v>3797</v>
      </c>
      <c r="H2471" s="23" t="s">
        <v>58</v>
      </c>
    </row>
    <row r="2472" spans="1:8" ht="54.95" customHeight="1" x14ac:dyDescent="0.2">
      <c r="A2472" s="23" t="s">
        <v>322</v>
      </c>
      <c r="B2472" s="23" t="s">
        <v>17</v>
      </c>
      <c r="C2472" s="23" t="s">
        <v>46</v>
      </c>
      <c r="D2472" s="23">
        <v>7.6996247793291301</v>
      </c>
      <c r="E2472" s="23">
        <v>2025</v>
      </c>
      <c r="F2472" s="15" t="s">
        <v>4073</v>
      </c>
      <c r="G2472" s="15" t="s">
        <v>3797</v>
      </c>
      <c r="H2472" s="23" t="s">
        <v>58</v>
      </c>
    </row>
    <row r="2473" spans="1:8" ht="54.95" customHeight="1" x14ac:dyDescent="0.2">
      <c r="A2473" s="23" t="s">
        <v>329</v>
      </c>
      <c r="B2473" s="23" t="s">
        <v>17</v>
      </c>
      <c r="C2473" s="23" t="s">
        <v>46</v>
      </c>
      <c r="D2473" s="23">
        <v>6.5</v>
      </c>
      <c r="E2473" s="23">
        <v>2025</v>
      </c>
      <c r="F2473" s="15" t="s">
        <v>4074</v>
      </c>
      <c r="G2473" s="15" t="s">
        <v>3797</v>
      </c>
      <c r="H2473" s="23" t="s">
        <v>58</v>
      </c>
    </row>
    <row r="2474" spans="1:8" ht="54.95" customHeight="1" x14ac:dyDescent="0.2">
      <c r="A2474" s="23" t="s">
        <v>336</v>
      </c>
      <c r="B2474" s="23" t="s">
        <v>17</v>
      </c>
      <c r="C2474" s="23" t="s">
        <v>46</v>
      </c>
      <c r="D2474" s="23">
        <v>8.4000005339007497</v>
      </c>
      <c r="E2474" s="23">
        <v>2025</v>
      </c>
      <c r="F2474" s="15" t="s">
        <v>4075</v>
      </c>
      <c r="G2474" s="15" t="s">
        <v>3797</v>
      </c>
      <c r="H2474" s="23" t="s">
        <v>58</v>
      </c>
    </row>
    <row r="2475" spans="1:8" ht="54.95" customHeight="1" x14ac:dyDescent="0.2">
      <c r="A2475" s="23" t="s">
        <v>342</v>
      </c>
      <c r="B2475" s="23" t="s">
        <v>17</v>
      </c>
      <c r="C2475" s="23" t="s">
        <v>46</v>
      </c>
      <c r="D2475" s="23">
        <v>2.9200765646169602</v>
      </c>
      <c r="E2475" s="23">
        <v>2025</v>
      </c>
      <c r="F2475" s="15" t="s">
        <v>4076</v>
      </c>
      <c r="G2475" s="15" t="s">
        <v>3797</v>
      </c>
      <c r="H2475" s="23" t="s">
        <v>58</v>
      </c>
    </row>
    <row r="2476" spans="1:8" ht="54.95" customHeight="1" x14ac:dyDescent="0.2">
      <c r="A2476" s="23" t="s">
        <v>349</v>
      </c>
      <c r="B2476" s="23" t="s">
        <v>17</v>
      </c>
      <c r="C2476" s="23" t="s">
        <v>46</v>
      </c>
      <c r="D2476" s="23">
        <v>2.2857464902475</v>
      </c>
      <c r="E2476" s="23">
        <v>2025</v>
      </c>
      <c r="F2476" s="15" t="s">
        <v>4077</v>
      </c>
      <c r="G2476" s="15" t="s">
        <v>3797</v>
      </c>
      <c r="H2476" s="23" t="s">
        <v>58</v>
      </c>
    </row>
    <row r="2477" spans="1:8" ht="54.95" customHeight="1" x14ac:dyDescent="0.2">
      <c r="A2477" s="23" t="s">
        <v>356</v>
      </c>
      <c r="B2477" s="23" t="s">
        <v>17</v>
      </c>
      <c r="C2477" s="23" t="s">
        <v>46</v>
      </c>
      <c r="D2477" s="23">
        <v>1.7847111708275201</v>
      </c>
      <c r="E2477" s="23">
        <v>2025</v>
      </c>
      <c r="F2477" s="15" t="s">
        <v>4078</v>
      </c>
      <c r="G2477" s="15" t="s">
        <v>3797</v>
      </c>
      <c r="H2477" s="23" t="s">
        <v>58</v>
      </c>
    </row>
    <row r="2478" spans="1:8" ht="54.95" customHeight="1" x14ac:dyDescent="0.2">
      <c r="A2478" s="23" t="s">
        <v>362</v>
      </c>
      <c r="B2478" s="23" t="s">
        <v>17</v>
      </c>
      <c r="C2478" s="23" t="s">
        <v>46</v>
      </c>
      <c r="D2478" s="23">
        <v>6.8439141593860704</v>
      </c>
      <c r="E2478" s="23">
        <v>2025</v>
      </c>
      <c r="F2478" s="15" t="s">
        <v>4079</v>
      </c>
      <c r="G2478" s="15" t="s">
        <v>3797</v>
      </c>
      <c r="H2478" s="23" t="s">
        <v>58</v>
      </c>
    </row>
    <row r="2479" spans="1:8" ht="54.95" customHeight="1" x14ac:dyDescent="0.2">
      <c r="A2479" s="23" t="s">
        <v>368</v>
      </c>
      <c r="B2479" s="23" t="s">
        <v>17</v>
      </c>
      <c r="C2479" s="23" t="s">
        <v>46</v>
      </c>
      <c r="D2479" s="23">
        <v>1.00117656925738</v>
      </c>
      <c r="E2479" s="23">
        <v>2025</v>
      </c>
      <c r="F2479" s="15" t="s">
        <v>4080</v>
      </c>
      <c r="G2479" s="15" t="s">
        <v>3797</v>
      </c>
      <c r="H2479" s="23" t="s">
        <v>58</v>
      </c>
    </row>
    <row r="2480" spans="1:8" ht="54.95" customHeight="1" x14ac:dyDescent="0.2">
      <c r="A2480" s="23" t="s">
        <v>374</v>
      </c>
      <c r="B2480" s="23" t="s">
        <v>17</v>
      </c>
      <c r="C2480" s="23" t="s">
        <v>46</v>
      </c>
      <c r="D2480" s="23">
        <v>2.58046673293437</v>
      </c>
      <c r="E2480" s="23">
        <v>2025</v>
      </c>
      <c r="F2480" s="15" t="s">
        <v>4081</v>
      </c>
      <c r="G2480" s="15" t="s">
        <v>3797</v>
      </c>
      <c r="H2480" s="23" t="s">
        <v>58</v>
      </c>
    </row>
    <row r="2481" spans="1:8" ht="54.95" customHeight="1" x14ac:dyDescent="0.2">
      <c r="A2481" s="23" t="s">
        <v>381</v>
      </c>
      <c r="B2481" s="23" t="s">
        <v>17</v>
      </c>
      <c r="C2481" s="23" t="s">
        <v>46</v>
      </c>
      <c r="D2481" s="23">
        <v>0.23957834211788101</v>
      </c>
      <c r="E2481" s="23">
        <v>2025</v>
      </c>
      <c r="F2481" s="15" t="s">
        <v>4082</v>
      </c>
      <c r="G2481" s="15" t="s">
        <v>3797</v>
      </c>
      <c r="H2481" s="23" t="s">
        <v>58</v>
      </c>
    </row>
    <row r="2482" spans="1:8" ht="54.95" customHeight="1" x14ac:dyDescent="0.2">
      <c r="A2482" s="23" t="s">
        <v>388</v>
      </c>
      <c r="B2482" s="23" t="s">
        <v>17</v>
      </c>
      <c r="C2482" s="23" t="s">
        <v>46</v>
      </c>
      <c r="D2482" s="23">
        <v>0.58430846478938703</v>
      </c>
      <c r="E2482" s="23">
        <v>2025</v>
      </c>
      <c r="F2482" s="15" t="s">
        <v>4083</v>
      </c>
      <c r="G2482" s="15" t="s">
        <v>3797</v>
      </c>
      <c r="H2482" s="23" t="s">
        <v>58</v>
      </c>
    </row>
    <row r="2483" spans="1:8" ht="54.95" customHeight="1" x14ac:dyDescent="0.2">
      <c r="A2483" s="23" t="s">
        <v>395</v>
      </c>
      <c r="B2483" s="23" t="s">
        <v>17</v>
      </c>
      <c r="C2483" s="23" t="s">
        <v>46</v>
      </c>
      <c r="D2483" s="23">
        <v>2.1378685573128799</v>
      </c>
      <c r="E2483" s="23">
        <v>2025</v>
      </c>
      <c r="F2483" s="15" t="s">
        <v>4084</v>
      </c>
      <c r="G2483" s="15" t="s">
        <v>3797</v>
      </c>
      <c r="H2483" s="23" t="s">
        <v>58</v>
      </c>
    </row>
    <row r="2484" spans="1:8" ht="54.95" customHeight="1" x14ac:dyDescent="0.2">
      <c r="A2484" s="23" t="s">
        <v>401</v>
      </c>
      <c r="B2484" s="23" t="s">
        <v>17</v>
      </c>
      <c r="C2484" s="23" t="s">
        <v>46</v>
      </c>
      <c r="D2484" s="23">
        <v>1.0852818503141699</v>
      </c>
      <c r="E2484" s="23">
        <v>2025</v>
      </c>
      <c r="F2484" s="15" t="s">
        <v>4085</v>
      </c>
      <c r="G2484" s="15" t="s">
        <v>3797</v>
      </c>
      <c r="H2484" s="23" t="s">
        <v>58</v>
      </c>
    </row>
    <row r="2485" spans="1:8" ht="54.95" customHeight="1" x14ac:dyDescent="0.2">
      <c r="A2485" s="23" t="s">
        <v>407</v>
      </c>
      <c r="B2485" s="23" t="s">
        <v>17</v>
      </c>
      <c r="C2485" s="23" t="s">
        <v>46</v>
      </c>
      <c r="D2485" s="23">
        <v>1.5431637326621701</v>
      </c>
      <c r="E2485" s="23">
        <v>2025</v>
      </c>
      <c r="F2485" s="15" t="s">
        <v>4086</v>
      </c>
      <c r="G2485" s="15" t="s">
        <v>3797</v>
      </c>
      <c r="H2485" s="23" t="s">
        <v>58</v>
      </c>
    </row>
    <row r="2486" spans="1:8" ht="54.95" customHeight="1" x14ac:dyDescent="0.2">
      <c r="A2486" s="23" t="s">
        <v>413</v>
      </c>
      <c r="B2486" s="23" t="s">
        <v>17</v>
      </c>
      <c r="C2486" s="23" t="s">
        <v>46</v>
      </c>
      <c r="D2486" s="23">
        <v>0.173444509584499</v>
      </c>
      <c r="E2486" s="23">
        <v>2025</v>
      </c>
      <c r="F2486" s="15" t="s">
        <v>4087</v>
      </c>
      <c r="G2486" s="15" t="s">
        <v>3797</v>
      </c>
      <c r="H2486" s="23" t="s">
        <v>58</v>
      </c>
    </row>
    <row r="2487" spans="1:8" ht="54.95" customHeight="1" x14ac:dyDescent="0.2">
      <c r="A2487" s="23" t="s">
        <v>419</v>
      </c>
      <c r="B2487" s="23" t="s">
        <v>17</v>
      </c>
      <c r="C2487" s="23" t="s">
        <v>46</v>
      </c>
      <c r="D2487" s="23">
        <v>8.01882998978245</v>
      </c>
      <c r="E2487" s="23">
        <v>2025</v>
      </c>
      <c r="F2487" s="15" t="s">
        <v>4088</v>
      </c>
      <c r="G2487" s="15" t="s">
        <v>3797</v>
      </c>
      <c r="H2487" s="23" t="s">
        <v>58</v>
      </c>
    </row>
    <row r="2488" spans="1:8" ht="54.95" customHeight="1" x14ac:dyDescent="0.2">
      <c r="A2488" s="23" t="s">
        <v>426</v>
      </c>
      <c r="B2488" s="23" t="s">
        <v>17</v>
      </c>
      <c r="C2488" s="23" t="s">
        <v>46</v>
      </c>
      <c r="D2488" s="23">
        <v>5.3493208457287702</v>
      </c>
      <c r="E2488" s="23">
        <v>2025</v>
      </c>
      <c r="F2488" s="15" t="s">
        <v>4089</v>
      </c>
      <c r="G2488" s="15" t="s">
        <v>3797</v>
      </c>
      <c r="H2488" s="23" t="s">
        <v>58</v>
      </c>
    </row>
    <row r="2489" spans="1:8" ht="54.95" customHeight="1" x14ac:dyDescent="0.2">
      <c r="A2489" s="23" t="s">
        <v>432</v>
      </c>
      <c r="B2489" s="23" t="s">
        <v>17</v>
      </c>
      <c r="C2489" s="23" t="s">
        <v>46</v>
      </c>
      <c r="D2489" s="23">
        <v>0.63787818818334996</v>
      </c>
      <c r="E2489" s="23">
        <v>2025</v>
      </c>
      <c r="F2489" s="15" t="s">
        <v>4090</v>
      </c>
      <c r="G2489" s="15" t="s">
        <v>3797</v>
      </c>
      <c r="H2489" s="23" t="s">
        <v>58</v>
      </c>
    </row>
    <row r="2490" spans="1:8" ht="54.95" customHeight="1" x14ac:dyDescent="0.2">
      <c r="A2490" s="23" t="s">
        <v>439</v>
      </c>
      <c r="B2490" s="23" t="s">
        <v>17</v>
      </c>
      <c r="C2490" s="23" t="s">
        <v>46</v>
      </c>
      <c r="D2490" s="23">
        <v>3.99181200361831</v>
      </c>
      <c r="E2490" s="23">
        <v>2024</v>
      </c>
      <c r="F2490" s="15" t="s">
        <v>4091</v>
      </c>
      <c r="G2490" s="15" t="s">
        <v>3797</v>
      </c>
      <c r="H2490" s="23" t="s">
        <v>58</v>
      </c>
    </row>
    <row r="2491" spans="1:8" ht="54.95" customHeight="1" x14ac:dyDescent="0.2">
      <c r="A2491" s="23" t="s">
        <v>445</v>
      </c>
      <c r="B2491" s="23" t="s">
        <v>17</v>
      </c>
      <c r="C2491" s="23" t="s">
        <v>46</v>
      </c>
      <c r="D2491" s="23">
        <v>0.98311796712593502</v>
      </c>
      <c r="E2491" s="23">
        <v>2025</v>
      </c>
      <c r="F2491" s="15" t="s">
        <v>4092</v>
      </c>
      <c r="G2491" s="15" t="s">
        <v>3797</v>
      </c>
      <c r="H2491" s="23" t="s">
        <v>58</v>
      </c>
    </row>
    <row r="2492" spans="1:8" ht="54.95" customHeight="1" x14ac:dyDescent="0.2">
      <c r="A2492" s="23" t="s">
        <v>451</v>
      </c>
      <c r="B2492" s="23" t="s">
        <v>17</v>
      </c>
      <c r="C2492" s="23" t="s">
        <v>46</v>
      </c>
      <c r="D2492" s="23">
        <v>7.4616150415203899</v>
      </c>
      <c r="E2492" s="23">
        <v>2025</v>
      </c>
      <c r="F2492" s="15" t="s">
        <v>4093</v>
      </c>
      <c r="G2492" s="15" t="s">
        <v>3797</v>
      </c>
      <c r="H2492" s="23" t="s">
        <v>58</v>
      </c>
    </row>
    <row r="2493" spans="1:8" ht="54.95" customHeight="1" x14ac:dyDescent="0.2">
      <c r="A2493" s="23" t="s">
        <v>458</v>
      </c>
      <c r="B2493" s="23" t="s">
        <v>17</v>
      </c>
      <c r="C2493" s="23" t="s">
        <v>46</v>
      </c>
      <c r="D2493" s="23">
        <v>3.4870661982950302</v>
      </c>
      <c r="E2493" s="23">
        <v>2025</v>
      </c>
      <c r="F2493" s="15" t="s">
        <v>4094</v>
      </c>
      <c r="G2493" s="15" t="s">
        <v>3797</v>
      </c>
      <c r="H2493" s="23" t="s">
        <v>58</v>
      </c>
    </row>
    <row r="2494" spans="1:8" ht="54.95" customHeight="1" x14ac:dyDescent="0.2">
      <c r="A2494" s="23" t="s">
        <v>464</v>
      </c>
      <c r="B2494" s="23" t="s">
        <v>17</v>
      </c>
      <c r="C2494" s="23" t="s">
        <v>46</v>
      </c>
      <c r="D2494" s="23">
        <v>3.78893836241024</v>
      </c>
      <c r="E2494" s="23">
        <v>2025</v>
      </c>
      <c r="F2494" s="15" t="s">
        <v>4095</v>
      </c>
      <c r="G2494" s="15" t="s">
        <v>3797</v>
      </c>
      <c r="H2494" s="23" t="s">
        <v>58</v>
      </c>
    </row>
    <row r="2495" spans="1:8" ht="54.95" customHeight="1" x14ac:dyDescent="0.2">
      <c r="A2495" s="23" t="s">
        <v>471</v>
      </c>
      <c r="B2495" s="23" t="s">
        <v>17</v>
      </c>
      <c r="C2495" s="23" t="s">
        <v>46</v>
      </c>
      <c r="D2495" s="23">
        <v>1.44985591122698</v>
      </c>
      <c r="E2495" s="23">
        <v>2025</v>
      </c>
      <c r="F2495" s="15" t="s">
        <v>4096</v>
      </c>
      <c r="G2495" s="15" t="s">
        <v>3797</v>
      </c>
      <c r="H2495" s="23" t="s">
        <v>58</v>
      </c>
    </row>
    <row r="2496" spans="1:8" ht="54.95" customHeight="1" x14ac:dyDescent="0.2">
      <c r="A2496" s="23" t="s">
        <v>478</v>
      </c>
      <c r="B2496" s="23" t="s">
        <v>17</v>
      </c>
      <c r="C2496" s="23" t="s">
        <v>46</v>
      </c>
      <c r="D2496" s="23">
        <v>3.59217142544483</v>
      </c>
      <c r="E2496" s="23">
        <v>2025</v>
      </c>
      <c r="F2496" s="15" t="s">
        <v>4097</v>
      </c>
      <c r="G2496" s="15" t="s">
        <v>3797</v>
      </c>
      <c r="H2496" s="23" t="s">
        <v>58</v>
      </c>
    </row>
    <row r="2497" spans="1:8" ht="54.95" customHeight="1" x14ac:dyDescent="0.2">
      <c r="A2497" s="23" t="s">
        <v>482</v>
      </c>
      <c r="B2497" s="23" t="s">
        <v>17</v>
      </c>
      <c r="C2497" s="23" t="s">
        <v>46</v>
      </c>
      <c r="D2497" s="23">
        <v>3.60462514082589</v>
      </c>
      <c r="E2497" s="23">
        <v>2025</v>
      </c>
      <c r="F2497" s="15" t="s">
        <v>4098</v>
      </c>
      <c r="G2497" s="15" t="s">
        <v>3797</v>
      </c>
      <c r="H2497" s="23" t="s">
        <v>58</v>
      </c>
    </row>
    <row r="2498" spans="1:8" ht="54.95" customHeight="1" x14ac:dyDescent="0.2">
      <c r="A2498" s="23" t="s">
        <v>488</v>
      </c>
      <c r="B2498" s="23" t="s">
        <v>17</v>
      </c>
      <c r="C2498" s="23" t="s">
        <v>46</v>
      </c>
      <c r="D2498" s="23">
        <v>2.8249540057850901</v>
      </c>
      <c r="E2498" s="23">
        <v>2025</v>
      </c>
      <c r="F2498" s="15" t="s">
        <v>4099</v>
      </c>
      <c r="G2498" s="15" t="s">
        <v>3797</v>
      </c>
      <c r="H2498" s="23" t="s">
        <v>58</v>
      </c>
    </row>
    <row r="2499" spans="1:8" ht="54.95" customHeight="1" x14ac:dyDescent="0.2">
      <c r="A2499" s="23" t="s">
        <v>494</v>
      </c>
      <c r="B2499" s="23" t="s">
        <v>17</v>
      </c>
      <c r="C2499" s="23" t="s">
        <v>46</v>
      </c>
      <c r="D2499" s="23">
        <v>4.5376056476672497</v>
      </c>
      <c r="E2499" s="23">
        <v>2025</v>
      </c>
      <c r="F2499" s="15" t="s">
        <v>4100</v>
      </c>
      <c r="G2499" s="15" t="s">
        <v>3797</v>
      </c>
      <c r="H2499" s="23" t="s">
        <v>58</v>
      </c>
    </row>
    <row r="2500" spans="1:8" ht="54.95" customHeight="1" x14ac:dyDescent="0.2">
      <c r="A2500" s="23" t="s">
        <v>500</v>
      </c>
      <c r="B2500" s="23" t="s">
        <v>17</v>
      </c>
      <c r="C2500" s="23" t="s">
        <v>46</v>
      </c>
      <c r="D2500" s="23">
        <v>11.096020335713201</v>
      </c>
      <c r="E2500" s="23">
        <v>2025</v>
      </c>
      <c r="F2500" s="15" t="s">
        <v>4101</v>
      </c>
      <c r="G2500" s="15" t="s">
        <v>3797</v>
      </c>
      <c r="H2500" s="23" t="s">
        <v>58</v>
      </c>
    </row>
    <row r="2501" spans="1:8" ht="54.95" customHeight="1" x14ac:dyDescent="0.2">
      <c r="A2501" s="23" t="s">
        <v>506</v>
      </c>
      <c r="B2501" s="23" t="s">
        <v>17</v>
      </c>
      <c r="C2501" s="23" t="s">
        <v>46</v>
      </c>
      <c r="D2501" s="23">
        <v>7.2</v>
      </c>
      <c r="E2501" s="23">
        <v>2025</v>
      </c>
      <c r="F2501" s="15" t="s">
        <v>4102</v>
      </c>
      <c r="G2501" s="15" t="s">
        <v>3797</v>
      </c>
      <c r="H2501" s="23" t="s">
        <v>58</v>
      </c>
    </row>
    <row r="2502" spans="1:8" ht="54.95" customHeight="1" x14ac:dyDescent="0.2">
      <c r="A2502" s="23" t="s">
        <v>512</v>
      </c>
      <c r="B2502" s="23" t="s">
        <v>17</v>
      </c>
      <c r="C2502" s="23" t="s">
        <v>46</v>
      </c>
      <c r="D2502" s="23">
        <v>2.9284328001423598</v>
      </c>
      <c r="E2502" s="23">
        <v>2025</v>
      </c>
      <c r="F2502" s="15" t="s">
        <v>4103</v>
      </c>
      <c r="G2502" s="15" t="s">
        <v>3797</v>
      </c>
      <c r="H2502" s="23" t="s">
        <v>58</v>
      </c>
    </row>
    <row r="2503" spans="1:8" ht="54.95" customHeight="1" x14ac:dyDescent="0.2">
      <c r="A2503" s="23" t="s">
        <v>518</v>
      </c>
      <c r="B2503" s="23" t="s">
        <v>17</v>
      </c>
      <c r="C2503" s="23" t="s">
        <v>46</v>
      </c>
      <c r="D2503" s="23">
        <v>13.3717080516958</v>
      </c>
      <c r="E2503" s="23">
        <v>2025</v>
      </c>
      <c r="F2503" s="15" t="s">
        <v>4104</v>
      </c>
      <c r="G2503" s="15" t="s">
        <v>3797</v>
      </c>
      <c r="H2503" s="23" t="s">
        <v>58</v>
      </c>
    </row>
    <row r="2504" spans="1:8" ht="54.95" customHeight="1" x14ac:dyDescent="0.2">
      <c r="A2504" s="23" t="s">
        <v>524</v>
      </c>
      <c r="B2504" s="23" t="s">
        <v>17</v>
      </c>
      <c r="C2504" s="23" t="s">
        <v>46</v>
      </c>
      <c r="D2504" s="23">
        <v>2.4931101066624799</v>
      </c>
      <c r="E2504" s="23">
        <v>2025</v>
      </c>
      <c r="F2504" s="15" t="s">
        <v>4105</v>
      </c>
      <c r="G2504" s="15" t="s">
        <v>3797</v>
      </c>
      <c r="H2504" s="23" t="s">
        <v>58</v>
      </c>
    </row>
    <row r="2505" spans="1:8" ht="54.95" customHeight="1" x14ac:dyDescent="0.2">
      <c r="A2505" s="23" t="s">
        <v>530</v>
      </c>
      <c r="B2505" s="23" t="s">
        <v>17</v>
      </c>
      <c r="C2505" s="23" t="s">
        <v>46</v>
      </c>
      <c r="D2505" s="23">
        <v>0.67782983505276195</v>
      </c>
      <c r="E2505" s="23">
        <v>2025</v>
      </c>
      <c r="F2505" s="15" t="s">
        <v>4106</v>
      </c>
      <c r="G2505" s="15" t="s">
        <v>3797</v>
      </c>
      <c r="H2505" s="23" t="s">
        <v>58</v>
      </c>
    </row>
    <row r="2506" spans="1:8" ht="54.95" customHeight="1" x14ac:dyDescent="0.2">
      <c r="A2506" s="23" t="s">
        <v>537</v>
      </c>
      <c r="B2506" s="23" t="s">
        <v>17</v>
      </c>
      <c r="C2506" s="23" t="s">
        <v>46</v>
      </c>
      <c r="D2506" s="23">
        <v>0.50954230972686798</v>
      </c>
      <c r="E2506" s="23">
        <v>2025</v>
      </c>
      <c r="F2506" s="15" t="s">
        <v>4107</v>
      </c>
      <c r="G2506" s="15" t="s">
        <v>3797</v>
      </c>
      <c r="H2506" s="23" t="s">
        <v>58</v>
      </c>
    </row>
    <row r="2507" spans="1:8" ht="54.95" customHeight="1" x14ac:dyDescent="0.2">
      <c r="A2507" s="23" t="s">
        <v>543</v>
      </c>
      <c r="B2507" s="23" t="s">
        <v>17</v>
      </c>
      <c r="C2507" s="23" t="s">
        <v>46</v>
      </c>
      <c r="D2507" s="23">
        <v>0.80741869014475798</v>
      </c>
      <c r="E2507" s="23">
        <v>2025</v>
      </c>
      <c r="F2507" s="15" t="s">
        <v>4108</v>
      </c>
      <c r="G2507" s="15" t="s">
        <v>3797</v>
      </c>
      <c r="H2507" s="23" t="s">
        <v>58</v>
      </c>
    </row>
    <row r="2508" spans="1:8" ht="54.95" customHeight="1" x14ac:dyDescent="0.2">
      <c r="A2508" s="23" t="s">
        <v>549</v>
      </c>
      <c r="B2508" s="23" t="s">
        <v>17</v>
      </c>
      <c r="C2508" s="23" t="s">
        <v>46</v>
      </c>
      <c r="D2508" s="23">
        <v>3.5727250346774002</v>
      </c>
      <c r="E2508" s="23">
        <v>2025</v>
      </c>
      <c r="F2508" s="15" t="s">
        <v>4109</v>
      </c>
      <c r="G2508" s="15" t="s">
        <v>3797</v>
      </c>
      <c r="H2508" s="23" t="s">
        <v>58</v>
      </c>
    </row>
    <row r="2509" spans="1:8" ht="54.95" customHeight="1" x14ac:dyDescent="0.2">
      <c r="A2509" s="23" t="s">
        <v>555</v>
      </c>
      <c r="B2509" s="23" t="s">
        <v>17</v>
      </c>
      <c r="C2509" s="23" t="s">
        <v>46</v>
      </c>
      <c r="D2509" s="23">
        <v>12.3375990291434</v>
      </c>
      <c r="E2509" s="23">
        <v>2025</v>
      </c>
      <c r="F2509" s="15" t="s">
        <v>4110</v>
      </c>
      <c r="G2509" s="15" t="s">
        <v>3797</v>
      </c>
      <c r="H2509" s="23" t="s">
        <v>58</v>
      </c>
    </row>
    <row r="2510" spans="1:8" ht="54.95" customHeight="1" x14ac:dyDescent="0.2">
      <c r="A2510" s="23" t="s">
        <v>561</v>
      </c>
      <c r="B2510" s="23" t="s">
        <v>17</v>
      </c>
      <c r="C2510" s="23" t="s">
        <v>46</v>
      </c>
      <c r="D2510" s="23">
        <v>1.38844207858726</v>
      </c>
      <c r="E2510" s="23">
        <v>2025</v>
      </c>
      <c r="F2510" s="15" t="s">
        <v>4111</v>
      </c>
      <c r="G2510" s="15" t="s">
        <v>3797</v>
      </c>
      <c r="H2510" s="23" t="s">
        <v>58</v>
      </c>
    </row>
    <row r="2511" spans="1:8" ht="54.95" customHeight="1" x14ac:dyDescent="0.2">
      <c r="A2511" s="23" t="s">
        <v>567</v>
      </c>
      <c r="B2511" s="23" t="s">
        <v>17</v>
      </c>
      <c r="C2511" s="23" t="s">
        <v>46</v>
      </c>
      <c r="D2511" s="23">
        <v>2.0730688248171298</v>
      </c>
      <c r="E2511" s="23">
        <v>2025</v>
      </c>
      <c r="F2511" s="15" t="s">
        <v>4112</v>
      </c>
      <c r="G2511" s="15" t="s">
        <v>3797</v>
      </c>
      <c r="H2511" s="23" t="s">
        <v>58</v>
      </c>
    </row>
    <row r="2512" spans="1:8" ht="54.95" customHeight="1" x14ac:dyDescent="0.2">
      <c r="A2512" s="23" t="s">
        <v>573</v>
      </c>
      <c r="B2512" s="23" t="s">
        <v>17</v>
      </c>
      <c r="C2512" s="23" t="s">
        <v>46</v>
      </c>
      <c r="D2512" s="23">
        <v>3.7577283676390199</v>
      </c>
      <c r="E2512" s="23">
        <v>2025</v>
      </c>
      <c r="F2512" s="15" t="s">
        <v>4113</v>
      </c>
      <c r="G2512" s="15" t="s">
        <v>3797</v>
      </c>
      <c r="H2512" s="23" t="s">
        <v>58</v>
      </c>
    </row>
    <row r="2513" spans="1:8" ht="54.95" customHeight="1" x14ac:dyDescent="0.2">
      <c r="A2513" s="23" t="s">
        <v>579</v>
      </c>
      <c r="B2513" s="23" t="s">
        <v>17</v>
      </c>
      <c r="C2513" s="23" t="s">
        <v>46</v>
      </c>
      <c r="D2513" s="23">
        <v>4.6086507758127597</v>
      </c>
      <c r="E2513" s="23">
        <v>2025</v>
      </c>
      <c r="F2513" s="15" t="s">
        <v>4114</v>
      </c>
      <c r="G2513" s="15" t="s">
        <v>3797</v>
      </c>
      <c r="H2513" s="23" t="s">
        <v>58</v>
      </c>
    </row>
    <row r="2514" spans="1:8" ht="54.95" customHeight="1" x14ac:dyDescent="0.2">
      <c r="A2514" s="23" t="s">
        <v>585</v>
      </c>
      <c r="B2514" s="23" t="s">
        <v>17</v>
      </c>
      <c r="C2514" s="23" t="s">
        <v>46</v>
      </c>
      <c r="D2514" s="23">
        <v>7.4470966835761097</v>
      </c>
      <c r="E2514" s="23">
        <v>2025</v>
      </c>
      <c r="F2514" s="15" t="s">
        <v>4115</v>
      </c>
      <c r="G2514" s="15" t="s">
        <v>3797</v>
      </c>
      <c r="H2514" s="23" t="s">
        <v>58</v>
      </c>
    </row>
    <row r="2515" spans="1:8" ht="54.95" customHeight="1" x14ac:dyDescent="0.2">
      <c r="A2515" s="23" t="s">
        <v>591</v>
      </c>
      <c r="B2515" s="23" t="s">
        <v>17</v>
      </c>
      <c r="C2515" s="23" t="s">
        <v>46</v>
      </c>
      <c r="D2515" s="23">
        <v>5.0165610799221403</v>
      </c>
      <c r="E2515" s="23">
        <v>2025</v>
      </c>
      <c r="F2515" s="15" t="s">
        <v>4116</v>
      </c>
      <c r="G2515" s="15" t="s">
        <v>3797</v>
      </c>
      <c r="H2515" s="23" t="s">
        <v>58</v>
      </c>
    </row>
    <row r="2516" spans="1:8" ht="54.95" customHeight="1" x14ac:dyDescent="0.2">
      <c r="A2516" s="23" t="s">
        <v>597</v>
      </c>
      <c r="B2516" s="23" t="s">
        <v>17</v>
      </c>
      <c r="C2516" s="23" t="s">
        <v>46</v>
      </c>
      <c r="D2516" s="23">
        <v>4.4995000039378104</v>
      </c>
      <c r="E2516" s="23">
        <v>2025</v>
      </c>
      <c r="F2516" s="15" t="s">
        <v>4117</v>
      </c>
      <c r="G2516" s="15" t="s">
        <v>3797</v>
      </c>
      <c r="H2516" s="23" t="s">
        <v>58</v>
      </c>
    </row>
    <row r="2517" spans="1:8" ht="54.95" customHeight="1" x14ac:dyDescent="0.2">
      <c r="A2517" s="23" t="s">
        <v>603</v>
      </c>
      <c r="B2517" s="23" t="s">
        <v>17</v>
      </c>
      <c r="C2517" s="23" t="s">
        <v>46</v>
      </c>
      <c r="D2517" s="23">
        <v>3.0642794293586899</v>
      </c>
      <c r="E2517" s="23">
        <v>2025</v>
      </c>
      <c r="F2517" s="15" t="s">
        <v>4118</v>
      </c>
      <c r="G2517" s="15" t="s">
        <v>3797</v>
      </c>
      <c r="H2517" s="23" t="s">
        <v>58</v>
      </c>
    </row>
    <row r="2518" spans="1:8" ht="54.95" customHeight="1" x14ac:dyDescent="0.2">
      <c r="A2518" s="23" t="s">
        <v>610</v>
      </c>
      <c r="B2518" s="23" t="s">
        <v>17</v>
      </c>
      <c r="C2518" s="23" t="s">
        <v>46</v>
      </c>
      <c r="D2518" s="23">
        <v>6.4954610524268004</v>
      </c>
      <c r="E2518" s="23">
        <v>2025</v>
      </c>
      <c r="F2518" s="15" t="s">
        <v>4119</v>
      </c>
      <c r="G2518" s="15" t="s">
        <v>3797</v>
      </c>
      <c r="H2518" s="23" t="s">
        <v>58</v>
      </c>
    </row>
    <row r="2519" spans="1:8" ht="54.95" customHeight="1" x14ac:dyDescent="0.2">
      <c r="A2519" s="23" t="s">
        <v>619</v>
      </c>
      <c r="B2519" s="23" t="s">
        <v>17</v>
      </c>
      <c r="C2519" s="23" t="s">
        <v>46</v>
      </c>
      <c r="D2519" s="23">
        <v>0.61574728095905595</v>
      </c>
      <c r="E2519" s="23">
        <v>2025</v>
      </c>
      <c r="F2519" s="15" t="s">
        <v>4120</v>
      </c>
      <c r="G2519" s="15" t="s">
        <v>3797</v>
      </c>
      <c r="H2519" s="23" t="s">
        <v>58</v>
      </c>
    </row>
    <row r="2520" spans="1:8" ht="54.95" customHeight="1" x14ac:dyDescent="0.2">
      <c r="A2520" s="23" t="s">
        <v>626</v>
      </c>
      <c r="B2520" s="23" t="s">
        <v>17</v>
      </c>
      <c r="C2520" s="23" t="s">
        <v>46</v>
      </c>
      <c r="D2520" s="23">
        <v>-2.1557421906617802</v>
      </c>
      <c r="E2520" s="23">
        <v>2025</v>
      </c>
      <c r="F2520" s="15" t="s">
        <v>4121</v>
      </c>
      <c r="G2520" s="15" t="s">
        <v>3797</v>
      </c>
      <c r="H2520" s="23" t="s">
        <v>58</v>
      </c>
    </row>
    <row r="2521" spans="1:8" ht="54.95" customHeight="1" x14ac:dyDescent="0.2">
      <c r="A2521" s="23" t="s">
        <v>634</v>
      </c>
      <c r="B2521" s="23" t="s">
        <v>17</v>
      </c>
      <c r="C2521" s="23" t="s">
        <v>46</v>
      </c>
      <c r="D2521" s="23">
        <v>0.53958363677844501</v>
      </c>
      <c r="E2521" s="23">
        <v>2025</v>
      </c>
      <c r="F2521" s="15" t="s">
        <v>4122</v>
      </c>
      <c r="G2521" s="15" t="s">
        <v>3797</v>
      </c>
      <c r="H2521" s="23" t="s">
        <v>58</v>
      </c>
    </row>
    <row r="2522" spans="1:8" ht="54.95" customHeight="1" x14ac:dyDescent="0.2">
      <c r="A2522" s="23" t="s">
        <v>641</v>
      </c>
      <c r="B2522" s="23" t="s">
        <v>17</v>
      </c>
      <c r="C2522" s="23" t="s">
        <v>46</v>
      </c>
      <c r="D2522" s="23">
        <v>1.3000779095830699</v>
      </c>
      <c r="E2522" s="23">
        <v>2025</v>
      </c>
      <c r="F2522" s="15" t="s">
        <v>4123</v>
      </c>
      <c r="G2522" s="15" t="s">
        <v>3797</v>
      </c>
      <c r="H2522" s="23" t="s">
        <v>58</v>
      </c>
    </row>
    <row r="2523" spans="1:8" ht="54.95" customHeight="1" x14ac:dyDescent="0.2">
      <c r="A2523" s="23" t="s">
        <v>647</v>
      </c>
      <c r="B2523" s="23" t="s">
        <v>17</v>
      </c>
      <c r="C2523" s="23" t="s">
        <v>46</v>
      </c>
      <c r="D2523" s="23">
        <v>-2.8259716329034701</v>
      </c>
      <c r="E2523" s="23">
        <v>2025</v>
      </c>
      <c r="F2523" s="15" t="s">
        <v>4124</v>
      </c>
      <c r="G2523" s="15" t="s">
        <v>3797</v>
      </c>
      <c r="H2523" s="23" t="s">
        <v>58</v>
      </c>
    </row>
    <row r="2524" spans="1:8" ht="54.95" customHeight="1" x14ac:dyDescent="0.2">
      <c r="A2524" s="23" t="s">
        <v>653</v>
      </c>
      <c r="B2524" s="23" t="s">
        <v>17</v>
      </c>
      <c r="C2524" s="23" t="s">
        <v>46</v>
      </c>
      <c r="D2524" s="23">
        <v>1.78463214703797</v>
      </c>
      <c r="E2524" s="23">
        <v>2025</v>
      </c>
      <c r="F2524" s="15" t="s">
        <v>4125</v>
      </c>
      <c r="G2524" s="15" t="s">
        <v>3797</v>
      </c>
      <c r="H2524" s="23" t="s">
        <v>58</v>
      </c>
    </row>
    <row r="2525" spans="1:8" ht="54.95" customHeight="1" x14ac:dyDescent="0.2">
      <c r="A2525" s="23" t="s">
        <v>666</v>
      </c>
      <c r="B2525" s="23" t="s">
        <v>17</v>
      </c>
      <c r="C2525" s="23" t="s">
        <v>46</v>
      </c>
      <c r="D2525" s="23">
        <v>6.4999999999998996</v>
      </c>
      <c r="E2525" s="23">
        <v>2025</v>
      </c>
      <c r="F2525" s="15" t="s">
        <v>4126</v>
      </c>
      <c r="G2525" s="15" t="s">
        <v>3797</v>
      </c>
      <c r="H2525" s="23" t="s">
        <v>58</v>
      </c>
    </row>
    <row r="2526" spans="1:8" ht="54.95" customHeight="1" x14ac:dyDescent="0.2">
      <c r="A2526" s="23" t="s">
        <v>672</v>
      </c>
      <c r="B2526" s="23" t="s">
        <v>17</v>
      </c>
      <c r="C2526" s="23" t="s">
        <v>46</v>
      </c>
      <c r="D2526" s="23">
        <v>2.0303919623511302</v>
      </c>
      <c r="E2526" s="23">
        <v>2025</v>
      </c>
      <c r="F2526" s="15" t="s">
        <v>4127</v>
      </c>
      <c r="G2526" s="15" t="s">
        <v>3797</v>
      </c>
      <c r="H2526" s="23" t="s">
        <v>58</v>
      </c>
    </row>
    <row r="2527" spans="1:8" ht="54.95" customHeight="1" x14ac:dyDescent="0.2">
      <c r="A2527" s="23" t="s">
        <v>678</v>
      </c>
      <c r="B2527" s="23" t="s">
        <v>17</v>
      </c>
      <c r="C2527" s="23" t="s">
        <v>46</v>
      </c>
      <c r="D2527" s="23">
        <v>5.5994684289664303</v>
      </c>
      <c r="E2527" s="23">
        <v>2025</v>
      </c>
      <c r="F2527" s="15" t="s">
        <v>4128</v>
      </c>
      <c r="G2527" s="15" t="s">
        <v>3797</v>
      </c>
      <c r="H2527" s="23" t="s">
        <v>58</v>
      </c>
    </row>
    <row r="2528" spans="1:8" ht="54.95" customHeight="1" x14ac:dyDescent="0.2">
      <c r="A2528" s="23" t="s">
        <v>684</v>
      </c>
      <c r="B2528" s="23" t="s">
        <v>17</v>
      </c>
      <c r="C2528" s="23" t="s">
        <v>46</v>
      </c>
      <c r="D2528" s="23">
        <v>6.6822774484919396</v>
      </c>
      <c r="E2528" s="23">
        <v>2025</v>
      </c>
      <c r="F2528" s="15" t="s">
        <v>4129</v>
      </c>
      <c r="G2528" s="15" t="s">
        <v>3797</v>
      </c>
      <c r="H2528" s="23" t="s">
        <v>58</v>
      </c>
    </row>
    <row r="2529" spans="1:8" ht="54.95" customHeight="1" x14ac:dyDescent="0.2">
      <c r="A2529" s="23" t="s">
        <v>690</v>
      </c>
      <c r="B2529" s="23" t="s">
        <v>17</v>
      </c>
      <c r="C2529" s="23" t="s">
        <v>46</v>
      </c>
      <c r="D2529" s="23">
        <v>4.0133618070097299</v>
      </c>
      <c r="E2529" s="23">
        <v>2025</v>
      </c>
      <c r="F2529" s="15" t="s">
        <v>4130</v>
      </c>
      <c r="G2529" s="15" t="s">
        <v>3797</v>
      </c>
      <c r="H2529" s="23" t="s">
        <v>58</v>
      </c>
    </row>
    <row r="2530" spans="1:8" ht="54.95" customHeight="1" x14ac:dyDescent="0.2">
      <c r="A2530" s="23" t="s">
        <v>696</v>
      </c>
      <c r="B2530" s="23" t="s">
        <v>17</v>
      </c>
      <c r="C2530" s="23" t="s">
        <v>46</v>
      </c>
      <c r="D2530" s="23">
        <v>8.07408453688336</v>
      </c>
      <c r="E2530" s="23">
        <v>2025</v>
      </c>
      <c r="F2530" s="15" t="s">
        <v>4131</v>
      </c>
      <c r="G2530" s="15" t="s">
        <v>3797</v>
      </c>
      <c r="H2530" s="23" t="s">
        <v>58</v>
      </c>
    </row>
    <row r="2531" spans="1:8" ht="54.95" customHeight="1" x14ac:dyDescent="0.2">
      <c r="A2531" s="23" t="s">
        <v>702</v>
      </c>
      <c r="B2531" s="23" t="s">
        <v>17</v>
      </c>
      <c r="C2531" s="23" t="s">
        <v>46</v>
      </c>
      <c r="D2531" s="23">
        <v>3.1335354245000802</v>
      </c>
      <c r="E2531" s="23">
        <v>2025</v>
      </c>
      <c r="F2531" s="15" t="s">
        <v>4132</v>
      </c>
      <c r="G2531" s="15" t="s">
        <v>3797</v>
      </c>
      <c r="H2531" s="23" t="s">
        <v>58</v>
      </c>
    </row>
    <row r="2532" spans="1:8" ht="54.95" customHeight="1" x14ac:dyDescent="0.2">
      <c r="A2532" s="23" t="s">
        <v>708</v>
      </c>
      <c r="B2532" s="23" t="s">
        <v>17</v>
      </c>
      <c r="C2532" s="23" t="s">
        <v>46</v>
      </c>
      <c r="D2532" s="23">
        <v>3.40307537181749</v>
      </c>
      <c r="E2532" s="23">
        <v>2025</v>
      </c>
      <c r="F2532" s="15" t="s">
        <v>4133</v>
      </c>
      <c r="G2532" s="15" t="s">
        <v>3797</v>
      </c>
      <c r="H2532" s="23" t="s">
        <v>58</v>
      </c>
    </row>
    <row r="2533" spans="1:8" ht="54.95" customHeight="1" x14ac:dyDescent="0.2">
      <c r="A2533" s="23" t="s">
        <v>714</v>
      </c>
      <c r="B2533" s="23" t="s">
        <v>17</v>
      </c>
      <c r="C2533" s="23" t="s">
        <v>46</v>
      </c>
      <c r="D2533" s="23">
        <v>1.0599299625524601</v>
      </c>
      <c r="E2533" s="23">
        <v>2025</v>
      </c>
      <c r="F2533" s="15" t="s">
        <v>4134</v>
      </c>
      <c r="G2533" s="15" t="s">
        <v>3797</v>
      </c>
      <c r="H2533" s="23" t="s">
        <v>58</v>
      </c>
    </row>
    <row r="2534" spans="1:8" ht="54.95" customHeight="1" x14ac:dyDescent="0.2">
      <c r="A2534" s="23" t="s">
        <v>720</v>
      </c>
      <c r="B2534" s="23" t="s">
        <v>17</v>
      </c>
      <c r="C2534" s="23" t="s">
        <v>46</v>
      </c>
      <c r="D2534" s="23">
        <v>2.9016603666049301</v>
      </c>
      <c r="E2534" s="23">
        <v>2025</v>
      </c>
      <c r="F2534" s="15" t="s">
        <v>4135</v>
      </c>
      <c r="G2534" s="15" t="s">
        <v>3797</v>
      </c>
      <c r="H2534" s="23" t="s">
        <v>58</v>
      </c>
    </row>
    <row r="2535" spans="1:8" ht="54.95" customHeight="1" x14ac:dyDescent="0.2">
      <c r="A2535" s="23" t="s">
        <v>726</v>
      </c>
      <c r="B2535" s="23" t="s">
        <v>17</v>
      </c>
      <c r="C2535" s="23" t="s">
        <v>46</v>
      </c>
      <c r="D2535" s="23">
        <v>4.5024656019166303</v>
      </c>
      <c r="E2535" s="23">
        <v>2025</v>
      </c>
      <c r="F2535" s="15" t="s">
        <v>4136</v>
      </c>
      <c r="G2535" s="15" t="s">
        <v>3797</v>
      </c>
      <c r="H2535" s="23" t="s">
        <v>58</v>
      </c>
    </row>
    <row r="2536" spans="1:8" ht="54.95" customHeight="1" x14ac:dyDescent="0.2">
      <c r="A2536" s="23" t="s">
        <v>732</v>
      </c>
      <c r="B2536" s="23" t="s">
        <v>17</v>
      </c>
      <c r="C2536" s="23" t="s">
        <v>46</v>
      </c>
      <c r="D2536" s="23">
        <v>-0.73389832385228704</v>
      </c>
      <c r="E2536" s="23">
        <v>2025</v>
      </c>
      <c r="F2536" s="15" t="s">
        <v>4137</v>
      </c>
      <c r="G2536" s="15" t="s">
        <v>3797</v>
      </c>
      <c r="H2536" s="23" t="s">
        <v>58</v>
      </c>
    </row>
    <row r="2537" spans="1:8" ht="54.95" customHeight="1" x14ac:dyDescent="0.2">
      <c r="A2537" s="23" t="s">
        <v>738</v>
      </c>
      <c r="B2537" s="23" t="s">
        <v>17</v>
      </c>
      <c r="C2537" s="23" t="s">
        <v>46</v>
      </c>
      <c r="D2537" s="23">
        <v>8.1067134304890907</v>
      </c>
      <c r="E2537" s="23">
        <v>2025</v>
      </c>
      <c r="F2537" s="15" t="s">
        <v>4138</v>
      </c>
      <c r="G2537" s="15" t="s">
        <v>3797</v>
      </c>
      <c r="H2537" s="23" t="s">
        <v>58</v>
      </c>
    </row>
    <row r="2538" spans="1:8" ht="54.95" customHeight="1" x14ac:dyDescent="0.2">
      <c r="A2538" s="23" t="s">
        <v>744</v>
      </c>
      <c r="B2538" s="23" t="s">
        <v>17</v>
      </c>
      <c r="C2538" s="23" t="s">
        <v>46</v>
      </c>
      <c r="D2538" s="23">
        <v>3.69842668749033</v>
      </c>
      <c r="E2538" s="23">
        <v>2025</v>
      </c>
      <c r="F2538" s="15" t="s">
        <v>4139</v>
      </c>
      <c r="G2538" s="15" t="s">
        <v>3797</v>
      </c>
      <c r="H2538" s="23" t="s">
        <v>58</v>
      </c>
    </row>
    <row r="2539" spans="1:8" ht="54.95" customHeight="1" x14ac:dyDescent="0.2">
      <c r="A2539" s="23" t="s">
        <v>750</v>
      </c>
      <c r="B2539" s="23" t="s">
        <v>17</v>
      </c>
      <c r="C2539" s="23" t="s">
        <v>46</v>
      </c>
      <c r="D2539" s="23">
        <v>3.0963663917961002</v>
      </c>
      <c r="E2539" s="23">
        <v>2025</v>
      </c>
      <c r="F2539" s="15" t="s">
        <v>4140</v>
      </c>
      <c r="G2539" s="15" t="s">
        <v>3797</v>
      </c>
      <c r="H2539" s="23" t="s">
        <v>58</v>
      </c>
    </row>
    <row r="2540" spans="1:8" ht="54.95" customHeight="1" x14ac:dyDescent="0.2">
      <c r="A2540" s="23" t="s">
        <v>756</v>
      </c>
      <c r="B2540" s="23" t="s">
        <v>17</v>
      </c>
      <c r="C2540" s="23" t="s">
        <v>46</v>
      </c>
      <c r="D2540" s="23">
        <v>2.4424744499019799</v>
      </c>
      <c r="E2540" s="23">
        <v>2025</v>
      </c>
      <c r="F2540" s="15" t="s">
        <v>4141</v>
      </c>
      <c r="G2540" s="15" t="s">
        <v>3797</v>
      </c>
      <c r="H2540" s="23" t="s">
        <v>58</v>
      </c>
    </row>
    <row r="2541" spans="1:8" ht="54.95" customHeight="1" x14ac:dyDescent="0.2">
      <c r="A2541" s="23" t="s">
        <v>768</v>
      </c>
      <c r="B2541" s="23" t="s">
        <v>17</v>
      </c>
      <c r="C2541" s="23" t="s">
        <v>46</v>
      </c>
      <c r="D2541" s="23">
        <v>-2.71291075761471</v>
      </c>
      <c r="E2541" s="23">
        <v>2025</v>
      </c>
      <c r="F2541" s="15" t="s">
        <v>4142</v>
      </c>
      <c r="G2541" s="15" t="s">
        <v>3797</v>
      </c>
      <c r="H2541" s="23" t="s">
        <v>58</v>
      </c>
    </row>
    <row r="2542" spans="1:8" ht="54.95" customHeight="1" x14ac:dyDescent="0.2">
      <c r="A2542" s="23" t="s">
        <v>774</v>
      </c>
      <c r="B2542" s="23" t="s">
        <v>17</v>
      </c>
      <c r="C2542" s="23" t="s">
        <v>46</v>
      </c>
      <c r="D2542" s="23">
        <v>2.11739113534632</v>
      </c>
      <c r="E2542" s="23">
        <v>2025</v>
      </c>
      <c r="F2542" s="15" t="s">
        <v>4143</v>
      </c>
      <c r="G2542" s="15" t="s">
        <v>3797</v>
      </c>
      <c r="H2542" s="23" t="s">
        <v>58</v>
      </c>
    </row>
    <row r="2543" spans="1:8" ht="54.95" customHeight="1" x14ac:dyDescent="0.2">
      <c r="A2543" s="23" t="s">
        <v>780</v>
      </c>
      <c r="B2543" s="23" t="s">
        <v>17</v>
      </c>
      <c r="C2543" s="23" t="s">
        <v>46</v>
      </c>
      <c r="D2543" s="23">
        <v>5.5898802176565097</v>
      </c>
      <c r="E2543" s="23">
        <v>2025</v>
      </c>
      <c r="F2543" s="15" t="s">
        <v>4144</v>
      </c>
      <c r="G2543" s="15" t="s">
        <v>3797</v>
      </c>
      <c r="H2543" s="23" t="s">
        <v>58</v>
      </c>
    </row>
    <row r="2544" spans="1:8" ht="54.95" customHeight="1" x14ac:dyDescent="0.2">
      <c r="A2544" s="23" t="s">
        <v>785</v>
      </c>
      <c r="B2544" s="23" t="s">
        <v>17</v>
      </c>
      <c r="C2544" s="23" t="s">
        <v>46</v>
      </c>
      <c r="D2544" s="23">
        <v>2.7318258044919999</v>
      </c>
      <c r="E2544" s="23">
        <v>2025</v>
      </c>
      <c r="F2544" s="15" t="s">
        <v>4145</v>
      </c>
      <c r="G2544" s="15" t="s">
        <v>3797</v>
      </c>
      <c r="H2544" s="23" t="s">
        <v>58</v>
      </c>
    </row>
    <row r="2545" spans="1:8" ht="54.95" customHeight="1" x14ac:dyDescent="0.2">
      <c r="A2545" s="23" t="s">
        <v>791</v>
      </c>
      <c r="B2545" s="23" t="s">
        <v>17</v>
      </c>
      <c r="C2545" s="23" t="s">
        <v>46</v>
      </c>
      <c r="D2545" s="23">
        <v>3.90594189242583</v>
      </c>
      <c r="E2545" s="23">
        <v>2025</v>
      </c>
      <c r="F2545" s="15" t="s">
        <v>4146</v>
      </c>
      <c r="G2545" s="15" t="s">
        <v>3797</v>
      </c>
      <c r="H2545" s="23" t="s">
        <v>58</v>
      </c>
    </row>
    <row r="2546" spans="1:8" ht="54.95" customHeight="1" x14ac:dyDescent="0.2">
      <c r="A2546" s="23" t="s">
        <v>797</v>
      </c>
      <c r="B2546" s="23" t="s">
        <v>17</v>
      </c>
      <c r="C2546" s="23" t="s">
        <v>46</v>
      </c>
      <c r="D2546" s="23">
        <v>4.2800320792140498</v>
      </c>
      <c r="E2546" s="23">
        <v>2025</v>
      </c>
      <c r="F2546" s="15" t="s">
        <v>4147</v>
      </c>
      <c r="G2546" s="15" t="s">
        <v>3797</v>
      </c>
      <c r="H2546" s="23" t="s">
        <v>58</v>
      </c>
    </row>
    <row r="2547" spans="1:8" ht="54.95" customHeight="1" x14ac:dyDescent="0.2">
      <c r="A2547" s="23" t="s">
        <v>803</v>
      </c>
      <c r="B2547" s="23" t="s">
        <v>17</v>
      </c>
      <c r="C2547" s="23" t="s">
        <v>46</v>
      </c>
      <c r="D2547" s="23">
        <v>6.9753893911962903</v>
      </c>
      <c r="E2547" s="23">
        <v>2025</v>
      </c>
      <c r="F2547" s="15" t="s">
        <v>4148</v>
      </c>
      <c r="G2547" s="15" t="s">
        <v>3797</v>
      </c>
      <c r="H2547" s="23" t="s">
        <v>58</v>
      </c>
    </row>
    <row r="2548" spans="1:8" ht="54.95" customHeight="1" x14ac:dyDescent="0.2">
      <c r="A2548" s="23" t="s">
        <v>808</v>
      </c>
      <c r="B2548" s="23" t="s">
        <v>17</v>
      </c>
      <c r="C2548" s="23" t="s">
        <v>46</v>
      </c>
      <c r="D2548" s="23">
        <v>0.66956214816435999</v>
      </c>
      <c r="E2548" s="23">
        <v>2025</v>
      </c>
      <c r="F2548" s="15" t="s">
        <v>4149</v>
      </c>
      <c r="G2548" s="15" t="s">
        <v>3797</v>
      </c>
      <c r="H2548" s="23" t="s">
        <v>58</v>
      </c>
    </row>
    <row r="2549" spans="1:8" ht="54.95" customHeight="1" x14ac:dyDescent="0.2">
      <c r="A2549" s="23" t="s">
        <v>813</v>
      </c>
      <c r="B2549" s="23" t="s">
        <v>17</v>
      </c>
      <c r="C2549" s="23" t="s">
        <v>46</v>
      </c>
      <c r="D2549" s="23">
        <v>8.5105375886021193</v>
      </c>
      <c r="E2549" s="23">
        <v>2024</v>
      </c>
      <c r="F2549" s="15" t="s">
        <v>4150</v>
      </c>
      <c r="G2549" s="15" t="s">
        <v>3797</v>
      </c>
      <c r="H2549" s="23" t="s">
        <v>58</v>
      </c>
    </row>
    <row r="2550" spans="1:8" ht="54.95" customHeight="1" x14ac:dyDescent="0.2">
      <c r="A2550" s="23" t="s">
        <v>819</v>
      </c>
      <c r="B2550" s="23" t="s">
        <v>17</v>
      </c>
      <c r="C2550" s="23" t="s">
        <v>46</v>
      </c>
      <c r="D2550" s="23">
        <v>3.815543719231</v>
      </c>
      <c r="E2550" s="23">
        <v>2025</v>
      </c>
      <c r="F2550" s="15" t="s">
        <v>4151</v>
      </c>
      <c r="G2550" s="15" t="s">
        <v>3797</v>
      </c>
      <c r="H2550" s="23" t="s">
        <v>58</v>
      </c>
    </row>
    <row r="2551" spans="1:8" ht="54.95" customHeight="1" x14ac:dyDescent="0.2">
      <c r="A2551" s="23" t="s">
        <v>825</v>
      </c>
      <c r="B2551" s="23" t="s">
        <v>17</v>
      </c>
      <c r="C2551" s="23" t="s">
        <v>46</v>
      </c>
      <c r="D2551" s="23">
        <v>-0.52348538207233697</v>
      </c>
      <c r="E2551" s="23">
        <v>2025</v>
      </c>
      <c r="F2551" s="15" t="s">
        <v>4152</v>
      </c>
      <c r="G2551" s="15" t="s">
        <v>3797</v>
      </c>
      <c r="H2551" s="23" t="s">
        <v>58</v>
      </c>
    </row>
    <row r="2552" spans="1:8" ht="54.95" customHeight="1" x14ac:dyDescent="0.2">
      <c r="A2552" s="23" t="s">
        <v>831</v>
      </c>
      <c r="B2552" s="23" t="s">
        <v>17</v>
      </c>
      <c r="C2552" s="23" t="s">
        <v>46</v>
      </c>
      <c r="D2552" s="23">
        <v>4.1939175580555998</v>
      </c>
      <c r="E2552" s="23">
        <v>2025</v>
      </c>
      <c r="F2552" s="15" t="s">
        <v>4153</v>
      </c>
      <c r="G2552" s="15" t="s">
        <v>3797</v>
      </c>
      <c r="H2552" s="23" t="s">
        <v>58</v>
      </c>
    </row>
    <row r="2553" spans="1:8" ht="54.95" customHeight="1" x14ac:dyDescent="0.2">
      <c r="A2553" s="23" t="s">
        <v>837</v>
      </c>
      <c r="B2553" s="23" t="s">
        <v>17</v>
      </c>
      <c r="C2553" s="23" t="s">
        <v>46</v>
      </c>
      <c r="D2553" s="23">
        <v>4.2401052988417796</v>
      </c>
      <c r="E2553" s="23">
        <v>2025</v>
      </c>
      <c r="F2553" s="15" t="s">
        <v>4154</v>
      </c>
      <c r="G2553" s="15" t="s">
        <v>3797</v>
      </c>
      <c r="H2553" s="23" t="s">
        <v>58</v>
      </c>
    </row>
    <row r="2554" spans="1:8" ht="54.95" customHeight="1" x14ac:dyDescent="0.2">
      <c r="A2554" s="23" t="s">
        <v>843</v>
      </c>
      <c r="B2554" s="23" t="s">
        <v>17</v>
      </c>
      <c r="C2554" s="23" t="s">
        <v>46</v>
      </c>
      <c r="D2554" s="23">
        <v>9.3757983418244599</v>
      </c>
      <c r="E2554" s="23">
        <v>2025</v>
      </c>
      <c r="F2554" s="15" t="s">
        <v>4155</v>
      </c>
      <c r="G2554" s="15" t="s">
        <v>3797</v>
      </c>
      <c r="H2554" s="23" t="s">
        <v>58</v>
      </c>
    </row>
    <row r="2555" spans="1:8" ht="54.95" customHeight="1" x14ac:dyDescent="0.2">
      <c r="A2555" s="23" t="s">
        <v>849</v>
      </c>
      <c r="B2555" s="23" t="s">
        <v>17</v>
      </c>
      <c r="C2555" s="23" t="s">
        <v>46</v>
      </c>
      <c r="D2555" s="23">
        <v>-2.0118447579566499</v>
      </c>
      <c r="E2555" s="23">
        <v>2025</v>
      </c>
      <c r="F2555" s="15" t="s">
        <v>4156</v>
      </c>
      <c r="G2555" s="15" t="s">
        <v>3797</v>
      </c>
      <c r="H2555" s="23" t="s">
        <v>58</v>
      </c>
    </row>
    <row r="2556" spans="1:8" ht="54.95" customHeight="1" x14ac:dyDescent="0.2">
      <c r="A2556" s="23" t="s">
        <v>855</v>
      </c>
      <c r="B2556" s="23" t="s">
        <v>17</v>
      </c>
      <c r="C2556" s="23" t="s">
        <v>46</v>
      </c>
      <c r="D2556" s="23">
        <v>3.4899067183683301</v>
      </c>
      <c r="E2556" s="23">
        <v>2025</v>
      </c>
      <c r="F2556" s="15" t="s">
        <v>4157</v>
      </c>
      <c r="G2556" s="15" t="s">
        <v>3797</v>
      </c>
      <c r="H2556" s="23" t="s">
        <v>58</v>
      </c>
    </row>
    <row r="2557" spans="1:8" ht="54.95" customHeight="1" x14ac:dyDescent="0.2">
      <c r="A2557" s="23" t="s">
        <v>861</v>
      </c>
      <c r="B2557" s="23" t="s">
        <v>17</v>
      </c>
      <c r="C2557" s="23" t="s">
        <v>46</v>
      </c>
      <c r="D2557" s="23">
        <v>3.8680345068780801</v>
      </c>
      <c r="E2557" s="23">
        <v>2025</v>
      </c>
      <c r="F2557" s="15" t="s">
        <v>4158</v>
      </c>
      <c r="G2557" s="15" t="s">
        <v>3797</v>
      </c>
      <c r="H2557" s="23" t="s">
        <v>58</v>
      </c>
    </row>
    <row r="2558" spans="1:8" ht="54.95" customHeight="1" x14ac:dyDescent="0.2">
      <c r="A2558" s="23" t="s">
        <v>867</v>
      </c>
      <c r="B2558" s="23" t="s">
        <v>17</v>
      </c>
      <c r="C2558" s="23" t="s">
        <v>46</v>
      </c>
      <c r="D2558" s="23">
        <v>1.87319280045979</v>
      </c>
      <c r="E2558" s="23">
        <v>2024</v>
      </c>
      <c r="F2558" s="15" t="s">
        <v>4159</v>
      </c>
      <c r="G2558" s="15" t="s">
        <v>3797</v>
      </c>
      <c r="H2558" s="23" t="s">
        <v>58</v>
      </c>
    </row>
    <row r="2559" spans="1:8" ht="54.95" customHeight="1" x14ac:dyDescent="0.2">
      <c r="A2559" s="23" t="s">
        <v>873</v>
      </c>
      <c r="B2559" s="23" t="s">
        <v>17</v>
      </c>
      <c r="C2559" s="23" t="s">
        <v>46</v>
      </c>
      <c r="D2559" s="23">
        <v>2.7445535425852201</v>
      </c>
      <c r="E2559" s="23">
        <v>2025</v>
      </c>
      <c r="F2559" s="15" t="s">
        <v>4160</v>
      </c>
      <c r="G2559" s="15" t="s">
        <v>3797</v>
      </c>
      <c r="H2559" s="23" t="s">
        <v>58</v>
      </c>
    </row>
    <row r="2560" spans="1:8" ht="54.95" customHeight="1" x14ac:dyDescent="0.2">
      <c r="A2560" s="23" t="s">
        <v>879</v>
      </c>
      <c r="B2560" s="23" t="s">
        <v>17</v>
      </c>
      <c r="C2560" s="23" t="s">
        <v>46</v>
      </c>
      <c r="D2560" s="23">
        <v>2.12861913138053</v>
      </c>
      <c r="E2560" s="23">
        <v>2025</v>
      </c>
      <c r="F2560" s="15" t="s">
        <v>4161</v>
      </c>
      <c r="G2560" s="15" t="s">
        <v>3797</v>
      </c>
      <c r="H2560" s="23" t="s">
        <v>58</v>
      </c>
    </row>
    <row r="2561" spans="1:8" ht="54.95" customHeight="1" x14ac:dyDescent="0.2">
      <c r="A2561" s="23" t="s">
        <v>885</v>
      </c>
      <c r="B2561" s="23" t="s">
        <v>17</v>
      </c>
      <c r="C2561" s="23" t="s">
        <v>46</v>
      </c>
      <c r="D2561" s="23">
        <v>6.3318115767731298</v>
      </c>
      <c r="E2561" s="23">
        <v>2025</v>
      </c>
      <c r="F2561" s="15" t="s">
        <v>4162</v>
      </c>
      <c r="G2561" s="15" t="s">
        <v>3797</v>
      </c>
      <c r="H2561" s="23" t="s">
        <v>58</v>
      </c>
    </row>
    <row r="2562" spans="1:8" ht="54.95" customHeight="1" x14ac:dyDescent="0.2">
      <c r="A2562" s="23" t="s">
        <v>893</v>
      </c>
      <c r="B2562" s="23" t="s">
        <v>17</v>
      </c>
      <c r="C2562" s="23" t="s">
        <v>46</v>
      </c>
      <c r="D2562" s="23">
        <v>-1.0617327322052399</v>
      </c>
      <c r="E2562" s="23">
        <v>2024</v>
      </c>
      <c r="F2562" s="15" t="s">
        <v>4163</v>
      </c>
      <c r="G2562" s="15" t="s">
        <v>3797</v>
      </c>
      <c r="H2562" s="23" t="s">
        <v>58</v>
      </c>
    </row>
    <row r="2563" spans="1:8" ht="54.95" customHeight="1" x14ac:dyDescent="0.2">
      <c r="A2563" s="23" t="s">
        <v>899</v>
      </c>
      <c r="B2563" s="23" t="s">
        <v>17</v>
      </c>
      <c r="C2563" s="23" t="s">
        <v>46</v>
      </c>
      <c r="D2563" s="23">
        <v>3.75143102801252</v>
      </c>
      <c r="E2563" s="23">
        <v>2025</v>
      </c>
      <c r="F2563" s="15" t="s">
        <v>4164</v>
      </c>
      <c r="G2563" s="15" t="s">
        <v>3797</v>
      </c>
      <c r="H2563" s="23" t="s">
        <v>58</v>
      </c>
    </row>
    <row r="2564" spans="1:8" ht="54.95" customHeight="1" x14ac:dyDescent="0.2">
      <c r="A2564" s="23" t="s">
        <v>905</v>
      </c>
      <c r="B2564" s="23" t="s">
        <v>17</v>
      </c>
      <c r="C2564" s="23" t="s">
        <v>46</v>
      </c>
      <c r="D2564" s="23">
        <v>3.7259485727208701</v>
      </c>
      <c r="E2564" s="23">
        <v>2025</v>
      </c>
      <c r="F2564" s="15" t="s">
        <v>4165</v>
      </c>
      <c r="G2564" s="15" t="s">
        <v>3797</v>
      </c>
      <c r="H2564" s="23" t="s">
        <v>58</v>
      </c>
    </row>
    <row r="2565" spans="1:8" ht="54.95" customHeight="1" x14ac:dyDescent="0.2">
      <c r="A2565" s="23" t="s">
        <v>911</v>
      </c>
      <c r="B2565" s="23" t="s">
        <v>17</v>
      </c>
      <c r="C2565" s="23" t="s">
        <v>46</v>
      </c>
      <c r="D2565" s="23">
        <v>2.64201548985928</v>
      </c>
      <c r="E2565" s="23">
        <v>2025</v>
      </c>
      <c r="F2565" s="15" t="s">
        <v>4166</v>
      </c>
      <c r="G2565" s="15" t="s">
        <v>3797</v>
      </c>
      <c r="H2565" s="23" t="s">
        <v>58</v>
      </c>
    </row>
    <row r="2566" spans="1:8" ht="54.95" customHeight="1" x14ac:dyDescent="0.2">
      <c r="A2566" s="23" t="s">
        <v>917</v>
      </c>
      <c r="B2566" s="23" t="s">
        <v>17</v>
      </c>
      <c r="C2566" s="23" t="s">
        <v>46</v>
      </c>
      <c r="D2566" s="23">
        <v>6.6426251115687904</v>
      </c>
      <c r="E2566" s="23">
        <v>2025</v>
      </c>
      <c r="F2566" s="15" t="s">
        <v>4167</v>
      </c>
      <c r="G2566" s="15" t="s">
        <v>3797</v>
      </c>
      <c r="H2566" s="23" t="s">
        <v>58</v>
      </c>
    </row>
    <row r="2567" spans="1:8" ht="54.95" customHeight="1" x14ac:dyDescent="0.2">
      <c r="A2567" s="23" t="s">
        <v>923</v>
      </c>
      <c r="B2567" s="23" t="s">
        <v>17</v>
      </c>
      <c r="C2567" s="23" t="s">
        <v>46</v>
      </c>
      <c r="D2567" s="23">
        <v>2.2857464902475</v>
      </c>
      <c r="E2567" s="23">
        <v>2025</v>
      </c>
      <c r="F2567" s="15" t="s">
        <v>4077</v>
      </c>
      <c r="G2567" s="15" t="s">
        <v>3797</v>
      </c>
      <c r="H2567" s="23" t="s">
        <v>58</v>
      </c>
    </row>
    <row r="2568" spans="1:8" ht="54.95" customHeight="1" x14ac:dyDescent="0.2">
      <c r="A2568" s="23" t="s">
        <v>925</v>
      </c>
      <c r="B2568" s="23" t="s">
        <v>17</v>
      </c>
      <c r="C2568" s="23" t="s">
        <v>46</v>
      </c>
      <c r="D2568" s="23">
        <v>1.8644800746447501</v>
      </c>
      <c r="E2568" s="23">
        <v>2025</v>
      </c>
      <c r="F2568" s="15" t="s">
        <v>4168</v>
      </c>
      <c r="G2568" s="15" t="s">
        <v>3797</v>
      </c>
      <c r="H2568" s="23" t="s">
        <v>58</v>
      </c>
    </row>
    <row r="2569" spans="1:8" ht="54.95" customHeight="1" x14ac:dyDescent="0.2">
      <c r="A2569" s="23" t="s">
        <v>931</v>
      </c>
      <c r="B2569" s="23" t="s">
        <v>17</v>
      </c>
      <c r="C2569" s="23" t="s">
        <v>46</v>
      </c>
      <c r="D2569" s="23">
        <v>2.4164973457506802</v>
      </c>
      <c r="E2569" s="23">
        <v>2025</v>
      </c>
      <c r="F2569" s="15" t="s">
        <v>4169</v>
      </c>
      <c r="G2569" s="15" t="s">
        <v>3797</v>
      </c>
      <c r="H2569" s="23" t="s">
        <v>58</v>
      </c>
    </row>
    <row r="2570" spans="1:8" ht="54.95" customHeight="1" x14ac:dyDescent="0.2">
      <c r="A2570" s="23" t="s">
        <v>937</v>
      </c>
      <c r="B2570" s="23" t="s">
        <v>17</v>
      </c>
      <c r="C2570" s="23" t="s">
        <v>46</v>
      </c>
      <c r="D2570" s="23">
        <v>6.3000000369789397</v>
      </c>
      <c r="E2570" s="23">
        <v>2025</v>
      </c>
      <c r="F2570" s="15" t="s">
        <v>4170</v>
      </c>
      <c r="G2570" s="15" t="s">
        <v>3797</v>
      </c>
      <c r="H2570" s="23" t="s">
        <v>58</v>
      </c>
    </row>
    <row r="2571" spans="1:8" ht="54.95" customHeight="1" x14ac:dyDescent="0.2">
      <c r="A2571" s="23" t="s">
        <v>943</v>
      </c>
      <c r="B2571" s="23" t="s">
        <v>17</v>
      </c>
      <c r="C2571" s="23" t="s">
        <v>46</v>
      </c>
      <c r="D2571" s="23">
        <v>2.8266083984574499</v>
      </c>
      <c r="E2571" s="23">
        <v>2025</v>
      </c>
      <c r="F2571" s="15" t="s">
        <v>4171</v>
      </c>
      <c r="G2571" s="15" t="s">
        <v>3797</v>
      </c>
      <c r="H2571" s="23" t="s">
        <v>58</v>
      </c>
    </row>
    <row r="2572" spans="1:8" ht="54.95" customHeight="1" x14ac:dyDescent="0.2">
      <c r="A2572" s="23" t="s">
        <v>949</v>
      </c>
      <c r="B2572" s="23" t="s">
        <v>17</v>
      </c>
      <c r="C2572" s="23" t="s">
        <v>46</v>
      </c>
      <c r="D2572" s="23">
        <v>4.4307319498335902</v>
      </c>
      <c r="E2572" s="23">
        <v>2025</v>
      </c>
      <c r="F2572" s="15" t="s">
        <v>4172</v>
      </c>
      <c r="G2572" s="15" t="s">
        <v>3797</v>
      </c>
      <c r="H2572" s="23" t="s">
        <v>58</v>
      </c>
    </row>
    <row r="2573" spans="1:8" ht="54.95" customHeight="1" x14ac:dyDescent="0.2">
      <c r="A2573" s="23" t="s">
        <v>955</v>
      </c>
      <c r="B2573" s="23" t="s">
        <v>17</v>
      </c>
      <c r="C2573" s="23" t="s">
        <v>46</v>
      </c>
      <c r="D2573" s="23">
        <v>1.9825608077099599</v>
      </c>
      <c r="E2573" s="23">
        <v>2025</v>
      </c>
      <c r="F2573" s="15" t="s">
        <v>4173</v>
      </c>
      <c r="G2573" s="15" t="s">
        <v>3797</v>
      </c>
      <c r="H2573" s="23" t="s">
        <v>58</v>
      </c>
    </row>
    <row r="2574" spans="1:8" ht="54.95" customHeight="1" x14ac:dyDescent="0.2">
      <c r="A2574" s="23" t="s">
        <v>961</v>
      </c>
      <c r="B2574" s="23" t="s">
        <v>17</v>
      </c>
      <c r="C2574" s="23" t="s">
        <v>46</v>
      </c>
      <c r="D2574" s="23">
        <v>3.20000015616144</v>
      </c>
      <c r="E2574" s="23">
        <v>2025</v>
      </c>
      <c r="F2574" s="15" t="s">
        <v>4174</v>
      </c>
      <c r="G2574" s="15" t="s">
        <v>3797</v>
      </c>
      <c r="H2574" s="23" t="s">
        <v>58</v>
      </c>
    </row>
    <row r="2575" spans="1:8" ht="54.95" customHeight="1" x14ac:dyDescent="0.2">
      <c r="A2575" s="23" t="s">
        <v>967</v>
      </c>
      <c r="B2575" s="23" t="s">
        <v>17</v>
      </c>
      <c r="C2575" s="23" t="s">
        <v>46</v>
      </c>
      <c r="D2575" s="23">
        <v>2.47287961498321</v>
      </c>
      <c r="E2575" s="23">
        <v>2025</v>
      </c>
      <c r="F2575" s="15" t="s">
        <v>4175</v>
      </c>
      <c r="G2575" s="15" t="s">
        <v>3797</v>
      </c>
      <c r="H2575" s="23" t="s">
        <v>58</v>
      </c>
    </row>
    <row r="2576" spans="1:8" ht="54.95" customHeight="1" x14ac:dyDescent="0.2">
      <c r="A2576" s="23" t="s">
        <v>974</v>
      </c>
      <c r="B2576" s="23" t="s">
        <v>17</v>
      </c>
      <c r="C2576" s="23" t="s">
        <v>46</v>
      </c>
      <c r="D2576" s="23">
        <v>7.0078296014900001</v>
      </c>
      <c r="E2576" s="23">
        <v>2025</v>
      </c>
      <c r="F2576" s="15" t="s">
        <v>4176</v>
      </c>
      <c r="G2576" s="15" t="s">
        <v>3797</v>
      </c>
      <c r="H2576" s="23" t="s">
        <v>58</v>
      </c>
    </row>
    <row r="2577" spans="1:8" ht="54.95" customHeight="1" x14ac:dyDescent="0.2">
      <c r="A2577" s="23" t="s">
        <v>980</v>
      </c>
      <c r="B2577" s="23" t="s">
        <v>17</v>
      </c>
      <c r="C2577" s="23" t="s">
        <v>46</v>
      </c>
      <c r="D2577" s="23">
        <v>5.2946183931928301</v>
      </c>
      <c r="E2577" s="23">
        <v>2025</v>
      </c>
      <c r="F2577" s="15" t="s">
        <v>4177</v>
      </c>
      <c r="G2577" s="15" t="s">
        <v>3797</v>
      </c>
      <c r="H2577" s="23" t="s">
        <v>58</v>
      </c>
    </row>
    <row r="2578" spans="1:8" ht="54.95" customHeight="1" x14ac:dyDescent="0.2">
      <c r="A2578" s="23" t="s">
        <v>986</v>
      </c>
      <c r="B2578" s="23" t="s">
        <v>17</v>
      </c>
      <c r="C2578" s="23" t="s">
        <v>46</v>
      </c>
      <c r="D2578" s="23">
        <v>6.3103267162563297</v>
      </c>
      <c r="E2578" s="23">
        <v>2025</v>
      </c>
      <c r="F2578" s="15" t="s">
        <v>4178</v>
      </c>
      <c r="G2578" s="15" t="s">
        <v>3797</v>
      </c>
      <c r="H2578" s="23" t="s">
        <v>58</v>
      </c>
    </row>
    <row r="2579" spans="1:8" ht="54.95" customHeight="1" x14ac:dyDescent="0.2">
      <c r="A2579" s="23" t="s">
        <v>992</v>
      </c>
      <c r="B2579" s="23" t="s">
        <v>17</v>
      </c>
      <c r="C2579" s="23" t="s">
        <v>46</v>
      </c>
      <c r="D2579" s="23">
        <v>5.9544171475689902</v>
      </c>
      <c r="E2579" s="23">
        <v>2025</v>
      </c>
      <c r="F2579" s="15" t="s">
        <v>4179</v>
      </c>
      <c r="G2579" s="15" t="s">
        <v>3797</v>
      </c>
      <c r="H2579" s="23" t="s">
        <v>58</v>
      </c>
    </row>
    <row r="2580" spans="1:8" ht="54.95" customHeight="1" x14ac:dyDescent="0.2">
      <c r="A2580" s="23" t="s">
        <v>998</v>
      </c>
      <c r="B2580" s="23" t="s">
        <v>17</v>
      </c>
      <c r="C2580" s="23" t="s">
        <v>46</v>
      </c>
      <c r="D2580" s="23">
        <v>5.81813762310792</v>
      </c>
      <c r="E2580" s="23">
        <v>2025</v>
      </c>
      <c r="F2580" s="15" t="s">
        <v>4180</v>
      </c>
      <c r="G2580" s="15" t="s">
        <v>3797</v>
      </c>
      <c r="H2580" s="23" t="s">
        <v>58</v>
      </c>
    </row>
    <row r="2581" spans="1:8" ht="54.95" customHeight="1" x14ac:dyDescent="0.2">
      <c r="A2581" s="23" t="s">
        <v>1007</v>
      </c>
      <c r="B2581" s="23" t="s">
        <v>17</v>
      </c>
      <c r="C2581" s="23" t="s">
        <v>46</v>
      </c>
      <c r="D2581" s="23">
        <v>2.1613819562385599</v>
      </c>
      <c r="E2581" s="23">
        <v>2025</v>
      </c>
      <c r="F2581" s="15" t="s">
        <v>4181</v>
      </c>
      <c r="G2581" s="15" t="s">
        <v>3797</v>
      </c>
      <c r="H2581" s="23" t="s">
        <v>58</v>
      </c>
    </row>
    <row r="2582" spans="1:8" ht="54.95" customHeight="1" x14ac:dyDescent="0.2">
      <c r="A2582" s="23" t="s">
        <v>1013</v>
      </c>
      <c r="B2582" s="23" t="s">
        <v>17</v>
      </c>
      <c r="C2582" s="23" t="s">
        <v>46</v>
      </c>
      <c r="D2582" s="23">
        <v>1.7426853617570801</v>
      </c>
      <c r="E2582" s="23">
        <v>2025</v>
      </c>
      <c r="F2582" s="15" t="s">
        <v>4182</v>
      </c>
      <c r="G2582" s="15" t="s">
        <v>3797</v>
      </c>
      <c r="H2582" s="23" t="s">
        <v>58</v>
      </c>
    </row>
    <row r="2583" spans="1:8" ht="54.95" customHeight="1" x14ac:dyDescent="0.2">
      <c r="A2583" s="23" t="s">
        <v>1019</v>
      </c>
      <c r="B2583" s="23" t="s">
        <v>17</v>
      </c>
      <c r="C2583" s="23" t="s">
        <v>46</v>
      </c>
      <c r="D2583" s="23">
        <v>0.56168345614457804</v>
      </c>
      <c r="E2583" s="23">
        <v>2025</v>
      </c>
      <c r="F2583" s="15" t="s">
        <v>4183</v>
      </c>
      <c r="G2583" s="15" t="s">
        <v>3797</v>
      </c>
      <c r="H2583" s="23" t="s">
        <v>58</v>
      </c>
    </row>
    <row r="2584" spans="1:8" ht="54.95" customHeight="1" x14ac:dyDescent="0.2">
      <c r="A2584" s="23" t="s">
        <v>1025</v>
      </c>
      <c r="B2584" s="23" t="s">
        <v>17</v>
      </c>
      <c r="C2584" s="23" t="s">
        <v>46</v>
      </c>
      <c r="D2584" s="23">
        <v>2.74831731763744</v>
      </c>
      <c r="E2584" s="23">
        <v>2025</v>
      </c>
      <c r="F2584" s="15" t="s">
        <v>4184</v>
      </c>
      <c r="G2584" s="15" t="s">
        <v>3797</v>
      </c>
      <c r="H2584" s="23" t="s">
        <v>58</v>
      </c>
    </row>
    <row r="2585" spans="1:8" ht="54.95" customHeight="1" x14ac:dyDescent="0.2">
      <c r="A2585" s="23" t="s">
        <v>1031</v>
      </c>
      <c r="B2585" s="23" t="s">
        <v>17</v>
      </c>
      <c r="C2585" s="23" t="s">
        <v>46</v>
      </c>
      <c r="D2585" s="23">
        <v>4.3503046062773096</v>
      </c>
      <c r="E2585" s="23">
        <v>2025</v>
      </c>
      <c r="F2585" s="15" t="s">
        <v>4185</v>
      </c>
      <c r="G2585" s="15" t="s">
        <v>3797</v>
      </c>
      <c r="H2585" s="23" t="s">
        <v>58</v>
      </c>
    </row>
    <row r="2586" spans="1:8" ht="54.95" customHeight="1" x14ac:dyDescent="0.2">
      <c r="A2586" s="23" t="s">
        <v>1037</v>
      </c>
      <c r="B2586" s="23" t="s">
        <v>17</v>
      </c>
      <c r="C2586" s="23" t="s">
        <v>46</v>
      </c>
      <c r="D2586" s="23">
        <v>1.5706806282722401</v>
      </c>
      <c r="E2586" s="23">
        <v>2025</v>
      </c>
      <c r="F2586" s="15" t="s">
        <v>4186</v>
      </c>
      <c r="G2586" s="15" t="s">
        <v>3797</v>
      </c>
      <c r="H2586" s="23" t="s">
        <v>58</v>
      </c>
    </row>
    <row r="2587" spans="1:8" ht="54.95" customHeight="1" x14ac:dyDescent="0.2">
      <c r="A2587" s="23" t="s">
        <v>1043</v>
      </c>
      <c r="B2587" s="23" t="s">
        <v>17</v>
      </c>
      <c r="C2587" s="23" t="s">
        <v>46</v>
      </c>
      <c r="D2587" s="23">
        <v>5.6379205231945804</v>
      </c>
      <c r="E2587" s="23">
        <v>2025</v>
      </c>
      <c r="F2587" s="15" t="s">
        <v>4187</v>
      </c>
      <c r="G2587" s="15" t="s">
        <v>3797</v>
      </c>
      <c r="H2587" s="23" t="s">
        <v>58</v>
      </c>
    </row>
    <row r="2588" spans="1:8" ht="54.95" customHeight="1" x14ac:dyDescent="0.2">
      <c r="A2588" s="23" t="s">
        <v>1048</v>
      </c>
      <c r="B2588" s="23" t="s">
        <v>17</v>
      </c>
      <c r="C2588" s="23" t="s">
        <v>46</v>
      </c>
      <c r="D2588" s="23">
        <v>4.3920106857018801</v>
      </c>
      <c r="E2588" s="23">
        <v>2025</v>
      </c>
      <c r="F2588" s="15" t="s">
        <v>4188</v>
      </c>
      <c r="G2588" s="15" t="s">
        <v>3797</v>
      </c>
      <c r="H2588" s="23" t="s">
        <v>58</v>
      </c>
    </row>
    <row r="2589" spans="1:8" ht="54.95" customHeight="1" x14ac:dyDescent="0.2">
      <c r="A2589" s="23" t="s">
        <v>1060</v>
      </c>
      <c r="B2589" s="23" t="s">
        <v>17</v>
      </c>
      <c r="C2589" s="23" t="s">
        <v>46</v>
      </c>
      <c r="D2589" s="23">
        <v>4.02891976567948</v>
      </c>
      <c r="E2589" s="23">
        <v>2025</v>
      </c>
      <c r="F2589" s="15" t="s">
        <v>4189</v>
      </c>
      <c r="G2589" s="15" t="s">
        <v>3797</v>
      </c>
      <c r="H2589" s="23" t="s">
        <v>58</v>
      </c>
    </row>
    <row r="2590" spans="1:8" ht="54.95" customHeight="1" x14ac:dyDescent="0.2">
      <c r="A2590" s="23" t="s">
        <v>1066</v>
      </c>
      <c r="B2590" s="23" t="s">
        <v>17</v>
      </c>
      <c r="C2590" s="23" t="s">
        <v>46</v>
      </c>
      <c r="D2590" s="23">
        <v>-5.8467850570069304</v>
      </c>
      <c r="E2590" s="23">
        <v>2025</v>
      </c>
      <c r="F2590" s="15" t="s">
        <v>4190</v>
      </c>
      <c r="G2590" s="15" t="s">
        <v>3797</v>
      </c>
      <c r="H2590" s="23" t="s">
        <v>58</v>
      </c>
    </row>
    <row r="2591" spans="1:8" ht="54.95" customHeight="1" x14ac:dyDescent="0.2">
      <c r="A2591" s="23" t="s">
        <v>1072</v>
      </c>
      <c r="B2591" s="23" t="s">
        <v>17</v>
      </c>
      <c r="C2591" s="23" t="s">
        <v>46</v>
      </c>
      <c r="D2591" s="23">
        <v>5.8930920823314601</v>
      </c>
      <c r="E2591" s="23">
        <v>2025</v>
      </c>
      <c r="F2591" s="15" t="s">
        <v>4191</v>
      </c>
      <c r="G2591" s="15" t="s">
        <v>3797</v>
      </c>
      <c r="H2591" s="23" t="s">
        <v>58</v>
      </c>
    </row>
    <row r="2592" spans="1:8" ht="54.95" customHeight="1" x14ac:dyDescent="0.2">
      <c r="A2592" s="23" t="s">
        <v>1078</v>
      </c>
      <c r="B2592" s="23" t="s">
        <v>17</v>
      </c>
      <c r="C2592" s="23" t="s">
        <v>46</v>
      </c>
      <c r="D2592" s="23">
        <v>3.4876488635594902</v>
      </c>
      <c r="E2592" s="23">
        <v>2025</v>
      </c>
      <c r="F2592" s="15" t="s">
        <v>4192</v>
      </c>
      <c r="G2592" s="15" t="s">
        <v>3797</v>
      </c>
      <c r="H2592" s="23" t="s">
        <v>58</v>
      </c>
    </row>
    <row r="2593" spans="1:8" ht="54.95" customHeight="1" x14ac:dyDescent="0.2">
      <c r="A2593" s="23" t="s">
        <v>1095</v>
      </c>
      <c r="B2593" s="23" t="s">
        <v>17</v>
      </c>
      <c r="C2593" s="23" t="s">
        <v>46</v>
      </c>
      <c r="D2593" s="23">
        <v>6.5</v>
      </c>
      <c r="E2593" s="23">
        <v>2025</v>
      </c>
      <c r="F2593" s="15" t="s">
        <v>4074</v>
      </c>
      <c r="G2593" s="15" t="s">
        <v>3797</v>
      </c>
      <c r="H2593" s="23" t="s">
        <v>58</v>
      </c>
    </row>
    <row r="2594" spans="1:8" ht="54.95" customHeight="1" x14ac:dyDescent="0.2">
      <c r="A2594" s="23" t="s">
        <v>1107</v>
      </c>
      <c r="B2594" s="23" t="s">
        <v>17</v>
      </c>
      <c r="C2594" s="23" t="s">
        <v>46</v>
      </c>
      <c r="D2594" s="23">
        <v>1.3503978507663099</v>
      </c>
      <c r="E2594" s="23">
        <v>2025</v>
      </c>
      <c r="F2594" s="15" t="s">
        <v>4193</v>
      </c>
      <c r="G2594" s="15" t="s">
        <v>3797</v>
      </c>
      <c r="H2594" s="23" t="s">
        <v>58</v>
      </c>
    </row>
    <row r="2595" spans="1:8" ht="54.95" customHeight="1" x14ac:dyDescent="0.2">
      <c r="A2595" s="23" t="s">
        <v>1117</v>
      </c>
      <c r="B2595" s="23" t="s">
        <v>17</v>
      </c>
      <c r="C2595" s="23" t="s">
        <v>46</v>
      </c>
      <c r="D2595" s="23">
        <v>3.1954686212402899</v>
      </c>
      <c r="E2595" s="23">
        <v>2025</v>
      </c>
      <c r="F2595" s="15" t="s">
        <v>4194</v>
      </c>
      <c r="G2595" s="15" t="s">
        <v>3797</v>
      </c>
      <c r="H2595" s="23" t="s">
        <v>58</v>
      </c>
    </row>
    <row r="2596" spans="1:8" ht="54.95" customHeight="1" x14ac:dyDescent="0.2">
      <c r="A2596" s="23" t="s">
        <v>1123</v>
      </c>
      <c r="B2596" s="23" t="s">
        <v>17</v>
      </c>
      <c r="C2596" s="23" t="s">
        <v>46</v>
      </c>
      <c r="D2596" s="23">
        <v>0.46287183068108101</v>
      </c>
      <c r="E2596" s="23">
        <v>2025</v>
      </c>
      <c r="F2596" s="15" t="s">
        <v>4195</v>
      </c>
      <c r="G2596" s="15" t="s">
        <v>3797</v>
      </c>
      <c r="H2596" s="23" t="s">
        <v>58</v>
      </c>
    </row>
    <row r="2597" spans="1:8" ht="54.95" customHeight="1" x14ac:dyDescent="0.2">
      <c r="A2597" s="23" t="s">
        <v>1130</v>
      </c>
      <c r="B2597" s="23" t="s">
        <v>17</v>
      </c>
      <c r="C2597" s="23" t="s">
        <v>46</v>
      </c>
      <c r="D2597" s="23">
        <v>-13.499999998974699</v>
      </c>
      <c r="E2597" s="23">
        <v>2024</v>
      </c>
      <c r="F2597" s="15" t="s">
        <v>4196</v>
      </c>
      <c r="G2597" s="15" t="s">
        <v>3797</v>
      </c>
      <c r="H2597" s="23" t="s">
        <v>58</v>
      </c>
    </row>
    <row r="2598" spans="1:8" ht="54.95" customHeight="1" x14ac:dyDescent="0.2">
      <c r="A2598" s="23" t="s">
        <v>1135</v>
      </c>
      <c r="B2598" s="23" t="s">
        <v>17</v>
      </c>
      <c r="C2598" s="23" t="s">
        <v>46</v>
      </c>
      <c r="D2598" s="23">
        <v>3.002568866856</v>
      </c>
      <c r="E2598" s="23">
        <v>2025</v>
      </c>
      <c r="F2598" s="15" t="s">
        <v>4197</v>
      </c>
      <c r="G2598" s="15" t="s">
        <v>3797</v>
      </c>
      <c r="H2598" s="23" t="s">
        <v>58</v>
      </c>
    </row>
    <row r="2599" spans="1:8" ht="54.95" customHeight="1" x14ac:dyDescent="0.2">
      <c r="A2599" s="23" t="s">
        <v>1141</v>
      </c>
      <c r="B2599" s="23" t="s">
        <v>17</v>
      </c>
      <c r="C2599" s="23" t="s">
        <v>46</v>
      </c>
      <c r="D2599" s="23">
        <v>4.4024015871062101</v>
      </c>
      <c r="E2599" s="23">
        <v>2025</v>
      </c>
      <c r="F2599" s="15" t="s">
        <v>4198</v>
      </c>
      <c r="G2599" s="15" t="s">
        <v>3797</v>
      </c>
      <c r="H2599" s="23" t="s">
        <v>58</v>
      </c>
    </row>
    <row r="2600" spans="1:8" ht="54.95" customHeight="1" x14ac:dyDescent="0.2">
      <c r="A2600" s="23" t="s">
        <v>1148</v>
      </c>
      <c r="B2600" s="23" t="s">
        <v>17</v>
      </c>
      <c r="C2600" s="23" t="s">
        <v>46</v>
      </c>
      <c r="D2600" s="23">
        <v>4.9534339114043</v>
      </c>
      <c r="E2600" s="23">
        <v>2025</v>
      </c>
      <c r="F2600" s="15" t="s">
        <v>4199</v>
      </c>
      <c r="G2600" s="15" t="s">
        <v>3797</v>
      </c>
      <c r="H2600" s="23" t="s">
        <v>58</v>
      </c>
    </row>
    <row r="2601" spans="1:8" ht="54.95" customHeight="1" x14ac:dyDescent="0.2">
      <c r="A2601" s="23" t="s">
        <v>1155</v>
      </c>
      <c r="B2601" s="23" t="s">
        <v>17</v>
      </c>
      <c r="C2601" s="23" t="s">
        <v>46</v>
      </c>
      <c r="D2601" s="23">
        <v>5.0269001547560599</v>
      </c>
      <c r="E2601" s="23">
        <v>2024</v>
      </c>
      <c r="F2601" s="15" t="s">
        <v>4200</v>
      </c>
      <c r="G2601" s="15" t="s">
        <v>3797</v>
      </c>
      <c r="H2601" s="23" t="s">
        <v>58</v>
      </c>
    </row>
    <row r="2602" spans="1:8" ht="54.95" customHeight="1" x14ac:dyDescent="0.2">
      <c r="A2602" s="23" t="s">
        <v>1161</v>
      </c>
      <c r="B2602" s="23" t="s">
        <v>17</v>
      </c>
      <c r="C2602" s="23" t="s">
        <v>46</v>
      </c>
      <c r="D2602" s="23">
        <v>6.8107766932455398</v>
      </c>
      <c r="E2602" s="23">
        <v>2024</v>
      </c>
      <c r="F2602" s="15" t="s">
        <v>4201</v>
      </c>
      <c r="G2602" s="15" t="s">
        <v>3797</v>
      </c>
      <c r="H2602" s="23" t="s">
        <v>58</v>
      </c>
    </row>
    <row r="2603" spans="1:8" ht="54.95" customHeight="1" x14ac:dyDescent="0.2">
      <c r="A2603" s="23" t="s">
        <v>1167</v>
      </c>
      <c r="B2603" s="23" t="s">
        <v>17</v>
      </c>
      <c r="C2603" s="23" t="s">
        <v>46</v>
      </c>
      <c r="D2603" s="23">
        <v>3.37866553336166</v>
      </c>
      <c r="E2603" s="23">
        <v>2024</v>
      </c>
      <c r="F2603" s="15" t="s">
        <v>4202</v>
      </c>
      <c r="G2603" s="15" t="s">
        <v>3797</v>
      </c>
      <c r="H2603" s="23" t="s">
        <v>58</v>
      </c>
    </row>
    <row r="2604" spans="1:8" ht="54.95" customHeight="1" x14ac:dyDescent="0.2">
      <c r="A2604" s="23" t="s">
        <v>1173</v>
      </c>
      <c r="B2604" s="23" t="s">
        <v>17</v>
      </c>
      <c r="C2604" s="23" t="s">
        <v>46</v>
      </c>
      <c r="D2604" s="23">
        <v>5.6368251744336204</v>
      </c>
      <c r="E2604" s="23">
        <v>2024</v>
      </c>
      <c r="F2604" s="15" t="s">
        <v>4203</v>
      </c>
      <c r="G2604" s="15" t="s">
        <v>3797</v>
      </c>
      <c r="H2604" s="23" t="s">
        <v>58</v>
      </c>
    </row>
    <row r="2605" spans="1:8" ht="54.95" customHeight="1" x14ac:dyDescent="0.2">
      <c r="A2605" s="23" t="s">
        <v>1184</v>
      </c>
      <c r="B2605" s="23" t="s">
        <v>17</v>
      </c>
      <c r="C2605" s="23" t="s">
        <v>46</v>
      </c>
      <c r="D2605" s="23">
        <v>1.19311288444599</v>
      </c>
      <c r="E2605" s="23">
        <v>2025</v>
      </c>
      <c r="F2605" s="15" t="s">
        <v>4204</v>
      </c>
      <c r="G2605" s="15" t="s">
        <v>3797</v>
      </c>
      <c r="H2605" s="23" t="s">
        <v>58</v>
      </c>
    </row>
    <row r="2606" spans="1:8" ht="54.95" customHeight="1" x14ac:dyDescent="0.2">
      <c r="A2606" s="23" t="s">
        <v>1195</v>
      </c>
      <c r="B2606" s="23" t="s">
        <v>17</v>
      </c>
      <c r="C2606" s="23" t="s">
        <v>46</v>
      </c>
      <c r="D2606" s="23">
        <v>1.27946207863934</v>
      </c>
      <c r="E2606" s="23">
        <v>2025</v>
      </c>
      <c r="F2606" s="15" t="s">
        <v>4205</v>
      </c>
      <c r="G2606" s="15" t="s">
        <v>3797</v>
      </c>
      <c r="H2606" s="23" t="s">
        <v>58</v>
      </c>
    </row>
    <row r="2607" spans="1:8" ht="54.95" customHeight="1" x14ac:dyDescent="0.2">
      <c r="A2607" s="23" t="s">
        <v>1205</v>
      </c>
      <c r="B2607" s="23" t="s">
        <v>17</v>
      </c>
      <c r="C2607" s="23" t="s">
        <v>46</v>
      </c>
      <c r="D2607" s="23">
        <v>1.12638897730247</v>
      </c>
      <c r="E2607" s="23">
        <v>2024</v>
      </c>
      <c r="F2607" s="15" t="s">
        <v>4206</v>
      </c>
      <c r="G2607" s="15" t="s">
        <v>3797</v>
      </c>
      <c r="H2607" s="23" t="s">
        <v>58</v>
      </c>
    </row>
    <row r="2608" spans="1:8" ht="54.95" customHeight="1" x14ac:dyDescent="0.2">
      <c r="A2608" s="23" t="s">
        <v>1214</v>
      </c>
      <c r="B2608" s="23" t="s">
        <v>17</v>
      </c>
      <c r="C2608" s="23" t="s">
        <v>46</v>
      </c>
      <c r="D2608" s="23">
        <v>5.79795669973812</v>
      </c>
      <c r="E2608" s="23">
        <v>2025</v>
      </c>
      <c r="F2608" s="15" t="s">
        <v>4207</v>
      </c>
      <c r="G2608" s="15" t="s">
        <v>3797</v>
      </c>
      <c r="H2608" s="23" t="s">
        <v>58</v>
      </c>
    </row>
    <row r="2609" spans="1:8" ht="54.95" customHeight="1" x14ac:dyDescent="0.2">
      <c r="A2609" s="23" t="s">
        <v>1220</v>
      </c>
      <c r="B2609" s="23" t="s">
        <v>17</v>
      </c>
      <c r="C2609" s="23" t="s">
        <v>46</v>
      </c>
      <c r="D2609" s="23">
        <v>4.2216358839050097</v>
      </c>
      <c r="E2609" s="23">
        <v>2025</v>
      </c>
      <c r="F2609" s="15" t="s">
        <v>4208</v>
      </c>
      <c r="G2609" s="15" t="s">
        <v>3797</v>
      </c>
      <c r="H2609" s="23" t="s">
        <v>58</v>
      </c>
    </row>
    <row r="2610" spans="1:8" ht="54.95" customHeight="1" x14ac:dyDescent="0.2">
      <c r="A2610" s="23" t="s">
        <v>1225</v>
      </c>
      <c r="B2610" s="23" t="s">
        <v>17</v>
      </c>
      <c r="C2610" s="23" t="s">
        <v>46</v>
      </c>
      <c r="D2610" s="23">
        <v>2.2831050228310499</v>
      </c>
      <c r="E2610" s="23">
        <v>2025</v>
      </c>
      <c r="F2610" s="15" t="s">
        <v>4209</v>
      </c>
      <c r="G2610" s="15" t="s">
        <v>3797</v>
      </c>
      <c r="H2610" s="23" t="s">
        <v>58</v>
      </c>
    </row>
    <row r="2611" spans="1:8" ht="54.95" customHeight="1" x14ac:dyDescent="0.2">
      <c r="A2611" s="23" t="s">
        <v>1230</v>
      </c>
      <c r="B2611" s="23" t="s">
        <v>17</v>
      </c>
      <c r="C2611" s="23" t="s">
        <v>46</v>
      </c>
      <c r="D2611" s="23">
        <v>-0.787768572727643</v>
      </c>
      <c r="E2611" s="23">
        <v>2025</v>
      </c>
      <c r="F2611" s="15" t="s">
        <v>4210</v>
      </c>
      <c r="G2611" s="15" t="s">
        <v>3797</v>
      </c>
      <c r="H2611" s="23" t="s">
        <v>58</v>
      </c>
    </row>
    <row r="2612" spans="1:8" ht="54.95" customHeight="1" x14ac:dyDescent="0.2">
      <c r="A2612" s="23" t="s">
        <v>1236</v>
      </c>
      <c r="B2612" s="23" t="s">
        <v>17</v>
      </c>
      <c r="C2612" s="23" t="s">
        <v>46</v>
      </c>
      <c r="D2612" s="23">
        <v>4.4120100000000004</v>
      </c>
      <c r="E2612" s="23">
        <v>2025</v>
      </c>
      <c r="F2612" s="15" t="s">
        <v>4211</v>
      </c>
      <c r="G2612" s="15" t="s">
        <v>3797</v>
      </c>
      <c r="H2612" s="23" t="s">
        <v>58</v>
      </c>
    </row>
    <row r="2613" spans="1:8" ht="54.95" customHeight="1" x14ac:dyDescent="0.2">
      <c r="A2613" s="23" t="s">
        <v>1242</v>
      </c>
      <c r="B2613" s="23" t="s">
        <v>17</v>
      </c>
      <c r="C2613" s="23" t="s">
        <v>46</v>
      </c>
      <c r="D2613" s="23">
        <v>3.3921670546226999</v>
      </c>
      <c r="E2613" s="23">
        <v>2025</v>
      </c>
      <c r="F2613" s="15" t="s">
        <v>4212</v>
      </c>
      <c r="G2613" s="15" t="s">
        <v>3797</v>
      </c>
      <c r="H2613" s="23" t="s">
        <v>58</v>
      </c>
    </row>
    <row r="2614" spans="1:8" ht="54.95" customHeight="1" x14ac:dyDescent="0.2">
      <c r="A2614" s="23" t="s">
        <v>1247</v>
      </c>
      <c r="B2614" s="23" t="s">
        <v>17</v>
      </c>
      <c r="C2614" s="23" t="s">
        <v>46</v>
      </c>
      <c r="D2614" s="23">
        <v>2.70000021764021</v>
      </c>
      <c r="E2614" s="23">
        <v>2025</v>
      </c>
      <c r="F2614" s="15" t="s">
        <v>4213</v>
      </c>
      <c r="G2614" s="15" t="s">
        <v>3797</v>
      </c>
      <c r="H2614" s="23" t="s">
        <v>58</v>
      </c>
    </row>
    <row r="2615" spans="1:8" ht="54.95" customHeight="1" x14ac:dyDescent="0.2">
      <c r="A2615" s="23" t="s">
        <v>1253</v>
      </c>
      <c r="B2615" s="23" t="s">
        <v>17</v>
      </c>
      <c r="C2615" s="23" t="s">
        <v>46</v>
      </c>
      <c r="D2615" s="23">
        <v>-0.57407528214495995</v>
      </c>
      <c r="E2615" s="23">
        <v>2025</v>
      </c>
      <c r="F2615" s="15" t="s">
        <v>4214</v>
      </c>
      <c r="G2615" s="15" t="s">
        <v>3797</v>
      </c>
      <c r="H2615" s="23" t="s">
        <v>58</v>
      </c>
    </row>
    <row r="2616" spans="1:8" ht="54.95" customHeight="1" x14ac:dyDescent="0.2">
      <c r="A2616" s="23" t="s">
        <v>1259</v>
      </c>
      <c r="B2616" s="23" t="s">
        <v>17</v>
      </c>
      <c r="C2616" s="23" t="s">
        <v>46</v>
      </c>
      <c r="D2616" s="23">
        <v>3.05243763087539</v>
      </c>
      <c r="E2616" s="23">
        <v>2025</v>
      </c>
      <c r="F2616" s="15" t="s">
        <v>4215</v>
      </c>
      <c r="G2616" s="15" t="s">
        <v>3797</v>
      </c>
      <c r="H2616" s="23" t="s">
        <v>58</v>
      </c>
    </row>
    <row r="2617" spans="1:8" ht="54.95" customHeight="1" x14ac:dyDescent="0.2">
      <c r="A2617" s="23" t="s">
        <v>1273</v>
      </c>
      <c r="B2617" s="23" t="s">
        <v>17</v>
      </c>
      <c r="C2617" s="23" t="s">
        <v>46</v>
      </c>
      <c r="D2617" s="23">
        <v>4.9980399843198704</v>
      </c>
      <c r="E2617" s="23">
        <v>2025</v>
      </c>
      <c r="F2617" s="15" t="s">
        <v>4216</v>
      </c>
      <c r="G2617" s="15" t="s">
        <v>3797</v>
      </c>
      <c r="H2617" s="23" t="s">
        <v>58</v>
      </c>
    </row>
    <row r="2618" spans="1:8" ht="54.95" customHeight="1" x14ac:dyDescent="0.2">
      <c r="A2618" s="23" t="s">
        <v>1278</v>
      </c>
      <c r="B2618" s="23" t="s">
        <v>17</v>
      </c>
      <c r="C2618" s="23" t="s">
        <v>46</v>
      </c>
      <c r="D2618" s="23">
        <v>2.68858456990016</v>
      </c>
      <c r="E2618" s="23">
        <v>2025</v>
      </c>
      <c r="F2618" s="15" t="s">
        <v>4217</v>
      </c>
      <c r="G2618" s="15" t="s">
        <v>3797</v>
      </c>
      <c r="H2618" s="23" t="s">
        <v>58</v>
      </c>
    </row>
    <row r="2619" spans="1:8" ht="54.95" customHeight="1" x14ac:dyDescent="0.2">
      <c r="A2619" s="23" t="s">
        <v>1291</v>
      </c>
      <c r="B2619" s="23" t="s">
        <v>17</v>
      </c>
      <c r="C2619" s="23" t="s">
        <v>46</v>
      </c>
      <c r="D2619" s="23">
        <v>0.31767004619689498</v>
      </c>
      <c r="E2619" s="23">
        <v>2025</v>
      </c>
      <c r="F2619" s="15" t="s">
        <v>4218</v>
      </c>
      <c r="G2619" s="15" t="s">
        <v>3797</v>
      </c>
      <c r="H2619" s="23" t="s">
        <v>58</v>
      </c>
    </row>
    <row r="2620" spans="1:8" ht="54.95" customHeight="1" x14ac:dyDescent="0.2">
      <c r="A2620" s="23" t="s">
        <v>1305</v>
      </c>
      <c r="B2620" s="23" t="s">
        <v>17</v>
      </c>
      <c r="C2620" s="23" t="s">
        <v>46</v>
      </c>
      <c r="D2620" s="23">
        <v>8.1645487774565595E-2</v>
      </c>
      <c r="E2620" s="23">
        <v>2025</v>
      </c>
      <c r="F2620" s="15" t="s">
        <v>4219</v>
      </c>
      <c r="G2620" s="15" t="s">
        <v>3797</v>
      </c>
      <c r="H2620" s="23" t="s">
        <v>58</v>
      </c>
    </row>
    <row r="2621" spans="1:8" ht="54.95" customHeight="1" x14ac:dyDescent="0.2">
      <c r="A2621" s="23" t="s">
        <v>1311</v>
      </c>
      <c r="B2621" s="23" t="s">
        <v>17</v>
      </c>
      <c r="C2621" s="23" t="s">
        <v>46</v>
      </c>
      <c r="D2621" s="23">
        <v>3.75641197192778</v>
      </c>
      <c r="E2621" s="23">
        <v>2024</v>
      </c>
      <c r="F2621" s="15" t="s">
        <v>4220</v>
      </c>
      <c r="G2621" s="15" t="s">
        <v>3797</v>
      </c>
      <c r="H2621" s="23" t="s">
        <v>58</v>
      </c>
    </row>
    <row r="2622" spans="1:8" ht="54.95" customHeight="1" x14ac:dyDescent="0.2">
      <c r="A2622" s="23" t="s">
        <v>1317</v>
      </c>
      <c r="B2622" s="23" t="s">
        <v>17</v>
      </c>
      <c r="C2622" s="23" t="s">
        <v>46</v>
      </c>
      <c r="D2622" s="23">
        <v>1.88822861970388</v>
      </c>
      <c r="E2622" s="23">
        <v>2024</v>
      </c>
      <c r="F2622" s="15" t="s">
        <v>4221</v>
      </c>
      <c r="G2622" s="15" t="s">
        <v>3797</v>
      </c>
      <c r="H2622" s="23" t="s">
        <v>58</v>
      </c>
    </row>
    <row r="2623" spans="1:8" ht="54.95" customHeight="1" x14ac:dyDescent="0.2">
      <c r="A2623" s="23" t="s">
        <v>1330</v>
      </c>
      <c r="B2623" s="23" t="s">
        <v>17</v>
      </c>
      <c r="C2623" s="23" t="s">
        <v>46</v>
      </c>
      <c r="D2623" s="23">
        <v>3.1515739530586702</v>
      </c>
      <c r="E2623" s="23">
        <v>2025</v>
      </c>
      <c r="F2623" s="15" t="s">
        <v>4222</v>
      </c>
      <c r="G2623" s="15" t="s">
        <v>3797</v>
      </c>
      <c r="H2623" s="23" t="s">
        <v>58</v>
      </c>
    </row>
    <row r="2624" spans="1:8" ht="54.95" customHeight="1" x14ac:dyDescent="0.2">
      <c r="A2624" s="23" t="s">
        <v>1336</v>
      </c>
      <c r="B2624" s="23" t="s">
        <v>17</v>
      </c>
      <c r="C2624" s="23" t="s">
        <v>46</v>
      </c>
      <c r="D2624" s="23">
        <v>3.7544428489180999</v>
      </c>
      <c r="E2624" s="23">
        <v>2025</v>
      </c>
      <c r="F2624" s="15" t="s">
        <v>4223</v>
      </c>
      <c r="G2624" s="15" t="s">
        <v>3797</v>
      </c>
      <c r="H2624" s="23" t="s">
        <v>58</v>
      </c>
    </row>
    <row r="2625" spans="1:8" ht="54.95" customHeight="1" x14ac:dyDescent="0.2">
      <c r="A2625" s="23" t="s">
        <v>1341</v>
      </c>
      <c r="B2625" s="23" t="s">
        <v>17</v>
      </c>
      <c r="C2625" s="23" t="s">
        <v>46</v>
      </c>
      <c r="D2625" s="23">
        <v>1.02847453097097</v>
      </c>
      <c r="E2625" s="23">
        <v>2025</v>
      </c>
      <c r="F2625" s="15" t="s">
        <v>4224</v>
      </c>
      <c r="G2625" s="15" t="s">
        <v>3797</v>
      </c>
      <c r="H2625" s="23" t="s">
        <v>58</v>
      </c>
    </row>
    <row r="2626" spans="1:8" ht="54.95" customHeight="1" x14ac:dyDescent="0.2">
      <c r="A2626" s="23" t="s">
        <v>1346</v>
      </c>
      <c r="B2626" s="23" t="s">
        <v>17</v>
      </c>
      <c r="C2626" s="23" t="s">
        <v>46</v>
      </c>
      <c r="D2626" s="23">
        <v>6.2969851825309604</v>
      </c>
      <c r="E2626" s="23">
        <v>2025</v>
      </c>
      <c r="F2626" s="15" t="s">
        <v>4225</v>
      </c>
      <c r="G2626" s="15" t="s">
        <v>3797</v>
      </c>
      <c r="H2626" s="23" t="s">
        <v>58</v>
      </c>
    </row>
    <row r="2627" spans="1:8" ht="54.95" customHeight="1" x14ac:dyDescent="0.2">
      <c r="A2627" s="23" t="s">
        <v>1352</v>
      </c>
      <c r="B2627" s="23" t="s">
        <v>17</v>
      </c>
      <c r="C2627" s="23" t="s">
        <v>46</v>
      </c>
      <c r="D2627" s="23">
        <v>3.9615613901895901</v>
      </c>
      <c r="E2627" s="23">
        <v>2025</v>
      </c>
      <c r="F2627" s="15" t="s">
        <v>4226</v>
      </c>
      <c r="G2627" s="15" t="s">
        <v>3797</v>
      </c>
      <c r="H2627" s="23" t="s">
        <v>58</v>
      </c>
    </row>
    <row r="2628" spans="1:8" ht="54.95" customHeight="1" x14ac:dyDescent="0.2">
      <c r="A2628" s="23" t="s">
        <v>1374</v>
      </c>
      <c r="B2628" s="23" t="s">
        <v>17</v>
      </c>
      <c r="C2628" s="23" t="s">
        <v>46</v>
      </c>
      <c r="D2628" s="23">
        <v>0.84371685136210295</v>
      </c>
      <c r="E2628" s="23">
        <v>2024</v>
      </c>
      <c r="F2628" s="15" t="s">
        <v>4227</v>
      </c>
      <c r="G2628" s="15" t="s">
        <v>3797</v>
      </c>
      <c r="H2628" s="23" t="s">
        <v>58</v>
      </c>
    </row>
    <row r="2629" spans="1:8" ht="54.95" customHeight="1" x14ac:dyDescent="0.2">
      <c r="A2629" s="23" t="s">
        <v>1379</v>
      </c>
      <c r="B2629" s="23" t="s">
        <v>17</v>
      </c>
      <c r="C2629" s="23" t="s">
        <v>46</v>
      </c>
      <c r="D2629" s="23">
        <v>1.3503978507663099</v>
      </c>
      <c r="E2629" s="23">
        <v>2025</v>
      </c>
      <c r="F2629" s="15" t="s">
        <v>4193</v>
      </c>
      <c r="G2629" s="15" t="s">
        <v>3797</v>
      </c>
      <c r="H2629" s="23" t="s">
        <v>58</v>
      </c>
    </row>
    <row r="2630" spans="1:8" ht="54.95" customHeight="1" x14ac:dyDescent="0.2">
      <c r="A2630" s="23" t="s">
        <v>1386</v>
      </c>
      <c r="B2630" s="23" t="s">
        <v>17</v>
      </c>
      <c r="C2630" s="23" t="s">
        <v>46</v>
      </c>
      <c r="D2630" s="23">
        <v>5.02588199508003</v>
      </c>
      <c r="E2630" s="23">
        <v>2025</v>
      </c>
      <c r="F2630" s="15" t="s">
        <v>4228</v>
      </c>
      <c r="G2630" s="15" t="s">
        <v>3797</v>
      </c>
      <c r="H2630" s="23" t="s">
        <v>58</v>
      </c>
    </row>
    <row r="2631" spans="1:8" ht="54.95" customHeight="1" x14ac:dyDescent="0.2">
      <c r="A2631" s="23" t="s">
        <v>1400</v>
      </c>
      <c r="B2631" s="23" t="s">
        <v>17</v>
      </c>
      <c r="C2631" s="23" t="s">
        <v>46</v>
      </c>
      <c r="D2631" s="23">
        <v>2.7999999999999798</v>
      </c>
      <c r="E2631" s="23">
        <v>2025</v>
      </c>
      <c r="F2631" s="15" t="s">
        <v>4229</v>
      </c>
      <c r="G2631" s="15" t="s">
        <v>3797</v>
      </c>
      <c r="H2631" s="23" t="s">
        <v>58</v>
      </c>
    </row>
    <row r="2632" spans="1:8" ht="54.95" customHeight="1" x14ac:dyDescent="0.2">
      <c r="A2632" s="23" t="s">
        <v>1410</v>
      </c>
      <c r="B2632" s="23" t="s">
        <v>17</v>
      </c>
      <c r="C2632" s="23" t="s">
        <v>46</v>
      </c>
      <c r="D2632" s="23">
        <v>4.2044065900622503</v>
      </c>
      <c r="E2632" s="23">
        <v>2025</v>
      </c>
      <c r="F2632" s="15" t="s">
        <v>4230</v>
      </c>
      <c r="G2632" s="15" t="s">
        <v>3797</v>
      </c>
      <c r="H2632" s="23" t="s">
        <v>58</v>
      </c>
    </row>
    <row r="2633" spans="1:8" ht="54.95" customHeight="1" x14ac:dyDescent="0.2">
      <c r="A2633" s="23" t="s">
        <v>1415</v>
      </c>
      <c r="B2633" s="23" t="s">
        <v>17</v>
      </c>
      <c r="C2633" s="23" t="s">
        <v>46</v>
      </c>
      <c r="D2633" s="23">
        <v>3.6171508807238602</v>
      </c>
      <c r="E2633" s="23">
        <v>2025</v>
      </c>
      <c r="F2633" s="15" t="s">
        <v>4231</v>
      </c>
      <c r="G2633" s="15" t="s">
        <v>3797</v>
      </c>
      <c r="H2633" s="23" t="s">
        <v>58</v>
      </c>
    </row>
    <row r="2634" spans="1:8" ht="54.95" customHeight="1" x14ac:dyDescent="0.2">
      <c r="A2634" s="23" t="s">
        <v>1420</v>
      </c>
      <c r="B2634" s="23" t="s">
        <v>17</v>
      </c>
      <c r="C2634" s="23" t="s">
        <v>46</v>
      </c>
      <c r="D2634" s="23">
        <v>1.63934426229508</v>
      </c>
      <c r="E2634" s="23">
        <v>2025</v>
      </c>
      <c r="F2634" s="15" t="s">
        <v>4232</v>
      </c>
      <c r="G2634" s="15" t="s">
        <v>3797</v>
      </c>
      <c r="H2634" s="23" t="s">
        <v>58</v>
      </c>
    </row>
    <row r="2635" spans="1:8" ht="54.95" customHeight="1" x14ac:dyDescent="0.2">
      <c r="A2635" s="23" t="s">
        <v>1425</v>
      </c>
      <c r="B2635" s="23" t="s">
        <v>17</v>
      </c>
      <c r="C2635" s="23" t="s">
        <v>46</v>
      </c>
      <c r="D2635" s="23">
        <v>6.3109233500308104</v>
      </c>
      <c r="E2635" s="23">
        <v>2025</v>
      </c>
      <c r="F2635" s="15" t="s">
        <v>4233</v>
      </c>
      <c r="G2635" s="15" t="s">
        <v>3797</v>
      </c>
      <c r="H2635" s="23" t="s">
        <v>58</v>
      </c>
    </row>
    <row r="2636" spans="1:8" ht="54.95" customHeight="1" x14ac:dyDescent="0.2">
      <c r="A2636" s="23" t="s">
        <v>1431</v>
      </c>
      <c r="B2636" s="23" t="s">
        <v>17</v>
      </c>
      <c r="C2636" s="23" t="s">
        <v>46</v>
      </c>
      <c r="D2636" s="23">
        <v>2.1428571428565601</v>
      </c>
      <c r="E2636" s="23">
        <v>2025</v>
      </c>
      <c r="F2636" s="15" t="s">
        <v>4234</v>
      </c>
      <c r="G2636" s="15" t="s">
        <v>3797</v>
      </c>
      <c r="H2636" s="23" t="s">
        <v>58</v>
      </c>
    </row>
    <row r="2637" spans="1:8" ht="54.95" customHeight="1" x14ac:dyDescent="0.2">
      <c r="A2637" s="23" t="s">
        <v>1436</v>
      </c>
      <c r="B2637" s="23" t="s">
        <v>17</v>
      </c>
      <c r="C2637" s="23" t="s">
        <v>46</v>
      </c>
      <c r="D2637" s="23">
        <v>1.0626071425539001</v>
      </c>
      <c r="E2637" s="23">
        <v>2025</v>
      </c>
      <c r="F2637" s="15" t="s">
        <v>4235</v>
      </c>
      <c r="G2637" s="15" t="s">
        <v>3797</v>
      </c>
      <c r="H2637" s="23" t="s">
        <v>58</v>
      </c>
    </row>
    <row r="2638" spans="1:8" ht="54.95" customHeight="1" x14ac:dyDescent="0.2">
      <c r="A2638" s="23" t="s">
        <v>1449</v>
      </c>
      <c r="B2638" s="23" t="s">
        <v>17</v>
      </c>
      <c r="C2638" s="23" t="s">
        <v>46</v>
      </c>
      <c r="D2638" s="23">
        <v>3.0535782402648302</v>
      </c>
      <c r="E2638" s="23">
        <v>2025</v>
      </c>
      <c r="F2638" s="15" t="s">
        <v>4236</v>
      </c>
      <c r="G2638" s="15" t="s">
        <v>3797</v>
      </c>
      <c r="H2638" s="23" t="s">
        <v>58</v>
      </c>
    </row>
    <row r="2639" spans="1:8" ht="54.95" customHeight="1" x14ac:dyDescent="0.2">
      <c r="A2639" s="23" t="s">
        <v>1462</v>
      </c>
      <c r="B2639" s="23" t="s">
        <v>17</v>
      </c>
      <c r="C2639" s="23" t="s">
        <v>46</v>
      </c>
      <c r="D2639" s="23">
        <v>6.2863765420273099</v>
      </c>
      <c r="E2639" s="23">
        <v>2025</v>
      </c>
      <c r="F2639" s="15" t="s">
        <v>4237</v>
      </c>
      <c r="G2639" s="15" t="s">
        <v>3797</v>
      </c>
      <c r="H2639" s="23" t="s">
        <v>58</v>
      </c>
    </row>
    <row r="2640" spans="1:8" ht="54.95" customHeight="1" x14ac:dyDescent="0.2">
      <c r="A2640" s="23" t="s">
        <v>1475</v>
      </c>
      <c r="B2640" s="23" t="s">
        <v>17</v>
      </c>
      <c r="C2640" s="23" t="s">
        <v>46</v>
      </c>
      <c r="D2640" s="23">
        <v>3.48137573668635</v>
      </c>
      <c r="E2640" s="23">
        <v>2025</v>
      </c>
      <c r="F2640" s="15" t="s">
        <v>4238</v>
      </c>
      <c r="G2640" s="15" t="s">
        <v>3797</v>
      </c>
      <c r="H2640" s="23" t="s">
        <v>58</v>
      </c>
    </row>
    <row r="2641" spans="1:8" ht="54.95" customHeight="1" x14ac:dyDescent="0.2">
      <c r="A2641" s="23" t="s">
        <v>1481</v>
      </c>
      <c r="B2641" s="23" t="s">
        <v>17</v>
      </c>
      <c r="C2641" s="23" t="s">
        <v>46</v>
      </c>
      <c r="D2641" s="23">
        <v>1.3503978507663099</v>
      </c>
      <c r="E2641" s="23">
        <v>2025</v>
      </c>
      <c r="F2641" s="15" t="s">
        <v>4193</v>
      </c>
      <c r="G2641" s="15" t="s">
        <v>3797</v>
      </c>
      <c r="H2641" s="23" t="s">
        <v>58</v>
      </c>
    </row>
    <row r="2642" spans="1:8" ht="54.95" customHeight="1" x14ac:dyDescent="0.2">
      <c r="A2642" s="23" t="s">
        <v>1485</v>
      </c>
      <c r="B2642" s="23" t="s">
        <v>17</v>
      </c>
      <c r="C2642" s="23" t="s">
        <v>46</v>
      </c>
      <c r="D2642" s="23">
        <v>0.84094995547958695</v>
      </c>
      <c r="E2642" s="23">
        <v>2025</v>
      </c>
      <c r="F2642" s="15" t="s">
        <v>4051</v>
      </c>
      <c r="G2642" s="15" t="s">
        <v>3797</v>
      </c>
      <c r="H2642" s="23" t="s">
        <v>58</v>
      </c>
    </row>
    <row r="2643" spans="1:8" ht="54.95" customHeight="1" x14ac:dyDescent="0.2">
      <c r="A2643" s="23" t="s">
        <v>1487</v>
      </c>
      <c r="B2643" s="23" t="s">
        <v>17</v>
      </c>
      <c r="C2643" s="23" t="s">
        <v>46</v>
      </c>
      <c r="D2643" s="23">
        <v>4.6710670568043602</v>
      </c>
      <c r="E2643" s="23">
        <v>2025</v>
      </c>
      <c r="F2643" s="15" t="s">
        <v>4239</v>
      </c>
      <c r="G2643" s="15" t="s">
        <v>3797</v>
      </c>
      <c r="H2643" s="23" t="s">
        <v>58</v>
      </c>
    </row>
    <row r="2644" spans="1:8" ht="54.95" customHeight="1" x14ac:dyDescent="0.2">
      <c r="A2644" s="23" t="s">
        <v>1492</v>
      </c>
      <c r="B2644" s="23" t="s">
        <v>17</v>
      </c>
      <c r="C2644" s="23" t="s">
        <v>46</v>
      </c>
      <c r="D2644" s="23">
        <v>1.3503978507663099</v>
      </c>
      <c r="E2644" s="23">
        <v>2025</v>
      </c>
      <c r="F2644" s="15" t="s">
        <v>4193</v>
      </c>
      <c r="G2644" s="15" t="s">
        <v>3797</v>
      </c>
      <c r="H2644" s="23" t="s">
        <v>58</v>
      </c>
    </row>
    <row r="2645" spans="1:8" ht="54.95" customHeight="1" x14ac:dyDescent="0.2">
      <c r="A2645" s="23" t="s">
        <v>44</v>
      </c>
      <c r="B2645" s="23" t="s">
        <v>19</v>
      </c>
      <c r="C2645" s="23" t="s">
        <v>4240</v>
      </c>
      <c r="D2645" s="23">
        <v>1.9133344329508</v>
      </c>
      <c r="E2645" s="23">
        <v>2025</v>
      </c>
      <c r="F2645" s="15" t="s">
        <v>4241</v>
      </c>
      <c r="G2645" s="15" t="s">
        <v>3797</v>
      </c>
      <c r="H2645" s="23" t="s">
        <v>58</v>
      </c>
    </row>
    <row r="2646" spans="1:8" ht="54.95" customHeight="1" x14ac:dyDescent="0.2">
      <c r="A2646" s="23" t="s">
        <v>59</v>
      </c>
      <c r="B2646" s="23" t="s">
        <v>19</v>
      </c>
      <c r="C2646" s="23" t="s">
        <v>1542</v>
      </c>
      <c r="D2646" s="23">
        <v>1.3806087229369199</v>
      </c>
      <c r="E2646" s="23">
        <v>2025</v>
      </c>
      <c r="F2646" s="15" t="s">
        <v>4242</v>
      </c>
      <c r="G2646" s="15" t="s">
        <v>3797</v>
      </c>
      <c r="H2646" s="23" t="s">
        <v>58</v>
      </c>
    </row>
    <row r="2647" spans="1:8" ht="54.95" customHeight="1" x14ac:dyDescent="0.2">
      <c r="A2647" s="23" t="s">
        <v>67</v>
      </c>
      <c r="B2647" s="23" t="s">
        <v>19</v>
      </c>
      <c r="C2647" s="23" t="s">
        <v>4243</v>
      </c>
      <c r="D2647" s="23">
        <v>4.2129360169429297</v>
      </c>
      <c r="E2647" s="23">
        <v>2025</v>
      </c>
      <c r="F2647" s="15" t="s">
        <v>4244</v>
      </c>
      <c r="G2647" s="15" t="s">
        <v>3797</v>
      </c>
      <c r="H2647" s="23" t="s">
        <v>58</v>
      </c>
    </row>
    <row r="2648" spans="1:8" ht="54.95" customHeight="1" x14ac:dyDescent="0.2">
      <c r="A2648" s="23" t="s">
        <v>76</v>
      </c>
      <c r="B2648" s="23" t="s">
        <v>19</v>
      </c>
      <c r="C2648" s="23" t="s">
        <v>4021</v>
      </c>
      <c r="D2648" s="23">
        <v>19.517120804733</v>
      </c>
      <c r="E2648" s="23">
        <v>2025</v>
      </c>
      <c r="F2648" s="15" t="s">
        <v>4245</v>
      </c>
      <c r="G2648" s="15" t="s">
        <v>3797</v>
      </c>
      <c r="H2648" s="23" t="s">
        <v>58</v>
      </c>
    </row>
    <row r="2649" spans="1:8" ht="54.95" customHeight="1" x14ac:dyDescent="0.2">
      <c r="A2649" s="23" t="s">
        <v>84</v>
      </c>
      <c r="B2649" s="23" t="s">
        <v>19</v>
      </c>
      <c r="C2649" s="23" t="s">
        <v>4246</v>
      </c>
      <c r="D2649" s="23">
        <v>1.53125450314273</v>
      </c>
      <c r="E2649" s="23">
        <v>2025</v>
      </c>
      <c r="F2649" s="15" t="s">
        <v>4247</v>
      </c>
      <c r="G2649" s="15" t="s">
        <v>3797</v>
      </c>
      <c r="H2649" s="23" t="s">
        <v>58</v>
      </c>
    </row>
    <row r="2650" spans="1:8" ht="54.95" customHeight="1" x14ac:dyDescent="0.2">
      <c r="A2650" s="23" t="s">
        <v>91</v>
      </c>
      <c r="B2650" s="23" t="s">
        <v>19</v>
      </c>
      <c r="C2650" s="23" t="s">
        <v>4248</v>
      </c>
      <c r="D2650" s="23">
        <v>219.883929014578</v>
      </c>
      <c r="E2650" s="23">
        <v>2024</v>
      </c>
      <c r="F2650" s="15" t="s">
        <v>4249</v>
      </c>
      <c r="G2650" s="15" t="s">
        <v>3797</v>
      </c>
      <c r="H2650" s="23" t="s">
        <v>58</v>
      </c>
    </row>
    <row r="2651" spans="1:8" ht="54.95" customHeight="1" x14ac:dyDescent="0.2">
      <c r="A2651" s="23" t="s">
        <v>107</v>
      </c>
      <c r="B2651" s="23" t="s">
        <v>19</v>
      </c>
      <c r="C2651" s="23" t="s">
        <v>1542</v>
      </c>
      <c r="D2651" s="23">
        <v>0.12652885192018901</v>
      </c>
      <c r="E2651" s="23">
        <v>2025</v>
      </c>
      <c r="F2651" s="15" t="s">
        <v>4250</v>
      </c>
      <c r="G2651" s="15" t="s">
        <v>3797</v>
      </c>
      <c r="H2651" s="23" t="s">
        <v>58</v>
      </c>
    </row>
    <row r="2652" spans="1:8" ht="54.95" customHeight="1" x14ac:dyDescent="0.2">
      <c r="A2652" s="23" t="s">
        <v>114</v>
      </c>
      <c r="B2652" s="23" t="s">
        <v>19</v>
      </c>
      <c r="C2652" s="23" t="s">
        <v>1541</v>
      </c>
      <c r="D2652" s="23">
        <v>2.3988495418229401</v>
      </c>
      <c r="E2652" s="23">
        <v>2025</v>
      </c>
      <c r="F2652" s="15" t="s">
        <v>4251</v>
      </c>
      <c r="G2652" s="15" t="s">
        <v>3797</v>
      </c>
      <c r="H2652" s="23" t="s">
        <v>58</v>
      </c>
    </row>
    <row r="2653" spans="1:8" ht="54.95" customHeight="1" x14ac:dyDescent="0.2">
      <c r="A2653" s="23" t="s">
        <v>122</v>
      </c>
      <c r="B2653" s="23" t="s">
        <v>19</v>
      </c>
      <c r="C2653" s="23" t="s">
        <v>4252</v>
      </c>
      <c r="D2653" s="23">
        <v>5.9564691656540297E-2</v>
      </c>
      <c r="E2653" s="23">
        <v>2025</v>
      </c>
      <c r="F2653" s="15" t="s">
        <v>4253</v>
      </c>
      <c r="G2653" s="15" t="s">
        <v>3797</v>
      </c>
      <c r="H2653" s="23" t="s">
        <v>58</v>
      </c>
    </row>
    <row r="2654" spans="1:8" ht="54.95" customHeight="1" x14ac:dyDescent="0.2">
      <c r="A2654" s="23" t="s">
        <v>129</v>
      </c>
      <c r="B2654" s="23" t="s">
        <v>19</v>
      </c>
      <c r="C2654" s="23" t="s">
        <v>4254</v>
      </c>
      <c r="D2654" s="23">
        <v>3.0414132155654001</v>
      </c>
      <c r="E2654" s="23">
        <v>2025</v>
      </c>
      <c r="F2654" s="15" t="s">
        <v>4255</v>
      </c>
      <c r="G2654" s="15" t="s">
        <v>3797</v>
      </c>
      <c r="H2654" s="23" t="s">
        <v>58</v>
      </c>
    </row>
    <row r="2655" spans="1:8" ht="54.95" customHeight="1" x14ac:dyDescent="0.2">
      <c r="A2655" s="23" t="s">
        <v>137</v>
      </c>
      <c r="B2655" s="23" t="s">
        <v>19</v>
      </c>
      <c r="C2655" s="23" t="s">
        <v>4256</v>
      </c>
      <c r="D2655" s="23">
        <v>9.8084011810049301</v>
      </c>
      <c r="E2655" s="23">
        <v>2025</v>
      </c>
      <c r="F2655" s="15" t="s">
        <v>4257</v>
      </c>
      <c r="G2655" s="15" t="s">
        <v>3797</v>
      </c>
      <c r="H2655" s="23" t="s">
        <v>58</v>
      </c>
    </row>
    <row r="2656" spans="1:8" ht="54.95" customHeight="1" x14ac:dyDescent="0.2">
      <c r="A2656" s="23" t="s">
        <v>143</v>
      </c>
      <c r="B2656" s="23" t="s">
        <v>19</v>
      </c>
      <c r="C2656" s="23" t="s">
        <v>4258</v>
      </c>
      <c r="D2656" s="23">
        <v>14.597595869611</v>
      </c>
      <c r="E2656" s="23">
        <v>2025</v>
      </c>
      <c r="F2656" s="15" t="s">
        <v>4259</v>
      </c>
      <c r="G2656" s="15" t="s">
        <v>3797</v>
      </c>
      <c r="H2656" s="23" t="s">
        <v>58</v>
      </c>
    </row>
    <row r="2657" spans="1:8" ht="54.95" customHeight="1" x14ac:dyDescent="0.2">
      <c r="A2657" s="23" t="s">
        <v>150</v>
      </c>
      <c r="B2657" s="23" t="s">
        <v>19</v>
      </c>
      <c r="C2657" s="23" t="s">
        <v>4260</v>
      </c>
      <c r="D2657" s="23">
        <v>13.2296432836809</v>
      </c>
      <c r="E2657" s="23">
        <v>2025</v>
      </c>
      <c r="F2657" s="15" t="s">
        <v>4261</v>
      </c>
      <c r="G2657" s="15" t="s">
        <v>3797</v>
      </c>
      <c r="H2657" s="23" t="s">
        <v>58</v>
      </c>
    </row>
    <row r="2658" spans="1:8" ht="54.95" customHeight="1" x14ac:dyDescent="0.2">
      <c r="A2658" s="23" t="s">
        <v>157</v>
      </c>
      <c r="B2658" s="23" t="s">
        <v>19</v>
      </c>
      <c r="C2658" s="23" t="s">
        <v>4262</v>
      </c>
      <c r="D2658" s="23">
        <v>91.440822076904595</v>
      </c>
      <c r="E2658" s="23">
        <v>2024</v>
      </c>
      <c r="F2658" s="15" t="s">
        <v>4263</v>
      </c>
      <c r="G2658" s="15" t="s">
        <v>3797</v>
      </c>
      <c r="H2658" s="23" t="s">
        <v>58</v>
      </c>
    </row>
    <row r="2659" spans="1:8" ht="54.95" customHeight="1" x14ac:dyDescent="0.2">
      <c r="A2659" s="23" t="s">
        <v>169</v>
      </c>
      <c r="B2659" s="23" t="s">
        <v>19</v>
      </c>
      <c r="C2659" s="23" t="s">
        <v>46</v>
      </c>
      <c r="D2659" s="23">
        <v>4.0691287854072904</v>
      </c>
      <c r="E2659" s="23">
        <v>2025</v>
      </c>
      <c r="F2659" s="15" t="s">
        <v>4264</v>
      </c>
      <c r="G2659" s="15" t="s">
        <v>3797</v>
      </c>
      <c r="H2659" s="23" t="s">
        <v>58</v>
      </c>
    </row>
    <row r="2660" spans="1:8" ht="54.95" customHeight="1" x14ac:dyDescent="0.2">
      <c r="A2660" s="23" t="s">
        <v>176</v>
      </c>
      <c r="B2660" s="23" t="s">
        <v>19</v>
      </c>
      <c r="C2660" s="23" t="s">
        <v>4265</v>
      </c>
      <c r="D2660" s="23">
        <v>28.370256533028101</v>
      </c>
      <c r="E2660" s="23">
        <v>2025</v>
      </c>
      <c r="F2660" s="15" t="s">
        <v>4266</v>
      </c>
      <c r="G2660" s="15" t="s">
        <v>3797</v>
      </c>
      <c r="H2660" s="23" t="s">
        <v>58</v>
      </c>
    </row>
    <row r="2661" spans="1:8" ht="54.95" customHeight="1" x14ac:dyDescent="0.2">
      <c r="A2661" s="23" t="s">
        <v>183</v>
      </c>
      <c r="B2661" s="23" t="s">
        <v>19</v>
      </c>
      <c r="C2661" s="23" t="s">
        <v>4254</v>
      </c>
      <c r="D2661" s="23">
        <v>3.3269736131610501</v>
      </c>
      <c r="E2661" s="23">
        <v>2025</v>
      </c>
      <c r="F2661" s="15" t="s">
        <v>4267</v>
      </c>
      <c r="G2661" s="15" t="s">
        <v>3797</v>
      </c>
      <c r="H2661" s="23" t="s">
        <v>58</v>
      </c>
    </row>
    <row r="2662" spans="1:8" ht="54.95" customHeight="1" x14ac:dyDescent="0.2">
      <c r="A2662" s="23" t="s">
        <v>199</v>
      </c>
      <c r="B2662" s="23" t="s">
        <v>19</v>
      </c>
      <c r="C2662" s="23" t="s">
        <v>46</v>
      </c>
      <c r="D2662" s="23">
        <v>0.94377021246997606</v>
      </c>
      <c r="E2662" s="23">
        <v>2025</v>
      </c>
      <c r="F2662" s="15" t="s">
        <v>4268</v>
      </c>
      <c r="G2662" s="15" t="s">
        <v>3797</v>
      </c>
      <c r="H2662" s="23" t="s">
        <v>58</v>
      </c>
    </row>
    <row r="2663" spans="1:8" ht="54.95" customHeight="1" x14ac:dyDescent="0.2">
      <c r="A2663" s="23" t="s">
        <v>206</v>
      </c>
      <c r="B2663" s="23" t="s">
        <v>19</v>
      </c>
      <c r="C2663" s="23" t="s">
        <v>4269</v>
      </c>
      <c r="D2663" s="23">
        <v>9.2054681878918991</v>
      </c>
      <c r="E2663" s="23">
        <v>2025</v>
      </c>
      <c r="F2663" s="15" t="s">
        <v>4270</v>
      </c>
      <c r="G2663" s="15" t="s">
        <v>3797</v>
      </c>
      <c r="H2663" s="23" t="s">
        <v>58</v>
      </c>
    </row>
    <row r="2664" spans="1:8" ht="54.95" customHeight="1" x14ac:dyDescent="0.2">
      <c r="A2664" s="23" t="s">
        <v>213</v>
      </c>
      <c r="B2664" s="23" t="s">
        <v>19</v>
      </c>
      <c r="C2664" s="23" t="s">
        <v>4271</v>
      </c>
      <c r="D2664" s="23">
        <v>3.3298233913247501</v>
      </c>
      <c r="E2664" s="23">
        <v>2025</v>
      </c>
      <c r="F2664" s="15" t="s">
        <v>4272</v>
      </c>
      <c r="G2664" s="15" t="s">
        <v>3797</v>
      </c>
      <c r="H2664" s="23" t="s">
        <v>58</v>
      </c>
    </row>
    <row r="2665" spans="1:8" ht="54.95" customHeight="1" x14ac:dyDescent="0.2">
      <c r="A2665" s="23" t="s">
        <v>220</v>
      </c>
      <c r="B2665" s="23" t="s">
        <v>19</v>
      </c>
      <c r="C2665" s="23" t="s">
        <v>46</v>
      </c>
      <c r="D2665" s="23">
        <v>2.1230942145865899</v>
      </c>
      <c r="E2665" s="23">
        <v>2025</v>
      </c>
      <c r="F2665" s="15" t="s">
        <v>4273</v>
      </c>
      <c r="G2665" s="15" t="s">
        <v>3797</v>
      </c>
      <c r="H2665" s="23" t="s">
        <v>58</v>
      </c>
    </row>
    <row r="2666" spans="1:8" ht="54.95" customHeight="1" x14ac:dyDescent="0.2">
      <c r="A2666" s="23" t="s">
        <v>232</v>
      </c>
      <c r="B2666" s="23" t="s">
        <v>19</v>
      </c>
      <c r="C2666" s="23" t="s">
        <v>46</v>
      </c>
      <c r="D2666" s="23">
        <v>0.70190215483954499</v>
      </c>
      <c r="E2666" s="23">
        <v>2025</v>
      </c>
      <c r="F2666" s="15" t="s">
        <v>4274</v>
      </c>
      <c r="G2666" s="15" t="s">
        <v>3797</v>
      </c>
      <c r="H2666" s="23" t="s">
        <v>58</v>
      </c>
    </row>
    <row r="2667" spans="1:8" ht="54.95" customHeight="1" x14ac:dyDescent="0.2">
      <c r="A2667" s="23" t="s">
        <v>244</v>
      </c>
      <c r="B2667" s="23" t="s">
        <v>19</v>
      </c>
      <c r="C2667" s="23" t="s">
        <v>46</v>
      </c>
      <c r="D2667" s="23">
        <v>-7.3671440596216997E-2</v>
      </c>
      <c r="E2667" s="23">
        <v>2025</v>
      </c>
      <c r="F2667" s="15" t="s">
        <v>4275</v>
      </c>
      <c r="G2667" s="15" t="s">
        <v>3797</v>
      </c>
      <c r="H2667" s="23" t="s">
        <v>58</v>
      </c>
    </row>
    <row r="2668" spans="1:8" ht="54.95" customHeight="1" x14ac:dyDescent="0.2">
      <c r="A2668" s="23" t="s">
        <v>251</v>
      </c>
      <c r="B2668" s="23" t="s">
        <v>19</v>
      </c>
      <c r="C2668" s="23" t="s">
        <v>3468</v>
      </c>
      <c r="D2668" s="23">
        <v>2.0813212709837599</v>
      </c>
      <c r="E2668" s="23">
        <v>2025</v>
      </c>
      <c r="F2668" s="15" t="s">
        <v>4276</v>
      </c>
      <c r="G2668" s="15" t="s">
        <v>3797</v>
      </c>
      <c r="H2668" s="23" t="s">
        <v>58</v>
      </c>
    </row>
    <row r="2669" spans="1:8" ht="54.95" customHeight="1" x14ac:dyDescent="0.2">
      <c r="A2669" s="23" t="s">
        <v>258</v>
      </c>
      <c r="B2669" s="23" t="s">
        <v>19</v>
      </c>
      <c r="C2669" s="23" t="s">
        <v>4277</v>
      </c>
      <c r="D2669" s="23">
        <v>2.4006955936174701</v>
      </c>
      <c r="E2669" s="23">
        <v>2025</v>
      </c>
      <c r="F2669" s="15" t="s">
        <v>4278</v>
      </c>
      <c r="G2669" s="15" t="s">
        <v>3797</v>
      </c>
      <c r="H2669" s="23" t="s">
        <v>58</v>
      </c>
    </row>
    <row r="2670" spans="1:8" ht="54.95" customHeight="1" x14ac:dyDescent="0.2">
      <c r="A2670" s="23" t="s">
        <v>271</v>
      </c>
      <c r="B2670" s="23" t="s">
        <v>19</v>
      </c>
      <c r="C2670" s="23" t="s">
        <v>4279</v>
      </c>
      <c r="D2670" s="23">
        <v>3.5551366307498702</v>
      </c>
      <c r="E2670" s="23">
        <v>2025</v>
      </c>
      <c r="F2670" s="15" t="s">
        <v>4280</v>
      </c>
      <c r="G2670" s="15" t="s">
        <v>3797</v>
      </c>
      <c r="H2670" s="23" t="s">
        <v>58</v>
      </c>
    </row>
    <row r="2671" spans="1:8" ht="54.95" customHeight="1" x14ac:dyDescent="0.2">
      <c r="A2671" s="23" t="s">
        <v>278</v>
      </c>
      <c r="B2671" s="23" t="s">
        <v>19</v>
      </c>
      <c r="C2671" s="23" t="s">
        <v>46</v>
      </c>
      <c r="D2671" s="23">
        <v>12.7303341026903</v>
      </c>
      <c r="E2671" s="23">
        <v>2025</v>
      </c>
      <c r="F2671" s="15" t="s">
        <v>4281</v>
      </c>
      <c r="G2671" s="15" t="s">
        <v>3797</v>
      </c>
      <c r="H2671" s="23" t="s">
        <v>58</v>
      </c>
    </row>
    <row r="2672" spans="1:8" ht="54.95" customHeight="1" x14ac:dyDescent="0.2">
      <c r="A2672" s="23" t="s">
        <v>285</v>
      </c>
      <c r="B2672" s="23" t="s">
        <v>19</v>
      </c>
      <c r="C2672" s="23" t="s">
        <v>46</v>
      </c>
      <c r="D2672" s="23">
        <v>6.5987794595118201</v>
      </c>
      <c r="E2672" s="23">
        <v>2025</v>
      </c>
      <c r="F2672" s="15" t="s">
        <v>4282</v>
      </c>
      <c r="G2672" s="15" t="s">
        <v>3797</v>
      </c>
      <c r="H2672" s="23" t="s">
        <v>58</v>
      </c>
    </row>
    <row r="2673" spans="1:8" ht="54.95" customHeight="1" x14ac:dyDescent="0.2">
      <c r="A2673" s="23" t="s">
        <v>292</v>
      </c>
      <c r="B2673" s="23" t="s">
        <v>19</v>
      </c>
      <c r="C2673" s="23" t="s">
        <v>46</v>
      </c>
      <c r="D2673" s="23">
        <v>3.5107453960958699</v>
      </c>
      <c r="E2673" s="23">
        <v>2025</v>
      </c>
      <c r="F2673" s="15" t="s">
        <v>4283</v>
      </c>
      <c r="G2673" s="15" t="s">
        <v>3797</v>
      </c>
      <c r="H2673" s="23" t="s">
        <v>58</v>
      </c>
    </row>
    <row r="2674" spans="1:8" ht="54.95" customHeight="1" x14ac:dyDescent="0.2">
      <c r="A2674" s="23" t="s">
        <v>299</v>
      </c>
      <c r="B2674" s="23" t="s">
        <v>19</v>
      </c>
      <c r="C2674" s="23" t="s">
        <v>46</v>
      </c>
      <c r="D2674" s="23">
        <v>3.2055047411260298</v>
      </c>
      <c r="E2674" s="23">
        <v>2025</v>
      </c>
      <c r="F2674" s="15" t="s">
        <v>4284</v>
      </c>
      <c r="G2674" s="15" t="s">
        <v>3797</v>
      </c>
      <c r="H2674" s="23" t="s">
        <v>58</v>
      </c>
    </row>
    <row r="2675" spans="1:8" ht="54.95" customHeight="1" x14ac:dyDescent="0.2">
      <c r="A2675" s="23" t="s">
        <v>315</v>
      </c>
      <c r="B2675" s="23" t="s">
        <v>19</v>
      </c>
      <c r="C2675" s="23" t="s">
        <v>46</v>
      </c>
      <c r="D2675" s="23">
        <v>0.96774193548392795</v>
      </c>
      <c r="E2675" s="23">
        <v>2025</v>
      </c>
      <c r="F2675" s="15" t="s">
        <v>4285</v>
      </c>
      <c r="G2675" s="15" t="s">
        <v>3797</v>
      </c>
      <c r="H2675" s="23" t="s">
        <v>58</v>
      </c>
    </row>
    <row r="2676" spans="1:8" ht="54.95" customHeight="1" x14ac:dyDescent="0.2">
      <c r="A2676" s="23" t="s">
        <v>322</v>
      </c>
      <c r="B2676" s="23" t="s">
        <v>19</v>
      </c>
      <c r="C2676" s="23" t="s">
        <v>46</v>
      </c>
      <c r="D2676" s="23">
        <v>8.7963884705246098</v>
      </c>
      <c r="E2676" s="23">
        <v>2025</v>
      </c>
      <c r="F2676" s="15" t="s">
        <v>4286</v>
      </c>
      <c r="G2676" s="15" t="s">
        <v>3797</v>
      </c>
      <c r="H2676" s="23" t="s">
        <v>58</v>
      </c>
    </row>
    <row r="2677" spans="1:8" ht="54.95" customHeight="1" x14ac:dyDescent="0.2">
      <c r="A2677" s="23" t="s">
        <v>329</v>
      </c>
      <c r="B2677" s="23" t="s">
        <v>19</v>
      </c>
      <c r="C2677" s="23" t="s">
        <v>46</v>
      </c>
      <c r="D2677" s="23">
        <v>11.3879454675914</v>
      </c>
      <c r="E2677" s="23">
        <v>2025</v>
      </c>
      <c r="F2677" s="15" t="s">
        <v>4287</v>
      </c>
      <c r="G2677" s="15" t="s">
        <v>3797</v>
      </c>
      <c r="H2677" s="23" t="s">
        <v>58</v>
      </c>
    </row>
    <row r="2678" spans="1:8" ht="54.95" customHeight="1" x14ac:dyDescent="0.2">
      <c r="A2678" s="23" t="s">
        <v>342</v>
      </c>
      <c r="B2678" s="23" t="s">
        <v>19</v>
      </c>
      <c r="C2678" s="23" t="s">
        <v>46</v>
      </c>
      <c r="D2678" s="23">
        <v>3.79170510860467</v>
      </c>
      <c r="E2678" s="23">
        <v>2025</v>
      </c>
      <c r="F2678" s="15" t="s">
        <v>4288</v>
      </c>
      <c r="G2678" s="15" t="s">
        <v>3797</v>
      </c>
      <c r="H2678" s="23" t="s">
        <v>58</v>
      </c>
    </row>
    <row r="2679" spans="1:8" ht="54.95" customHeight="1" x14ac:dyDescent="0.2">
      <c r="A2679" s="23" t="s">
        <v>349</v>
      </c>
      <c r="B2679" s="23" t="s">
        <v>19</v>
      </c>
      <c r="C2679" s="23" t="s">
        <v>46</v>
      </c>
      <c r="D2679" s="23">
        <v>5.01675279604836</v>
      </c>
      <c r="E2679" s="23">
        <v>2025</v>
      </c>
      <c r="F2679" s="15" t="s">
        <v>4289</v>
      </c>
      <c r="G2679" s="15" t="s">
        <v>3797</v>
      </c>
      <c r="H2679" s="23" t="s">
        <v>58</v>
      </c>
    </row>
    <row r="2680" spans="1:8" ht="54.95" customHeight="1" x14ac:dyDescent="0.2">
      <c r="A2680" s="23" t="s">
        <v>356</v>
      </c>
      <c r="B2680" s="23" t="s">
        <v>19</v>
      </c>
      <c r="C2680" s="23" t="s">
        <v>46</v>
      </c>
      <c r="D2680" s="23">
        <v>4.65032720433324</v>
      </c>
      <c r="E2680" s="23">
        <v>2025</v>
      </c>
      <c r="F2680" s="15" t="s">
        <v>4290</v>
      </c>
      <c r="G2680" s="15" t="s">
        <v>3797</v>
      </c>
      <c r="H2680" s="23" t="s">
        <v>58</v>
      </c>
    </row>
    <row r="2681" spans="1:8" ht="54.95" customHeight="1" x14ac:dyDescent="0.2">
      <c r="A2681" s="23" t="s">
        <v>362</v>
      </c>
      <c r="B2681" s="23" t="s">
        <v>19</v>
      </c>
      <c r="C2681" s="23" t="s">
        <v>46</v>
      </c>
      <c r="D2681" s="23">
        <v>8.6053648736969492</v>
      </c>
      <c r="E2681" s="23">
        <v>2025</v>
      </c>
      <c r="F2681" s="15" t="s">
        <v>4291</v>
      </c>
      <c r="G2681" s="15" t="s">
        <v>3797</v>
      </c>
      <c r="H2681" s="23" t="s">
        <v>58</v>
      </c>
    </row>
    <row r="2682" spans="1:8" ht="54.95" customHeight="1" x14ac:dyDescent="0.2">
      <c r="A2682" s="23" t="s">
        <v>368</v>
      </c>
      <c r="B2682" s="23" t="s">
        <v>19</v>
      </c>
      <c r="C2682" s="23" t="s">
        <v>46</v>
      </c>
      <c r="D2682" s="23">
        <v>8.7198693940266594</v>
      </c>
      <c r="E2682" s="23">
        <v>2025</v>
      </c>
      <c r="F2682" s="15" t="s">
        <v>4292</v>
      </c>
      <c r="G2682" s="15" t="s">
        <v>3797</v>
      </c>
      <c r="H2682" s="23" t="s">
        <v>58</v>
      </c>
    </row>
    <row r="2683" spans="1:8" ht="54.95" customHeight="1" x14ac:dyDescent="0.2">
      <c r="A2683" s="23" t="s">
        <v>374</v>
      </c>
      <c r="B2683" s="23" t="s">
        <v>19</v>
      </c>
      <c r="C2683" s="23" t="s">
        <v>46</v>
      </c>
      <c r="D2683" s="23">
        <v>2.4599636783886498</v>
      </c>
      <c r="E2683" s="23">
        <v>2025</v>
      </c>
      <c r="F2683" s="15" t="s">
        <v>4293</v>
      </c>
      <c r="G2683" s="15" t="s">
        <v>3797</v>
      </c>
      <c r="H2683" s="23" t="s">
        <v>58</v>
      </c>
    </row>
    <row r="2684" spans="1:8" ht="54.95" customHeight="1" x14ac:dyDescent="0.2">
      <c r="A2684" s="23" t="s">
        <v>381</v>
      </c>
      <c r="B2684" s="23" t="s">
        <v>19</v>
      </c>
      <c r="C2684" s="23" t="s">
        <v>46</v>
      </c>
      <c r="D2684" s="23">
        <v>2.17178770949721</v>
      </c>
      <c r="E2684" s="23">
        <v>2025</v>
      </c>
      <c r="F2684" s="15" t="s">
        <v>4294</v>
      </c>
      <c r="G2684" s="15" t="s">
        <v>3797</v>
      </c>
      <c r="H2684" s="23" t="s">
        <v>58</v>
      </c>
    </row>
    <row r="2685" spans="1:8" ht="54.95" customHeight="1" x14ac:dyDescent="0.2">
      <c r="A2685" s="23" t="s">
        <v>388</v>
      </c>
      <c r="B2685" s="23" t="s">
        <v>19</v>
      </c>
      <c r="C2685" s="23" t="s">
        <v>46</v>
      </c>
      <c r="D2685" s="23">
        <v>4.8292075362834197</v>
      </c>
      <c r="E2685" s="23">
        <v>2025</v>
      </c>
      <c r="F2685" s="15" t="s">
        <v>4295</v>
      </c>
      <c r="G2685" s="15" t="s">
        <v>3797</v>
      </c>
      <c r="H2685" s="23" t="s">
        <v>58</v>
      </c>
    </row>
    <row r="2686" spans="1:8" ht="54.95" customHeight="1" x14ac:dyDescent="0.2">
      <c r="A2686" s="23" t="s">
        <v>395</v>
      </c>
      <c r="B2686" s="23" t="s">
        <v>19</v>
      </c>
      <c r="C2686" s="23" t="s">
        <v>46</v>
      </c>
      <c r="D2686" s="23">
        <v>3.7457731675194501</v>
      </c>
      <c r="E2686" s="23">
        <v>2025</v>
      </c>
      <c r="F2686" s="15" t="s">
        <v>4296</v>
      </c>
      <c r="G2686" s="15" t="s">
        <v>3797</v>
      </c>
      <c r="H2686" s="23" t="s">
        <v>58</v>
      </c>
    </row>
    <row r="2687" spans="1:8" ht="54.95" customHeight="1" x14ac:dyDescent="0.2">
      <c r="A2687" s="23" t="s">
        <v>401</v>
      </c>
      <c r="B2687" s="23" t="s">
        <v>19</v>
      </c>
      <c r="C2687" s="23" t="s">
        <v>46</v>
      </c>
      <c r="D2687" s="23">
        <v>3.0556248441007701</v>
      </c>
      <c r="E2687" s="23">
        <v>2025</v>
      </c>
      <c r="F2687" s="15" t="s">
        <v>4297</v>
      </c>
      <c r="G2687" s="15" t="s">
        <v>3797</v>
      </c>
      <c r="H2687" s="23" t="s">
        <v>58</v>
      </c>
    </row>
    <row r="2688" spans="1:8" ht="54.95" customHeight="1" x14ac:dyDescent="0.2">
      <c r="A2688" s="23" t="s">
        <v>407</v>
      </c>
      <c r="B2688" s="23" t="s">
        <v>19</v>
      </c>
      <c r="C2688" s="23" t="s">
        <v>46</v>
      </c>
      <c r="D2688" s="23">
        <v>0.67986928524399504</v>
      </c>
      <c r="E2688" s="23">
        <v>2025</v>
      </c>
      <c r="F2688" s="15" t="s">
        <v>4298</v>
      </c>
      <c r="G2688" s="15" t="s">
        <v>3797</v>
      </c>
      <c r="H2688" s="23" t="s">
        <v>58</v>
      </c>
    </row>
    <row r="2689" spans="1:8" ht="54.95" customHeight="1" x14ac:dyDescent="0.2">
      <c r="A2689" s="23" t="s">
        <v>413</v>
      </c>
      <c r="B2689" s="23" t="s">
        <v>19</v>
      </c>
      <c r="C2689" s="23" t="s">
        <v>46</v>
      </c>
      <c r="D2689" s="23">
        <v>0.33787465940057398</v>
      </c>
      <c r="E2689" s="23">
        <v>2025</v>
      </c>
      <c r="F2689" s="15" t="s">
        <v>4299</v>
      </c>
      <c r="G2689" s="15" t="s">
        <v>3797</v>
      </c>
      <c r="H2689" s="23" t="s">
        <v>58</v>
      </c>
    </row>
    <row r="2690" spans="1:8" ht="54.95" customHeight="1" x14ac:dyDescent="0.2">
      <c r="A2690" s="23" t="s">
        <v>419</v>
      </c>
      <c r="B2690" s="23" t="s">
        <v>19</v>
      </c>
      <c r="C2690" s="23" t="s">
        <v>46</v>
      </c>
      <c r="D2690" s="23">
        <v>3.3099931421974</v>
      </c>
      <c r="E2690" s="23">
        <v>2025</v>
      </c>
      <c r="F2690" s="15" t="s">
        <v>4300</v>
      </c>
      <c r="G2690" s="15" t="s">
        <v>3797</v>
      </c>
      <c r="H2690" s="23" t="s">
        <v>58</v>
      </c>
    </row>
    <row r="2691" spans="1:8" ht="54.95" customHeight="1" x14ac:dyDescent="0.2">
      <c r="A2691" s="23" t="s">
        <v>426</v>
      </c>
      <c r="B2691" s="23" t="s">
        <v>19</v>
      </c>
      <c r="C2691" s="23" t="s">
        <v>46</v>
      </c>
      <c r="D2691" s="23">
        <v>2.3512710589650698</v>
      </c>
      <c r="E2691" s="23">
        <v>2025</v>
      </c>
      <c r="F2691" s="15" t="s">
        <v>4301</v>
      </c>
      <c r="G2691" s="15" t="s">
        <v>3797</v>
      </c>
      <c r="H2691" s="23" t="s">
        <v>58</v>
      </c>
    </row>
    <row r="2692" spans="1:8" ht="54.95" customHeight="1" x14ac:dyDescent="0.2">
      <c r="A2692" s="23" t="s">
        <v>432</v>
      </c>
      <c r="B2692" s="23" t="s">
        <v>19</v>
      </c>
      <c r="C2692" s="23" t="s">
        <v>46</v>
      </c>
      <c r="D2692" s="23">
        <v>2.2572381787172602</v>
      </c>
      <c r="E2692" s="23">
        <v>2025</v>
      </c>
      <c r="F2692" s="15" t="s">
        <v>4302</v>
      </c>
      <c r="G2692" s="15" t="s">
        <v>3797</v>
      </c>
      <c r="H2692" s="23" t="s">
        <v>58</v>
      </c>
    </row>
    <row r="2693" spans="1:8" ht="54.95" customHeight="1" x14ac:dyDescent="0.2">
      <c r="A2693" s="23" t="s">
        <v>439</v>
      </c>
      <c r="B2693" s="23" t="s">
        <v>19</v>
      </c>
      <c r="C2693" s="23" t="s">
        <v>46</v>
      </c>
      <c r="D2693" s="23">
        <v>1.2508652455980001</v>
      </c>
      <c r="E2693" s="23">
        <v>2025</v>
      </c>
      <c r="F2693" s="15" t="s">
        <v>4303</v>
      </c>
      <c r="G2693" s="15" t="s">
        <v>3797</v>
      </c>
      <c r="H2693" s="23" t="s">
        <v>58</v>
      </c>
    </row>
    <row r="2694" spans="1:8" ht="54.95" customHeight="1" x14ac:dyDescent="0.2">
      <c r="A2694" s="23" t="s">
        <v>445</v>
      </c>
      <c r="B2694" s="23" t="s">
        <v>19</v>
      </c>
      <c r="C2694" s="23" t="s">
        <v>46</v>
      </c>
      <c r="D2694" s="23">
        <v>2.4670554377461298</v>
      </c>
      <c r="E2694" s="23">
        <v>2025</v>
      </c>
      <c r="F2694" s="15" t="s">
        <v>4304</v>
      </c>
      <c r="G2694" s="15" t="s">
        <v>3797</v>
      </c>
      <c r="H2694" s="23" t="s">
        <v>58</v>
      </c>
    </row>
    <row r="2695" spans="1:8" ht="54.95" customHeight="1" x14ac:dyDescent="0.2">
      <c r="A2695" s="23" t="s">
        <v>451</v>
      </c>
      <c r="B2695" s="23" t="s">
        <v>19</v>
      </c>
      <c r="C2695" s="23" t="s">
        <v>46</v>
      </c>
      <c r="D2695" s="23">
        <v>3.8692132193969</v>
      </c>
      <c r="E2695" s="23">
        <v>2025</v>
      </c>
      <c r="F2695" s="15" t="s">
        <v>4305</v>
      </c>
      <c r="G2695" s="15" t="s">
        <v>3797</v>
      </c>
      <c r="H2695" s="23" t="s">
        <v>58</v>
      </c>
    </row>
    <row r="2696" spans="1:8" ht="54.95" customHeight="1" x14ac:dyDescent="0.2">
      <c r="A2696" s="23" t="s">
        <v>458</v>
      </c>
      <c r="B2696" s="23" t="s">
        <v>19</v>
      </c>
      <c r="C2696" s="23" t="s">
        <v>46</v>
      </c>
      <c r="D2696" s="23">
        <v>4.0724917684834798</v>
      </c>
      <c r="E2696" s="23">
        <v>2025</v>
      </c>
      <c r="F2696" s="15" t="s">
        <v>4306</v>
      </c>
      <c r="G2696" s="15" t="s">
        <v>3797</v>
      </c>
      <c r="H2696" s="23" t="s">
        <v>58</v>
      </c>
    </row>
    <row r="2697" spans="1:8" ht="54.95" customHeight="1" x14ac:dyDescent="0.2">
      <c r="A2697" s="23" t="s">
        <v>464</v>
      </c>
      <c r="B2697" s="23" t="s">
        <v>19</v>
      </c>
      <c r="C2697" s="23" t="s">
        <v>46</v>
      </c>
      <c r="D2697" s="23">
        <v>2.1461855116738802</v>
      </c>
      <c r="E2697" s="23">
        <v>2025</v>
      </c>
      <c r="F2697" s="15" t="s">
        <v>4307</v>
      </c>
      <c r="G2697" s="15" t="s">
        <v>3797</v>
      </c>
      <c r="H2697" s="23" t="s">
        <v>58</v>
      </c>
    </row>
    <row r="2698" spans="1:8" ht="54.95" customHeight="1" x14ac:dyDescent="0.2">
      <c r="A2698" s="23" t="s">
        <v>471</v>
      </c>
      <c r="B2698" s="23" t="s">
        <v>19</v>
      </c>
      <c r="C2698" s="23" t="s">
        <v>46</v>
      </c>
      <c r="D2698" s="23">
        <v>5.6220878806833801</v>
      </c>
      <c r="E2698" s="23">
        <v>2025</v>
      </c>
      <c r="F2698" s="15" t="s">
        <v>4308</v>
      </c>
      <c r="G2698" s="15" t="s">
        <v>3797</v>
      </c>
      <c r="H2698" s="23" t="s">
        <v>58</v>
      </c>
    </row>
    <row r="2699" spans="1:8" ht="54.95" customHeight="1" x14ac:dyDescent="0.2">
      <c r="A2699" s="23" t="s">
        <v>478</v>
      </c>
      <c r="B2699" s="23" t="s">
        <v>19</v>
      </c>
      <c r="C2699" s="23" t="s">
        <v>46</v>
      </c>
      <c r="D2699" s="23">
        <v>3.8595386986950602</v>
      </c>
      <c r="E2699" s="23">
        <v>2025</v>
      </c>
      <c r="F2699" s="15" t="s">
        <v>4309</v>
      </c>
      <c r="G2699" s="15" t="s">
        <v>3797</v>
      </c>
      <c r="H2699" s="23" t="s">
        <v>58</v>
      </c>
    </row>
    <row r="2700" spans="1:8" ht="54.95" customHeight="1" x14ac:dyDescent="0.2">
      <c r="A2700" s="23" t="s">
        <v>482</v>
      </c>
      <c r="B2700" s="23" t="s">
        <v>19</v>
      </c>
      <c r="C2700" s="23" t="s">
        <v>46</v>
      </c>
      <c r="D2700" s="23">
        <v>34.881162982030602</v>
      </c>
      <c r="E2700" s="23">
        <v>2025</v>
      </c>
      <c r="F2700" s="15" t="s">
        <v>4310</v>
      </c>
      <c r="G2700" s="15" t="s">
        <v>3797</v>
      </c>
      <c r="H2700" s="23" t="s">
        <v>58</v>
      </c>
    </row>
    <row r="2701" spans="1:8" ht="54.95" customHeight="1" x14ac:dyDescent="0.2">
      <c r="A2701" s="23" t="s">
        <v>488</v>
      </c>
      <c r="B2701" s="23" t="s">
        <v>19</v>
      </c>
      <c r="C2701" s="23" t="s">
        <v>46</v>
      </c>
      <c r="D2701" s="23">
        <v>2.6999328576270001</v>
      </c>
      <c r="E2701" s="23">
        <v>2025</v>
      </c>
      <c r="F2701" s="15" t="s">
        <v>4311</v>
      </c>
      <c r="G2701" s="15" t="s">
        <v>3797</v>
      </c>
      <c r="H2701" s="23" t="s">
        <v>58</v>
      </c>
    </row>
    <row r="2702" spans="1:8" ht="54.95" customHeight="1" x14ac:dyDescent="0.2">
      <c r="A2702" s="23" t="s">
        <v>494</v>
      </c>
      <c r="B2702" s="23" t="s">
        <v>19</v>
      </c>
      <c r="C2702" s="23" t="s">
        <v>46</v>
      </c>
      <c r="D2702" s="23">
        <v>7.7422693655369503</v>
      </c>
      <c r="E2702" s="23">
        <v>2025</v>
      </c>
      <c r="F2702" s="15" t="s">
        <v>4312</v>
      </c>
      <c r="G2702" s="15" t="s">
        <v>3797</v>
      </c>
      <c r="H2702" s="23" t="s">
        <v>58</v>
      </c>
    </row>
    <row r="2703" spans="1:8" ht="54.95" customHeight="1" x14ac:dyDescent="0.2">
      <c r="A2703" s="23" t="s">
        <v>500</v>
      </c>
      <c r="B2703" s="23" t="s">
        <v>19</v>
      </c>
      <c r="C2703" s="23" t="s">
        <v>46</v>
      </c>
      <c r="D2703" s="23">
        <v>8.2149601340632508</v>
      </c>
      <c r="E2703" s="23">
        <v>2025</v>
      </c>
      <c r="F2703" s="15" t="s">
        <v>4313</v>
      </c>
      <c r="G2703" s="15" t="s">
        <v>3797</v>
      </c>
      <c r="H2703" s="23" t="s">
        <v>58</v>
      </c>
    </row>
    <row r="2704" spans="1:8" ht="54.95" customHeight="1" x14ac:dyDescent="0.2">
      <c r="A2704" s="23" t="s">
        <v>506</v>
      </c>
      <c r="B2704" s="23" t="s">
        <v>19</v>
      </c>
      <c r="C2704" s="23" t="s">
        <v>46</v>
      </c>
      <c r="D2704" s="23">
        <v>3.30693341072904</v>
      </c>
      <c r="E2704" s="23">
        <v>2025</v>
      </c>
      <c r="F2704" s="15" t="s">
        <v>4314</v>
      </c>
      <c r="G2704" s="15" t="s">
        <v>3797</v>
      </c>
      <c r="H2704" s="23" t="s">
        <v>58</v>
      </c>
    </row>
    <row r="2705" spans="1:8" ht="54.95" customHeight="1" x14ac:dyDescent="0.2">
      <c r="A2705" s="23" t="s">
        <v>512</v>
      </c>
      <c r="B2705" s="23" t="s">
        <v>19</v>
      </c>
      <c r="C2705" s="23" t="s">
        <v>46</v>
      </c>
      <c r="D2705" s="23">
        <v>1.89367372703044</v>
      </c>
      <c r="E2705" s="23">
        <v>2025</v>
      </c>
      <c r="F2705" s="15" t="s">
        <v>4315</v>
      </c>
      <c r="G2705" s="15" t="s">
        <v>3797</v>
      </c>
      <c r="H2705" s="23" t="s">
        <v>58</v>
      </c>
    </row>
    <row r="2706" spans="1:8" ht="54.95" customHeight="1" x14ac:dyDescent="0.2">
      <c r="A2706" s="23" t="s">
        <v>518</v>
      </c>
      <c r="B2706" s="23" t="s">
        <v>19</v>
      </c>
      <c r="C2706" s="23" t="s">
        <v>46</v>
      </c>
      <c r="D2706" s="23">
        <v>1.8416666666670201</v>
      </c>
      <c r="E2706" s="23">
        <v>2025</v>
      </c>
      <c r="F2706" s="15" t="s">
        <v>4316</v>
      </c>
      <c r="G2706" s="15" t="s">
        <v>3797</v>
      </c>
      <c r="H2706" s="23" t="s">
        <v>58</v>
      </c>
    </row>
    <row r="2707" spans="1:8" ht="54.95" customHeight="1" x14ac:dyDescent="0.2">
      <c r="A2707" s="23" t="s">
        <v>524</v>
      </c>
      <c r="B2707" s="23" t="s">
        <v>19</v>
      </c>
      <c r="C2707" s="23" t="s">
        <v>46</v>
      </c>
      <c r="D2707" s="23">
        <v>5.1510019757267598</v>
      </c>
      <c r="E2707" s="23">
        <v>2025</v>
      </c>
      <c r="F2707" s="15" t="s">
        <v>4317</v>
      </c>
      <c r="G2707" s="15" t="s">
        <v>3797</v>
      </c>
      <c r="H2707" s="23" t="s">
        <v>58</v>
      </c>
    </row>
    <row r="2708" spans="1:8" ht="54.95" customHeight="1" x14ac:dyDescent="0.2">
      <c r="A2708" s="23" t="s">
        <v>530</v>
      </c>
      <c r="B2708" s="23" t="s">
        <v>19</v>
      </c>
      <c r="C2708" s="23" t="s">
        <v>46</v>
      </c>
      <c r="D2708" s="23">
        <v>7.18903362292063</v>
      </c>
      <c r="E2708" s="23">
        <v>2025</v>
      </c>
      <c r="F2708" s="15" t="s">
        <v>4318</v>
      </c>
      <c r="G2708" s="15" t="s">
        <v>3797</v>
      </c>
      <c r="H2708" s="23" t="s">
        <v>58</v>
      </c>
    </row>
    <row r="2709" spans="1:8" ht="54.95" customHeight="1" x14ac:dyDescent="0.2">
      <c r="A2709" s="23" t="s">
        <v>537</v>
      </c>
      <c r="B2709" s="23" t="s">
        <v>19</v>
      </c>
      <c r="C2709" s="23" t="s">
        <v>46</v>
      </c>
      <c r="D2709" s="23">
        <v>4.4119844590556196</v>
      </c>
      <c r="E2709" s="23">
        <v>2025</v>
      </c>
      <c r="F2709" s="15" t="s">
        <v>4319</v>
      </c>
      <c r="G2709" s="15" t="s">
        <v>3797</v>
      </c>
      <c r="H2709" s="23" t="s">
        <v>58</v>
      </c>
    </row>
    <row r="2710" spans="1:8" ht="54.95" customHeight="1" x14ac:dyDescent="0.2">
      <c r="A2710" s="23" t="s">
        <v>543</v>
      </c>
      <c r="B2710" s="23" t="s">
        <v>19</v>
      </c>
      <c r="C2710" s="23" t="s">
        <v>46</v>
      </c>
      <c r="D2710" s="23">
        <v>4.0004282349582896</v>
      </c>
      <c r="E2710" s="23">
        <v>2025</v>
      </c>
      <c r="F2710" s="15" t="s">
        <v>4320</v>
      </c>
      <c r="G2710" s="15" t="s">
        <v>3797</v>
      </c>
      <c r="H2710" s="23" t="s">
        <v>58</v>
      </c>
    </row>
    <row r="2711" spans="1:8" ht="54.95" customHeight="1" x14ac:dyDescent="0.2">
      <c r="A2711" s="23" t="s">
        <v>549</v>
      </c>
      <c r="B2711" s="23" t="s">
        <v>19</v>
      </c>
      <c r="C2711" s="23" t="s">
        <v>46</v>
      </c>
      <c r="D2711" s="23">
        <v>3.8141953152014598</v>
      </c>
      <c r="E2711" s="23">
        <v>2025</v>
      </c>
      <c r="F2711" s="15" t="s">
        <v>4321</v>
      </c>
      <c r="G2711" s="15" t="s">
        <v>3797</v>
      </c>
      <c r="H2711" s="23" t="s">
        <v>58</v>
      </c>
    </row>
    <row r="2712" spans="1:8" ht="54.95" customHeight="1" x14ac:dyDescent="0.2">
      <c r="A2712" s="23" t="s">
        <v>555</v>
      </c>
      <c r="B2712" s="23" t="s">
        <v>19</v>
      </c>
      <c r="C2712" s="23" t="s">
        <v>46</v>
      </c>
      <c r="D2712" s="23">
        <v>2.2104478847585698</v>
      </c>
      <c r="E2712" s="23">
        <v>2025</v>
      </c>
      <c r="F2712" s="15" t="s">
        <v>4322</v>
      </c>
      <c r="G2712" s="15" t="s">
        <v>3797</v>
      </c>
      <c r="H2712" s="23" t="s">
        <v>58</v>
      </c>
    </row>
    <row r="2713" spans="1:8" ht="54.95" customHeight="1" x14ac:dyDescent="0.2">
      <c r="A2713" s="23" t="s">
        <v>561</v>
      </c>
      <c r="B2713" s="23" t="s">
        <v>19</v>
      </c>
      <c r="C2713" s="23" t="s">
        <v>46</v>
      </c>
      <c r="D2713" s="23">
        <v>3.8830688162599998</v>
      </c>
      <c r="E2713" s="23">
        <v>2025</v>
      </c>
      <c r="F2713" s="15" t="s">
        <v>4323</v>
      </c>
      <c r="G2713" s="15" t="s">
        <v>3797</v>
      </c>
      <c r="H2713" s="23" t="s">
        <v>58</v>
      </c>
    </row>
    <row r="2714" spans="1:8" ht="54.95" customHeight="1" x14ac:dyDescent="0.2">
      <c r="A2714" s="23" t="s">
        <v>567</v>
      </c>
      <c r="B2714" s="23" t="s">
        <v>19</v>
      </c>
      <c r="C2714" s="23" t="s">
        <v>46</v>
      </c>
      <c r="D2714" s="23">
        <v>2.4820974537885698</v>
      </c>
      <c r="E2714" s="23">
        <v>2025</v>
      </c>
      <c r="F2714" s="15" t="s">
        <v>4324</v>
      </c>
      <c r="G2714" s="15" t="s">
        <v>3797</v>
      </c>
      <c r="H2714" s="23" t="s">
        <v>58</v>
      </c>
    </row>
    <row r="2715" spans="1:8" ht="54.95" customHeight="1" x14ac:dyDescent="0.2">
      <c r="A2715" s="23" t="s">
        <v>573</v>
      </c>
      <c r="B2715" s="23" t="s">
        <v>19</v>
      </c>
      <c r="C2715" s="23" t="s">
        <v>46</v>
      </c>
      <c r="D2715" s="23">
        <v>13.9099095827735</v>
      </c>
      <c r="E2715" s="23">
        <v>2025</v>
      </c>
      <c r="F2715" s="15" t="s">
        <v>4325</v>
      </c>
      <c r="G2715" s="15" t="s">
        <v>3797</v>
      </c>
      <c r="H2715" s="23" t="s">
        <v>58</v>
      </c>
    </row>
    <row r="2716" spans="1:8" ht="54.95" customHeight="1" x14ac:dyDescent="0.2">
      <c r="A2716" s="23" t="s">
        <v>579</v>
      </c>
      <c r="B2716" s="23" t="s">
        <v>19</v>
      </c>
      <c r="C2716" s="23" t="s">
        <v>46</v>
      </c>
      <c r="D2716" s="23">
        <v>7.4875016661298597</v>
      </c>
      <c r="E2716" s="23">
        <v>2025</v>
      </c>
      <c r="F2716" s="15" t="s">
        <v>4326</v>
      </c>
      <c r="G2716" s="15" t="s">
        <v>3797</v>
      </c>
      <c r="H2716" s="23" t="s">
        <v>58</v>
      </c>
    </row>
    <row r="2717" spans="1:8" ht="54.95" customHeight="1" x14ac:dyDescent="0.2">
      <c r="A2717" s="23" t="s">
        <v>585</v>
      </c>
      <c r="B2717" s="23" t="s">
        <v>19</v>
      </c>
      <c r="C2717" s="23" t="s">
        <v>46</v>
      </c>
      <c r="D2717" s="23">
        <v>3.5463016314288498</v>
      </c>
      <c r="E2717" s="23">
        <v>2025</v>
      </c>
      <c r="F2717" s="15" t="s">
        <v>4327</v>
      </c>
      <c r="G2717" s="15" t="s">
        <v>3797</v>
      </c>
      <c r="H2717" s="23" t="s">
        <v>58</v>
      </c>
    </row>
    <row r="2718" spans="1:8" ht="54.95" customHeight="1" x14ac:dyDescent="0.2">
      <c r="A2718" s="23" t="s">
        <v>591</v>
      </c>
      <c r="B2718" s="23" t="s">
        <v>19</v>
      </c>
      <c r="C2718" s="23" t="s">
        <v>46</v>
      </c>
      <c r="D2718" s="23">
        <v>8.3156432940295204</v>
      </c>
      <c r="E2718" s="23">
        <v>2025</v>
      </c>
      <c r="F2718" s="15" t="s">
        <v>4328</v>
      </c>
      <c r="G2718" s="15" t="s">
        <v>3797</v>
      </c>
      <c r="H2718" s="23" t="s">
        <v>58</v>
      </c>
    </row>
    <row r="2719" spans="1:8" ht="54.95" customHeight="1" x14ac:dyDescent="0.2">
      <c r="A2719" s="23" t="s">
        <v>597</v>
      </c>
      <c r="B2719" s="23" t="s">
        <v>19</v>
      </c>
      <c r="C2719" s="23" t="s">
        <v>46</v>
      </c>
      <c r="D2719" s="23">
        <v>1.00198012768088</v>
      </c>
      <c r="E2719" s="23">
        <v>2025</v>
      </c>
      <c r="F2719" s="15" t="s">
        <v>4329</v>
      </c>
      <c r="G2719" s="15" t="s">
        <v>3797</v>
      </c>
      <c r="H2719" s="23" t="s">
        <v>58</v>
      </c>
    </row>
    <row r="2720" spans="1:8" ht="54.95" customHeight="1" x14ac:dyDescent="0.2">
      <c r="A2720" s="23" t="s">
        <v>610</v>
      </c>
      <c r="B2720" s="23" t="s">
        <v>19</v>
      </c>
      <c r="C2720" s="23" t="s">
        <v>46</v>
      </c>
      <c r="D2720" s="23">
        <v>-0.31373179953348102</v>
      </c>
      <c r="E2720" s="23">
        <v>2025</v>
      </c>
      <c r="F2720" s="15" t="s">
        <v>4330</v>
      </c>
      <c r="G2720" s="15" t="s">
        <v>3797</v>
      </c>
      <c r="H2720" s="23" t="s">
        <v>58</v>
      </c>
    </row>
    <row r="2721" spans="1:8" ht="54.95" customHeight="1" x14ac:dyDescent="0.2">
      <c r="A2721" s="23" t="s">
        <v>619</v>
      </c>
      <c r="B2721" s="23" t="s">
        <v>19</v>
      </c>
      <c r="C2721" s="23" t="s">
        <v>46</v>
      </c>
      <c r="D2721" s="23">
        <v>3.52719439956928</v>
      </c>
      <c r="E2721" s="23">
        <v>2025</v>
      </c>
      <c r="F2721" s="15" t="s">
        <v>4331</v>
      </c>
      <c r="G2721" s="15" t="s">
        <v>3797</v>
      </c>
      <c r="H2721" s="23" t="s">
        <v>58</v>
      </c>
    </row>
    <row r="2722" spans="1:8" ht="54.95" customHeight="1" x14ac:dyDescent="0.2">
      <c r="A2722" s="23" t="s">
        <v>626</v>
      </c>
      <c r="B2722" s="23" t="s">
        <v>19</v>
      </c>
      <c r="C2722" s="23" t="s">
        <v>46</v>
      </c>
      <c r="D2722" s="23">
        <v>0.303454715219382</v>
      </c>
      <c r="E2722" s="23">
        <v>2025</v>
      </c>
      <c r="F2722" s="15" t="s">
        <v>4332</v>
      </c>
      <c r="G2722" s="15" t="s">
        <v>3797</v>
      </c>
      <c r="H2722" s="23" t="s">
        <v>58</v>
      </c>
    </row>
    <row r="2723" spans="1:8" ht="54.95" customHeight="1" x14ac:dyDescent="0.2">
      <c r="A2723" s="23" t="s">
        <v>634</v>
      </c>
      <c r="B2723" s="23" t="s">
        <v>19</v>
      </c>
      <c r="C2723" s="23" t="s">
        <v>46</v>
      </c>
      <c r="D2723" s="23">
        <v>1.5316682765281999</v>
      </c>
      <c r="E2723" s="23">
        <v>2025</v>
      </c>
      <c r="F2723" s="15" t="s">
        <v>4333</v>
      </c>
      <c r="G2723" s="15" t="s">
        <v>3797</v>
      </c>
      <c r="H2723" s="23" t="s">
        <v>58</v>
      </c>
    </row>
    <row r="2724" spans="1:8" ht="54.95" customHeight="1" x14ac:dyDescent="0.2">
      <c r="A2724" s="23" t="s">
        <v>641</v>
      </c>
      <c r="B2724" s="23" t="s">
        <v>19</v>
      </c>
      <c r="C2724" s="23" t="s">
        <v>46</v>
      </c>
      <c r="D2724" s="23">
        <v>0.15437697829018501</v>
      </c>
      <c r="E2724" s="23">
        <v>2025</v>
      </c>
      <c r="F2724" s="15" t="s">
        <v>4334</v>
      </c>
      <c r="G2724" s="15" t="s">
        <v>3797</v>
      </c>
      <c r="H2724" s="23" t="s">
        <v>58</v>
      </c>
    </row>
    <row r="2725" spans="1:8" ht="54.95" customHeight="1" x14ac:dyDescent="0.2">
      <c r="A2725" s="23" t="s">
        <v>647</v>
      </c>
      <c r="B2725" s="23" t="s">
        <v>19</v>
      </c>
      <c r="C2725" s="23" t="s">
        <v>46</v>
      </c>
      <c r="D2725" s="23">
        <v>42.171224496544397</v>
      </c>
      <c r="E2725" s="23">
        <v>2025</v>
      </c>
      <c r="F2725" s="15" t="s">
        <v>4335</v>
      </c>
      <c r="G2725" s="15" t="s">
        <v>3797</v>
      </c>
      <c r="H2725" s="23" t="s">
        <v>58</v>
      </c>
    </row>
    <row r="2726" spans="1:8" ht="54.95" customHeight="1" x14ac:dyDescent="0.2">
      <c r="A2726" s="23" t="s">
        <v>653</v>
      </c>
      <c r="B2726" s="23" t="s">
        <v>19</v>
      </c>
      <c r="C2726" s="23" t="s">
        <v>46</v>
      </c>
      <c r="D2726" s="23">
        <v>3.2595766451366002</v>
      </c>
      <c r="E2726" s="23">
        <v>2025</v>
      </c>
      <c r="F2726" s="15" t="s">
        <v>4336</v>
      </c>
      <c r="G2726" s="15" t="s">
        <v>3797</v>
      </c>
      <c r="H2726" s="23" t="s">
        <v>58</v>
      </c>
    </row>
    <row r="2727" spans="1:8" ht="54.95" customHeight="1" x14ac:dyDescent="0.2">
      <c r="A2727" s="23" t="s">
        <v>666</v>
      </c>
      <c r="B2727" s="23" t="s">
        <v>19</v>
      </c>
      <c r="C2727" s="23" t="s">
        <v>46</v>
      </c>
      <c r="D2727" s="23">
        <v>0.125038772593104</v>
      </c>
      <c r="E2727" s="23">
        <v>2025</v>
      </c>
      <c r="F2727" s="15" t="s">
        <v>4337</v>
      </c>
      <c r="G2727" s="15" t="s">
        <v>3797</v>
      </c>
      <c r="H2727" s="23" t="s">
        <v>58</v>
      </c>
    </row>
    <row r="2728" spans="1:8" ht="54.95" customHeight="1" x14ac:dyDescent="0.2">
      <c r="A2728" s="23" t="s">
        <v>672</v>
      </c>
      <c r="B2728" s="23" t="s">
        <v>19</v>
      </c>
      <c r="C2728" s="23" t="s">
        <v>46</v>
      </c>
      <c r="D2728" s="23">
        <v>3.8903678606001</v>
      </c>
      <c r="E2728" s="23">
        <v>2025</v>
      </c>
      <c r="F2728" s="15" t="s">
        <v>4338</v>
      </c>
      <c r="G2728" s="15" t="s">
        <v>3797</v>
      </c>
      <c r="H2728" s="23" t="s">
        <v>58</v>
      </c>
    </row>
    <row r="2729" spans="1:8" ht="54.95" customHeight="1" x14ac:dyDescent="0.2">
      <c r="A2729" s="23" t="s">
        <v>678</v>
      </c>
      <c r="B2729" s="23" t="s">
        <v>19</v>
      </c>
      <c r="C2729" s="23" t="s">
        <v>46</v>
      </c>
      <c r="D2729" s="23">
        <v>3.2782354035758399</v>
      </c>
      <c r="E2729" s="23">
        <v>2025</v>
      </c>
      <c r="F2729" s="15" t="s">
        <v>4339</v>
      </c>
      <c r="G2729" s="15" t="s">
        <v>3797</v>
      </c>
      <c r="H2729" s="23" t="s">
        <v>58</v>
      </c>
    </row>
    <row r="2730" spans="1:8" ht="54.95" customHeight="1" x14ac:dyDescent="0.2">
      <c r="A2730" s="23" t="s">
        <v>684</v>
      </c>
      <c r="B2730" s="23" t="s">
        <v>19</v>
      </c>
      <c r="C2730" s="23" t="s">
        <v>46</v>
      </c>
      <c r="D2730" s="23">
        <v>1.45900719841385</v>
      </c>
      <c r="E2730" s="23">
        <v>2025</v>
      </c>
      <c r="F2730" s="15" t="s">
        <v>4340</v>
      </c>
      <c r="G2730" s="15" t="s">
        <v>3797</v>
      </c>
      <c r="H2730" s="23" t="s">
        <v>58</v>
      </c>
    </row>
    <row r="2731" spans="1:8" ht="54.95" customHeight="1" x14ac:dyDescent="0.2">
      <c r="A2731" s="23" t="s">
        <v>690</v>
      </c>
      <c r="B2731" s="23" t="s">
        <v>19</v>
      </c>
      <c r="C2731" s="23" t="s">
        <v>46</v>
      </c>
      <c r="D2731" s="23">
        <v>23.0101235833333</v>
      </c>
      <c r="E2731" s="23">
        <v>2025</v>
      </c>
      <c r="F2731" s="15" t="s">
        <v>4341</v>
      </c>
      <c r="G2731" s="15" t="s">
        <v>3797</v>
      </c>
      <c r="H2731" s="23" t="s">
        <v>58</v>
      </c>
    </row>
    <row r="2732" spans="1:8" ht="54.95" customHeight="1" x14ac:dyDescent="0.2">
      <c r="A2732" s="23" t="s">
        <v>696</v>
      </c>
      <c r="B2732" s="23" t="s">
        <v>19</v>
      </c>
      <c r="C2732" s="23" t="s">
        <v>46</v>
      </c>
      <c r="D2732" s="23">
        <v>1.1015524790297799</v>
      </c>
      <c r="E2732" s="23">
        <v>2025</v>
      </c>
      <c r="F2732" s="15" t="s">
        <v>4342</v>
      </c>
      <c r="G2732" s="15" t="s">
        <v>3797</v>
      </c>
      <c r="H2732" s="23" t="s">
        <v>58</v>
      </c>
    </row>
    <row r="2733" spans="1:8" ht="54.95" customHeight="1" x14ac:dyDescent="0.2">
      <c r="A2733" s="23" t="s">
        <v>702</v>
      </c>
      <c r="B2733" s="23" t="s">
        <v>19</v>
      </c>
      <c r="C2733" s="23" t="s">
        <v>46</v>
      </c>
      <c r="D2733" s="23">
        <v>20.1620197572331</v>
      </c>
      <c r="E2733" s="23">
        <v>2025</v>
      </c>
      <c r="F2733" s="15" t="s">
        <v>4343</v>
      </c>
      <c r="G2733" s="15" t="s">
        <v>3797</v>
      </c>
      <c r="H2733" s="23" t="s">
        <v>58</v>
      </c>
    </row>
    <row r="2734" spans="1:8" ht="54.95" customHeight="1" x14ac:dyDescent="0.2">
      <c r="A2734" s="23" t="s">
        <v>708</v>
      </c>
      <c r="B2734" s="23" t="s">
        <v>19</v>
      </c>
      <c r="C2734" s="23" t="s">
        <v>46</v>
      </c>
      <c r="D2734" s="23">
        <v>3.6915345960572901</v>
      </c>
      <c r="E2734" s="23">
        <v>2025</v>
      </c>
      <c r="F2734" s="15" t="s">
        <v>4344</v>
      </c>
      <c r="G2734" s="15" t="s">
        <v>3797</v>
      </c>
      <c r="H2734" s="23" t="s">
        <v>58</v>
      </c>
    </row>
    <row r="2735" spans="1:8" ht="54.95" customHeight="1" x14ac:dyDescent="0.2">
      <c r="A2735" s="23" t="s">
        <v>714</v>
      </c>
      <c r="B2735" s="23" t="s">
        <v>19</v>
      </c>
      <c r="C2735" s="23" t="s">
        <v>46</v>
      </c>
      <c r="D2735" s="23">
        <v>2.3728480722654899</v>
      </c>
      <c r="E2735" s="23">
        <v>2025</v>
      </c>
      <c r="F2735" s="15" t="s">
        <v>4345</v>
      </c>
      <c r="G2735" s="15" t="s">
        <v>3797</v>
      </c>
      <c r="H2735" s="23" t="s">
        <v>58</v>
      </c>
    </row>
    <row r="2736" spans="1:8" ht="54.95" customHeight="1" x14ac:dyDescent="0.2">
      <c r="A2736" s="23" t="s">
        <v>720</v>
      </c>
      <c r="B2736" s="23" t="s">
        <v>19</v>
      </c>
      <c r="C2736" s="23" t="s">
        <v>46</v>
      </c>
      <c r="D2736" s="23">
        <v>1.2673431029237501</v>
      </c>
      <c r="E2736" s="23">
        <v>2024</v>
      </c>
      <c r="F2736" s="15" t="s">
        <v>4346</v>
      </c>
      <c r="G2736" s="15" t="s">
        <v>3797</v>
      </c>
      <c r="H2736" s="23" t="s">
        <v>58</v>
      </c>
    </row>
    <row r="2737" spans="1:8" ht="54.95" customHeight="1" x14ac:dyDescent="0.2">
      <c r="A2737" s="23" t="s">
        <v>726</v>
      </c>
      <c r="B2737" s="23" t="s">
        <v>19</v>
      </c>
      <c r="C2737" s="23" t="s">
        <v>46</v>
      </c>
      <c r="D2737" s="23">
        <v>2.0842085358503599</v>
      </c>
      <c r="E2737" s="23">
        <v>2025</v>
      </c>
      <c r="F2737" s="15" t="s">
        <v>4347</v>
      </c>
      <c r="G2737" s="15" t="s">
        <v>3797</v>
      </c>
      <c r="H2737" s="23" t="s">
        <v>58</v>
      </c>
    </row>
    <row r="2738" spans="1:8" ht="54.95" customHeight="1" x14ac:dyDescent="0.2">
      <c r="A2738" s="23" t="s">
        <v>732</v>
      </c>
      <c r="B2738" s="23" t="s">
        <v>19</v>
      </c>
      <c r="C2738" s="23" t="s">
        <v>46</v>
      </c>
      <c r="D2738" s="23">
        <v>2.6597506179431001</v>
      </c>
      <c r="E2738" s="23">
        <v>2025</v>
      </c>
      <c r="F2738" s="15" t="s">
        <v>4348</v>
      </c>
      <c r="G2738" s="15" t="s">
        <v>3797</v>
      </c>
      <c r="H2738" s="23" t="s">
        <v>58</v>
      </c>
    </row>
    <row r="2739" spans="1:8" ht="54.95" customHeight="1" x14ac:dyDescent="0.2">
      <c r="A2739" s="23" t="s">
        <v>744</v>
      </c>
      <c r="B2739" s="23" t="s">
        <v>19</v>
      </c>
      <c r="C2739" s="23" t="s">
        <v>46</v>
      </c>
      <c r="D2739" s="23">
        <v>3.5455521489089299</v>
      </c>
      <c r="E2739" s="23">
        <v>2025</v>
      </c>
      <c r="F2739" s="15" t="s">
        <v>4349</v>
      </c>
      <c r="G2739" s="15" t="s">
        <v>3797</v>
      </c>
      <c r="H2739" s="23" t="s">
        <v>58</v>
      </c>
    </row>
    <row r="2740" spans="1:8" ht="54.95" customHeight="1" x14ac:dyDescent="0.2">
      <c r="A2740" s="23" t="s">
        <v>750</v>
      </c>
      <c r="B2740" s="23" t="s">
        <v>19</v>
      </c>
      <c r="C2740" s="23" t="s">
        <v>46</v>
      </c>
      <c r="D2740" s="23">
        <v>4.5808435523569697</v>
      </c>
      <c r="E2740" s="23">
        <v>2025</v>
      </c>
      <c r="F2740" s="15" t="s">
        <v>4350</v>
      </c>
      <c r="G2740" s="15" t="s">
        <v>3797</v>
      </c>
      <c r="H2740" s="23" t="s">
        <v>58</v>
      </c>
    </row>
    <row r="2741" spans="1:8" ht="54.95" customHeight="1" x14ac:dyDescent="0.2">
      <c r="A2741" s="23" t="s">
        <v>756</v>
      </c>
      <c r="B2741" s="23" t="s">
        <v>19</v>
      </c>
      <c r="C2741" s="23" t="s">
        <v>46</v>
      </c>
      <c r="D2741" s="23">
        <v>-0.13363435648020699</v>
      </c>
      <c r="E2741" s="23">
        <v>2025</v>
      </c>
      <c r="F2741" s="15" t="s">
        <v>4351</v>
      </c>
      <c r="G2741" s="15" t="s">
        <v>3797</v>
      </c>
      <c r="H2741" s="23" t="s">
        <v>58</v>
      </c>
    </row>
    <row r="2742" spans="1:8" ht="54.95" customHeight="1" x14ac:dyDescent="0.2">
      <c r="A2742" s="23" t="s">
        <v>762</v>
      </c>
      <c r="B2742" s="23" t="s">
        <v>19</v>
      </c>
      <c r="C2742" s="23" t="s">
        <v>46</v>
      </c>
      <c r="D2742" s="23">
        <v>2.2951952502503699</v>
      </c>
      <c r="E2742" s="23">
        <v>2025</v>
      </c>
      <c r="F2742" s="15" t="s">
        <v>4352</v>
      </c>
      <c r="G2742" s="15" t="s">
        <v>3797</v>
      </c>
      <c r="H2742" s="23" t="s">
        <v>58</v>
      </c>
    </row>
    <row r="2743" spans="1:8" ht="54.95" customHeight="1" x14ac:dyDescent="0.2">
      <c r="A2743" s="23" t="s">
        <v>768</v>
      </c>
      <c r="B2743" s="23" t="s">
        <v>19</v>
      </c>
      <c r="C2743" s="23" t="s">
        <v>46</v>
      </c>
      <c r="D2743" s="23">
        <v>28.6427976686095</v>
      </c>
      <c r="E2743" s="23">
        <v>2025</v>
      </c>
      <c r="F2743" s="15" t="s">
        <v>4353</v>
      </c>
      <c r="G2743" s="15" t="s">
        <v>3797</v>
      </c>
      <c r="H2743" s="23" t="s">
        <v>58</v>
      </c>
    </row>
    <row r="2744" spans="1:8" ht="54.95" customHeight="1" x14ac:dyDescent="0.2">
      <c r="A2744" s="23" t="s">
        <v>774</v>
      </c>
      <c r="B2744" s="23" t="s">
        <v>19</v>
      </c>
      <c r="C2744" s="23" t="s">
        <v>46</v>
      </c>
      <c r="D2744" s="23">
        <v>3.8731176804812999</v>
      </c>
      <c r="E2744" s="23">
        <v>2025</v>
      </c>
      <c r="F2744" s="15" t="s">
        <v>4354</v>
      </c>
      <c r="G2744" s="15" t="s">
        <v>3797</v>
      </c>
      <c r="H2744" s="23" t="s">
        <v>58</v>
      </c>
    </row>
    <row r="2745" spans="1:8" ht="54.95" customHeight="1" x14ac:dyDescent="0.2">
      <c r="A2745" s="23" t="s">
        <v>780</v>
      </c>
      <c r="B2745" s="23" t="s">
        <v>19</v>
      </c>
      <c r="C2745" s="23" t="s">
        <v>46</v>
      </c>
      <c r="D2745" s="23">
        <v>-3.9119812440658999</v>
      </c>
      <c r="E2745" s="23">
        <v>2025</v>
      </c>
      <c r="F2745" s="15" t="s">
        <v>4355</v>
      </c>
      <c r="G2745" s="15" t="s">
        <v>3797</v>
      </c>
      <c r="H2745" s="23" t="s">
        <v>58</v>
      </c>
    </row>
    <row r="2746" spans="1:8" ht="54.95" customHeight="1" x14ac:dyDescent="0.2">
      <c r="A2746" s="23" t="s">
        <v>785</v>
      </c>
      <c r="B2746" s="23" t="s">
        <v>19</v>
      </c>
      <c r="C2746" s="23" t="s">
        <v>46</v>
      </c>
      <c r="D2746" s="23">
        <v>2.3619593668204502</v>
      </c>
      <c r="E2746" s="23">
        <v>2025</v>
      </c>
      <c r="F2746" s="15" t="s">
        <v>4356</v>
      </c>
      <c r="G2746" s="15" t="s">
        <v>3797</v>
      </c>
      <c r="H2746" s="23" t="s">
        <v>58</v>
      </c>
    </row>
    <row r="2747" spans="1:8" ht="54.95" customHeight="1" x14ac:dyDescent="0.2">
      <c r="A2747" s="23" t="s">
        <v>791</v>
      </c>
      <c r="B2747" s="23" t="s">
        <v>19</v>
      </c>
      <c r="C2747" s="23" t="s">
        <v>46</v>
      </c>
      <c r="D2747" s="23">
        <v>0.25757052830720301</v>
      </c>
      <c r="E2747" s="23">
        <v>2025</v>
      </c>
      <c r="F2747" s="15" t="s">
        <v>4357</v>
      </c>
      <c r="G2747" s="15" t="s">
        <v>3797</v>
      </c>
      <c r="H2747" s="23" t="s">
        <v>58</v>
      </c>
    </row>
    <row r="2748" spans="1:8" ht="54.95" customHeight="1" x14ac:dyDescent="0.2">
      <c r="A2748" s="23" t="s">
        <v>797</v>
      </c>
      <c r="B2748" s="23" t="s">
        <v>19</v>
      </c>
      <c r="C2748" s="23" t="s">
        <v>46</v>
      </c>
      <c r="D2748" s="23">
        <v>1.4884159108616899</v>
      </c>
      <c r="E2748" s="23">
        <v>2025</v>
      </c>
      <c r="F2748" s="15" t="s">
        <v>4358</v>
      </c>
      <c r="G2748" s="15" t="s">
        <v>3797</v>
      </c>
      <c r="H2748" s="23" t="s">
        <v>58</v>
      </c>
    </row>
    <row r="2749" spans="1:8" ht="54.95" customHeight="1" x14ac:dyDescent="0.2">
      <c r="A2749" s="23" t="s">
        <v>803</v>
      </c>
      <c r="B2749" s="23" t="s">
        <v>19</v>
      </c>
      <c r="C2749" s="23" t="s">
        <v>46</v>
      </c>
      <c r="D2749" s="23">
        <v>0.42832284834693701</v>
      </c>
      <c r="E2749" s="23">
        <v>2025</v>
      </c>
      <c r="F2749" s="15" t="s">
        <v>4359</v>
      </c>
      <c r="G2749" s="15" t="s">
        <v>3797</v>
      </c>
      <c r="H2749" s="23" t="s">
        <v>58</v>
      </c>
    </row>
    <row r="2750" spans="1:8" ht="54.95" customHeight="1" x14ac:dyDescent="0.2">
      <c r="A2750" s="23" t="s">
        <v>808</v>
      </c>
      <c r="B2750" s="23" t="s">
        <v>19</v>
      </c>
      <c r="C2750" s="23" t="s">
        <v>46</v>
      </c>
      <c r="D2750" s="23">
        <v>-0.30299441444676201</v>
      </c>
      <c r="E2750" s="23">
        <v>2025</v>
      </c>
      <c r="F2750" s="15" t="s">
        <v>4360</v>
      </c>
      <c r="G2750" s="15" t="s">
        <v>3797</v>
      </c>
      <c r="H2750" s="23" t="s">
        <v>58</v>
      </c>
    </row>
    <row r="2751" spans="1:8" ht="54.95" customHeight="1" x14ac:dyDescent="0.2">
      <c r="A2751" s="23" t="s">
        <v>819</v>
      </c>
      <c r="B2751" s="23" t="s">
        <v>19</v>
      </c>
      <c r="C2751" s="23" t="s">
        <v>46</v>
      </c>
      <c r="D2751" s="23">
        <v>1.4183515142901599</v>
      </c>
      <c r="E2751" s="23">
        <v>2025</v>
      </c>
      <c r="F2751" s="15" t="s">
        <v>4361</v>
      </c>
      <c r="G2751" s="15" t="s">
        <v>3797</v>
      </c>
      <c r="H2751" s="23" t="s">
        <v>58</v>
      </c>
    </row>
    <row r="2752" spans="1:8" ht="54.95" customHeight="1" x14ac:dyDescent="0.2">
      <c r="A2752" s="23" t="s">
        <v>825</v>
      </c>
      <c r="B2752" s="23" t="s">
        <v>19</v>
      </c>
      <c r="C2752" s="23" t="s">
        <v>46</v>
      </c>
      <c r="D2752" s="23">
        <v>4.3684695014615</v>
      </c>
      <c r="E2752" s="23">
        <v>2025</v>
      </c>
      <c r="F2752" s="15" t="s">
        <v>4362</v>
      </c>
      <c r="G2752" s="15" t="s">
        <v>3797</v>
      </c>
      <c r="H2752" s="23" t="s">
        <v>58</v>
      </c>
    </row>
    <row r="2753" spans="1:8" ht="54.95" customHeight="1" x14ac:dyDescent="0.2">
      <c r="A2753" s="23" t="s">
        <v>837</v>
      </c>
      <c r="B2753" s="23" t="s">
        <v>19</v>
      </c>
      <c r="C2753" s="23" t="s">
        <v>46</v>
      </c>
      <c r="D2753" s="23">
        <v>34.133998574483201</v>
      </c>
      <c r="E2753" s="23">
        <v>2025</v>
      </c>
      <c r="F2753" s="15" t="s">
        <v>4363</v>
      </c>
      <c r="G2753" s="15" t="s">
        <v>3797</v>
      </c>
      <c r="H2753" s="23" t="s">
        <v>58</v>
      </c>
    </row>
    <row r="2754" spans="1:8" ht="54.95" customHeight="1" x14ac:dyDescent="0.2">
      <c r="A2754" s="23" t="s">
        <v>843</v>
      </c>
      <c r="B2754" s="23" t="s">
        <v>19</v>
      </c>
      <c r="C2754" s="23" t="s">
        <v>46</v>
      </c>
      <c r="D2754" s="23">
        <v>5.9130001688259997</v>
      </c>
      <c r="E2754" s="23">
        <v>2025</v>
      </c>
      <c r="F2754" s="15" t="s">
        <v>4364</v>
      </c>
      <c r="G2754" s="15" t="s">
        <v>3797</v>
      </c>
      <c r="H2754" s="23" t="s">
        <v>58</v>
      </c>
    </row>
    <row r="2755" spans="1:8" ht="54.95" customHeight="1" x14ac:dyDescent="0.2">
      <c r="A2755" s="23" t="s">
        <v>855</v>
      </c>
      <c r="B2755" s="23" t="s">
        <v>19</v>
      </c>
      <c r="C2755" s="23" t="s">
        <v>46</v>
      </c>
      <c r="D2755" s="23">
        <v>8.7687628116113991</v>
      </c>
      <c r="E2755" s="23">
        <v>2025</v>
      </c>
      <c r="F2755" s="15" t="s">
        <v>4365</v>
      </c>
      <c r="G2755" s="15" t="s">
        <v>3797</v>
      </c>
      <c r="H2755" s="23" t="s">
        <v>58</v>
      </c>
    </row>
    <row r="2756" spans="1:8" ht="54.95" customHeight="1" x14ac:dyDescent="0.2">
      <c r="A2756" s="23" t="s">
        <v>867</v>
      </c>
      <c r="B2756" s="23" t="s">
        <v>19</v>
      </c>
      <c r="C2756" s="23" t="s">
        <v>46</v>
      </c>
      <c r="D2756" s="23">
        <v>-6.6011856407372598</v>
      </c>
      <c r="E2756" s="23">
        <v>2024</v>
      </c>
      <c r="F2756" s="15" t="s">
        <v>4366</v>
      </c>
      <c r="G2756" s="15" t="s">
        <v>3797</v>
      </c>
      <c r="H2756" s="23" t="s">
        <v>58</v>
      </c>
    </row>
    <row r="2757" spans="1:8" ht="54.95" customHeight="1" x14ac:dyDescent="0.2">
      <c r="A2757" s="23" t="s">
        <v>873</v>
      </c>
      <c r="B2757" s="23" t="s">
        <v>19</v>
      </c>
      <c r="C2757" s="23" t="s">
        <v>46</v>
      </c>
      <c r="D2757" s="23">
        <v>3.8996091070495602</v>
      </c>
      <c r="E2757" s="23">
        <v>2025</v>
      </c>
      <c r="F2757" s="15" t="s">
        <v>4367</v>
      </c>
      <c r="G2757" s="15" t="s">
        <v>3797</v>
      </c>
      <c r="H2757" s="23" t="s">
        <v>58</v>
      </c>
    </row>
    <row r="2758" spans="1:8" ht="54.95" customHeight="1" x14ac:dyDescent="0.2">
      <c r="A2758" s="23" t="s">
        <v>885</v>
      </c>
      <c r="B2758" s="23" t="s">
        <v>19</v>
      </c>
      <c r="C2758" s="23" t="s">
        <v>46</v>
      </c>
      <c r="D2758" s="23">
        <v>3.58082784438067</v>
      </c>
      <c r="E2758" s="23">
        <v>2025</v>
      </c>
      <c r="F2758" s="15" t="s">
        <v>4368</v>
      </c>
      <c r="G2758" s="15" t="s">
        <v>3797</v>
      </c>
      <c r="H2758" s="23" t="s">
        <v>58</v>
      </c>
    </row>
    <row r="2759" spans="1:8" ht="54.95" customHeight="1" x14ac:dyDescent="0.2">
      <c r="A2759" s="23" t="s">
        <v>899</v>
      </c>
      <c r="B2759" s="23" t="s">
        <v>19</v>
      </c>
      <c r="C2759" s="23" t="s">
        <v>46</v>
      </c>
      <c r="D2759" s="23">
        <v>4.5965798232525801</v>
      </c>
      <c r="E2759" s="23">
        <v>2025</v>
      </c>
      <c r="F2759" s="15" t="s">
        <v>4369</v>
      </c>
      <c r="G2759" s="15" t="s">
        <v>3797</v>
      </c>
      <c r="H2759" s="23" t="s">
        <v>58</v>
      </c>
    </row>
    <row r="2760" spans="1:8" ht="54.95" customHeight="1" x14ac:dyDescent="0.2">
      <c r="A2760" s="23" t="s">
        <v>905</v>
      </c>
      <c r="B2760" s="23" t="s">
        <v>19</v>
      </c>
      <c r="C2760" s="23" t="s">
        <v>46</v>
      </c>
      <c r="D2760" s="23">
        <v>0.710469324989076</v>
      </c>
      <c r="E2760" s="23">
        <v>2025</v>
      </c>
      <c r="F2760" s="15" t="s">
        <v>4370</v>
      </c>
      <c r="G2760" s="15" t="s">
        <v>3797</v>
      </c>
      <c r="H2760" s="23" t="s">
        <v>58</v>
      </c>
    </row>
    <row r="2761" spans="1:8" ht="54.95" customHeight="1" x14ac:dyDescent="0.2">
      <c r="A2761" s="23" t="s">
        <v>911</v>
      </c>
      <c r="B2761" s="23" t="s">
        <v>19</v>
      </c>
      <c r="C2761" s="23" t="s">
        <v>46</v>
      </c>
      <c r="D2761" s="23">
        <v>5.1422291194620096</v>
      </c>
      <c r="E2761" s="23">
        <v>2025</v>
      </c>
      <c r="F2761" s="15" t="s">
        <v>4371</v>
      </c>
      <c r="G2761" s="15" t="s">
        <v>3797</v>
      </c>
      <c r="H2761" s="23" t="s">
        <v>58</v>
      </c>
    </row>
    <row r="2762" spans="1:8" ht="54.95" customHeight="1" x14ac:dyDescent="0.2">
      <c r="A2762" s="23" t="s">
        <v>917</v>
      </c>
      <c r="B2762" s="23" t="s">
        <v>19</v>
      </c>
      <c r="C2762" s="23" t="s">
        <v>46</v>
      </c>
      <c r="D2762" s="23">
        <v>4.0380642333937997</v>
      </c>
      <c r="E2762" s="23">
        <v>2025</v>
      </c>
      <c r="F2762" s="15" t="s">
        <v>4372</v>
      </c>
      <c r="G2762" s="15" t="s">
        <v>3797</v>
      </c>
      <c r="H2762" s="23" t="s">
        <v>58</v>
      </c>
    </row>
    <row r="2763" spans="1:8" ht="54.95" customHeight="1" x14ac:dyDescent="0.2">
      <c r="A2763" s="23" t="s">
        <v>923</v>
      </c>
      <c r="B2763" s="23" t="s">
        <v>19</v>
      </c>
      <c r="C2763" s="23" t="s">
        <v>46</v>
      </c>
      <c r="D2763" s="23">
        <v>5.01675279604836</v>
      </c>
      <c r="E2763" s="23">
        <v>2025</v>
      </c>
      <c r="F2763" s="15" t="s">
        <v>4289</v>
      </c>
      <c r="G2763" s="15" t="s">
        <v>3797</v>
      </c>
      <c r="H2763" s="23" t="s">
        <v>58</v>
      </c>
    </row>
    <row r="2764" spans="1:8" ht="54.95" customHeight="1" x14ac:dyDescent="0.2">
      <c r="A2764" s="23" t="s">
        <v>925</v>
      </c>
      <c r="B2764" s="23" t="s">
        <v>19</v>
      </c>
      <c r="C2764" s="23" t="s">
        <v>46</v>
      </c>
      <c r="D2764" s="23">
        <v>2.3360162031670102</v>
      </c>
      <c r="E2764" s="23">
        <v>2025</v>
      </c>
      <c r="F2764" s="15" t="s">
        <v>4373</v>
      </c>
      <c r="G2764" s="15" t="s">
        <v>3797</v>
      </c>
      <c r="H2764" s="23" t="s">
        <v>58</v>
      </c>
    </row>
    <row r="2765" spans="1:8" ht="54.95" customHeight="1" x14ac:dyDescent="0.2">
      <c r="A2765" s="23" t="s">
        <v>931</v>
      </c>
      <c r="B2765" s="23" t="s">
        <v>19</v>
      </c>
      <c r="C2765" s="23" t="s">
        <v>46</v>
      </c>
      <c r="D2765" s="23">
        <v>7.75904124001159</v>
      </c>
      <c r="E2765" s="23">
        <v>2025</v>
      </c>
      <c r="F2765" s="15" t="s">
        <v>4374</v>
      </c>
      <c r="G2765" s="15" t="s">
        <v>3797</v>
      </c>
      <c r="H2765" s="23" t="s">
        <v>58</v>
      </c>
    </row>
    <row r="2766" spans="1:8" ht="54.95" customHeight="1" x14ac:dyDescent="0.2">
      <c r="A2766" s="23" t="s">
        <v>943</v>
      </c>
      <c r="B2766" s="23" t="s">
        <v>19</v>
      </c>
      <c r="C2766" s="23" t="s">
        <v>46</v>
      </c>
      <c r="D2766" s="23">
        <v>1.7664649089420601</v>
      </c>
      <c r="E2766" s="23">
        <v>2025</v>
      </c>
      <c r="F2766" s="15" t="s">
        <v>4375</v>
      </c>
      <c r="G2766" s="15" t="s">
        <v>3797</v>
      </c>
      <c r="H2766" s="23" t="s">
        <v>58</v>
      </c>
    </row>
    <row r="2767" spans="1:8" ht="54.95" customHeight="1" x14ac:dyDescent="0.2">
      <c r="A2767" s="23" t="s">
        <v>949</v>
      </c>
      <c r="B2767" s="23" t="s">
        <v>19</v>
      </c>
      <c r="C2767" s="23" t="s">
        <v>46</v>
      </c>
      <c r="D2767" s="23">
        <v>2.65334269811436</v>
      </c>
      <c r="E2767" s="23">
        <v>2025</v>
      </c>
      <c r="F2767" s="15" t="s">
        <v>4376</v>
      </c>
      <c r="G2767" s="15" t="s">
        <v>3797</v>
      </c>
      <c r="H2767" s="23" t="s">
        <v>58</v>
      </c>
    </row>
    <row r="2768" spans="1:8" ht="54.95" customHeight="1" x14ac:dyDescent="0.2">
      <c r="A2768" s="23" t="s">
        <v>955</v>
      </c>
      <c r="B2768" s="23" t="s">
        <v>19</v>
      </c>
      <c r="C2768" s="23" t="s">
        <v>46</v>
      </c>
      <c r="D2768" s="23">
        <v>4.2701114070666604</v>
      </c>
      <c r="E2768" s="23">
        <v>2025</v>
      </c>
      <c r="F2768" s="15" t="s">
        <v>4377</v>
      </c>
      <c r="G2768" s="15" t="s">
        <v>3797</v>
      </c>
      <c r="H2768" s="23" t="s">
        <v>58</v>
      </c>
    </row>
    <row r="2769" spans="1:8" ht="54.95" customHeight="1" x14ac:dyDescent="0.2">
      <c r="A2769" s="23" t="s">
        <v>961</v>
      </c>
      <c r="B2769" s="23" t="s">
        <v>19</v>
      </c>
      <c r="C2769" s="23" t="s">
        <v>46</v>
      </c>
      <c r="D2769" s="23">
        <v>3.4037345827905501</v>
      </c>
      <c r="E2769" s="23">
        <v>2025</v>
      </c>
      <c r="F2769" s="15" t="s">
        <v>4378</v>
      </c>
      <c r="G2769" s="15" t="s">
        <v>3797</v>
      </c>
      <c r="H2769" s="23" t="s">
        <v>58</v>
      </c>
    </row>
    <row r="2770" spans="1:8" ht="54.95" customHeight="1" x14ac:dyDescent="0.2">
      <c r="A2770" s="23" t="s">
        <v>967</v>
      </c>
      <c r="B2770" s="23" t="s">
        <v>19</v>
      </c>
      <c r="C2770" s="23" t="s">
        <v>46</v>
      </c>
      <c r="D2770" s="23">
        <v>1.76766609003481</v>
      </c>
      <c r="E2770" s="23">
        <v>2025</v>
      </c>
      <c r="F2770" s="15" t="s">
        <v>4379</v>
      </c>
      <c r="G2770" s="15" t="s">
        <v>3797</v>
      </c>
      <c r="H2770" s="23" t="s">
        <v>58</v>
      </c>
    </row>
    <row r="2771" spans="1:8" ht="54.95" customHeight="1" x14ac:dyDescent="0.2">
      <c r="A2771" s="23" t="s">
        <v>974</v>
      </c>
      <c r="B2771" s="23" t="s">
        <v>19</v>
      </c>
      <c r="C2771" s="23" t="s">
        <v>46</v>
      </c>
      <c r="D2771" s="23">
        <v>-4.4547080410256799</v>
      </c>
      <c r="E2771" s="23">
        <v>2025</v>
      </c>
      <c r="F2771" s="15" t="s">
        <v>4380</v>
      </c>
      <c r="G2771" s="15" t="s">
        <v>3797</v>
      </c>
      <c r="H2771" s="23" t="s">
        <v>58</v>
      </c>
    </row>
    <row r="2772" spans="1:8" ht="54.95" customHeight="1" x14ac:dyDescent="0.2">
      <c r="A2772" s="23" t="s">
        <v>980</v>
      </c>
      <c r="B2772" s="23" t="s">
        <v>19</v>
      </c>
      <c r="C2772" s="23" t="s">
        <v>46</v>
      </c>
      <c r="D2772" s="23">
        <v>-0.58623531633057901</v>
      </c>
      <c r="E2772" s="23">
        <v>2025</v>
      </c>
      <c r="F2772" s="15" t="s">
        <v>4381</v>
      </c>
      <c r="G2772" s="15" t="s">
        <v>3797</v>
      </c>
      <c r="H2772" s="23" t="s">
        <v>58</v>
      </c>
    </row>
    <row r="2773" spans="1:8" ht="54.95" customHeight="1" x14ac:dyDescent="0.2">
      <c r="A2773" s="23" t="s">
        <v>986</v>
      </c>
      <c r="B2773" s="23" t="s">
        <v>19</v>
      </c>
      <c r="C2773" s="23" t="s">
        <v>46</v>
      </c>
      <c r="D2773" s="23">
        <v>0.43318345127910901</v>
      </c>
      <c r="E2773" s="23">
        <v>2025</v>
      </c>
      <c r="F2773" s="15" t="s">
        <v>4382</v>
      </c>
      <c r="G2773" s="15" t="s">
        <v>3797</v>
      </c>
      <c r="H2773" s="23" t="s">
        <v>58</v>
      </c>
    </row>
    <row r="2774" spans="1:8" ht="54.95" customHeight="1" x14ac:dyDescent="0.2">
      <c r="A2774" s="23" t="s">
        <v>992</v>
      </c>
      <c r="B2774" s="23" t="s">
        <v>19</v>
      </c>
      <c r="C2774" s="23" t="s">
        <v>46</v>
      </c>
      <c r="D2774" s="23">
        <v>14.2046755548989</v>
      </c>
      <c r="E2774" s="23">
        <v>2025</v>
      </c>
      <c r="F2774" s="15" t="s">
        <v>4383</v>
      </c>
      <c r="G2774" s="15" t="s">
        <v>3797</v>
      </c>
      <c r="H2774" s="23" t="s">
        <v>58</v>
      </c>
    </row>
    <row r="2775" spans="1:8" ht="54.95" customHeight="1" x14ac:dyDescent="0.2">
      <c r="A2775" s="23" t="s">
        <v>998</v>
      </c>
      <c r="B2775" s="23" t="s">
        <v>19</v>
      </c>
      <c r="C2775" s="23" t="s">
        <v>46</v>
      </c>
      <c r="D2775" s="23">
        <v>0.87492969103871698</v>
      </c>
      <c r="E2775" s="23">
        <v>2025</v>
      </c>
      <c r="F2775" s="15" t="s">
        <v>4384</v>
      </c>
      <c r="G2775" s="15" t="s">
        <v>3797</v>
      </c>
      <c r="H2775" s="23" t="s">
        <v>58</v>
      </c>
    </row>
    <row r="2776" spans="1:8" ht="54.95" customHeight="1" x14ac:dyDescent="0.2">
      <c r="A2776" s="23" t="s">
        <v>1007</v>
      </c>
      <c r="B2776" s="23" t="s">
        <v>19</v>
      </c>
      <c r="C2776" s="23" t="s">
        <v>46</v>
      </c>
      <c r="D2776" s="23">
        <v>2.9495252048520699</v>
      </c>
      <c r="E2776" s="23">
        <v>2024</v>
      </c>
      <c r="F2776" s="15" t="s">
        <v>4385</v>
      </c>
      <c r="G2776" s="15" t="s">
        <v>3797</v>
      </c>
      <c r="H2776" s="23" t="s">
        <v>58</v>
      </c>
    </row>
    <row r="2777" spans="1:8" ht="54.95" customHeight="1" x14ac:dyDescent="0.2">
      <c r="A2777" s="23" t="s">
        <v>1013</v>
      </c>
      <c r="B2777" s="23" t="s">
        <v>19</v>
      </c>
      <c r="C2777" s="23" t="s">
        <v>46</v>
      </c>
      <c r="D2777" s="23">
        <v>2.0723241114910298</v>
      </c>
      <c r="E2777" s="23">
        <v>2025</v>
      </c>
      <c r="F2777" s="15" t="s">
        <v>4386</v>
      </c>
      <c r="G2777" s="15" t="s">
        <v>3797</v>
      </c>
      <c r="H2777" s="23" t="s">
        <v>58</v>
      </c>
    </row>
    <row r="2778" spans="1:8" ht="54.95" customHeight="1" x14ac:dyDescent="0.2">
      <c r="A2778" s="23" t="s">
        <v>1019</v>
      </c>
      <c r="B2778" s="23" t="s">
        <v>19</v>
      </c>
      <c r="C2778" s="23" t="s">
        <v>46</v>
      </c>
      <c r="D2778" s="23">
        <v>3.8066865072648501</v>
      </c>
      <c r="E2778" s="23">
        <v>2025</v>
      </c>
      <c r="F2778" s="15" t="s">
        <v>4387</v>
      </c>
      <c r="G2778" s="15" t="s">
        <v>3797</v>
      </c>
      <c r="H2778" s="23" t="s">
        <v>58</v>
      </c>
    </row>
    <row r="2779" spans="1:8" ht="54.95" customHeight="1" x14ac:dyDescent="0.2">
      <c r="A2779" s="23" t="s">
        <v>1025</v>
      </c>
      <c r="B2779" s="23" t="s">
        <v>19</v>
      </c>
      <c r="C2779" s="23" t="s">
        <v>46</v>
      </c>
      <c r="D2779" s="23">
        <v>1.0628154795289599</v>
      </c>
      <c r="E2779" s="23">
        <v>2025</v>
      </c>
      <c r="F2779" s="15" t="s">
        <v>4388</v>
      </c>
      <c r="G2779" s="15" t="s">
        <v>3797</v>
      </c>
      <c r="H2779" s="23" t="s">
        <v>58</v>
      </c>
    </row>
    <row r="2780" spans="1:8" ht="54.95" customHeight="1" x14ac:dyDescent="0.2">
      <c r="A2780" s="23" t="s">
        <v>1031</v>
      </c>
      <c r="B2780" s="23" t="s">
        <v>19</v>
      </c>
      <c r="C2780" s="23" t="s">
        <v>46</v>
      </c>
      <c r="D2780" s="23">
        <v>-0.18958788023567499</v>
      </c>
      <c r="E2780" s="23">
        <v>2025</v>
      </c>
      <c r="F2780" s="15" t="s">
        <v>4389</v>
      </c>
      <c r="G2780" s="15" t="s">
        <v>3797</v>
      </c>
      <c r="H2780" s="23" t="s">
        <v>58</v>
      </c>
    </row>
    <row r="2781" spans="1:8" ht="54.95" customHeight="1" x14ac:dyDescent="0.2">
      <c r="A2781" s="23" t="s">
        <v>1043</v>
      </c>
      <c r="B2781" s="23" t="s">
        <v>19</v>
      </c>
      <c r="C2781" s="23" t="s">
        <v>46</v>
      </c>
      <c r="D2781" s="23">
        <v>4.4214136416648504</v>
      </c>
      <c r="E2781" s="23">
        <v>2025</v>
      </c>
      <c r="F2781" s="15" t="s">
        <v>4390</v>
      </c>
      <c r="G2781" s="15" t="s">
        <v>3797</v>
      </c>
      <c r="H2781" s="23" t="s">
        <v>58</v>
      </c>
    </row>
    <row r="2782" spans="1:8" ht="54.95" customHeight="1" x14ac:dyDescent="0.2">
      <c r="A2782" s="23" t="s">
        <v>1048</v>
      </c>
      <c r="B2782" s="23" t="s">
        <v>19</v>
      </c>
      <c r="C2782" s="23" t="s">
        <v>46</v>
      </c>
      <c r="D2782" s="23">
        <v>14.073513664593399</v>
      </c>
      <c r="E2782" s="23">
        <v>2025</v>
      </c>
      <c r="F2782" s="15" t="s">
        <v>4391</v>
      </c>
      <c r="G2782" s="15" t="s">
        <v>3797</v>
      </c>
      <c r="H2782" s="23" t="s">
        <v>58</v>
      </c>
    </row>
    <row r="2783" spans="1:8" ht="54.95" customHeight="1" x14ac:dyDescent="0.2">
      <c r="A2783" s="23" t="s">
        <v>1060</v>
      </c>
      <c r="B2783" s="23" t="s">
        <v>19</v>
      </c>
      <c r="C2783" s="23" t="s">
        <v>46</v>
      </c>
      <c r="D2783" s="23">
        <v>1.5479692616707199</v>
      </c>
      <c r="E2783" s="23">
        <v>2025</v>
      </c>
      <c r="F2783" s="15" t="s">
        <v>4392</v>
      </c>
      <c r="G2783" s="15" t="s">
        <v>3797</v>
      </c>
      <c r="H2783" s="23" t="s">
        <v>58</v>
      </c>
    </row>
    <row r="2784" spans="1:8" ht="54.95" customHeight="1" x14ac:dyDescent="0.2">
      <c r="A2784" s="23" t="s">
        <v>1066</v>
      </c>
      <c r="B2784" s="23" t="s">
        <v>19</v>
      </c>
      <c r="C2784" s="23" t="s">
        <v>46</v>
      </c>
      <c r="D2784" s="23">
        <v>2.9214022730910298</v>
      </c>
      <c r="E2784" s="23">
        <v>2024</v>
      </c>
      <c r="F2784" s="15" t="s">
        <v>4393</v>
      </c>
      <c r="G2784" s="15" t="s">
        <v>3797</v>
      </c>
      <c r="H2784" s="23" t="s">
        <v>58</v>
      </c>
    </row>
    <row r="2785" spans="1:8" ht="54.95" customHeight="1" x14ac:dyDescent="0.2">
      <c r="A2785" s="23" t="s">
        <v>1072</v>
      </c>
      <c r="B2785" s="23" t="s">
        <v>19</v>
      </c>
      <c r="C2785" s="23" t="s">
        <v>46</v>
      </c>
      <c r="D2785" s="23">
        <v>11.561053289751101</v>
      </c>
      <c r="E2785" s="23">
        <v>2024</v>
      </c>
      <c r="F2785" s="15" t="s">
        <v>4394</v>
      </c>
      <c r="G2785" s="15" t="s">
        <v>3797</v>
      </c>
      <c r="H2785" s="23" t="s">
        <v>58</v>
      </c>
    </row>
    <row r="2786" spans="1:8" ht="54.95" customHeight="1" x14ac:dyDescent="0.2">
      <c r="A2786" s="23" t="s">
        <v>1078</v>
      </c>
      <c r="B2786" s="23" t="s">
        <v>19</v>
      </c>
      <c r="C2786" s="23" t="s">
        <v>46</v>
      </c>
      <c r="D2786" s="23">
        <v>1.43633540372673</v>
      </c>
      <c r="E2786" s="23">
        <v>2025</v>
      </c>
      <c r="F2786" s="15" t="s">
        <v>4395</v>
      </c>
      <c r="G2786" s="15" t="s">
        <v>3797</v>
      </c>
      <c r="H2786" s="23" t="s">
        <v>58</v>
      </c>
    </row>
    <row r="2787" spans="1:8" ht="54.95" customHeight="1" x14ac:dyDescent="0.2">
      <c r="A2787" s="23" t="s">
        <v>1095</v>
      </c>
      <c r="B2787" s="23" t="s">
        <v>19</v>
      </c>
      <c r="C2787" s="23" t="s">
        <v>46</v>
      </c>
      <c r="D2787" s="23">
        <v>11.3879454675914</v>
      </c>
      <c r="E2787" s="23">
        <v>2025</v>
      </c>
      <c r="F2787" s="15" t="s">
        <v>4287</v>
      </c>
      <c r="G2787" s="15" t="s">
        <v>3797</v>
      </c>
      <c r="H2787" s="23" t="s">
        <v>58</v>
      </c>
    </row>
    <row r="2788" spans="1:8" ht="54.95" customHeight="1" x14ac:dyDescent="0.2">
      <c r="A2788" s="23" t="s">
        <v>1107</v>
      </c>
      <c r="B2788" s="23" t="s">
        <v>19</v>
      </c>
      <c r="C2788" s="23" t="s">
        <v>46</v>
      </c>
      <c r="D2788" s="23">
        <v>2.87403791660173</v>
      </c>
      <c r="E2788" s="23">
        <v>2025</v>
      </c>
      <c r="F2788" s="15" t="s">
        <v>4396</v>
      </c>
      <c r="G2788" s="15" t="s">
        <v>3797</v>
      </c>
      <c r="H2788" s="23" t="s">
        <v>58</v>
      </c>
    </row>
    <row r="2789" spans="1:8" ht="54.95" customHeight="1" x14ac:dyDescent="0.2">
      <c r="A2789" s="23" t="s">
        <v>1117</v>
      </c>
      <c r="B2789" s="23" t="s">
        <v>19</v>
      </c>
      <c r="C2789" s="23" t="s">
        <v>46</v>
      </c>
      <c r="D2789" s="23">
        <v>-1.38326833934224</v>
      </c>
      <c r="E2789" s="23">
        <v>2025</v>
      </c>
      <c r="F2789" s="15" t="s">
        <v>4397</v>
      </c>
      <c r="G2789" s="15" t="s">
        <v>3797</v>
      </c>
      <c r="H2789" s="23" t="s">
        <v>58</v>
      </c>
    </row>
    <row r="2790" spans="1:8" ht="54.95" customHeight="1" x14ac:dyDescent="0.2">
      <c r="A2790" s="23" t="s">
        <v>1123</v>
      </c>
      <c r="B2790" s="23" t="s">
        <v>19</v>
      </c>
      <c r="C2790" s="23" t="s">
        <v>46</v>
      </c>
      <c r="D2790" s="23">
        <v>2.8397963180571999</v>
      </c>
      <c r="E2790" s="23">
        <v>2025</v>
      </c>
      <c r="F2790" s="15" t="s">
        <v>4398</v>
      </c>
      <c r="G2790" s="15" t="s">
        <v>3797</v>
      </c>
      <c r="H2790" s="23" t="s">
        <v>58</v>
      </c>
    </row>
    <row r="2791" spans="1:8" ht="54.95" customHeight="1" x14ac:dyDescent="0.2">
      <c r="A2791" s="23" t="s">
        <v>1135</v>
      </c>
      <c r="B2791" s="23" t="s">
        <v>19</v>
      </c>
      <c r="C2791" s="23" t="s">
        <v>46</v>
      </c>
      <c r="D2791" s="23">
        <v>8.0505243179122701</v>
      </c>
      <c r="E2791" s="23">
        <v>2025</v>
      </c>
      <c r="F2791" s="15" t="s">
        <v>4399</v>
      </c>
      <c r="G2791" s="15" t="s">
        <v>3797</v>
      </c>
      <c r="H2791" s="23" t="s">
        <v>58</v>
      </c>
    </row>
    <row r="2792" spans="1:8" ht="54.95" customHeight="1" x14ac:dyDescent="0.2">
      <c r="A2792" s="23" t="s">
        <v>1141</v>
      </c>
      <c r="B2792" s="23" t="s">
        <v>19</v>
      </c>
      <c r="C2792" s="23" t="s">
        <v>46</v>
      </c>
      <c r="D2792" s="23">
        <v>1.6587364525509001</v>
      </c>
      <c r="E2792" s="23">
        <v>2025</v>
      </c>
      <c r="F2792" s="15" t="s">
        <v>4400</v>
      </c>
      <c r="G2792" s="15" t="s">
        <v>3797</v>
      </c>
      <c r="H2792" s="23" t="s">
        <v>58</v>
      </c>
    </row>
    <row r="2793" spans="1:8" ht="54.95" customHeight="1" x14ac:dyDescent="0.2">
      <c r="A2793" s="23" t="s">
        <v>1148</v>
      </c>
      <c r="B2793" s="23" t="s">
        <v>19</v>
      </c>
      <c r="C2793" s="23" t="s">
        <v>46</v>
      </c>
      <c r="D2793" s="23">
        <v>-4.7638603696098301</v>
      </c>
      <c r="E2793" s="23">
        <v>2025</v>
      </c>
      <c r="F2793" s="15" t="s">
        <v>4401</v>
      </c>
      <c r="G2793" s="15" t="s">
        <v>3797</v>
      </c>
      <c r="H2793" s="23" t="s">
        <v>58</v>
      </c>
    </row>
    <row r="2794" spans="1:8" ht="54.95" customHeight="1" x14ac:dyDescent="0.2">
      <c r="A2794" s="23" t="s">
        <v>1167</v>
      </c>
      <c r="B2794" s="23" t="s">
        <v>19</v>
      </c>
      <c r="C2794" s="23" t="s">
        <v>46</v>
      </c>
      <c r="D2794" s="23">
        <v>0.40916248908328601</v>
      </c>
      <c r="E2794" s="23">
        <v>2024</v>
      </c>
      <c r="F2794" s="15" t="s">
        <v>4402</v>
      </c>
      <c r="G2794" s="15" t="s">
        <v>3797</v>
      </c>
      <c r="H2794" s="23" t="s">
        <v>58</v>
      </c>
    </row>
    <row r="2795" spans="1:8" ht="54.95" customHeight="1" x14ac:dyDescent="0.2">
      <c r="A2795" s="23" t="s">
        <v>1184</v>
      </c>
      <c r="B2795" s="23" t="s">
        <v>19</v>
      </c>
      <c r="C2795" s="23" t="s">
        <v>46</v>
      </c>
      <c r="D2795" s="23">
        <v>3.1725303426024798</v>
      </c>
      <c r="E2795" s="23">
        <v>2025</v>
      </c>
      <c r="F2795" s="15" t="s">
        <v>4403</v>
      </c>
      <c r="G2795" s="15" t="s">
        <v>3797</v>
      </c>
      <c r="H2795" s="23" t="s">
        <v>58</v>
      </c>
    </row>
    <row r="2796" spans="1:8" ht="54.95" customHeight="1" x14ac:dyDescent="0.2">
      <c r="A2796" s="23" t="s">
        <v>1195</v>
      </c>
      <c r="B2796" s="23" t="s">
        <v>19</v>
      </c>
      <c r="C2796" s="23" t="s">
        <v>46</v>
      </c>
      <c r="D2796" s="23">
        <v>4.0908505600651504</v>
      </c>
      <c r="E2796" s="23">
        <v>2025</v>
      </c>
      <c r="F2796" s="15" t="s">
        <v>4404</v>
      </c>
      <c r="G2796" s="15" t="s">
        <v>3797</v>
      </c>
      <c r="H2796" s="23" t="s">
        <v>58</v>
      </c>
    </row>
    <row r="2797" spans="1:8" ht="54.95" customHeight="1" x14ac:dyDescent="0.2">
      <c r="A2797" s="23" t="s">
        <v>1214</v>
      </c>
      <c r="B2797" s="23" t="s">
        <v>19</v>
      </c>
      <c r="C2797" s="23" t="s">
        <v>46</v>
      </c>
      <c r="D2797" s="23">
        <v>0.297589655467556</v>
      </c>
      <c r="E2797" s="23">
        <v>2025</v>
      </c>
      <c r="F2797" s="15" t="s">
        <v>4405</v>
      </c>
      <c r="G2797" s="15" t="s">
        <v>3797</v>
      </c>
      <c r="H2797" s="23" t="s">
        <v>58</v>
      </c>
    </row>
    <row r="2798" spans="1:8" ht="54.95" customHeight="1" x14ac:dyDescent="0.2">
      <c r="A2798" s="23" t="s">
        <v>1220</v>
      </c>
      <c r="B2798" s="23" t="s">
        <v>19</v>
      </c>
      <c r="C2798" s="23" t="s">
        <v>46</v>
      </c>
      <c r="D2798" s="23">
        <v>2.4554507215902799</v>
      </c>
      <c r="E2798" s="23">
        <v>2024</v>
      </c>
      <c r="F2798" s="15" t="s">
        <v>4406</v>
      </c>
      <c r="G2798" s="15" t="s">
        <v>3797</v>
      </c>
      <c r="H2798" s="23" t="s">
        <v>58</v>
      </c>
    </row>
    <row r="2799" spans="1:8" ht="54.95" customHeight="1" x14ac:dyDescent="0.2">
      <c r="A2799" s="23" t="s">
        <v>1230</v>
      </c>
      <c r="B2799" s="23" t="s">
        <v>19</v>
      </c>
      <c r="C2799" s="23" t="s">
        <v>46</v>
      </c>
      <c r="D2799" s="23">
        <v>0.99448998790482102</v>
      </c>
      <c r="E2799" s="23">
        <v>2025</v>
      </c>
      <c r="F2799" s="15" t="s">
        <v>4407</v>
      </c>
      <c r="G2799" s="15" t="s">
        <v>3797</v>
      </c>
      <c r="H2799" s="23" t="s">
        <v>58</v>
      </c>
    </row>
    <row r="2800" spans="1:8" ht="54.95" customHeight="1" x14ac:dyDescent="0.2">
      <c r="A2800" s="23" t="s">
        <v>1236</v>
      </c>
      <c r="B2800" s="23" t="s">
        <v>19</v>
      </c>
      <c r="C2800" s="23" t="s">
        <v>46</v>
      </c>
      <c r="D2800" s="23">
        <v>0.61031197589383301</v>
      </c>
      <c r="E2800" s="23">
        <v>2025</v>
      </c>
      <c r="F2800" s="15" t="s">
        <v>4408</v>
      </c>
      <c r="G2800" s="15" t="s">
        <v>3797</v>
      </c>
      <c r="H2800" s="23" t="s">
        <v>58</v>
      </c>
    </row>
    <row r="2801" spans="1:8" ht="54.95" customHeight="1" x14ac:dyDescent="0.2">
      <c r="A2801" s="23" t="s">
        <v>1242</v>
      </c>
      <c r="B2801" s="23" t="s">
        <v>19</v>
      </c>
      <c r="C2801" s="23" t="s">
        <v>46</v>
      </c>
      <c r="D2801" s="23">
        <v>0.815322893749171</v>
      </c>
      <c r="E2801" s="23">
        <v>2025</v>
      </c>
      <c r="F2801" s="15" t="s">
        <v>4409</v>
      </c>
      <c r="G2801" s="15" t="s">
        <v>3797</v>
      </c>
      <c r="H2801" s="23" t="s">
        <v>58</v>
      </c>
    </row>
    <row r="2802" spans="1:8" ht="54.95" customHeight="1" x14ac:dyDescent="0.2">
      <c r="A2802" s="23" t="s">
        <v>1247</v>
      </c>
      <c r="B2802" s="23" t="s">
        <v>19</v>
      </c>
      <c r="C2802" s="23" t="s">
        <v>46</v>
      </c>
      <c r="D2802" s="23">
        <v>0.84657656319628904</v>
      </c>
      <c r="E2802" s="23">
        <v>2025</v>
      </c>
      <c r="F2802" s="15" t="s">
        <v>4410</v>
      </c>
      <c r="G2802" s="15" t="s">
        <v>3797</v>
      </c>
      <c r="H2802" s="23" t="s">
        <v>58</v>
      </c>
    </row>
    <row r="2803" spans="1:8" ht="54.95" customHeight="1" x14ac:dyDescent="0.2">
      <c r="A2803" s="23" t="s">
        <v>1253</v>
      </c>
      <c r="B2803" s="23" t="s">
        <v>19</v>
      </c>
      <c r="C2803" s="23" t="s">
        <v>46</v>
      </c>
      <c r="D2803" s="23">
        <v>2.0270951208627399</v>
      </c>
      <c r="E2803" s="23">
        <v>2025</v>
      </c>
      <c r="F2803" s="15" t="s">
        <v>4411</v>
      </c>
      <c r="G2803" s="15" t="s">
        <v>3797</v>
      </c>
      <c r="H2803" s="23" t="s">
        <v>58</v>
      </c>
    </row>
    <row r="2804" spans="1:8" ht="54.95" customHeight="1" x14ac:dyDescent="0.2">
      <c r="A2804" s="23" t="s">
        <v>1259</v>
      </c>
      <c r="B2804" s="23" t="s">
        <v>19</v>
      </c>
      <c r="C2804" s="23" t="s">
        <v>46</v>
      </c>
      <c r="D2804" s="23">
        <v>2.5338512610713502</v>
      </c>
      <c r="E2804" s="23">
        <v>2025</v>
      </c>
      <c r="F2804" s="15" t="s">
        <v>4412</v>
      </c>
      <c r="G2804" s="15" t="s">
        <v>3797</v>
      </c>
      <c r="H2804" s="23" t="s">
        <v>58</v>
      </c>
    </row>
    <row r="2805" spans="1:8" ht="54.95" customHeight="1" x14ac:dyDescent="0.2">
      <c r="A2805" s="23" t="s">
        <v>1273</v>
      </c>
      <c r="B2805" s="23" t="s">
        <v>19</v>
      </c>
      <c r="C2805" s="23" t="s">
        <v>46</v>
      </c>
      <c r="D2805" s="23">
        <v>1.3687352752195401</v>
      </c>
      <c r="E2805" s="23">
        <v>2025</v>
      </c>
      <c r="F2805" s="15" t="s">
        <v>4413</v>
      </c>
      <c r="G2805" s="15" t="s">
        <v>3797</v>
      </c>
      <c r="H2805" s="23" t="s">
        <v>58</v>
      </c>
    </row>
    <row r="2806" spans="1:8" ht="54.95" customHeight="1" x14ac:dyDescent="0.2">
      <c r="A2806" s="23" t="s">
        <v>1305</v>
      </c>
      <c r="B2806" s="23" t="s">
        <v>19</v>
      </c>
      <c r="C2806" s="23" t="s">
        <v>46</v>
      </c>
      <c r="D2806" s="23">
        <v>4.0045904807923902</v>
      </c>
      <c r="E2806" s="23">
        <v>2025</v>
      </c>
      <c r="F2806" s="15" t="s">
        <v>4414</v>
      </c>
      <c r="G2806" s="15" t="s">
        <v>3797</v>
      </c>
      <c r="H2806" s="23" t="s">
        <v>58</v>
      </c>
    </row>
    <row r="2807" spans="1:8" ht="54.95" customHeight="1" x14ac:dyDescent="0.2">
      <c r="A2807" s="23" t="s">
        <v>1330</v>
      </c>
      <c r="B2807" s="23" t="s">
        <v>19</v>
      </c>
      <c r="C2807" s="23" t="s">
        <v>46</v>
      </c>
      <c r="D2807" s="23">
        <v>3.67359279962943</v>
      </c>
      <c r="E2807" s="23">
        <v>2025</v>
      </c>
      <c r="F2807" s="15" t="s">
        <v>4415</v>
      </c>
      <c r="G2807" s="15" t="s">
        <v>3797</v>
      </c>
      <c r="H2807" s="23" t="s">
        <v>58</v>
      </c>
    </row>
    <row r="2808" spans="1:8" ht="54.95" customHeight="1" x14ac:dyDescent="0.2">
      <c r="A2808" s="23" t="s">
        <v>1336</v>
      </c>
      <c r="B2808" s="23" t="s">
        <v>19</v>
      </c>
      <c r="C2808" s="23" t="s">
        <v>46</v>
      </c>
      <c r="D2808" s="23">
        <v>3.2490933230643302</v>
      </c>
      <c r="E2808" s="23">
        <v>2025</v>
      </c>
      <c r="F2808" s="15" t="s">
        <v>4416</v>
      </c>
      <c r="G2808" s="15" t="s">
        <v>3797</v>
      </c>
      <c r="H2808" s="23" t="s">
        <v>58</v>
      </c>
    </row>
    <row r="2809" spans="1:8" ht="54.95" customHeight="1" x14ac:dyDescent="0.2">
      <c r="A2809" s="23" t="s">
        <v>1341</v>
      </c>
      <c r="B2809" s="23" t="s">
        <v>19</v>
      </c>
      <c r="C2809" s="23" t="s">
        <v>46</v>
      </c>
      <c r="D2809" s="23">
        <v>11.0474362281814</v>
      </c>
      <c r="E2809" s="23">
        <v>2025</v>
      </c>
      <c r="F2809" s="15" t="s">
        <v>4417</v>
      </c>
      <c r="G2809" s="15" t="s">
        <v>3797</v>
      </c>
      <c r="H2809" s="23" t="s">
        <v>58</v>
      </c>
    </row>
    <row r="2810" spans="1:8" ht="54.95" customHeight="1" x14ac:dyDescent="0.2">
      <c r="A2810" s="23" t="s">
        <v>1346</v>
      </c>
      <c r="B2810" s="23" t="s">
        <v>19</v>
      </c>
      <c r="C2810" s="23" t="s">
        <v>46</v>
      </c>
      <c r="D2810" s="23">
        <v>2.3433389736516301</v>
      </c>
      <c r="E2810" s="23">
        <v>2025</v>
      </c>
      <c r="F2810" s="15" t="s">
        <v>4418</v>
      </c>
      <c r="G2810" s="15" t="s">
        <v>3797</v>
      </c>
      <c r="H2810" s="23" t="s">
        <v>58</v>
      </c>
    </row>
    <row r="2811" spans="1:8" ht="54.95" customHeight="1" x14ac:dyDescent="0.2">
      <c r="A2811" s="23" t="s">
        <v>1352</v>
      </c>
      <c r="B2811" s="23" t="s">
        <v>19</v>
      </c>
      <c r="C2811" s="23" t="s">
        <v>46</v>
      </c>
      <c r="D2811" s="23">
        <v>2.3635175225218599</v>
      </c>
      <c r="E2811" s="23">
        <v>2025</v>
      </c>
      <c r="F2811" s="15" t="s">
        <v>4419</v>
      </c>
      <c r="G2811" s="15" t="s">
        <v>3797</v>
      </c>
      <c r="H2811" s="23" t="s">
        <v>58</v>
      </c>
    </row>
    <row r="2812" spans="1:8" ht="54.95" customHeight="1" x14ac:dyDescent="0.2">
      <c r="A2812" s="23" t="s">
        <v>1379</v>
      </c>
      <c r="B2812" s="23" t="s">
        <v>19</v>
      </c>
      <c r="C2812" s="23" t="s">
        <v>46</v>
      </c>
      <c r="D2812" s="23">
        <v>2.87403791660173</v>
      </c>
      <c r="E2812" s="23">
        <v>2025</v>
      </c>
      <c r="F2812" s="15" t="s">
        <v>4396</v>
      </c>
      <c r="G2812" s="15" t="s">
        <v>3797</v>
      </c>
      <c r="H2812" s="23" t="s">
        <v>58</v>
      </c>
    </row>
    <row r="2813" spans="1:8" ht="54.95" customHeight="1" x14ac:dyDescent="0.2">
      <c r="A2813" s="23" t="s">
        <v>1386</v>
      </c>
      <c r="B2813" s="23" t="s">
        <v>19</v>
      </c>
      <c r="C2813" s="23" t="s">
        <v>46</v>
      </c>
      <c r="D2813" s="23">
        <v>0.90299849500267604</v>
      </c>
      <c r="E2813" s="23">
        <v>2025</v>
      </c>
      <c r="F2813" s="15" t="s">
        <v>4420</v>
      </c>
      <c r="G2813" s="15" t="s">
        <v>3797</v>
      </c>
      <c r="H2813" s="23" t="s">
        <v>58</v>
      </c>
    </row>
    <row r="2814" spans="1:8" ht="54.95" customHeight="1" x14ac:dyDescent="0.2">
      <c r="A2814" s="23" t="s">
        <v>1400</v>
      </c>
      <c r="B2814" s="23" t="s">
        <v>19</v>
      </c>
      <c r="C2814" s="23" t="s">
        <v>46</v>
      </c>
      <c r="D2814" s="23">
        <v>5.5927664210102703</v>
      </c>
      <c r="E2814" s="23">
        <v>2025</v>
      </c>
      <c r="F2814" s="15" t="s">
        <v>4421</v>
      </c>
      <c r="G2814" s="15" t="s">
        <v>3797</v>
      </c>
      <c r="H2814" s="23" t="s">
        <v>58</v>
      </c>
    </row>
    <row r="2815" spans="1:8" ht="54.95" customHeight="1" x14ac:dyDescent="0.2">
      <c r="A2815" s="23" t="s">
        <v>1410</v>
      </c>
      <c r="B2815" s="23" t="s">
        <v>19</v>
      </c>
      <c r="C2815" s="23" t="s">
        <v>46</v>
      </c>
      <c r="D2815" s="23">
        <v>2.2119620764675001</v>
      </c>
      <c r="E2815" s="23">
        <v>2025</v>
      </c>
      <c r="F2815" s="15" t="s">
        <v>4422</v>
      </c>
      <c r="G2815" s="15" t="s">
        <v>3797</v>
      </c>
      <c r="H2815" s="23" t="s">
        <v>58</v>
      </c>
    </row>
    <row r="2816" spans="1:8" ht="54.95" customHeight="1" x14ac:dyDescent="0.2">
      <c r="A2816" s="23" t="s">
        <v>1415</v>
      </c>
      <c r="B2816" s="23" t="s">
        <v>19</v>
      </c>
      <c r="C2816" s="23" t="s">
        <v>46</v>
      </c>
      <c r="D2816" s="23">
        <v>3.3646218931782501</v>
      </c>
      <c r="E2816" s="23">
        <v>2025</v>
      </c>
      <c r="F2816" s="15" t="s">
        <v>4423</v>
      </c>
      <c r="G2816" s="15" t="s">
        <v>3797</v>
      </c>
      <c r="H2816" s="23" t="s">
        <v>58</v>
      </c>
    </row>
    <row r="2817" spans="1:8" ht="54.95" customHeight="1" x14ac:dyDescent="0.2">
      <c r="A2817" s="23" t="s">
        <v>1425</v>
      </c>
      <c r="B2817" s="23" t="s">
        <v>19</v>
      </c>
      <c r="C2817" s="23" t="s">
        <v>46</v>
      </c>
      <c r="D2817" s="23">
        <v>4.0057849411875202</v>
      </c>
      <c r="E2817" s="23">
        <v>2025</v>
      </c>
      <c r="F2817" s="15" t="s">
        <v>4424</v>
      </c>
      <c r="G2817" s="15" t="s">
        <v>3797</v>
      </c>
      <c r="H2817" s="23" t="s">
        <v>58</v>
      </c>
    </row>
    <row r="2818" spans="1:8" ht="54.95" customHeight="1" x14ac:dyDescent="0.2">
      <c r="A2818" s="23" t="s">
        <v>1449</v>
      </c>
      <c r="B2818" s="23" t="s">
        <v>19</v>
      </c>
      <c r="C2818" s="23" t="s">
        <v>46</v>
      </c>
      <c r="D2818" s="23">
        <v>0.65645514223190504</v>
      </c>
      <c r="E2818" s="23">
        <v>2025</v>
      </c>
      <c r="F2818" s="15" t="s">
        <v>4425</v>
      </c>
      <c r="G2818" s="15" t="s">
        <v>3797</v>
      </c>
      <c r="H2818" s="23" t="s">
        <v>58</v>
      </c>
    </row>
    <row r="2819" spans="1:8" ht="54.95" customHeight="1" x14ac:dyDescent="0.2">
      <c r="A2819" s="23" t="s">
        <v>1462</v>
      </c>
      <c r="B2819" s="23" t="s">
        <v>19</v>
      </c>
      <c r="C2819" s="23" t="s">
        <v>46</v>
      </c>
      <c r="D2819" s="23">
        <v>-0.41841004184103903</v>
      </c>
      <c r="E2819" s="23">
        <v>2025</v>
      </c>
      <c r="F2819" s="15" t="s">
        <v>4426</v>
      </c>
      <c r="G2819" s="15" t="s">
        <v>3797</v>
      </c>
      <c r="H2819" s="23" t="s">
        <v>58</v>
      </c>
    </row>
    <row r="2820" spans="1:8" ht="54.95" customHeight="1" x14ac:dyDescent="0.2">
      <c r="A2820" s="23" t="s">
        <v>1475</v>
      </c>
      <c r="B2820" s="23" t="s">
        <v>19</v>
      </c>
      <c r="C2820" s="23" t="s">
        <v>46</v>
      </c>
      <c r="D2820" s="23">
        <v>-0.13770885544790201</v>
      </c>
      <c r="E2820" s="23">
        <v>2025</v>
      </c>
      <c r="F2820" s="15" t="s">
        <v>4427</v>
      </c>
      <c r="G2820" s="15" t="s">
        <v>3797</v>
      </c>
      <c r="H2820" s="23" t="s">
        <v>58</v>
      </c>
    </row>
    <row r="2821" spans="1:8" ht="54.95" customHeight="1" x14ac:dyDescent="0.2">
      <c r="A2821" s="23" t="s">
        <v>1481</v>
      </c>
      <c r="B2821" s="23" t="s">
        <v>19</v>
      </c>
      <c r="C2821" s="23" t="s">
        <v>46</v>
      </c>
      <c r="D2821" s="23">
        <v>2.87403791660173</v>
      </c>
      <c r="E2821" s="23">
        <v>2025</v>
      </c>
      <c r="F2821" s="15" t="s">
        <v>4396</v>
      </c>
      <c r="G2821" s="15" t="s">
        <v>3797</v>
      </c>
      <c r="H2821" s="23" t="s">
        <v>58</v>
      </c>
    </row>
    <row r="2822" spans="1:8" ht="54.95" customHeight="1" x14ac:dyDescent="0.2">
      <c r="A2822" s="23" t="s">
        <v>1485</v>
      </c>
      <c r="B2822" s="23" t="s">
        <v>19</v>
      </c>
      <c r="C2822" s="23" t="s">
        <v>46</v>
      </c>
      <c r="D2822" s="23">
        <v>0.94377021246997606</v>
      </c>
      <c r="E2822" s="23">
        <v>2025</v>
      </c>
      <c r="F2822" s="15" t="s">
        <v>4268</v>
      </c>
      <c r="G2822" s="15" t="s">
        <v>3797</v>
      </c>
      <c r="H2822" s="23" t="s">
        <v>58</v>
      </c>
    </row>
    <row r="2823" spans="1:8" ht="54.95" customHeight="1" x14ac:dyDescent="0.2">
      <c r="A2823" s="23" t="s">
        <v>1487</v>
      </c>
      <c r="B2823" s="23" t="s">
        <v>19</v>
      </c>
      <c r="C2823" s="23" t="s">
        <v>46</v>
      </c>
      <c r="D2823" s="23">
        <v>0.333311677308542</v>
      </c>
      <c r="E2823" s="23">
        <v>2025</v>
      </c>
      <c r="F2823" s="15" t="s">
        <v>4428</v>
      </c>
      <c r="G2823" s="15" t="s">
        <v>3797</v>
      </c>
      <c r="H2823" s="23" t="s">
        <v>58</v>
      </c>
    </row>
    <row r="2824" spans="1:8" ht="54.95" customHeight="1" x14ac:dyDescent="0.2">
      <c r="A2824" s="23" t="s">
        <v>1492</v>
      </c>
      <c r="B2824" s="23" t="s">
        <v>19</v>
      </c>
      <c r="C2824" s="23" t="s">
        <v>46</v>
      </c>
      <c r="D2824" s="23">
        <v>2.87403791660173</v>
      </c>
      <c r="E2824" s="23">
        <v>2025</v>
      </c>
      <c r="F2824" s="15" t="s">
        <v>4396</v>
      </c>
      <c r="G2824" s="15" t="s">
        <v>3797</v>
      </c>
      <c r="H2824" s="23" t="s">
        <v>58</v>
      </c>
    </row>
    <row r="2825" spans="1:8" ht="54.95" customHeight="1" x14ac:dyDescent="0.2">
      <c r="A2825" s="23" t="s">
        <v>44</v>
      </c>
      <c r="B2825" s="23" t="s">
        <v>21</v>
      </c>
      <c r="C2825" s="23" t="s">
        <v>4429</v>
      </c>
      <c r="D2825" s="23">
        <v>0.93899999999999995</v>
      </c>
      <c r="E2825" s="23" t="s">
        <v>4430</v>
      </c>
      <c r="F2825" s="15" t="s">
        <v>4431</v>
      </c>
      <c r="G2825" s="15" t="s">
        <v>4432</v>
      </c>
      <c r="H2825" s="23" t="s">
        <v>58</v>
      </c>
    </row>
    <row r="2826" spans="1:8" ht="54.95" customHeight="1" x14ac:dyDescent="0.2">
      <c r="A2826" s="23" t="s">
        <v>44</v>
      </c>
      <c r="B2826" s="23" t="s">
        <v>22</v>
      </c>
      <c r="C2826" s="23" t="s">
        <v>4433</v>
      </c>
      <c r="D2826" s="23">
        <v>1.4379999999999999</v>
      </c>
      <c r="E2826" s="23" t="s">
        <v>4430</v>
      </c>
      <c r="F2826" s="15" t="s">
        <v>4434</v>
      </c>
      <c r="G2826" s="15" t="s">
        <v>4432</v>
      </c>
      <c r="H2826" s="23" t="s">
        <v>58</v>
      </c>
    </row>
    <row r="2827" spans="1:8" ht="54.95" customHeight="1" x14ac:dyDescent="0.2">
      <c r="A2827" s="23" t="s">
        <v>59</v>
      </c>
      <c r="B2827" s="23" t="s">
        <v>21</v>
      </c>
      <c r="C2827" s="23" t="s">
        <v>4435</v>
      </c>
      <c r="D2827" s="23">
        <v>0.99399999999999999</v>
      </c>
      <c r="E2827" s="23" t="s">
        <v>4430</v>
      </c>
      <c r="F2827" s="15" t="s">
        <v>4436</v>
      </c>
      <c r="G2827" s="15" t="s">
        <v>4432</v>
      </c>
      <c r="H2827" s="23" t="s">
        <v>58</v>
      </c>
    </row>
    <row r="2828" spans="1:8" ht="54.95" customHeight="1" x14ac:dyDescent="0.2">
      <c r="A2828" s="23" t="s">
        <v>59</v>
      </c>
      <c r="B2828" s="23" t="s">
        <v>22</v>
      </c>
      <c r="C2828" s="23" t="s">
        <v>4437</v>
      </c>
      <c r="D2828" s="23">
        <v>1.216</v>
      </c>
      <c r="E2828" s="23" t="s">
        <v>4430</v>
      </c>
      <c r="F2828" s="15" t="s">
        <v>4438</v>
      </c>
      <c r="G2828" s="15" t="s">
        <v>4432</v>
      </c>
      <c r="H2828" s="23" t="s">
        <v>58</v>
      </c>
    </row>
    <row r="2829" spans="1:8" ht="54.95" customHeight="1" x14ac:dyDescent="0.2">
      <c r="A2829" s="23" t="s">
        <v>67</v>
      </c>
      <c r="B2829" s="23" t="s">
        <v>21</v>
      </c>
      <c r="C2829" s="23" t="s">
        <v>4439</v>
      </c>
      <c r="D2829" s="23">
        <v>1.522</v>
      </c>
      <c r="E2829" s="23" t="s">
        <v>4430</v>
      </c>
      <c r="F2829" s="15" t="s">
        <v>4440</v>
      </c>
      <c r="G2829" s="15" t="s">
        <v>4432</v>
      </c>
      <c r="H2829" s="23" t="s">
        <v>58</v>
      </c>
    </row>
    <row r="2830" spans="1:8" ht="54.95" customHeight="1" x14ac:dyDescent="0.2">
      <c r="A2830" s="23" t="s">
        <v>67</v>
      </c>
      <c r="B2830" s="23" t="s">
        <v>22</v>
      </c>
      <c r="C2830" s="23" t="s">
        <v>4441</v>
      </c>
      <c r="D2830" s="23">
        <v>1.319</v>
      </c>
      <c r="E2830" s="23" t="s">
        <v>4430</v>
      </c>
      <c r="F2830" s="15" t="s">
        <v>4442</v>
      </c>
      <c r="G2830" s="15" t="s">
        <v>4432</v>
      </c>
      <c r="H2830" s="23" t="s">
        <v>58</v>
      </c>
    </row>
    <row r="2831" spans="1:8" ht="54.95" customHeight="1" x14ac:dyDescent="0.2">
      <c r="A2831" s="23" t="s">
        <v>67</v>
      </c>
      <c r="B2831" s="23" t="s">
        <v>24</v>
      </c>
      <c r="C2831" s="23" t="s">
        <v>1546</v>
      </c>
      <c r="D2831" s="23">
        <v>0.71499999999999997</v>
      </c>
      <c r="E2831" s="23" t="s">
        <v>4430</v>
      </c>
      <c r="F2831" s="15" t="s">
        <v>4443</v>
      </c>
      <c r="G2831" s="15" t="s">
        <v>4432</v>
      </c>
      <c r="H2831" s="23" t="s">
        <v>58</v>
      </c>
    </row>
    <row r="2832" spans="1:8" ht="54.95" customHeight="1" x14ac:dyDescent="0.2">
      <c r="A2832" s="23" t="s">
        <v>76</v>
      </c>
      <c r="B2832" s="23" t="s">
        <v>21</v>
      </c>
      <c r="C2832" s="23" t="s">
        <v>4444</v>
      </c>
      <c r="D2832" s="23">
        <v>0.60299999999999998</v>
      </c>
      <c r="E2832" s="23" t="s">
        <v>4430</v>
      </c>
      <c r="F2832" s="15" t="s">
        <v>4445</v>
      </c>
      <c r="G2832" s="15" t="s">
        <v>4432</v>
      </c>
      <c r="H2832" s="23" t="s">
        <v>58</v>
      </c>
    </row>
    <row r="2833" spans="1:8" ht="54.95" customHeight="1" x14ac:dyDescent="0.2">
      <c r="A2833" s="23" t="s">
        <v>76</v>
      </c>
      <c r="B2833" s="23" t="s">
        <v>22</v>
      </c>
      <c r="C2833" s="23" t="s">
        <v>4446</v>
      </c>
      <c r="D2833" s="23">
        <v>0.85</v>
      </c>
      <c r="E2833" s="23" t="s">
        <v>4430</v>
      </c>
      <c r="F2833" s="15" t="s">
        <v>4447</v>
      </c>
      <c r="G2833" s="15" t="s">
        <v>4432</v>
      </c>
      <c r="H2833" s="23" t="s">
        <v>58</v>
      </c>
    </row>
    <row r="2834" spans="1:8" ht="54.95" customHeight="1" x14ac:dyDescent="0.2">
      <c r="A2834" s="23" t="s">
        <v>84</v>
      </c>
      <c r="B2834" s="23" t="s">
        <v>21</v>
      </c>
      <c r="C2834" s="23" t="s">
        <v>4448</v>
      </c>
      <c r="D2834" s="23">
        <v>1.7230000000000001</v>
      </c>
      <c r="E2834" s="23" t="s">
        <v>4430</v>
      </c>
      <c r="F2834" s="15" t="s">
        <v>4449</v>
      </c>
      <c r="G2834" s="15" t="s">
        <v>4432</v>
      </c>
      <c r="H2834" s="23" t="s">
        <v>58</v>
      </c>
    </row>
    <row r="2835" spans="1:8" ht="54.95" customHeight="1" x14ac:dyDescent="0.2">
      <c r="A2835" s="23" t="s">
        <v>84</v>
      </c>
      <c r="B2835" s="23" t="s">
        <v>22</v>
      </c>
      <c r="C2835" s="23" t="s">
        <v>4450</v>
      </c>
      <c r="D2835" s="23">
        <v>1.9650000000000001</v>
      </c>
      <c r="E2835" s="23" t="s">
        <v>4430</v>
      </c>
      <c r="F2835" s="15" t="s">
        <v>4451</v>
      </c>
      <c r="G2835" s="15" t="s">
        <v>4432</v>
      </c>
      <c r="H2835" s="23" t="s">
        <v>58</v>
      </c>
    </row>
    <row r="2836" spans="1:8" ht="54.95" customHeight="1" x14ac:dyDescent="0.2">
      <c r="A2836" s="23" t="s">
        <v>84</v>
      </c>
      <c r="B2836" s="23" t="s">
        <v>24</v>
      </c>
      <c r="C2836" s="23" t="s">
        <v>4452</v>
      </c>
      <c r="D2836" s="23">
        <v>0.64200000000000002</v>
      </c>
      <c r="E2836" s="23" t="s">
        <v>4430</v>
      </c>
      <c r="F2836" s="15" t="s">
        <v>4453</v>
      </c>
      <c r="G2836" s="15" t="s">
        <v>4432</v>
      </c>
      <c r="H2836" s="23" t="s">
        <v>58</v>
      </c>
    </row>
    <row r="2837" spans="1:8" ht="54.95" customHeight="1" x14ac:dyDescent="0.2">
      <c r="A2837" s="23" t="s">
        <v>91</v>
      </c>
      <c r="B2837" s="23" t="s">
        <v>21</v>
      </c>
      <c r="C2837" s="23" t="s">
        <v>4454</v>
      </c>
      <c r="D2837" s="23">
        <v>1.4119999999999999</v>
      </c>
      <c r="E2837" s="23" t="s">
        <v>4430</v>
      </c>
      <c r="F2837" s="15" t="s">
        <v>4455</v>
      </c>
      <c r="G2837" s="15" t="s">
        <v>4432</v>
      </c>
      <c r="H2837" s="23" t="s">
        <v>58</v>
      </c>
    </row>
    <row r="2838" spans="1:8" ht="54.95" customHeight="1" x14ac:dyDescent="0.2">
      <c r="A2838" s="23" t="s">
        <v>91</v>
      </c>
      <c r="B2838" s="23" t="s">
        <v>22</v>
      </c>
      <c r="C2838" s="23" t="s">
        <v>4456</v>
      </c>
      <c r="D2838" s="23">
        <v>1.518</v>
      </c>
      <c r="E2838" s="23" t="s">
        <v>4430</v>
      </c>
      <c r="F2838" s="15" t="s">
        <v>4457</v>
      </c>
      <c r="G2838" s="15" t="s">
        <v>4432</v>
      </c>
      <c r="H2838" s="23" t="s">
        <v>58</v>
      </c>
    </row>
    <row r="2839" spans="1:8" ht="54.95" customHeight="1" x14ac:dyDescent="0.2">
      <c r="A2839" s="23" t="s">
        <v>107</v>
      </c>
      <c r="B2839" s="23" t="s">
        <v>21</v>
      </c>
      <c r="C2839" s="23" t="s">
        <v>4458</v>
      </c>
      <c r="D2839" s="23">
        <v>1.907</v>
      </c>
      <c r="E2839" s="23" t="s">
        <v>4430</v>
      </c>
      <c r="F2839" s="15" t="s">
        <v>4459</v>
      </c>
      <c r="G2839" s="15" t="s">
        <v>4432</v>
      </c>
      <c r="H2839" s="23" t="s">
        <v>58</v>
      </c>
    </row>
    <row r="2840" spans="1:8" ht="54.95" customHeight="1" x14ac:dyDescent="0.2">
      <c r="A2840" s="23" t="s">
        <v>107</v>
      </c>
      <c r="B2840" s="23" t="s">
        <v>22</v>
      </c>
      <c r="C2840" s="23" t="s">
        <v>4460</v>
      </c>
      <c r="D2840" s="23">
        <v>2.2130000000000001</v>
      </c>
      <c r="E2840" s="23" t="s">
        <v>4430</v>
      </c>
      <c r="F2840" s="15" t="s">
        <v>4461</v>
      </c>
      <c r="G2840" s="15" t="s">
        <v>4432</v>
      </c>
      <c r="H2840" s="23" t="s">
        <v>58</v>
      </c>
    </row>
    <row r="2841" spans="1:8" ht="54.95" customHeight="1" x14ac:dyDescent="0.2">
      <c r="A2841" s="23" t="s">
        <v>114</v>
      </c>
      <c r="B2841" s="23" t="s">
        <v>21</v>
      </c>
      <c r="C2841" s="23" t="s">
        <v>4462</v>
      </c>
      <c r="D2841" s="23">
        <v>1.1319999999999999</v>
      </c>
      <c r="E2841" s="23" t="s">
        <v>4430</v>
      </c>
      <c r="F2841" s="15" t="s">
        <v>4463</v>
      </c>
      <c r="G2841" s="15" t="s">
        <v>4432</v>
      </c>
      <c r="H2841" s="23" t="s">
        <v>58</v>
      </c>
    </row>
    <row r="2842" spans="1:8" ht="54.95" customHeight="1" x14ac:dyDescent="0.2">
      <c r="A2842" s="23" t="s">
        <v>114</v>
      </c>
      <c r="B2842" s="23" t="s">
        <v>22</v>
      </c>
      <c r="C2842" s="23" t="s">
        <v>4464</v>
      </c>
      <c r="D2842" s="23">
        <v>1.022</v>
      </c>
      <c r="E2842" s="23" t="s">
        <v>4430</v>
      </c>
      <c r="F2842" s="15" t="s">
        <v>4465</v>
      </c>
      <c r="G2842" s="15" t="s">
        <v>4432</v>
      </c>
      <c r="H2842" s="23" t="s">
        <v>58</v>
      </c>
    </row>
    <row r="2843" spans="1:8" ht="54.95" customHeight="1" x14ac:dyDescent="0.2">
      <c r="A2843" s="23" t="s">
        <v>114</v>
      </c>
      <c r="B2843" s="23" t="s">
        <v>24</v>
      </c>
      <c r="C2843" s="23" t="s">
        <v>4466</v>
      </c>
      <c r="D2843" s="23">
        <v>0.68</v>
      </c>
      <c r="E2843" s="23" t="s">
        <v>4430</v>
      </c>
      <c r="F2843" s="15" t="s">
        <v>4467</v>
      </c>
      <c r="G2843" s="15" t="s">
        <v>4432</v>
      </c>
      <c r="H2843" s="23" t="s">
        <v>58</v>
      </c>
    </row>
    <row r="2844" spans="1:8" ht="54.95" customHeight="1" x14ac:dyDescent="0.2">
      <c r="A2844" s="23" t="s">
        <v>122</v>
      </c>
      <c r="B2844" s="23" t="s">
        <v>21</v>
      </c>
      <c r="C2844" s="23" t="s">
        <v>4468</v>
      </c>
      <c r="D2844" s="23">
        <v>1.3260000000000001</v>
      </c>
      <c r="E2844" s="23" t="s">
        <v>4430</v>
      </c>
      <c r="F2844" s="15" t="s">
        <v>4469</v>
      </c>
      <c r="G2844" s="15" t="s">
        <v>4432</v>
      </c>
      <c r="H2844" s="23" t="s">
        <v>58</v>
      </c>
    </row>
    <row r="2845" spans="1:8" ht="54.95" customHeight="1" x14ac:dyDescent="0.2">
      <c r="A2845" s="23" t="s">
        <v>122</v>
      </c>
      <c r="B2845" s="23" t="s">
        <v>22</v>
      </c>
      <c r="C2845" s="23" t="s">
        <v>4470</v>
      </c>
      <c r="D2845" s="23">
        <v>1.1870000000000001</v>
      </c>
      <c r="E2845" s="23" t="s">
        <v>4430</v>
      </c>
      <c r="F2845" s="15" t="s">
        <v>4471</v>
      </c>
      <c r="G2845" s="15" t="s">
        <v>4432</v>
      </c>
      <c r="H2845" s="23" t="s">
        <v>58</v>
      </c>
    </row>
    <row r="2846" spans="1:8" ht="54.95" customHeight="1" x14ac:dyDescent="0.2">
      <c r="A2846" s="23" t="s">
        <v>129</v>
      </c>
      <c r="B2846" s="23" t="s">
        <v>21</v>
      </c>
      <c r="C2846" s="23" t="s">
        <v>4472</v>
      </c>
      <c r="D2846" s="23">
        <v>2.6320000000000001</v>
      </c>
      <c r="E2846" s="23" t="s">
        <v>4430</v>
      </c>
      <c r="F2846" s="15" t="s">
        <v>4473</v>
      </c>
      <c r="G2846" s="15" t="s">
        <v>4432</v>
      </c>
      <c r="H2846" s="23" t="s">
        <v>58</v>
      </c>
    </row>
    <row r="2847" spans="1:8" ht="54.95" customHeight="1" x14ac:dyDescent="0.2">
      <c r="A2847" s="23" t="s">
        <v>129</v>
      </c>
      <c r="B2847" s="23" t="s">
        <v>22</v>
      </c>
      <c r="C2847" s="23" t="s">
        <v>4474</v>
      </c>
      <c r="D2847" s="23">
        <v>2.5009999999999999</v>
      </c>
      <c r="E2847" s="23" t="s">
        <v>4430</v>
      </c>
      <c r="F2847" s="15" t="s">
        <v>4475</v>
      </c>
      <c r="G2847" s="15" t="s">
        <v>4432</v>
      </c>
      <c r="H2847" s="23" t="s">
        <v>58</v>
      </c>
    </row>
    <row r="2848" spans="1:8" ht="54.95" customHeight="1" x14ac:dyDescent="0.2">
      <c r="A2848" s="23" t="s">
        <v>129</v>
      </c>
      <c r="B2848" s="23" t="s">
        <v>24</v>
      </c>
      <c r="C2848" s="23" t="s">
        <v>4476</v>
      </c>
      <c r="D2848" s="23">
        <v>1.0880000000000001</v>
      </c>
      <c r="E2848" s="23" t="s">
        <v>4430</v>
      </c>
      <c r="F2848" s="15" t="s">
        <v>4477</v>
      </c>
      <c r="G2848" s="15" t="s">
        <v>4432</v>
      </c>
      <c r="H2848" s="23" t="s">
        <v>58</v>
      </c>
    </row>
    <row r="2849" spans="1:8" ht="54.95" customHeight="1" x14ac:dyDescent="0.2">
      <c r="A2849" s="23" t="s">
        <v>143</v>
      </c>
      <c r="B2849" s="23" t="s">
        <v>21</v>
      </c>
      <c r="C2849" s="23" t="s">
        <v>4478</v>
      </c>
      <c r="D2849" s="23">
        <v>1.38</v>
      </c>
      <c r="E2849" s="23" t="s">
        <v>4430</v>
      </c>
      <c r="F2849" s="15" t="s">
        <v>4479</v>
      </c>
      <c r="G2849" s="15" t="s">
        <v>4432</v>
      </c>
      <c r="H2849" s="23" t="s">
        <v>58</v>
      </c>
    </row>
    <row r="2850" spans="1:8" ht="54.95" customHeight="1" x14ac:dyDescent="0.2">
      <c r="A2850" s="23" t="s">
        <v>143</v>
      </c>
      <c r="B2850" s="23" t="s">
        <v>22</v>
      </c>
      <c r="C2850" s="23" t="s">
        <v>4480</v>
      </c>
      <c r="D2850" s="23">
        <v>1.341</v>
      </c>
      <c r="E2850" s="23" t="s">
        <v>4430</v>
      </c>
      <c r="F2850" s="15" t="s">
        <v>4481</v>
      </c>
      <c r="G2850" s="15" t="s">
        <v>4432</v>
      </c>
      <c r="H2850" s="23" t="s">
        <v>58</v>
      </c>
    </row>
    <row r="2851" spans="1:8" ht="54.95" customHeight="1" x14ac:dyDescent="0.2">
      <c r="A2851" s="23" t="s">
        <v>143</v>
      </c>
      <c r="B2851" s="23" t="s">
        <v>24</v>
      </c>
      <c r="C2851" s="23" t="s">
        <v>4482</v>
      </c>
      <c r="D2851" s="23">
        <v>0.62</v>
      </c>
      <c r="E2851" s="23" t="s">
        <v>4430</v>
      </c>
      <c r="F2851" s="15" t="s">
        <v>4483</v>
      </c>
      <c r="G2851" s="15" t="s">
        <v>4432</v>
      </c>
      <c r="H2851" s="23" t="s">
        <v>58</v>
      </c>
    </row>
    <row r="2852" spans="1:8" ht="54.95" customHeight="1" x14ac:dyDescent="0.2">
      <c r="A2852" s="23" t="s">
        <v>150</v>
      </c>
      <c r="B2852" s="23" t="s">
        <v>21</v>
      </c>
      <c r="C2852" s="23" t="s">
        <v>4484</v>
      </c>
      <c r="D2852" s="23">
        <v>1.0269999999999999</v>
      </c>
      <c r="E2852" s="23" t="s">
        <v>4430</v>
      </c>
      <c r="F2852" s="15" t="s">
        <v>4485</v>
      </c>
      <c r="G2852" s="15" t="s">
        <v>4432</v>
      </c>
      <c r="H2852" s="23" t="s">
        <v>58</v>
      </c>
    </row>
    <row r="2853" spans="1:8" ht="54.95" customHeight="1" x14ac:dyDescent="0.2">
      <c r="A2853" s="23" t="s">
        <v>150</v>
      </c>
      <c r="B2853" s="23" t="s">
        <v>22</v>
      </c>
      <c r="C2853" s="23" t="s">
        <v>4486</v>
      </c>
      <c r="D2853" s="23">
        <v>1.1060000000000001</v>
      </c>
      <c r="E2853" s="23" t="s">
        <v>4430</v>
      </c>
      <c r="F2853" s="15" t="s">
        <v>4487</v>
      </c>
      <c r="G2853" s="15" t="s">
        <v>4432</v>
      </c>
      <c r="H2853" s="23" t="s">
        <v>58</v>
      </c>
    </row>
    <row r="2854" spans="1:8" ht="54.95" customHeight="1" x14ac:dyDescent="0.2">
      <c r="A2854" s="23" t="s">
        <v>169</v>
      </c>
      <c r="B2854" s="23" t="s">
        <v>21</v>
      </c>
      <c r="C2854" s="23" t="s">
        <v>4488</v>
      </c>
      <c r="D2854" s="23">
        <v>1.6419999999999999</v>
      </c>
      <c r="E2854" s="23" t="s">
        <v>4430</v>
      </c>
      <c r="F2854" s="15" t="s">
        <v>4489</v>
      </c>
      <c r="G2854" s="15" t="s">
        <v>4432</v>
      </c>
      <c r="H2854" s="23" t="s">
        <v>58</v>
      </c>
    </row>
    <row r="2855" spans="1:8" ht="54.95" customHeight="1" x14ac:dyDescent="0.2">
      <c r="A2855" s="23" t="s">
        <v>169</v>
      </c>
      <c r="B2855" s="23" t="s">
        <v>22</v>
      </c>
      <c r="C2855" s="23" t="s">
        <v>4490</v>
      </c>
      <c r="D2855" s="23">
        <v>1.673</v>
      </c>
      <c r="E2855" s="23" t="s">
        <v>4430</v>
      </c>
      <c r="F2855" s="15" t="s">
        <v>4491</v>
      </c>
      <c r="G2855" s="15" t="s">
        <v>4432</v>
      </c>
      <c r="H2855" s="23" t="s">
        <v>58</v>
      </c>
    </row>
    <row r="2856" spans="1:8" ht="54.95" customHeight="1" x14ac:dyDescent="0.2">
      <c r="A2856" s="23" t="s">
        <v>176</v>
      </c>
      <c r="B2856" s="23" t="s">
        <v>21</v>
      </c>
      <c r="C2856" s="23" t="s">
        <v>4492</v>
      </c>
      <c r="D2856" s="23">
        <v>3.242</v>
      </c>
      <c r="E2856" s="23" t="s">
        <v>4430</v>
      </c>
      <c r="F2856" s="15" t="s">
        <v>4493</v>
      </c>
      <c r="G2856" s="15" t="s">
        <v>4432</v>
      </c>
      <c r="H2856" s="23" t="s">
        <v>58</v>
      </c>
    </row>
    <row r="2857" spans="1:8" ht="54.95" customHeight="1" x14ac:dyDescent="0.2">
      <c r="A2857" s="23" t="s">
        <v>176</v>
      </c>
      <c r="B2857" s="23" t="s">
        <v>22</v>
      </c>
      <c r="C2857" s="23" t="s">
        <v>4494</v>
      </c>
      <c r="D2857" s="23">
        <v>3.383</v>
      </c>
      <c r="E2857" s="23" t="s">
        <v>4430</v>
      </c>
      <c r="F2857" s="15" t="s">
        <v>4495</v>
      </c>
      <c r="G2857" s="15" t="s">
        <v>4432</v>
      </c>
      <c r="H2857" s="23" t="s">
        <v>58</v>
      </c>
    </row>
    <row r="2858" spans="1:8" ht="54.95" customHeight="1" x14ac:dyDescent="0.2">
      <c r="A2858" s="23" t="s">
        <v>183</v>
      </c>
      <c r="B2858" s="23" t="s">
        <v>21</v>
      </c>
      <c r="C2858" s="23" t="s">
        <v>4496</v>
      </c>
      <c r="D2858" s="23">
        <v>1.4350000000000001</v>
      </c>
      <c r="E2858" s="23" t="s">
        <v>4430</v>
      </c>
      <c r="F2858" s="15" t="s">
        <v>4497</v>
      </c>
      <c r="G2858" s="15" t="s">
        <v>4432</v>
      </c>
      <c r="H2858" s="23" t="s">
        <v>58</v>
      </c>
    </row>
    <row r="2859" spans="1:8" ht="54.95" customHeight="1" x14ac:dyDescent="0.2">
      <c r="A2859" s="23" t="s">
        <v>183</v>
      </c>
      <c r="B2859" s="23" t="s">
        <v>22</v>
      </c>
      <c r="C2859" s="23" t="s">
        <v>4498</v>
      </c>
      <c r="D2859" s="23">
        <v>1.4650000000000001</v>
      </c>
      <c r="E2859" s="23" t="s">
        <v>4430</v>
      </c>
      <c r="F2859" s="15" t="s">
        <v>4499</v>
      </c>
      <c r="G2859" s="15" t="s">
        <v>4432</v>
      </c>
      <c r="H2859" s="23" t="s">
        <v>58</v>
      </c>
    </row>
    <row r="2860" spans="1:8" ht="54.95" customHeight="1" x14ac:dyDescent="0.2">
      <c r="A2860" s="23" t="s">
        <v>190</v>
      </c>
      <c r="B2860" s="23" t="s">
        <v>21</v>
      </c>
      <c r="C2860" s="23" t="s">
        <v>4500</v>
      </c>
      <c r="D2860" s="23">
        <v>1.2989999999999999</v>
      </c>
      <c r="E2860" s="23" t="s">
        <v>4430</v>
      </c>
      <c r="F2860" s="15" t="s">
        <v>4501</v>
      </c>
      <c r="G2860" s="15" t="s">
        <v>4432</v>
      </c>
      <c r="H2860" s="23" t="s">
        <v>58</v>
      </c>
    </row>
    <row r="2861" spans="1:8" ht="54.95" customHeight="1" x14ac:dyDescent="0.2">
      <c r="A2861" s="23" t="s">
        <v>190</v>
      </c>
      <c r="B2861" s="23" t="s">
        <v>22</v>
      </c>
      <c r="C2861" s="23" t="s">
        <v>4502</v>
      </c>
      <c r="D2861" s="23">
        <v>1.0680000000000001</v>
      </c>
      <c r="E2861" s="23" t="s">
        <v>4430</v>
      </c>
      <c r="F2861" s="15" t="s">
        <v>4503</v>
      </c>
      <c r="G2861" s="15" t="s">
        <v>4432</v>
      </c>
      <c r="H2861" s="23" t="s">
        <v>58</v>
      </c>
    </row>
    <row r="2862" spans="1:8" ht="54.95" customHeight="1" x14ac:dyDescent="0.2">
      <c r="A2862" s="23" t="s">
        <v>199</v>
      </c>
      <c r="B2862" s="23" t="s">
        <v>21</v>
      </c>
      <c r="C2862" s="23" t="s">
        <v>4504</v>
      </c>
      <c r="D2862" s="23">
        <v>2.4249999999999998</v>
      </c>
      <c r="E2862" s="23" t="s">
        <v>4430</v>
      </c>
      <c r="F2862" s="15" t="s">
        <v>4505</v>
      </c>
      <c r="G2862" s="15" t="s">
        <v>4432</v>
      </c>
      <c r="H2862" s="23" t="s">
        <v>58</v>
      </c>
    </row>
    <row r="2863" spans="1:8" ht="54.95" customHeight="1" x14ac:dyDescent="0.2">
      <c r="A2863" s="23" t="s">
        <v>199</v>
      </c>
      <c r="B2863" s="23" t="s">
        <v>22</v>
      </c>
      <c r="C2863" s="23" t="s">
        <v>4506</v>
      </c>
      <c r="D2863" s="23">
        <v>2.6640000000000001</v>
      </c>
      <c r="E2863" s="23" t="s">
        <v>4430</v>
      </c>
      <c r="F2863" s="15" t="s">
        <v>4507</v>
      </c>
      <c r="G2863" s="15" t="s">
        <v>4432</v>
      </c>
      <c r="H2863" s="23" t="s">
        <v>58</v>
      </c>
    </row>
    <row r="2864" spans="1:8" ht="54.95" customHeight="1" x14ac:dyDescent="0.2">
      <c r="A2864" s="23" t="s">
        <v>199</v>
      </c>
      <c r="B2864" s="23" t="s">
        <v>24</v>
      </c>
      <c r="C2864" s="23" t="s">
        <v>4508</v>
      </c>
      <c r="D2864" s="23">
        <v>1.1919999999999999</v>
      </c>
      <c r="E2864" s="23" t="s">
        <v>4430</v>
      </c>
      <c r="F2864" s="15" t="s">
        <v>4509</v>
      </c>
      <c r="G2864" s="15" t="s">
        <v>4432</v>
      </c>
      <c r="H2864" s="23" t="s">
        <v>58</v>
      </c>
    </row>
    <row r="2865" spans="1:8" ht="54.95" customHeight="1" x14ac:dyDescent="0.2">
      <c r="A2865" s="23" t="s">
        <v>206</v>
      </c>
      <c r="B2865" s="23" t="s">
        <v>21</v>
      </c>
      <c r="C2865" s="23" t="s">
        <v>1544</v>
      </c>
      <c r="D2865" s="23">
        <v>1.28</v>
      </c>
      <c r="E2865" s="23" t="s">
        <v>4430</v>
      </c>
      <c r="F2865" s="15" t="s">
        <v>4510</v>
      </c>
      <c r="G2865" s="15" t="s">
        <v>4432</v>
      </c>
      <c r="H2865" s="23" t="s">
        <v>58</v>
      </c>
    </row>
    <row r="2866" spans="1:8" ht="54.95" customHeight="1" x14ac:dyDescent="0.2">
      <c r="A2866" s="23" t="s">
        <v>206</v>
      </c>
      <c r="B2866" s="23" t="s">
        <v>22</v>
      </c>
      <c r="C2866" s="23" t="s">
        <v>4511</v>
      </c>
      <c r="D2866" s="23">
        <v>1.411</v>
      </c>
      <c r="E2866" s="23" t="s">
        <v>4430</v>
      </c>
      <c r="F2866" s="15" t="s">
        <v>4512</v>
      </c>
      <c r="G2866" s="15" t="s">
        <v>4432</v>
      </c>
      <c r="H2866" s="23" t="s">
        <v>58</v>
      </c>
    </row>
    <row r="2867" spans="1:8" ht="54.95" customHeight="1" x14ac:dyDescent="0.2">
      <c r="A2867" s="23" t="s">
        <v>213</v>
      </c>
      <c r="B2867" s="23" t="s">
        <v>21</v>
      </c>
      <c r="C2867" s="23" t="s">
        <v>4513</v>
      </c>
      <c r="D2867" s="23">
        <v>1.0920000000000001</v>
      </c>
      <c r="E2867" s="23" t="s">
        <v>4430</v>
      </c>
      <c r="F2867" s="15" t="s">
        <v>4514</v>
      </c>
      <c r="G2867" s="15" t="s">
        <v>4432</v>
      </c>
      <c r="H2867" s="23" t="s">
        <v>58</v>
      </c>
    </row>
    <row r="2868" spans="1:8" ht="54.95" customHeight="1" x14ac:dyDescent="0.2">
      <c r="A2868" s="23" t="s">
        <v>213</v>
      </c>
      <c r="B2868" s="23" t="s">
        <v>22</v>
      </c>
      <c r="C2868" s="23" t="s">
        <v>4515</v>
      </c>
      <c r="D2868" s="23">
        <v>1.1399999999999999</v>
      </c>
      <c r="E2868" s="23" t="s">
        <v>4430</v>
      </c>
      <c r="F2868" s="15" t="s">
        <v>4516</v>
      </c>
      <c r="G2868" s="15" t="s">
        <v>4432</v>
      </c>
      <c r="H2868" s="23" t="s">
        <v>58</v>
      </c>
    </row>
    <row r="2869" spans="1:8" ht="54.95" customHeight="1" x14ac:dyDescent="0.2">
      <c r="A2869" s="23" t="s">
        <v>220</v>
      </c>
      <c r="B2869" s="23" t="s">
        <v>21</v>
      </c>
      <c r="C2869" s="23" t="s">
        <v>4517</v>
      </c>
      <c r="D2869" s="23">
        <v>1.413</v>
      </c>
      <c r="E2869" s="23" t="s">
        <v>4430</v>
      </c>
      <c r="F2869" s="15" t="s">
        <v>4518</v>
      </c>
      <c r="G2869" s="15" t="s">
        <v>4432</v>
      </c>
      <c r="H2869" s="23" t="s">
        <v>58</v>
      </c>
    </row>
    <row r="2870" spans="1:8" ht="54.95" customHeight="1" x14ac:dyDescent="0.2">
      <c r="A2870" s="23" t="s">
        <v>220</v>
      </c>
      <c r="B2870" s="23" t="s">
        <v>22</v>
      </c>
      <c r="C2870" s="23" t="s">
        <v>4519</v>
      </c>
      <c r="D2870" s="23">
        <v>1.401</v>
      </c>
      <c r="E2870" s="23" t="s">
        <v>4430</v>
      </c>
      <c r="F2870" s="15" t="s">
        <v>4520</v>
      </c>
      <c r="G2870" s="15" t="s">
        <v>4432</v>
      </c>
      <c r="H2870" s="23" t="s">
        <v>58</v>
      </c>
    </row>
    <row r="2871" spans="1:8" ht="54.95" customHeight="1" x14ac:dyDescent="0.2">
      <c r="A2871" s="23" t="s">
        <v>220</v>
      </c>
      <c r="B2871" s="23" t="s">
        <v>24</v>
      </c>
      <c r="C2871" s="23" t="s">
        <v>4521</v>
      </c>
      <c r="D2871" s="23">
        <v>0.83499999999999996</v>
      </c>
      <c r="E2871" s="23" t="s">
        <v>4430</v>
      </c>
      <c r="F2871" s="15" t="s">
        <v>4522</v>
      </c>
      <c r="G2871" s="15" t="s">
        <v>4432</v>
      </c>
      <c r="H2871" s="23" t="s">
        <v>58</v>
      </c>
    </row>
    <row r="2872" spans="1:8" ht="54.95" customHeight="1" x14ac:dyDescent="0.2">
      <c r="A2872" s="23" t="s">
        <v>232</v>
      </c>
      <c r="B2872" s="23" t="s">
        <v>21</v>
      </c>
      <c r="C2872" s="23" t="s">
        <v>4523</v>
      </c>
      <c r="D2872" s="23">
        <v>1.5820000000000001</v>
      </c>
      <c r="E2872" s="23" t="s">
        <v>4430</v>
      </c>
      <c r="F2872" s="15" t="s">
        <v>4524</v>
      </c>
      <c r="G2872" s="15" t="s">
        <v>4432</v>
      </c>
      <c r="H2872" s="23" t="s">
        <v>58</v>
      </c>
    </row>
    <row r="2873" spans="1:8" ht="54.95" customHeight="1" x14ac:dyDescent="0.2">
      <c r="A2873" s="23" t="s">
        <v>232</v>
      </c>
      <c r="B2873" s="23" t="s">
        <v>22</v>
      </c>
      <c r="C2873" s="23" t="s">
        <v>4525</v>
      </c>
      <c r="D2873" s="23">
        <v>1.59</v>
      </c>
      <c r="E2873" s="23" t="s">
        <v>4430</v>
      </c>
      <c r="F2873" s="15" t="s">
        <v>4526</v>
      </c>
      <c r="G2873" s="15" t="s">
        <v>4432</v>
      </c>
      <c r="H2873" s="23" t="s">
        <v>58</v>
      </c>
    </row>
    <row r="2874" spans="1:8" ht="54.95" customHeight="1" x14ac:dyDescent="0.2">
      <c r="A2874" s="23" t="s">
        <v>244</v>
      </c>
      <c r="B2874" s="23" t="s">
        <v>21</v>
      </c>
      <c r="C2874" s="23" t="s">
        <v>4527</v>
      </c>
      <c r="D2874" s="23">
        <v>1.625</v>
      </c>
      <c r="E2874" s="23" t="s">
        <v>4430</v>
      </c>
      <c r="F2874" s="15" t="s">
        <v>4528</v>
      </c>
      <c r="G2874" s="15" t="s">
        <v>4432</v>
      </c>
      <c r="H2874" s="23" t="s">
        <v>58</v>
      </c>
    </row>
    <row r="2875" spans="1:8" ht="54.95" customHeight="1" x14ac:dyDescent="0.2">
      <c r="A2875" s="23" t="s">
        <v>244</v>
      </c>
      <c r="B2875" s="23" t="s">
        <v>22</v>
      </c>
      <c r="C2875" s="23" t="s">
        <v>4529</v>
      </c>
      <c r="D2875" s="23">
        <v>1.54</v>
      </c>
      <c r="E2875" s="23" t="s">
        <v>4430</v>
      </c>
      <c r="F2875" s="15" t="s">
        <v>4530</v>
      </c>
      <c r="G2875" s="15" t="s">
        <v>4432</v>
      </c>
      <c r="H2875" s="23" t="s">
        <v>58</v>
      </c>
    </row>
    <row r="2876" spans="1:8" ht="54.95" customHeight="1" x14ac:dyDescent="0.2">
      <c r="A2876" s="23" t="s">
        <v>251</v>
      </c>
      <c r="B2876" s="23" t="s">
        <v>21</v>
      </c>
      <c r="C2876" s="23" t="s">
        <v>4531</v>
      </c>
      <c r="D2876" s="23">
        <v>1.333</v>
      </c>
      <c r="E2876" s="23" t="s">
        <v>4430</v>
      </c>
      <c r="F2876" s="15" t="s">
        <v>4532</v>
      </c>
      <c r="G2876" s="15" t="s">
        <v>4432</v>
      </c>
      <c r="H2876" s="23" t="s">
        <v>58</v>
      </c>
    </row>
    <row r="2877" spans="1:8" ht="54.95" customHeight="1" x14ac:dyDescent="0.2">
      <c r="A2877" s="23" t="s">
        <v>251</v>
      </c>
      <c r="B2877" s="23" t="s">
        <v>22</v>
      </c>
      <c r="C2877" s="23" t="s">
        <v>4533</v>
      </c>
      <c r="D2877" s="23">
        <v>1.1759999999999999</v>
      </c>
      <c r="E2877" s="23" t="s">
        <v>4430</v>
      </c>
      <c r="F2877" s="15" t="s">
        <v>4534</v>
      </c>
      <c r="G2877" s="15" t="s">
        <v>4432</v>
      </c>
      <c r="H2877" s="23" t="s">
        <v>58</v>
      </c>
    </row>
    <row r="2878" spans="1:8" ht="54.95" customHeight="1" x14ac:dyDescent="0.2">
      <c r="A2878" s="23" t="s">
        <v>264</v>
      </c>
      <c r="B2878" s="23" t="s">
        <v>21</v>
      </c>
      <c r="C2878" s="23" t="s">
        <v>4535</v>
      </c>
      <c r="D2878" s="23">
        <v>1.1459999999999999</v>
      </c>
      <c r="E2878" s="23" t="s">
        <v>4430</v>
      </c>
      <c r="F2878" s="15" t="s">
        <v>4536</v>
      </c>
      <c r="G2878" s="15" t="s">
        <v>4432</v>
      </c>
      <c r="H2878" s="23" t="s">
        <v>58</v>
      </c>
    </row>
    <row r="2879" spans="1:8" ht="54.95" customHeight="1" x14ac:dyDescent="0.2">
      <c r="A2879" s="23" t="s">
        <v>264</v>
      </c>
      <c r="B2879" s="23" t="s">
        <v>22</v>
      </c>
      <c r="C2879" s="23" t="s">
        <v>4537</v>
      </c>
      <c r="D2879" s="23">
        <v>1.139</v>
      </c>
      <c r="E2879" s="23" t="s">
        <v>4430</v>
      </c>
      <c r="F2879" s="15" t="s">
        <v>4538</v>
      </c>
      <c r="G2879" s="15" t="s">
        <v>4432</v>
      </c>
      <c r="H2879" s="23" t="s">
        <v>58</v>
      </c>
    </row>
    <row r="2880" spans="1:8" ht="54.95" customHeight="1" x14ac:dyDescent="0.2">
      <c r="A2880" s="23" t="s">
        <v>271</v>
      </c>
      <c r="B2880" s="23" t="s">
        <v>21</v>
      </c>
      <c r="C2880" s="23" t="s">
        <v>4539</v>
      </c>
      <c r="D2880" s="23">
        <v>1.032</v>
      </c>
      <c r="E2880" s="23" t="s">
        <v>4430</v>
      </c>
      <c r="F2880" s="15" t="s">
        <v>4540</v>
      </c>
      <c r="G2880" s="15" t="s">
        <v>4432</v>
      </c>
      <c r="H2880" s="23" t="s">
        <v>58</v>
      </c>
    </row>
    <row r="2881" spans="1:8" ht="54.95" customHeight="1" x14ac:dyDescent="0.2">
      <c r="A2881" s="23" t="s">
        <v>271</v>
      </c>
      <c r="B2881" s="23" t="s">
        <v>22</v>
      </c>
      <c r="C2881" s="23" t="s">
        <v>4541</v>
      </c>
      <c r="D2881" s="23">
        <v>1.087</v>
      </c>
      <c r="E2881" s="23" t="s">
        <v>4430</v>
      </c>
      <c r="F2881" s="15" t="s">
        <v>4542</v>
      </c>
      <c r="G2881" s="15" t="s">
        <v>4432</v>
      </c>
      <c r="H2881" s="23" t="s">
        <v>58</v>
      </c>
    </row>
    <row r="2882" spans="1:8" ht="54.95" customHeight="1" x14ac:dyDescent="0.2">
      <c r="A2882" s="23" t="s">
        <v>278</v>
      </c>
      <c r="B2882" s="23" t="s">
        <v>21</v>
      </c>
      <c r="C2882" s="23" t="s">
        <v>4543</v>
      </c>
      <c r="D2882" s="23">
        <v>1.976</v>
      </c>
      <c r="E2882" s="23" t="s">
        <v>4430</v>
      </c>
      <c r="F2882" s="15" t="s">
        <v>4544</v>
      </c>
      <c r="G2882" s="15" t="s">
        <v>4432</v>
      </c>
      <c r="H2882" s="23" t="s">
        <v>58</v>
      </c>
    </row>
    <row r="2883" spans="1:8" ht="54.95" customHeight="1" x14ac:dyDescent="0.2">
      <c r="A2883" s="23" t="s">
        <v>278</v>
      </c>
      <c r="B2883" s="23" t="s">
        <v>22</v>
      </c>
      <c r="C2883" s="23" t="s">
        <v>4545</v>
      </c>
      <c r="D2883" s="23">
        <v>2.2170000000000001</v>
      </c>
      <c r="E2883" s="23" t="s">
        <v>4430</v>
      </c>
      <c r="F2883" s="15" t="s">
        <v>4546</v>
      </c>
      <c r="G2883" s="15" t="s">
        <v>4432</v>
      </c>
      <c r="H2883" s="23" t="s">
        <v>58</v>
      </c>
    </row>
    <row r="2884" spans="1:8" ht="54.95" customHeight="1" x14ac:dyDescent="0.2">
      <c r="A2884" s="23" t="s">
        <v>278</v>
      </c>
      <c r="B2884" s="23" t="s">
        <v>24</v>
      </c>
      <c r="C2884" s="23" t="s">
        <v>4547</v>
      </c>
      <c r="D2884" s="23">
        <v>1</v>
      </c>
      <c r="E2884" s="23" t="s">
        <v>4430</v>
      </c>
      <c r="F2884" s="15" t="s">
        <v>4548</v>
      </c>
      <c r="G2884" s="15" t="s">
        <v>4432</v>
      </c>
      <c r="H2884" s="23" t="s">
        <v>58</v>
      </c>
    </row>
    <row r="2885" spans="1:8" ht="54.95" customHeight="1" x14ac:dyDescent="0.2">
      <c r="A2885" s="23" t="s">
        <v>285</v>
      </c>
      <c r="B2885" s="23" t="s">
        <v>21</v>
      </c>
      <c r="C2885" s="23" t="s">
        <v>4549</v>
      </c>
      <c r="D2885" s="23">
        <v>0.89400000000000002</v>
      </c>
      <c r="E2885" s="23" t="s">
        <v>4430</v>
      </c>
      <c r="F2885" s="15" t="s">
        <v>4550</v>
      </c>
      <c r="G2885" s="15" t="s">
        <v>4432</v>
      </c>
      <c r="H2885" s="23" t="s">
        <v>58</v>
      </c>
    </row>
    <row r="2886" spans="1:8" ht="54.95" customHeight="1" x14ac:dyDescent="0.2">
      <c r="A2886" s="23" t="s">
        <v>285</v>
      </c>
      <c r="B2886" s="23" t="s">
        <v>22</v>
      </c>
      <c r="C2886" s="23" t="s">
        <v>4551</v>
      </c>
      <c r="D2886" s="23">
        <v>0.89400000000000002</v>
      </c>
      <c r="E2886" s="23" t="s">
        <v>4430</v>
      </c>
      <c r="F2886" s="15" t="s">
        <v>4552</v>
      </c>
      <c r="G2886" s="15" t="s">
        <v>4432</v>
      </c>
      <c r="H2886" s="23" t="s">
        <v>58</v>
      </c>
    </row>
    <row r="2887" spans="1:8" ht="54.95" customHeight="1" x14ac:dyDescent="0.2">
      <c r="A2887" s="23" t="s">
        <v>285</v>
      </c>
      <c r="B2887" s="23" t="s">
        <v>24</v>
      </c>
      <c r="C2887" s="23" t="s">
        <v>4553</v>
      </c>
      <c r="D2887" s="23">
        <v>0.442</v>
      </c>
      <c r="E2887" s="23" t="s">
        <v>4430</v>
      </c>
      <c r="F2887" s="15" t="s">
        <v>4554</v>
      </c>
      <c r="G2887" s="15" t="s">
        <v>4432</v>
      </c>
      <c r="H2887" s="23" t="s">
        <v>58</v>
      </c>
    </row>
    <row r="2888" spans="1:8" ht="54.95" customHeight="1" x14ac:dyDescent="0.2">
      <c r="A2888" s="23" t="s">
        <v>292</v>
      </c>
      <c r="B2888" s="23" t="s">
        <v>21</v>
      </c>
      <c r="C2888" s="23" t="s">
        <v>4555</v>
      </c>
      <c r="D2888" s="23">
        <v>1.554</v>
      </c>
      <c r="E2888" s="23" t="s">
        <v>4430</v>
      </c>
      <c r="F2888" s="15" t="s">
        <v>4556</v>
      </c>
      <c r="G2888" s="15" t="s">
        <v>4432</v>
      </c>
      <c r="H2888" s="23" t="s">
        <v>58</v>
      </c>
    </row>
    <row r="2889" spans="1:8" ht="54.95" customHeight="1" x14ac:dyDescent="0.2">
      <c r="A2889" s="23" t="s">
        <v>292</v>
      </c>
      <c r="B2889" s="23" t="s">
        <v>22</v>
      </c>
      <c r="C2889" s="23" t="s">
        <v>4557</v>
      </c>
      <c r="D2889" s="23">
        <v>1.726</v>
      </c>
      <c r="E2889" s="23" t="s">
        <v>4430</v>
      </c>
      <c r="F2889" s="15" t="s">
        <v>4558</v>
      </c>
      <c r="G2889" s="15" t="s">
        <v>4432</v>
      </c>
      <c r="H2889" s="23" t="s">
        <v>58</v>
      </c>
    </row>
    <row r="2890" spans="1:8" ht="54.95" customHeight="1" x14ac:dyDescent="0.2">
      <c r="A2890" s="23" t="s">
        <v>299</v>
      </c>
      <c r="B2890" s="23" t="s">
        <v>21</v>
      </c>
      <c r="C2890" s="23" t="s">
        <v>4559</v>
      </c>
      <c r="D2890" s="23">
        <v>1.63</v>
      </c>
      <c r="E2890" s="23" t="s">
        <v>4430</v>
      </c>
      <c r="F2890" s="15" t="s">
        <v>4560</v>
      </c>
      <c r="G2890" s="15" t="s">
        <v>4432</v>
      </c>
      <c r="H2890" s="23" t="s">
        <v>58</v>
      </c>
    </row>
    <row r="2891" spans="1:8" ht="54.95" customHeight="1" x14ac:dyDescent="0.2">
      <c r="A2891" s="23" t="s">
        <v>299</v>
      </c>
      <c r="B2891" s="23" t="s">
        <v>22</v>
      </c>
      <c r="C2891" s="23" t="s">
        <v>4561</v>
      </c>
      <c r="D2891" s="23">
        <v>1.962</v>
      </c>
      <c r="E2891" s="23" t="s">
        <v>4430</v>
      </c>
      <c r="F2891" s="15" t="s">
        <v>4562</v>
      </c>
      <c r="G2891" s="15" t="s">
        <v>4432</v>
      </c>
      <c r="H2891" s="23" t="s">
        <v>58</v>
      </c>
    </row>
    <row r="2892" spans="1:8" ht="54.95" customHeight="1" x14ac:dyDescent="0.2">
      <c r="A2892" s="23" t="s">
        <v>315</v>
      </c>
      <c r="B2892" s="23" t="s">
        <v>21</v>
      </c>
      <c r="C2892" s="23" t="s">
        <v>4563</v>
      </c>
      <c r="D2892" s="23">
        <v>0.622</v>
      </c>
      <c r="E2892" s="23" t="s">
        <v>4430</v>
      </c>
      <c r="F2892" s="15" t="s">
        <v>4564</v>
      </c>
      <c r="G2892" s="15" t="s">
        <v>4432</v>
      </c>
      <c r="H2892" s="23" t="s">
        <v>58</v>
      </c>
    </row>
    <row r="2893" spans="1:8" ht="54.95" customHeight="1" x14ac:dyDescent="0.2">
      <c r="A2893" s="23" t="s">
        <v>315</v>
      </c>
      <c r="B2893" s="23" t="s">
        <v>22</v>
      </c>
      <c r="C2893" s="23" t="s">
        <v>4565</v>
      </c>
      <c r="D2893" s="23">
        <v>0.67100000000000004</v>
      </c>
      <c r="E2893" s="23" t="s">
        <v>4430</v>
      </c>
      <c r="F2893" s="15" t="s">
        <v>4566</v>
      </c>
      <c r="G2893" s="15" t="s">
        <v>4432</v>
      </c>
      <c r="H2893" s="23" t="s">
        <v>58</v>
      </c>
    </row>
    <row r="2894" spans="1:8" ht="54.95" customHeight="1" x14ac:dyDescent="0.2">
      <c r="A2894" s="23" t="s">
        <v>322</v>
      </c>
      <c r="B2894" s="23" t="s">
        <v>21</v>
      </c>
      <c r="C2894" s="23" t="s">
        <v>4567</v>
      </c>
      <c r="D2894" s="23">
        <v>1.496</v>
      </c>
      <c r="E2894" s="23" t="s">
        <v>4430</v>
      </c>
      <c r="F2894" s="15" t="s">
        <v>4568</v>
      </c>
      <c r="G2894" s="15" t="s">
        <v>4432</v>
      </c>
      <c r="H2894" s="23" t="s">
        <v>58</v>
      </c>
    </row>
    <row r="2895" spans="1:8" ht="54.95" customHeight="1" x14ac:dyDescent="0.2">
      <c r="A2895" s="23" t="s">
        <v>322</v>
      </c>
      <c r="B2895" s="23" t="s">
        <v>22</v>
      </c>
      <c r="C2895" s="23" t="s">
        <v>4569</v>
      </c>
      <c r="D2895" s="23">
        <v>1.3560000000000001</v>
      </c>
      <c r="E2895" s="23" t="s">
        <v>4430</v>
      </c>
      <c r="F2895" s="15" t="s">
        <v>4570</v>
      </c>
      <c r="G2895" s="15" t="s">
        <v>4432</v>
      </c>
      <c r="H2895" s="23" t="s">
        <v>58</v>
      </c>
    </row>
    <row r="2896" spans="1:8" ht="54.95" customHeight="1" x14ac:dyDescent="0.2">
      <c r="A2896" s="23" t="s">
        <v>329</v>
      </c>
      <c r="B2896" s="23" t="s">
        <v>21</v>
      </c>
      <c r="C2896" s="23" t="s">
        <v>4571</v>
      </c>
      <c r="D2896" s="23">
        <v>0.72099999999999997</v>
      </c>
      <c r="E2896" s="23" t="s">
        <v>4430</v>
      </c>
      <c r="F2896" s="15" t="s">
        <v>4572</v>
      </c>
      <c r="G2896" s="15" t="s">
        <v>4432</v>
      </c>
      <c r="H2896" s="23" t="s">
        <v>58</v>
      </c>
    </row>
    <row r="2897" spans="1:8" ht="54.95" customHeight="1" x14ac:dyDescent="0.2">
      <c r="A2897" s="23" t="s">
        <v>329</v>
      </c>
      <c r="B2897" s="23" t="s">
        <v>22</v>
      </c>
      <c r="C2897" s="23" t="s">
        <v>4573</v>
      </c>
      <c r="D2897" s="23">
        <v>0.77300000000000002</v>
      </c>
      <c r="E2897" s="23" t="s">
        <v>4430</v>
      </c>
      <c r="F2897" s="15" t="s">
        <v>4574</v>
      </c>
      <c r="G2897" s="15" t="s">
        <v>4432</v>
      </c>
      <c r="H2897" s="23" t="s">
        <v>58</v>
      </c>
    </row>
    <row r="2898" spans="1:8" ht="54.95" customHeight="1" x14ac:dyDescent="0.2">
      <c r="A2898" s="23" t="s">
        <v>329</v>
      </c>
      <c r="B2898" s="23" t="s">
        <v>24</v>
      </c>
      <c r="C2898" s="23" t="s">
        <v>4575</v>
      </c>
      <c r="D2898" s="23">
        <v>0.251</v>
      </c>
      <c r="E2898" s="23" t="s">
        <v>4430</v>
      </c>
      <c r="F2898" s="15" t="s">
        <v>4576</v>
      </c>
      <c r="G2898" s="15" t="s">
        <v>4432</v>
      </c>
      <c r="H2898" s="23" t="s">
        <v>58</v>
      </c>
    </row>
    <row r="2899" spans="1:8" ht="54.95" customHeight="1" x14ac:dyDescent="0.2">
      <c r="A2899" s="23" t="s">
        <v>342</v>
      </c>
      <c r="B2899" s="23" t="s">
        <v>21</v>
      </c>
      <c r="C2899" s="23" t="s">
        <v>4577</v>
      </c>
      <c r="D2899" s="23">
        <v>2.1110000000000002</v>
      </c>
      <c r="E2899" s="23" t="s">
        <v>4430</v>
      </c>
      <c r="F2899" s="15" t="s">
        <v>4578</v>
      </c>
      <c r="G2899" s="15" t="s">
        <v>4432</v>
      </c>
      <c r="H2899" s="23" t="s">
        <v>58</v>
      </c>
    </row>
    <row r="2900" spans="1:8" ht="54.95" customHeight="1" x14ac:dyDescent="0.2">
      <c r="A2900" s="23" t="s">
        <v>342</v>
      </c>
      <c r="B2900" s="23" t="s">
        <v>22</v>
      </c>
      <c r="C2900" s="23" t="s">
        <v>4579</v>
      </c>
      <c r="D2900" s="23">
        <v>2.3079999999999998</v>
      </c>
      <c r="E2900" s="23" t="s">
        <v>4430</v>
      </c>
      <c r="F2900" s="15" t="s">
        <v>4580</v>
      </c>
      <c r="G2900" s="15" t="s">
        <v>4432</v>
      </c>
      <c r="H2900" s="23" t="s">
        <v>58</v>
      </c>
    </row>
    <row r="2901" spans="1:8" ht="54.95" customHeight="1" x14ac:dyDescent="0.2">
      <c r="A2901" s="23" t="s">
        <v>342</v>
      </c>
      <c r="B2901" s="23" t="s">
        <v>24</v>
      </c>
      <c r="C2901" s="23" t="s">
        <v>4581</v>
      </c>
      <c r="D2901" s="23">
        <v>1.0369999999999999</v>
      </c>
      <c r="E2901" s="23" t="s">
        <v>4430</v>
      </c>
      <c r="F2901" s="15" t="s">
        <v>4582</v>
      </c>
      <c r="G2901" s="15" t="s">
        <v>4432</v>
      </c>
      <c r="H2901" s="23" t="s">
        <v>58</v>
      </c>
    </row>
    <row r="2902" spans="1:8" ht="54.95" customHeight="1" x14ac:dyDescent="0.2">
      <c r="A2902" s="23" t="s">
        <v>349</v>
      </c>
      <c r="B2902" s="23" t="s">
        <v>21</v>
      </c>
      <c r="C2902" s="23" t="s">
        <v>4583</v>
      </c>
      <c r="D2902" s="23">
        <v>1.274</v>
      </c>
      <c r="E2902" s="23" t="s">
        <v>4430</v>
      </c>
      <c r="F2902" s="15" t="s">
        <v>4584</v>
      </c>
      <c r="G2902" s="15" t="s">
        <v>4432</v>
      </c>
      <c r="H2902" s="23" t="s">
        <v>58</v>
      </c>
    </row>
    <row r="2903" spans="1:8" ht="54.95" customHeight="1" x14ac:dyDescent="0.2">
      <c r="A2903" s="23" t="s">
        <v>349</v>
      </c>
      <c r="B2903" s="23" t="s">
        <v>22</v>
      </c>
      <c r="C2903" s="23" t="s">
        <v>4480</v>
      </c>
      <c r="D2903" s="23">
        <v>1.278</v>
      </c>
      <c r="E2903" s="23" t="s">
        <v>4430</v>
      </c>
      <c r="F2903" s="15" t="s">
        <v>4585</v>
      </c>
      <c r="G2903" s="15" t="s">
        <v>4432</v>
      </c>
      <c r="H2903" s="23" t="s">
        <v>58</v>
      </c>
    </row>
    <row r="2904" spans="1:8" ht="54.95" customHeight="1" x14ac:dyDescent="0.2">
      <c r="A2904" s="23" t="s">
        <v>356</v>
      </c>
      <c r="B2904" s="23" t="s">
        <v>21</v>
      </c>
      <c r="C2904" s="23" t="s">
        <v>4586</v>
      </c>
      <c r="D2904" s="23">
        <v>2.2040000000000002</v>
      </c>
      <c r="E2904" s="23" t="s">
        <v>4430</v>
      </c>
      <c r="F2904" s="15" t="s">
        <v>4587</v>
      </c>
      <c r="G2904" s="15" t="s">
        <v>4432</v>
      </c>
      <c r="H2904" s="23" t="s">
        <v>58</v>
      </c>
    </row>
    <row r="2905" spans="1:8" ht="54.95" customHeight="1" x14ac:dyDescent="0.2">
      <c r="A2905" s="23" t="s">
        <v>356</v>
      </c>
      <c r="B2905" s="23" t="s">
        <v>22</v>
      </c>
      <c r="C2905" s="23" t="s">
        <v>4588</v>
      </c>
      <c r="D2905" s="23">
        <v>1.4590000000000001</v>
      </c>
      <c r="E2905" s="23" t="s">
        <v>4430</v>
      </c>
      <c r="F2905" s="15" t="s">
        <v>4589</v>
      </c>
      <c r="G2905" s="15" t="s">
        <v>4432</v>
      </c>
      <c r="H2905" s="23" t="s">
        <v>58</v>
      </c>
    </row>
    <row r="2906" spans="1:8" ht="54.95" customHeight="1" x14ac:dyDescent="0.2">
      <c r="A2906" s="23" t="s">
        <v>362</v>
      </c>
      <c r="B2906" s="23" t="s">
        <v>21</v>
      </c>
      <c r="C2906" s="23" t="s">
        <v>4590</v>
      </c>
      <c r="D2906" s="23">
        <v>1.7829999999999999</v>
      </c>
      <c r="E2906" s="23" t="s">
        <v>4430</v>
      </c>
      <c r="F2906" s="15" t="s">
        <v>4591</v>
      </c>
      <c r="G2906" s="15" t="s">
        <v>4432</v>
      </c>
      <c r="H2906" s="23" t="s">
        <v>58</v>
      </c>
    </row>
    <row r="2907" spans="1:8" ht="54.95" customHeight="1" x14ac:dyDescent="0.2">
      <c r="A2907" s="23" t="s">
        <v>362</v>
      </c>
      <c r="B2907" s="23" t="s">
        <v>22</v>
      </c>
      <c r="C2907" s="23" t="s">
        <v>4592</v>
      </c>
      <c r="D2907" s="23">
        <v>1.59</v>
      </c>
      <c r="E2907" s="23" t="s">
        <v>4430</v>
      </c>
      <c r="F2907" s="15" t="s">
        <v>4593</v>
      </c>
      <c r="G2907" s="15" t="s">
        <v>4432</v>
      </c>
      <c r="H2907" s="23" t="s">
        <v>58</v>
      </c>
    </row>
    <row r="2908" spans="1:8" ht="54.95" customHeight="1" x14ac:dyDescent="0.2">
      <c r="A2908" s="23" t="s">
        <v>362</v>
      </c>
      <c r="B2908" s="23" t="s">
        <v>24</v>
      </c>
      <c r="C2908" s="23" t="s">
        <v>4594</v>
      </c>
      <c r="D2908" s="23">
        <v>0.81699999999999995</v>
      </c>
      <c r="E2908" s="23" t="s">
        <v>4430</v>
      </c>
      <c r="F2908" s="15" t="s">
        <v>4595</v>
      </c>
      <c r="G2908" s="15" t="s">
        <v>4432</v>
      </c>
      <c r="H2908" s="23" t="s">
        <v>58</v>
      </c>
    </row>
    <row r="2909" spans="1:8" ht="54.95" customHeight="1" x14ac:dyDescent="0.2">
      <c r="A2909" s="23" t="s">
        <v>368</v>
      </c>
      <c r="B2909" s="23" t="s">
        <v>21</v>
      </c>
      <c r="C2909" s="23" t="s">
        <v>4596</v>
      </c>
      <c r="D2909" s="23">
        <v>0.88400000000000001</v>
      </c>
      <c r="E2909" s="23" t="s">
        <v>4430</v>
      </c>
      <c r="F2909" s="15" t="s">
        <v>4597</v>
      </c>
      <c r="G2909" s="15" t="s">
        <v>4432</v>
      </c>
      <c r="H2909" s="23" t="s">
        <v>58</v>
      </c>
    </row>
    <row r="2910" spans="1:8" ht="54.95" customHeight="1" x14ac:dyDescent="0.2">
      <c r="A2910" s="23" t="s">
        <v>368</v>
      </c>
      <c r="B2910" s="23" t="s">
        <v>22</v>
      </c>
      <c r="C2910" s="23" t="s">
        <v>4598</v>
      </c>
      <c r="D2910" s="23">
        <v>0.96799999999999997</v>
      </c>
      <c r="E2910" s="23" t="s">
        <v>4430</v>
      </c>
      <c r="F2910" s="15" t="s">
        <v>4599</v>
      </c>
      <c r="G2910" s="15" t="s">
        <v>4432</v>
      </c>
      <c r="H2910" s="23" t="s">
        <v>58</v>
      </c>
    </row>
    <row r="2911" spans="1:8" ht="54.95" customHeight="1" x14ac:dyDescent="0.2">
      <c r="A2911" s="23" t="s">
        <v>368</v>
      </c>
      <c r="B2911" s="23" t="s">
        <v>24</v>
      </c>
      <c r="C2911" s="23" t="s">
        <v>4600</v>
      </c>
      <c r="D2911" s="23">
        <v>0.42899999999999999</v>
      </c>
      <c r="E2911" s="23" t="s">
        <v>4430</v>
      </c>
      <c r="F2911" s="15" t="s">
        <v>4601</v>
      </c>
      <c r="G2911" s="15" t="s">
        <v>4432</v>
      </c>
      <c r="H2911" s="23" t="s">
        <v>58</v>
      </c>
    </row>
    <row r="2912" spans="1:8" ht="54.95" customHeight="1" x14ac:dyDescent="0.2">
      <c r="A2912" s="23" t="s">
        <v>374</v>
      </c>
      <c r="B2912" s="23" t="s">
        <v>21</v>
      </c>
      <c r="C2912" s="23" t="s">
        <v>4602</v>
      </c>
      <c r="D2912" s="23">
        <v>2.0760000000000001</v>
      </c>
      <c r="E2912" s="23" t="s">
        <v>4430</v>
      </c>
      <c r="F2912" s="15" t="s">
        <v>4603</v>
      </c>
      <c r="G2912" s="15" t="s">
        <v>4432</v>
      </c>
      <c r="H2912" s="23" t="s">
        <v>58</v>
      </c>
    </row>
    <row r="2913" spans="1:8" ht="54.95" customHeight="1" x14ac:dyDescent="0.2">
      <c r="A2913" s="23" t="s">
        <v>374</v>
      </c>
      <c r="B2913" s="23" t="s">
        <v>22</v>
      </c>
      <c r="C2913" s="23" t="s">
        <v>4604</v>
      </c>
      <c r="D2913" s="23">
        <v>2.2509999999999999</v>
      </c>
      <c r="E2913" s="23" t="s">
        <v>4430</v>
      </c>
      <c r="F2913" s="15" t="s">
        <v>4605</v>
      </c>
      <c r="G2913" s="15" t="s">
        <v>4432</v>
      </c>
      <c r="H2913" s="23" t="s">
        <v>58</v>
      </c>
    </row>
    <row r="2914" spans="1:8" ht="54.95" customHeight="1" x14ac:dyDescent="0.2">
      <c r="A2914" s="23" t="s">
        <v>374</v>
      </c>
      <c r="B2914" s="23" t="s">
        <v>24</v>
      </c>
      <c r="C2914" s="23" t="s">
        <v>4606</v>
      </c>
      <c r="D2914" s="23">
        <v>1.0309999999999999</v>
      </c>
      <c r="E2914" s="23" t="s">
        <v>4430</v>
      </c>
      <c r="F2914" s="15" t="s">
        <v>4607</v>
      </c>
      <c r="G2914" s="15" t="s">
        <v>4432</v>
      </c>
      <c r="H2914" s="23" t="s">
        <v>58</v>
      </c>
    </row>
    <row r="2915" spans="1:8" ht="54.95" customHeight="1" x14ac:dyDescent="0.2">
      <c r="A2915" s="23" t="s">
        <v>381</v>
      </c>
      <c r="B2915" s="23" t="s">
        <v>21</v>
      </c>
      <c r="C2915" s="23" t="s">
        <v>4608</v>
      </c>
      <c r="D2915" s="23">
        <v>2.6709999999999998</v>
      </c>
      <c r="E2915" s="23" t="s">
        <v>4430</v>
      </c>
      <c r="F2915" s="15" t="s">
        <v>4609</v>
      </c>
      <c r="G2915" s="15" t="s">
        <v>4432</v>
      </c>
      <c r="H2915" s="23" t="s">
        <v>58</v>
      </c>
    </row>
    <row r="2916" spans="1:8" ht="54.95" customHeight="1" x14ac:dyDescent="0.2">
      <c r="A2916" s="23" t="s">
        <v>381</v>
      </c>
      <c r="B2916" s="23" t="s">
        <v>22</v>
      </c>
      <c r="C2916" s="23" t="s">
        <v>4610</v>
      </c>
      <c r="D2916" s="23">
        <v>2.8130000000000002</v>
      </c>
      <c r="E2916" s="23" t="s">
        <v>4430</v>
      </c>
      <c r="F2916" s="15" t="s">
        <v>4611</v>
      </c>
      <c r="G2916" s="15" t="s">
        <v>4432</v>
      </c>
      <c r="H2916" s="23" t="s">
        <v>58</v>
      </c>
    </row>
    <row r="2917" spans="1:8" ht="54.95" customHeight="1" x14ac:dyDescent="0.2">
      <c r="A2917" s="23" t="s">
        <v>381</v>
      </c>
      <c r="B2917" s="23" t="s">
        <v>24</v>
      </c>
      <c r="C2917" s="23" t="s">
        <v>1544</v>
      </c>
      <c r="D2917" s="23">
        <v>1.294</v>
      </c>
      <c r="E2917" s="23" t="s">
        <v>4430</v>
      </c>
      <c r="F2917" s="15" t="s">
        <v>4612</v>
      </c>
      <c r="G2917" s="15" t="s">
        <v>4432</v>
      </c>
      <c r="H2917" s="23" t="s">
        <v>58</v>
      </c>
    </row>
    <row r="2918" spans="1:8" ht="54.95" customHeight="1" x14ac:dyDescent="0.2">
      <c r="A2918" s="23" t="s">
        <v>388</v>
      </c>
      <c r="B2918" s="23" t="s">
        <v>21</v>
      </c>
      <c r="C2918" s="23" t="s">
        <v>4613</v>
      </c>
      <c r="D2918" s="23">
        <v>2.048</v>
      </c>
      <c r="E2918" s="23" t="s">
        <v>4430</v>
      </c>
      <c r="F2918" s="15" t="s">
        <v>4614</v>
      </c>
      <c r="G2918" s="15" t="s">
        <v>4432</v>
      </c>
      <c r="H2918" s="23" t="s">
        <v>58</v>
      </c>
    </row>
    <row r="2919" spans="1:8" ht="54.95" customHeight="1" x14ac:dyDescent="0.2">
      <c r="A2919" s="23" t="s">
        <v>388</v>
      </c>
      <c r="B2919" s="23" t="s">
        <v>22</v>
      </c>
      <c r="C2919" s="23" t="s">
        <v>4615</v>
      </c>
      <c r="D2919" s="23">
        <v>2.14</v>
      </c>
      <c r="E2919" s="23" t="s">
        <v>4430</v>
      </c>
      <c r="F2919" s="15" t="s">
        <v>4616</v>
      </c>
      <c r="G2919" s="15" t="s">
        <v>4432</v>
      </c>
      <c r="H2919" s="23" t="s">
        <v>58</v>
      </c>
    </row>
    <row r="2920" spans="1:8" ht="54.95" customHeight="1" x14ac:dyDescent="0.2">
      <c r="A2920" s="23" t="s">
        <v>388</v>
      </c>
      <c r="B2920" s="23" t="s">
        <v>24</v>
      </c>
      <c r="C2920" s="23" t="s">
        <v>4617</v>
      </c>
      <c r="D2920" s="23">
        <v>1.119</v>
      </c>
      <c r="E2920" s="23" t="s">
        <v>4430</v>
      </c>
      <c r="F2920" s="15" t="s">
        <v>4618</v>
      </c>
      <c r="G2920" s="15" t="s">
        <v>4432</v>
      </c>
      <c r="H2920" s="23" t="s">
        <v>58</v>
      </c>
    </row>
    <row r="2921" spans="1:8" ht="54.95" customHeight="1" x14ac:dyDescent="0.2">
      <c r="A2921" s="23" t="s">
        <v>395</v>
      </c>
      <c r="B2921" s="23" t="s">
        <v>21</v>
      </c>
      <c r="C2921" s="23" t="s">
        <v>4619</v>
      </c>
      <c r="D2921" s="23">
        <v>2.2389999999999999</v>
      </c>
      <c r="E2921" s="23" t="s">
        <v>4430</v>
      </c>
      <c r="F2921" s="15" t="s">
        <v>4620</v>
      </c>
      <c r="G2921" s="15" t="s">
        <v>4432</v>
      </c>
      <c r="H2921" s="23" t="s">
        <v>58</v>
      </c>
    </row>
    <row r="2922" spans="1:8" ht="54.95" customHeight="1" x14ac:dyDescent="0.2">
      <c r="A2922" s="23" t="s">
        <v>395</v>
      </c>
      <c r="B2922" s="23" t="s">
        <v>22</v>
      </c>
      <c r="C2922" s="23" t="s">
        <v>4621</v>
      </c>
      <c r="D2922" s="23">
        <v>2.407</v>
      </c>
      <c r="E2922" s="23" t="s">
        <v>4430</v>
      </c>
      <c r="F2922" s="15" t="s">
        <v>4622</v>
      </c>
      <c r="G2922" s="15" t="s">
        <v>4432</v>
      </c>
      <c r="H2922" s="23" t="s">
        <v>58</v>
      </c>
    </row>
    <row r="2923" spans="1:8" ht="54.95" customHeight="1" x14ac:dyDescent="0.2">
      <c r="A2923" s="23" t="s">
        <v>395</v>
      </c>
      <c r="B2923" s="23" t="s">
        <v>24</v>
      </c>
      <c r="C2923" s="23" t="s">
        <v>4623</v>
      </c>
      <c r="D2923" s="23">
        <v>1.1830000000000001</v>
      </c>
      <c r="E2923" s="23" t="s">
        <v>4430</v>
      </c>
      <c r="F2923" s="15" t="s">
        <v>4624</v>
      </c>
      <c r="G2923" s="15" t="s">
        <v>4432</v>
      </c>
      <c r="H2923" s="23" t="s">
        <v>58</v>
      </c>
    </row>
    <row r="2924" spans="1:8" ht="54.95" customHeight="1" x14ac:dyDescent="0.2">
      <c r="A2924" s="23" t="s">
        <v>401</v>
      </c>
      <c r="B2924" s="23" t="s">
        <v>21</v>
      </c>
      <c r="C2924" s="23" t="s">
        <v>4625</v>
      </c>
      <c r="D2924" s="23">
        <v>3.1640000000000001</v>
      </c>
      <c r="E2924" s="23" t="s">
        <v>4430</v>
      </c>
      <c r="F2924" s="15" t="s">
        <v>4626</v>
      </c>
      <c r="G2924" s="15" t="s">
        <v>4432</v>
      </c>
      <c r="H2924" s="23" t="s">
        <v>58</v>
      </c>
    </row>
    <row r="2925" spans="1:8" ht="54.95" customHeight="1" x14ac:dyDescent="0.2">
      <c r="A2925" s="23" t="s">
        <v>401</v>
      </c>
      <c r="B2925" s="23" t="s">
        <v>22</v>
      </c>
      <c r="C2925" s="23" t="s">
        <v>4627</v>
      </c>
      <c r="D2925" s="23">
        <v>3.036</v>
      </c>
      <c r="E2925" s="23" t="s">
        <v>4430</v>
      </c>
      <c r="F2925" s="15" t="s">
        <v>4628</v>
      </c>
      <c r="G2925" s="15" t="s">
        <v>4432</v>
      </c>
      <c r="H2925" s="23" t="s">
        <v>58</v>
      </c>
    </row>
    <row r="2926" spans="1:8" ht="54.95" customHeight="1" x14ac:dyDescent="0.2">
      <c r="A2926" s="23" t="s">
        <v>407</v>
      </c>
      <c r="B2926" s="23" t="s">
        <v>21</v>
      </c>
      <c r="C2926" s="23" t="s">
        <v>4629</v>
      </c>
      <c r="D2926" s="23">
        <v>1.8959999999999999</v>
      </c>
      <c r="E2926" s="23" t="s">
        <v>4430</v>
      </c>
      <c r="F2926" s="15" t="s">
        <v>4630</v>
      </c>
      <c r="G2926" s="15" t="s">
        <v>4432</v>
      </c>
      <c r="H2926" s="23" t="s">
        <v>58</v>
      </c>
    </row>
    <row r="2927" spans="1:8" ht="54.95" customHeight="1" x14ac:dyDescent="0.2">
      <c r="A2927" s="23" t="s">
        <v>407</v>
      </c>
      <c r="B2927" s="23" t="s">
        <v>22</v>
      </c>
      <c r="C2927" s="23" t="s">
        <v>4631</v>
      </c>
      <c r="D2927" s="23">
        <v>2.3559999999999999</v>
      </c>
      <c r="E2927" s="23" t="s">
        <v>4430</v>
      </c>
      <c r="F2927" s="15" t="s">
        <v>4632</v>
      </c>
      <c r="G2927" s="15" t="s">
        <v>4432</v>
      </c>
      <c r="H2927" s="23" t="s">
        <v>58</v>
      </c>
    </row>
    <row r="2928" spans="1:8" ht="54.95" customHeight="1" x14ac:dyDescent="0.2">
      <c r="A2928" s="23" t="s">
        <v>413</v>
      </c>
      <c r="B2928" s="23" t="s">
        <v>21</v>
      </c>
      <c r="C2928" s="23" t="s">
        <v>4633</v>
      </c>
      <c r="D2928" s="23">
        <v>2.6019999999999999</v>
      </c>
      <c r="E2928" s="23" t="s">
        <v>4430</v>
      </c>
      <c r="F2928" s="15" t="s">
        <v>4634</v>
      </c>
      <c r="G2928" s="15" t="s">
        <v>4432</v>
      </c>
      <c r="H2928" s="23" t="s">
        <v>58</v>
      </c>
    </row>
    <row r="2929" spans="1:8" ht="54.95" customHeight="1" x14ac:dyDescent="0.2">
      <c r="A2929" s="23" t="s">
        <v>413</v>
      </c>
      <c r="B2929" s="23" t="s">
        <v>22</v>
      </c>
      <c r="C2929" s="23" t="s">
        <v>4635</v>
      </c>
      <c r="D2929" s="23">
        <v>2.7749999999999999</v>
      </c>
      <c r="E2929" s="23" t="s">
        <v>4430</v>
      </c>
      <c r="F2929" s="15" t="s">
        <v>4636</v>
      </c>
      <c r="G2929" s="15" t="s">
        <v>4432</v>
      </c>
      <c r="H2929" s="23" t="s">
        <v>58</v>
      </c>
    </row>
    <row r="2930" spans="1:8" ht="54.95" customHeight="1" x14ac:dyDescent="0.2">
      <c r="A2930" s="23" t="s">
        <v>419</v>
      </c>
      <c r="B2930" s="23" t="s">
        <v>21</v>
      </c>
      <c r="C2930" s="23" t="s">
        <v>4637</v>
      </c>
      <c r="D2930" s="23">
        <v>0.96799999999999997</v>
      </c>
      <c r="E2930" s="23" t="s">
        <v>4430</v>
      </c>
      <c r="F2930" s="15" t="s">
        <v>4638</v>
      </c>
      <c r="G2930" s="15" t="s">
        <v>4432</v>
      </c>
      <c r="H2930" s="23" t="s">
        <v>58</v>
      </c>
    </row>
    <row r="2931" spans="1:8" ht="54.95" customHeight="1" x14ac:dyDescent="0.2">
      <c r="A2931" s="23" t="s">
        <v>419</v>
      </c>
      <c r="B2931" s="23" t="s">
        <v>22</v>
      </c>
      <c r="C2931" s="23" t="s">
        <v>4639</v>
      </c>
      <c r="D2931" s="23">
        <v>1.1080000000000001</v>
      </c>
      <c r="E2931" s="23" t="s">
        <v>4430</v>
      </c>
      <c r="F2931" s="15" t="s">
        <v>4640</v>
      </c>
      <c r="G2931" s="15" t="s">
        <v>4432</v>
      </c>
      <c r="H2931" s="23" t="s">
        <v>58</v>
      </c>
    </row>
    <row r="2932" spans="1:8" ht="54.95" customHeight="1" x14ac:dyDescent="0.2">
      <c r="A2932" s="23" t="s">
        <v>426</v>
      </c>
      <c r="B2932" s="23" t="s">
        <v>21</v>
      </c>
      <c r="C2932" s="23" t="s">
        <v>4641</v>
      </c>
      <c r="D2932" s="23">
        <v>1.5049999999999999</v>
      </c>
      <c r="E2932" s="23" t="s">
        <v>4430</v>
      </c>
      <c r="F2932" s="15" t="s">
        <v>4642</v>
      </c>
      <c r="G2932" s="15" t="s">
        <v>4432</v>
      </c>
      <c r="H2932" s="23" t="s">
        <v>58</v>
      </c>
    </row>
    <row r="2933" spans="1:8" ht="54.95" customHeight="1" x14ac:dyDescent="0.2">
      <c r="A2933" s="23" t="s">
        <v>426</v>
      </c>
      <c r="B2933" s="23" t="s">
        <v>22</v>
      </c>
      <c r="C2933" s="23" t="s">
        <v>4643</v>
      </c>
      <c r="D2933" s="23">
        <v>1.345</v>
      </c>
      <c r="E2933" s="23" t="s">
        <v>4430</v>
      </c>
      <c r="F2933" s="15" t="s">
        <v>4644</v>
      </c>
      <c r="G2933" s="15" t="s">
        <v>4432</v>
      </c>
      <c r="H2933" s="23" t="s">
        <v>58</v>
      </c>
    </row>
    <row r="2934" spans="1:8" ht="54.95" customHeight="1" x14ac:dyDescent="0.2">
      <c r="A2934" s="23" t="s">
        <v>432</v>
      </c>
      <c r="B2934" s="23" t="s">
        <v>21</v>
      </c>
      <c r="C2934" s="23" t="s">
        <v>4645</v>
      </c>
      <c r="D2934" s="23">
        <v>2.1909999999999998</v>
      </c>
      <c r="E2934" s="23" t="s">
        <v>4430</v>
      </c>
      <c r="F2934" s="15" t="s">
        <v>4646</v>
      </c>
      <c r="G2934" s="15" t="s">
        <v>4432</v>
      </c>
      <c r="H2934" s="23" t="s">
        <v>58</v>
      </c>
    </row>
    <row r="2935" spans="1:8" ht="54.95" customHeight="1" x14ac:dyDescent="0.2">
      <c r="A2935" s="23" t="s">
        <v>432</v>
      </c>
      <c r="B2935" s="23" t="s">
        <v>22</v>
      </c>
      <c r="C2935" s="23" t="s">
        <v>4647</v>
      </c>
      <c r="D2935" s="23">
        <v>2.4510000000000001</v>
      </c>
      <c r="E2935" s="23" t="s">
        <v>4430</v>
      </c>
      <c r="F2935" s="15" t="s">
        <v>4648</v>
      </c>
      <c r="G2935" s="15" t="s">
        <v>4432</v>
      </c>
      <c r="H2935" s="23" t="s">
        <v>58</v>
      </c>
    </row>
    <row r="2936" spans="1:8" ht="54.95" customHeight="1" x14ac:dyDescent="0.2">
      <c r="A2936" s="23" t="s">
        <v>432</v>
      </c>
      <c r="B2936" s="23" t="s">
        <v>24</v>
      </c>
      <c r="C2936" s="23" t="s">
        <v>4649</v>
      </c>
      <c r="D2936" s="23">
        <v>0.91400000000000003</v>
      </c>
      <c r="E2936" s="23" t="s">
        <v>4430</v>
      </c>
      <c r="F2936" s="15" t="s">
        <v>4650</v>
      </c>
      <c r="G2936" s="15" t="s">
        <v>4432</v>
      </c>
      <c r="H2936" s="23" t="s">
        <v>58</v>
      </c>
    </row>
    <row r="2937" spans="1:8" ht="54.95" customHeight="1" x14ac:dyDescent="0.2">
      <c r="A2937" s="23" t="s">
        <v>439</v>
      </c>
      <c r="B2937" s="23" t="s">
        <v>21</v>
      </c>
      <c r="C2937" s="23" t="s">
        <v>4651</v>
      </c>
      <c r="D2937" s="23">
        <v>1.0049999999999999</v>
      </c>
      <c r="E2937" s="23" t="s">
        <v>4430</v>
      </c>
      <c r="F2937" s="15" t="s">
        <v>4652</v>
      </c>
      <c r="G2937" s="15" t="s">
        <v>4432</v>
      </c>
      <c r="H2937" s="23" t="s">
        <v>58</v>
      </c>
    </row>
    <row r="2938" spans="1:8" ht="54.95" customHeight="1" x14ac:dyDescent="0.2">
      <c r="A2938" s="23" t="s">
        <v>439</v>
      </c>
      <c r="B2938" s="23" t="s">
        <v>22</v>
      </c>
      <c r="C2938" s="23" t="s">
        <v>4653</v>
      </c>
      <c r="D2938" s="23">
        <v>1.171</v>
      </c>
      <c r="E2938" s="23" t="s">
        <v>4430</v>
      </c>
      <c r="F2938" s="15" t="s">
        <v>4654</v>
      </c>
      <c r="G2938" s="15" t="s">
        <v>4432</v>
      </c>
      <c r="H2938" s="23" t="s">
        <v>58</v>
      </c>
    </row>
    <row r="2939" spans="1:8" ht="54.95" customHeight="1" x14ac:dyDescent="0.2">
      <c r="A2939" s="23" t="s">
        <v>445</v>
      </c>
      <c r="B2939" s="23" t="s">
        <v>21</v>
      </c>
      <c r="C2939" s="23" t="s">
        <v>4655</v>
      </c>
      <c r="D2939" s="23">
        <v>2.2890000000000001</v>
      </c>
      <c r="E2939" s="23" t="s">
        <v>4430</v>
      </c>
      <c r="F2939" s="15" t="s">
        <v>4656</v>
      </c>
      <c r="G2939" s="15" t="s">
        <v>4432</v>
      </c>
      <c r="H2939" s="23" t="s">
        <v>58</v>
      </c>
    </row>
    <row r="2940" spans="1:8" ht="54.95" customHeight="1" x14ac:dyDescent="0.2">
      <c r="A2940" s="23" t="s">
        <v>445</v>
      </c>
      <c r="B2940" s="23" t="s">
        <v>22</v>
      </c>
      <c r="C2940" s="23" t="s">
        <v>4657</v>
      </c>
      <c r="D2940" s="23">
        <v>2.7589999999999999</v>
      </c>
      <c r="E2940" s="23" t="s">
        <v>4430</v>
      </c>
      <c r="F2940" s="15" t="s">
        <v>4658</v>
      </c>
      <c r="G2940" s="15" t="s">
        <v>4432</v>
      </c>
      <c r="H2940" s="23" t="s">
        <v>58</v>
      </c>
    </row>
    <row r="2941" spans="1:8" ht="54.95" customHeight="1" x14ac:dyDescent="0.2">
      <c r="A2941" s="23" t="s">
        <v>445</v>
      </c>
      <c r="B2941" s="23" t="s">
        <v>24</v>
      </c>
      <c r="C2941" s="23" t="s">
        <v>4659</v>
      </c>
      <c r="D2941" s="23">
        <v>1.0900000000000001</v>
      </c>
      <c r="E2941" s="23" t="s">
        <v>4430</v>
      </c>
      <c r="F2941" s="15" t="s">
        <v>4660</v>
      </c>
      <c r="G2941" s="15" t="s">
        <v>4432</v>
      </c>
      <c r="H2941" s="23" t="s">
        <v>58</v>
      </c>
    </row>
    <row r="2942" spans="1:8" ht="54.95" customHeight="1" x14ac:dyDescent="0.2">
      <c r="A2942" s="23" t="s">
        <v>451</v>
      </c>
      <c r="B2942" s="23" t="s">
        <v>21</v>
      </c>
      <c r="C2942" s="23" t="s">
        <v>4661</v>
      </c>
      <c r="D2942" s="23">
        <v>1.546</v>
      </c>
      <c r="E2942" s="23" t="s">
        <v>4430</v>
      </c>
      <c r="F2942" s="15" t="s">
        <v>4662</v>
      </c>
      <c r="G2942" s="15" t="s">
        <v>4432</v>
      </c>
      <c r="H2942" s="23" t="s">
        <v>58</v>
      </c>
    </row>
    <row r="2943" spans="1:8" ht="54.95" customHeight="1" x14ac:dyDescent="0.2">
      <c r="A2943" s="23" t="s">
        <v>451</v>
      </c>
      <c r="B2943" s="23" t="s">
        <v>22</v>
      </c>
      <c r="C2943" s="23" t="s">
        <v>4663</v>
      </c>
      <c r="D2943" s="23">
        <v>1.7729999999999999</v>
      </c>
      <c r="E2943" s="23" t="s">
        <v>4430</v>
      </c>
      <c r="F2943" s="15" t="s">
        <v>4664</v>
      </c>
      <c r="G2943" s="15" t="s">
        <v>4432</v>
      </c>
      <c r="H2943" s="23" t="s">
        <v>58</v>
      </c>
    </row>
    <row r="2944" spans="1:8" ht="54.95" customHeight="1" x14ac:dyDescent="0.2">
      <c r="A2944" s="23" t="s">
        <v>458</v>
      </c>
      <c r="B2944" s="23" t="s">
        <v>21</v>
      </c>
      <c r="C2944" s="23" t="s">
        <v>4665</v>
      </c>
      <c r="D2944" s="23">
        <v>1.887</v>
      </c>
      <c r="E2944" s="23" t="s">
        <v>4430</v>
      </c>
      <c r="F2944" s="15" t="s">
        <v>4666</v>
      </c>
      <c r="G2944" s="15" t="s">
        <v>4432</v>
      </c>
      <c r="H2944" s="23" t="s">
        <v>58</v>
      </c>
    </row>
    <row r="2945" spans="1:8" ht="54.95" customHeight="1" x14ac:dyDescent="0.2">
      <c r="A2945" s="23" t="s">
        <v>458</v>
      </c>
      <c r="B2945" s="23" t="s">
        <v>22</v>
      </c>
      <c r="C2945" s="23" t="s">
        <v>4667</v>
      </c>
      <c r="D2945" s="23">
        <v>1.859</v>
      </c>
      <c r="E2945" s="23" t="s">
        <v>4430</v>
      </c>
      <c r="F2945" s="15" t="s">
        <v>4668</v>
      </c>
      <c r="G2945" s="15" t="s">
        <v>4432</v>
      </c>
      <c r="H2945" s="23" t="s">
        <v>58</v>
      </c>
    </row>
    <row r="2946" spans="1:8" ht="54.95" customHeight="1" x14ac:dyDescent="0.2">
      <c r="A2946" s="23" t="s">
        <v>458</v>
      </c>
      <c r="B2946" s="23" t="s">
        <v>24</v>
      </c>
      <c r="C2946" s="23" t="s">
        <v>4669</v>
      </c>
      <c r="D2946" s="23">
        <v>0.88200000000000001</v>
      </c>
      <c r="E2946" s="23" t="s">
        <v>4430</v>
      </c>
      <c r="F2946" s="15" t="s">
        <v>4670</v>
      </c>
      <c r="G2946" s="15" t="s">
        <v>4432</v>
      </c>
      <c r="H2946" s="23" t="s">
        <v>58</v>
      </c>
    </row>
    <row r="2947" spans="1:8" ht="54.95" customHeight="1" x14ac:dyDescent="0.2">
      <c r="A2947" s="23" t="s">
        <v>464</v>
      </c>
      <c r="B2947" s="23" t="s">
        <v>21</v>
      </c>
      <c r="C2947" s="23" t="s">
        <v>4671</v>
      </c>
      <c r="D2947" s="23">
        <v>2.5779999999999998</v>
      </c>
      <c r="E2947" s="23" t="s">
        <v>4430</v>
      </c>
      <c r="F2947" s="15" t="s">
        <v>4672</v>
      </c>
      <c r="G2947" s="15" t="s">
        <v>4432</v>
      </c>
      <c r="H2947" s="23" t="s">
        <v>58</v>
      </c>
    </row>
    <row r="2948" spans="1:8" ht="54.95" customHeight="1" x14ac:dyDescent="0.2">
      <c r="A2948" s="23" t="s">
        <v>464</v>
      </c>
      <c r="B2948" s="23" t="s">
        <v>22</v>
      </c>
      <c r="C2948" s="23" t="s">
        <v>4673</v>
      </c>
      <c r="D2948" s="23">
        <v>2.754</v>
      </c>
      <c r="E2948" s="23" t="s">
        <v>4430</v>
      </c>
      <c r="F2948" s="15" t="s">
        <v>4674</v>
      </c>
      <c r="G2948" s="15" t="s">
        <v>4432</v>
      </c>
      <c r="H2948" s="23" t="s">
        <v>58</v>
      </c>
    </row>
    <row r="2949" spans="1:8" ht="54.95" customHeight="1" x14ac:dyDescent="0.2">
      <c r="A2949" s="23" t="s">
        <v>464</v>
      </c>
      <c r="B2949" s="23" t="s">
        <v>24</v>
      </c>
      <c r="C2949" s="23" t="s">
        <v>4675</v>
      </c>
      <c r="D2949" s="23">
        <v>0.86799999999999999</v>
      </c>
      <c r="E2949" s="23" t="s">
        <v>4430</v>
      </c>
      <c r="F2949" s="15" t="s">
        <v>4676</v>
      </c>
      <c r="G2949" s="15" t="s">
        <v>4432</v>
      </c>
      <c r="H2949" s="23" t="s">
        <v>58</v>
      </c>
    </row>
    <row r="2950" spans="1:8" ht="54.95" customHeight="1" x14ac:dyDescent="0.2">
      <c r="A2950" s="23" t="s">
        <v>471</v>
      </c>
      <c r="B2950" s="23" t="s">
        <v>21</v>
      </c>
      <c r="C2950" s="23" t="s">
        <v>4677</v>
      </c>
      <c r="D2950" s="23">
        <v>0.67600000000000005</v>
      </c>
      <c r="E2950" s="23" t="s">
        <v>4430</v>
      </c>
      <c r="F2950" s="15" t="s">
        <v>4678</v>
      </c>
      <c r="G2950" s="15" t="s">
        <v>4432</v>
      </c>
      <c r="H2950" s="23" t="s">
        <v>58</v>
      </c>
    </row>
    <row r="2951" spans="1:8" ht="54.95" customHeight="1" x14ac:dyDescent="0.2">
      <c r="A2951" s="23" t="s">
        <v>471</v>
      </c>
      <c r="B2951" s="23" t="s">
        <v>22</v>
      </c>
      <c r="C2951" s="23" t="s">
        <v>4679</v>
      </c>
      <c r="D2951" s="23">
        <v>0.64700000000000002</v>
      </c>
      <c r="E2951" s="23" t="s">
        <v>4430</v>
      </c>
      <c r="F2951" s="15" t="s">
        <v>4680</v>
      </c>
      <c r="G2951" s="15" t="s">
        <v>4432</v>
      </c>
      <c r="H2951" s="23" t="s">
        <v>58</v>
      </c>
    </row>
    <row r="2952" spans="1:8" ht="54.95" customHeight="1" x14ac:dyDescent="0.2">
      <c r="A2952" s="23" t="s">
        <v>471</v>
      </c>
      <c r="B2952" s="23" t="s">
        <v>24</v>
      </c>
      <c r="C2952" s="23" t="s">
        <v>4681</v>
      </c>
      <c r="D2952" s="23">
        <v>0.41199999999999998</v>
      </c>
      <c r="E2952" s="23" t="s">
        <v>4430</v>
      </c>
      <c r="F2952" s="15" t="s">
        <v>4682</v>
      </c>
      <c r="G2952" s="15" t="s">
        <v>4432</v>
      </c>
      <c r="H2952" s="23" t="s">
        <v>58</v>
      </c>
    </row>
    <row r="2953" spans="1:8" ht="54.95" customHeight="1" x14ac:dyDescent="0.2">
      <c r="A2953" s="23" t="s">
        <v>482</v>
      </c>
      <c r="B2953" s="23" t="s">
        <v>21</v>
      </c>
      <c r="C2953" s="23" t="s">
        <v>4683</v>
      </c>
      <c r="D2953" s="23">
        <v>1.651</v>
      </c>
      <c r="E2953" s="23" t="s">
        <v>4430</v>
      </c>
      <c r="F2953" s="15" t="s">
        <v>4684</v>
      </c>
      <c r="G2953" s="15" t="s">
        <v>4432</v>
      </c>
      <c r="H2953" s="23" t="s">
        <v>58</v>
      </c>
    </row>
    <row r="2954" spans="1:8" ht="54.95" customHeight="1" x14ac:dyDescent="0.2">
      <c r="A2954" s="23" t="s">
        <v>482</v>
      </c>
      <c r="B2954" s="23" t="s">
        <v>22</v>
      </c>
      <c r="C2954" s="23" t="s">
        <v>4685</v>
      </c>
      <c r="D2954" s="23">
        <v>1.966</v>
      </c>
      <c r="E2954" s="23" t="s">
        <v>4430</v>
      </c>
      <c r="F2954" s="15" t="s">
        <v>4686</v>
      </c>
      <c r="G2954" s="15" t="s">
        <v>4432</v>
      </c>
      <c r="H2954" s="23" t="s">
        <v>58</v>
      </c>
    </row>
    <row r="2955" spans="1:8" ht="54.95" customHeight="1" x14ac:dyDescent="0.2">
      <c r="A2955" s="23" t="s">
        <v>482</v>
      </c>
      <c r="B2955" s="23" t="s">
        <v>24</v>
      </c>
      <c r="C2955" s="23" t="s">
        <v>4687</v>
      </c>
      <c r="D2955" s="23">
        <v>0.68799999999999994</v>
      </c>
      <c r="E2955" s="23" t="s">
        <v>4430</v>
      </c>
      <c r="F2955" s="15" t="s">
        <v>4688</v>
      </c>
      <c r="G2955" s="15" t="s">
        <v>4432</v>
      </c>
      <c r="H2955" s="23" t="s">
        <v>58</v>
      </c>
    </row>
    <row r="2956" spans="1:8" ht="54.95" customHeight="1" x14ac:dyDescent="0.2">
      <c r="A2956" s="23" t="s">
        <v>488</v>
      </c>
      <c r="B2956" s="23" t="s">
        <v>21</v>
      </c>
      <c r="C2956" s="23" t="s">
        <v>4689</v>
      </c>
      <c r="D2956" s="23">
        <v>2.1960000000000002</v>
      </c>
      <c r="E2956" s="23" t="s">
        <v>4430</v>
      </c>
      <c r="F2956" s="15" t="s">
        <v>4690</v>
      </c>
      <c r="G2956" s="15" t="s">
        <v>4432</v>
      </c>
      <c r="H2956" s="23" t="s">
        <v>58</v>
      </c>
    </row>
    <row r="2957" spans="1:8" ht="54.95" customHeight="1" x14ac:dyDescent="0.2">
      <c r="A2957" s="23" t="s">
        <v>488</v>
      </c>
      <c r="B2957" s="23" t="s">
        <v>22</v>
      </c>
      <c r="C2957" s="23" t="s">
        <v>4691</v>
      </c>
      <c r="D2957" s="23">
        <v>2.1760000000000002</v>
      </c>
      <c r="E2957" s="23" t="s">
        <v>4430</v>
      </c>
      <c r="F2957" s="15" t="s">
        <v>4692</v>
      </c>
      <c r="G2957" s="15" t="s">
        <v>4432</v>
      </c>
      <c r="H2957" s="23" t="s">
        <v>58</v>
      </c>
    </row>
    <row r="2958" spans="1:8" ht="54.95" customHeight="1" x14ac:dyDescent="0.2">
      <c r="A2958" s="23" t="s">
        <v>488</v>
      </c>
      <c r="B2958" s="23" t="s">
        <v>24</v>
      </c>
      <c r="C2958" s="23" t="s">
        <v>4480</v>
      </c>
      <c r="D2958" s="23">
        <v>1.2649999999999999</v>
      </c>
      <c r="E2958" s="23" t="s">
        <v>4430</v>
      </c>
      <c r="F2958" s="15" t="s">
        <v>4693</v>
      </c>
      <c r="G2958" s="15" t="s">
        <v>4432</v>
      </c>
      <c r="H2958" s="23" t="s">
        <v>58</v>
      </c>
    </row>
    <row r="2959" spans="1:8" ht="54.95" customHeight="1" x14ac:dyDescent="0.2">
      <c r="A2959" s="23" t="s">
        <v>494</v>
      </c>
      <c r="B2959" s="23" t="s">
        <v>21</v>
      </c>
      <c r="C2959" s="23" t="s">
        <v>4490</v>
      </c>
      <c r="D2959" s="23">
        <v>1.6719999999999999</v>
      </c>
      <c r="E2959" s="23" t="s">
        <v>4430</v>
      </c>
      <c r="F2959" s="15" t="s">
        <v>4694</v>
      </c>
      <c r="G2959" s="15" t="s">
        <v>4432</v>
      </c>
      <c r="H2959" s="23" t="s">
        <v>58</v>
      </c>
    </row>
    <row r="2960" spans="1:8" ht="54.95" customHeight="1" x14ac:dyDescent="0.2">
      <c r="A2960" s="23" t="s">
        <v>494</v>
      </c>
      <c r="B2960" s="23" t="s">
        <v>22</v>
      </c>
      <c r="C2960" s="23" t="s">
        <v>4695</v>
      </c>
      <c r="D2960" s="23">
        <v>1.3979999999999999</v>
      </c>
      <c r="E2960" s="23" t="s">
        <v>4430</v>
      </c>
      <c r="F2960" s="15" t="s">
        <v>4696</v>
      </c>
      <c r="G2960" s="15" t="s">
        <v>4432</v>
      </c>
      <c r="H2960" s="23" t="s">
        <v>58</v>
      </c>
    </row>
    <row r="2961" spans="1:8" ht="54.95" customHeight="1" x14ac:dyDescent="0.2">
      <c r="A2961" s="23" t="s">
        <v>500</v>
      </c>
      <c r="B2961" s="23" t="s">
        <v>21</v>
      </c>
      <c r="C2961" s="23" t="s">
        <v>4697</v>
      </c>
      <c r="D2961" s="23">
        <v>1.25</v>
      </c>
      <c r="E2961" s="23" t="s">
        <v>4430</v>
      </c>
      <c r="F2961" s="15" t="s">
        <v>4698</v>
      </c>
      <c r="G2961" s="15" t="s">
        <v>4432</v>
      </c>
      <c r="H2961" s="23" t="s">
        <v>58</v>
      </c>
    </row>
    <row r="2962" spans="1:8" ht="54.95" customHeight="1" x14ac:dyDescent="0.2">
      <c r="A2962" s="23" t="s">
        <v>500</v>
      </c>
      <c r="B2962" s="23" t="s">
        <v>22</v>
      </c>
      <c r="C2962" s="23" t="s">
        <v>4699</v>
      </c>
      <c r="D2962" s="23">
        <v>1.1619999999999999</v>
      </c>
      <c r="E2962" s="23" t="s">
        <v>4430</v>
      </c>
      <c r="F2962" s="15" t="s">
        <v>4700</v>
      </c>
      <c r="G2962" s="15" t="s">
        <v>4432</v>
      </c>
      <c r="H2962" s="23" t="s">
        <v>58</v>
      </c>
    </row>
    <row r="2963" spans="1:8" ht="54.95" customHeight="1" x14ac:dyDescent="0.2">
      <c r="A2963" s="23" t="s">
        <v>506</v>
      </c>
      <c r="B2963" s="23" t="s">
        <v>21</v>
      </c>
      <c r="C2963" s="23" t="s">
        <v>4701</v>
      </c>
      <c r="D2963" s="23">
        <v>1.6479999999999999</v>
      </c>
      <c r="E2963" s="23" t="s">
        <v>4430</v>
      </c>
      <c r="F2963" s="15" t="s">
        <v>4702</v>
      </c>
      <c r="G2963" s="15" t="s">
        <v>4432</v>
      </c>
      <c r="H2963" s="23" t="s">
        <v>58</v>
      </c>
    </row>
    <row r="2964" spans="1:8" ht="54.95" customHeight="1" x14ac:dyDescent="0.2">
      <c r="A2964" s="23" t="s">
        <v>506</v>
      </c>
      <c r="B2964" s="23" t="s">
        <v>22</v>
      </c>
      <c r="C2964" s="23" t="s">
        <v>4703</v>
      </c>
      <c r="D2964" s="23">
        <v>1.867</v>
      </c>
      <c r="E2964" s="23" t="s">
        <v>4430</v>
      </c>
      <c r="F2964" s="15" t="s">
        <v>4704</v>
      </c>
      <c r="G2964" s="15" t="s">
        <v>4432</v>
      </c>
      <c r="H2964" s="23" t="s">
        <v>58</v>
      </c>
    </row>
    <row r="2965" spans="1:8" ht="54.95" customHeight="1" x14ac:dyDescent="0.2">
      <c r="A2965" s="23" t="s">
        <v>506</v>
      </c>
      <c r="B2965" s="23" t="s">
        <v>24</v>
      </c>
      <c r="C2965" s="23" t="s">
        <v>4705</v>
      </c>
      <c r="D2965" s="23">
        <v>0.68600000000000005</v>
      </c>
      <c r="E2965" s="23" t="s">
        <v>4430</v>
      </c>
      <c r="F2965" s="15" t="s">
        <v>4706</v>
      </c>
      <c r="G2965" s="15" t="s">
        <v>4432</v>
      </c>
      <c r="H2965" s="23" t="s">
        <v>58</v>
      </c>
    </row>
    <row r="2966" spans="1:8" ht="54.95" customHeight="1" x14ac:dyDescent="0.2">
      <c r="A2966" s="23" t="s">
        <v>512</v>
      </c>
      <c r="B2966" s="23" t="s">
        <v>21</v>
      </c>
      <c r="C2966" s="23" t="s">
        <v>4707</v>
      </c>
      <c r="D2966" s="23">
        <v>3.004</v>
      </c>
      <c r="E2966" s="23" t="s">
        <v>4430</v>
      </c>
      <c r="F2966" s="15" t="s">
        <v>4708</v>
      </c>
      <c r="G2966" s="15" t="s">
        <v>4432</v>
      </c>
      <c r="H2966" s="23" t="s">
        <v>58</v>
      </c>
    </row>
    <row r="2967" spans="1:8" ht="54.95" customHeight="1" x14ac:dyDescent="0.2">
      <c r="A2967" s="23" t="s">
        <v>512</v>
      </c>
      <c r="B2967" s="23" t="s">
        <v>22</v>
      </c>
      <c r="C2967" s="23" t="s">
        <v>4709</v>
      </c>
      <c r="D2967" s="23">
        <v>3.1429999999999998</v>
      </c>
      <c r="E2967" s="23" t="s">
        <v>4430</v>
      </c>
      <c r="F2967" s="15" t="s">
        <v>4710</v>
      </c>
      <c r="G2967" s="15" t="s">
        <v>4432</v>
      </c>
      <c r="H2967" s="23" t="s">
        <v>58</v>
      </c>
    </row>
    <row r="2968" spans="1:8" ht="54.95" customHeight="1" x14ac:dyDescent="0.2">
      <c r="A2968" s="23" t="s">
        <v>518</v>
      </c>
      <c r="B2968" s="23" t="s">
        <v>21</v>
      </c>
      <c r="C2968" s="23" t="s">
        <v>4711</v>
      </c>
      <c r="D2968" s="23">
        <v>2.4E-2</v>
      </c>
      <c r="E2968" s="23" t="s">
        <v>4430</v>
      </c>
      <c r="F2968" s="15" t="s">
        <v>4712</v>
      </c>
      <c r="G2968" s="15" t="s">
        <v>4432</v>
      </c>
      <c r="H2968" s="23" t="s">
        <v>58</v>
      </c>
    </row>
    <row r="2969" spans="1:8" ht="54.95" customHeight="1" x14ac:dyDescent="0.2">
      <c r="A2969" s="23" t="s">
        <v>518</v>
      </c>
      <c r="B2969" s="23" t="s">
        <v>22</v>
      </c>
      <c r="C2969" s="23" t="s">
        <v>4711</v>
      </c>
      <c r="D2969" s="23">
        <v>2.4E-2</v>
      </c>
      <c r="E2969" s="23" t="s">
        <v>4430</v>
      </c>
      <c r="F2969" s="15" t="s">
        <v>4713</v>
      </c>
      <c r="G2969" s="15" t="s">
        <v>4432</v>
      </c>
      <c r="H2969" s="23" t="s">
        <v>58</v>
      </c>
    </row>
    <row r="2970" spans="1:8" ht="54.95" customHeight="1" x14ac:dyDescent="0.2">
      <c r="A2970" s="23" t="s">
        <v>524</v>
      </c>
      <c r="B2970" s="23" t="s">
        <v>21</v>
      </c>
      <c r="C2970" s="23" t="s">
        <v>4714</v>
      </c>
      <c r="D2970" s="23">
        <v>0.86199999999999999</v>
      </c>
      <c r="E2970" s="23" t="s">
        <v>4430</v>
      </c>
      <c r="F2970" s="15" t="s">
        <v>4715</v>
      </c>
      <c r="G2970" s="15" t="s">
        <v>4432</v>
      </c>
      <c r="H2970" s="23" t="s">
        <v>58</v>
      </c>
    </row>
    <row r="2971" spans="1:8" ht="54.95" customHeight="1" x14ac:dyDescent="0.2">
      <c r="A2971" s="23" t="s">
        <v>524</v>
      </c>
      <c r="B2971" s="23" t="s">
        <v>22</v>
      </c>
      <c r="C2971" s="23" t="s">
        <v>4716</v>
      </c>
      <c r="D2971" s="23">
        <v>0.753</v>
      </c>
      <c r="E2971" s="23" t="s">
        <v>4430</v>
      </c>
      <c r="F2971" s="15" t="s">
        <v>4717</v>
      </c>
      <c r="G2971" s="15" t="s">
        <v>4432</v>
      </c>
      <c r="H2971" s="23" t="s">
        <v>58</v>
      </c>
    </row>
    <row r="2972" spans="1:8" ht="54.95" customHeight="1" x14ac:dyDescent="0.2">
      <c r="A2972" s="23" t="s">
        <v>530</v>
      </c>
      <c r="B2972" s="23" t="s">
        <v>21</v>
      </c>
      <c r="C2972" s="23" t="s">
        <v>4718</v>
      </c>
      <c r="D2972" s="23">
        <v>2.19</v>
      </c>
      <c r="E2972" s="23" t="s">
        <v>4430</v>
      </c>
      <c r="F2972" s="15" t="s">
        <v>4719</v>
      </c>
      <c r="G2972" s="15" t="s">
        <v>4432</v>
      </c>
      <c r="H2972" s="23" t="s">
        <v>58</v>
      </c>
    </row>
    <row r="2973" spans="1:8" ht="54.95" customHeight="1" x14ac:dyDescent="0.2">
      <c r="A2973" s="23" t="s">
        <v>530</v>
      </c>
      <c r="B2973" s="23" t="s">
        <v>22</v>
      </c>
      <c r="C2973" s="23" t="s">
        <v>4720</v>
      </c>
      <c r="D2973" s="23">
        <v>2.33</v>
      </c>
      <c r="E2973" s="23" t="s">
        <v>4430</v>
      </c>
      <c r="F2973" s="15" t="s">
        <v>4721</v>
      </c>
      <c r="G2973" s="15" t="s">
        <v>4432</v>
      </c>
      <c r="H2973" s="23" t="s">
        <v>58</v>
      </c>
    </row>
    <row r="2974" spans="1:8" ht="54.95" customHeight="1" x14ac:dyDescent="0.2">
      <c r="A2974" s="23" t="s">
        <v>530</v>
      </c>
      <c r="B2974" s="23" t="s">
        <v>24</v>
      </c>
      <c r="C2974" s="23" t="s">
        <v>4722</v>
      </c>
      <c r="D2974" s="23">
        <v>1.028</v>
      </c>
      <c r="E2974" s="23" t="s">
        <v>4430</v>
      </c>
      <c r="F2974" s="15" t="s">
        <v>4723</v>
      </c>
      <c r="G2974" s="15" t="s">
        <v>4432</v>
      </c>
      <c r="H2974" s="23" t="s">
        <v>58</v>
      </c>
    </row>
    <row r="2975" spans="1:8" ht="54.95" customHeight="1" x14ac:dyDescent="0.2">
      <c r="A2975" s="23" t="s">
        <v>537</v>
      </c>
      <c r="B2975" s="23" t="s">
        <v>21</v>
      </c>
      <c r="C2975" s="23" t="s">
        <v>4665</v>
      </c>
      <c r="D2975" s="23">
        <v>1.887</v>
      </c>
      <c r="E2975" s="23" t="s">
        <v>4430</v>
      </c>
      <c r="F2975" s="15" t="s">
        <v>4724</v>
      </c>
      <c r="G2975" s="15" t="s">
        <v>4432</v>
      </c>
      <c r="H2975" s="23" t="s">
        <v>58</v>
      </c>
    </row>
    <row r="2976" spans="1:8" ht="54.95" customHeight="1" x14ac:dyDescent="0.2">
      <c r="A2976" s="23" t="s">
        <v>537</v>
      </c>
      <c r="B2976" s="23" t="s">
        <v>22</v>
      </c>
      <c r="C2976" s="23" t="s">
        <v>4725</v>
      </c>
      <c r="D2976" s="23">
        <v>2.1389999999999998</v>
      </c>
      <c r="E2976" s="23" t="s">
        <v>4430</v>
      </c>
      <c r="F2976" s="15" t="s">
        <v>4726</v>
      </c>
      <c r="G2976" s="15" t="s">
        <v>4432</v>
      </c>
      <c r="H2976" s="23" t="s">
        <v>58</v>
      </c>
    </row>
    <row r="2977" spans="1:8" ht="54.95" customHeight="1" x14ac:dyDescent="0.2">
      <c r="A2977" s="23" t="s">
        <v>537</v>
      </c>
      <c r="B2977" s="23" t="s">
        <v>24</v>
      </c>
      <c r="C2977" s="23" t="s">
        <v>4727</v>
      </c>
      <c r="D2977" s="23">
        <v>1.119</v>
      </c>
      <c r="E2977" s="23" t="s">
        <v>4430</v>
      </c>
      <c r="F2977" s="15" t="s">
        <v>4728</v>
      </c>
      <c r="G2977" s="15" t="s">
        <v>4432</v>
      </c>
      <c r="H2977" s="23" t="s">
        <v>58</v>
      </c>
    </row>
    <row r="2978" spans="1:8" ht="54.95" customHeight="1" x14ac:dyDescent="0.2">
      <c r="A2978" s="23" t="s">
        <v>543</v>
      </c>
      <c r="B2978" s="23" t="s">
        <v>21</v>
      </c>
      <c r="C2978" s="23" t="s">
        <v>4613</v>
      </c>
      <c r="D2978" s="23">
        <v>2.048</v>
      </c>
      <c r="E2978" s="23" t="s">
        <v>4430</v>
      </c>
      <c r="F2978" s="15" t="s">
        <v>4729</v>
      </c>
      <c r="G2978" s="15" t="s">
        <v>4432</v>
      </c>
      <c r="H2978" s="23" t="s">
        <v>58</v>
      </c>
    </row>
    <row r="2979" spans="1:8" ht="54.95" customHeight="1" x14ac:dyDescent="0.2">
      <c r="A2979" s="23" t="s">
        <v>543</v>
      </c>
      <c r="B2979" s="23" t="s">
        <v>22</v>
      </c>
      <c r="C2979" s="23" t="s">
        <v>4730</v>
      </c>
      <c r="D2979" s="23">
        <v>2.202</v>
      </c>
      <c r="E2979" s="23" t="s">
        <v>4430</v>
      </c>
      <c r="F2979" s="15" t="s">
        <v>4731</v>
      </c>
      <c r="G2979" s="15" t="s">
        <v>4432</v>
      </c>
      <c r="H2979" s="23" t="s">
        <v>58</v>
      </c>
    </row>
    <row r="2980" spans="1:8" ht="54.95" customHeight="1" x14ac:dyDescent="0.2">
      <c r="A2980" s="23" t="s">
        <v>543</v>
      </c>
      <c r="B2980" s="23" t="s">
        <v>24</v>
      </c>
      <c r="C2980" s="23" t="s">
        <v>4732</v>
      </c>
      <c r="D2980" s="23">
        <v>0.92500000000000004</v>
      </c>
      <c r="E2980" s="23" t="s">
        <v>4430</v>
      </c>
      <c r="F2980" s="15" t="s">
        <v>4733</v>
      </c>
      <c r="G2980" s="15" t="s">
        <v>4432</v>
      </c>
      <c r="H2980" s="23" t="s">
        <v>58</v>
      </c>
    </row>
    <row r="2981" spans="1:8" ht="54.95" customHeight="1" x14ac:dyDescent="0.2">
      <c r="A2981" s="23" t="s">
        <v>549</v>
      </c>
      <c r="B2981" s="23" t="s">
        <v>21</v>
      </c>
      <c r="C2981" s="23" t="s">
        <v>4602</v>
      </c>
      <c r="D2981" s="23">
        <v>2.0760000000000001</v>
      </c>
      <c r="E2981" s="23" t="s">
        <v>4430</v>
      </c>
      <c r="F2981" s="15" t="s">
        <v>4734</v>
      </c>
      <c r="G2981" s="15" t="s">
        <v>4432</v>
      </c>
      <c r="H2981" s="23" t="s">
        <v>58</v>
      </c>
    </row>
    <row r="2982" spans="1:8" ht="54.95" customHeight="1" x14ac:dyDescent="0.2">
      <c r="A2982" s="23" t="s">
        <v>549</v>
      </c>
      <c r="B2982" s="23" t="s">
        <v>22</v>
      </c>
      <c r="C2982" s="23" t="s">
        <v>4735</v>
      </c>
      <c r="D2982" s="23">
        <v>2.2709999999999999</v>
      </c>
      <c r="E2982" s="23" t="s">
        <v>4430</v>
      </c>
      <c r="F2982" s="15" t="s">
        <v>4736</v>
      </c>
      <c r="G2982" s="15" t="s">
        <v>4432</v>
      </c>
      <c r="H2982" s="23" t="s">
        <v>58</v>
      </c>
    </row>
    <row r="2983" spans="1:8" ht="54.95" customHeight="1" x14ac:dyDescent="0.2">
      <c r="A2983" s="23" t="s">
        <v>549</v>
      </c>
      <c r="B2983" s="23" t="s">
        <v>24</v>
      </c>
      <c r="C2983" s="23" t="s">
        <v>4737</v>
      </c>
      <c r="D2983" s="23">
        <v>0.78700000000000003</v>
      </c>
      <c r="E2983" s="23" t="s">
        <v>4430</v>
      </c>
      <c r="F2983" s="15" t="s">
        <v>4738</v>
      </c>
      <c r="G2983" s="15" t="s">
        <v>4432</v>
      </c>
      <c r="H2983" s="23" t="s">
        <v>58</v>
      </c>
    </row>
    <row r="2984" spans="1:8" ht="54.95" customHeight="1" x14ac:dyDescent="0.2">
      <c r="A2984" s="23" t="s">
        <v>555</v>
      </c>
      <c r="B2984" s="23" t="s">
        <v>21</v>
      </c>
      <c r="C2984" s="23" t="s">
        <v>4739</v>
      </c>
      <c r="D2984" s="23">
        <v>2.141</v>
      </c>
      <c r="E2984" s="23" t="s">
        <v>4430</v>
      </c>
      <c r="F2984" s="15" t="s">
        <v>4740</v>
      </c>
      <c r="G2984" s="15" t="s">
        <v>4432</v>
      </c>
      <c r="H2984" s="23" t="s">
        <v>58</v>
      </c>
    </row>
    <row r="2985" spans="1:8" ht="54.95" customHeight="1" x14ac:dyDescent="0.2">
      <c r="A2985" s="23" t="s">
        <v>555</v>
      </c>
      <c r="B2985" s="23" t="s">
        <v>22</v>
      </c>
      <c r="C2985" s="23" t="s">
        <v>4741</v>
      </c>
      <c r="D2985" s="23">
        <v>2.2549999999999999</v>
      </c>
      <c r="E2985" s="23" t="s">
        <v>4430</v>
      </c>
      <c r="F2985" s="15" t="s">
        <v>4742</v>
      </c>
      <c r="G2985" s="15" t="s">
        <v>4432</v>
      </c>
      <c r="H2985" s="23" t="s">
        <v>58</v>
      </c>
    </row>
    <row r="2986" spans="1:8" ht="54.95" customHeight="1" x14ac:dyDescent="0.2">
      <c r="A2986" s="23" t="s">
        <v>561</v>
      </c>
      <c r="B2986" s="23" t="s">
        <v>21</v>
      </c>
      <c r="C2986" s="23" t="s">
        <v>4743</v>
      </c>
      <c r="D2986" s="23">
        <v>2.266</v>
      </c>
      <c r="E2986" s="23" t="s">
        <v>4430</v>
      </c>
      <c r="F2986" s="15" t="s">
        <v>4744</v>
      </c>
      <c r="G2986" s="15" t="s">
        <v>4432</v>
      </c>
      <c r="H2986" s="23" t="s">
        <v>58</v>
      </c>
    </row>
    <row r="2987" spans="1:8" ht="54.95" customHeight="1" x14ac:dyDescent="0.2">
      <c r="A2987" s="23" t="s">
        <v>561</v>
      </c>
      <c r="B2987" s="23" t="s">
        <v>22</v>
      </c>
      <c r="C2987" s="23" t="s">
        <v>4745</v>
      </c>
      <c r="D2987" s="23">
        <v>2.57</v>
      </c>
      <c r="E2987" s="23" t="s">
        <v>4430</v>
      </c>
      <c r="F2987" s="15" t="s">
        <v>4746</v>
      </c>
      <c r="G2987" s="15" t="s">
        <v>4432</v>
      </c>
      <c r="H2987" s="23" t="s">
        <v>58</v>
      </c>
    </row>
    <row r="2988" spans="1:8" ht="54.95" customHeight="1" x14ac:dyDescent="0.2">
      <c r="A2988" s="23" t="s">
        <v>561</v>
      </c>
      <c r="B2988" s="23" t="s">
        <v>24</v>
      </c>
      <c r="C2988" s="23" t="s">
        <v>4747</v>
      </c>
      <c r="D2988" s="23">
        <v>1.3640000000000001</v>
      </c>
      <c r="E2988" s="23" t="s">
        <v>4430</v>
      </c>
      <c r="F2988" s="15" t="s">
        <v>4748</v>
      </c>
      <c r="G2988" s="15" t="s">
        <v>4432</v>
      </c>
      <c r="H2988" s="23" t="s">
        <v>58</v>
      </c>
    </row>
    <row r="2989" spans="1:8" ht="54.95" customHeight="1" x14ac:dyDescent="0.2">
      <c r="A2989" s="23" t="s">
        <v>567</v>
      </c>
      <c r="B2989" s="23" t="s">
        <v>21</v>
      </c>
      <c r="C2989" s="23" t="s">
        <v>4749</v>
      </c>
      <c r="D2989" s="23">
        <v>2.4159999999999999</v>
      </c>
      <c r="E2989" s="23" t="s">
        <v>4430</v>
      </c>
      <c r="F2989" s="15" t="s">
        <v>4750</v>
      </c>
      <c r="G2989" s="15" t="s">
        <v>4432</v>
      </c>
      <c r="H2989" s="23" t="s">
        <v>58</v>
      </c>
    </row>
    <row r="2990" spans="1:8" ht="54.95" customHeight="1" x14ac:dyDescent="0.2">
      <c r="A2990" s="23" t="s">
        <v>567</v>
      </c>
      <c r="B2990" s="23" t="s">
        <v>22</v>
      </c>
      <c r="C2990" s="23" t="s">
        <v>4751</v>
      </c>
      <c r="D2990" s="23">
        <v>2.371</v>
      </c>
      <c r="E2990" s="23" t="s">
        <v>4430</v>
      </c>
      <c r="F2990" s="15" t="s">
        <v>4752</v>
      </c>
      <c r="G2990" s="15" t="s">
        <v>4432</v>
      </c>
      <c r="H2990" s="23" t="s">
        <v>58</v>
      </c>
    </row>
    <row r="2991" spans="1:8" ht="54.95" customHeight="1" x14ac:dyDescent="0.2">
      <c r="A2991" s="23" t="s">
        <v>567</v>
      </c>
      <c r="B2991" s="23" t="s">
        <v>24</v>
      </c>
      <c r="C2991" s="23" t="s">
        <v>4753</v>
      </c>
      <c r="D2991" s="23">
        <v>1.117</v>
      </c>
      <c r="E2991" s="23" t="s">
        <v>4430</v>
      </c>
      <c r="F2991" s="15" t="s">
        <v>4754</v>
      </c>
      <c r="G2991" s="15" t="s">
        <v>4432</v>
      </c>
      <c r="H2991" s="23" t="s">
        <v>58</v>
      </c>
    </row>
    <row r="2992" spans="1:8" ht="54.95" customHeight="1" x14ac:dyDescent="0.2">
      <c r="A2992" s="23" t="s">
        <v>573</v>
      </c>
      <c r="B2992" s="23" t="s">
        <v>21</v>
      </c>
      <c r="C2992" s="23" t="s">
        <v>4755</v>
      </c>
      <c r="D2992" s="23">
        <v>1.2969999999999999</v>
      </c>
      <c r="E2992" s="23" t="s">
        <v>4430</v>
      </c>
      <c r="F2992" s="15" t="s">
        <v>4756</v>
      </c>
      <c r="G2992" s="15" t="s">
        <v>4432</v>
      </c>
      <c r="H2992" s="23" t="s">
        <v>58</v>
      </c>
    </row>
    <row r="2993" spans="1:8" ht="54.95" customHeight="1" x14ac:dyDescent="0.2">
      <c r="A2993" s="23" t="s">
        <v>573</v>
      </c>
      <c r="B2993" s="23" t="s">
        <v>22</v>
      </c>
      <c r="C2993" s="23" t="s">
        <v>4757</v>
      </c>
      <c r="D2993" s="23">
        <v>1.3779999999999999</v>
      </c>
      <c r="E2993" s="23" t="s">
        <v>4430</v>
      </c>
      <c r="F2993" s="15" t="s">
        <v>4758</v>
      </c>
      <c r="G2993" s="15" t="s">
        <v>4432</v>
      </c>
      <c r="H2993" s="23" t="s">
        <v>58</v>
      </c>
    </row>
    <row r="2994" spans="1:8" ht="54.95" customHeight="1" x14ac:dyDescent="0.2">
      <c r="A2994" s="23" t="s">
        <v>579</v>
      </c>
      <c r="B2994" s="23" t="s">
        <v>21</v>
      </c>
      <c r="C2994" s="23" t="s">
        <v>4759</v>
      </c>
      <c r="D2994" s="23">
        <v>2.0329999999999999</v>
      </c>
      <c r="E2994" s="23" t="s">
        <v>4430</v>
      </c>
      <c r="F2994" s="15" t="s">
        <v>4760</v>
      </c>
      <c r="G2994" s="15" t="s">
        <v>4432</v>
      </c>
      <c r="H2994" s="23" t="s">
        <v>58</v>
      </c>
    </row>
    <row r="2995" spans="1:8" ht="54.95" customHeight="1" x14ac:dyDescent="0.2">
      <c r="A2995" s="23" t="s">
        <v>579</v>
      </c>
      <c r="B2995" s="23" t="s">
        <v>22</v>
      </c>
      <c r="C2995" s="23" t="s">
        <v>4761</v>
      </c>
      <c r="D2995" s="23">
        <v>2.2869999999999999</v>
      </c>
      <c r="E2995" s="23" t="s">
        <v>4430</v>
      </c>
      <c r="F2995" s="15" t="s">
        <v>4762</v>
      </c>
      <c r="G2995" s="15" t="s">
        <v>4432</v>
      </c>
      <c r="H2995" s="23" t="s">
        <v>58</v>
      </c>
    </row>
    <row r="2996" spans="1:8" ht="54.95" customHeight="1" x14ac:dyDescent="0.2">
      <c r="A2996" s="23" t="s">
        <v>585</v>
      </c>
      <c r="B2996" s="23" t="s">
        <v>21</v>
      </c>
      <c r="C2996" s="23" t="s">
        <v>4763</v>
      </c>
      <c r="D2996" s="23">
        <v>1.3680000000000001</v>
      </c>
      <c r="E2996" s="23" t="s">
        <v>4430</v>
      </c>
      <c r="F2996" s="15" t="s">
        <v>4764</v>
      </c>
      <c r="G2996" s="15" t="s">
        <v>4432</v>
      </c>
      <c r="H2996" s="23" t="s">
        <v>58</v>
      </c>
    </row>
    <row r="2997" spans="1:8" ht="54.95" customHeight="1" x14ac:dyDescent="0.2">
      <c r="A2997" s="23" t="s">
        <v>585</v>
      </c>
      <c r="B2997" s="23" t="s">
        <v>22</v>
      </c>
      <c r="C2997" s="23" t="s">
        <v>4765</v>
      </c>
      <c r="D2997" s="23">
        <v>1.3680000000000001</v>
      </c>
      <c r="E2997" s="23" t="s">
        <v>4430</v>
      </c>
      <c r="F2997" s="15" t="s">
        <v>4766</v>
      </c>
      <c r="G2997" s="15" t="s">
        <v>4432</v>
      </c>
      <c r="H2997" s="23" t="s">
        <v>58</v>
      </c>
    </row>
    <row r="2998" spans="1:8" ht="54.95" customHeight="1" x14ac:dyDescent="0.2">
      <c r="A2998" s="23" t="s">
        <v>591</v>
      </c>
      <c r="B2998" s="23" t="s">
        <v>21</v>
      </c>
      <c r="C2998" s="23" t="s">
        <v>4535</v>
      </c>
      <c r="D2998" s="23">
        <v>1.1459999999999999</v>
      </c>
      <c r="E2998" s="23" t="s">
        <v>4430</v>
      </c>
      <c r="F2998" s="15" t="s">
        <v>4767</v>
      </c>
      <c r="G2998" s="15" t="s">
        <v>4432</v>
      </c>
      <c r="H2998" s="23" t="s">
        <v>58</v>
      </c>
    </row>
    <row r="2999" spans="1:8" ht="54.95" customHeight="1" x14ac:dyDescent="0.2">
      <c r="A2999" s="23" t="s">
        <v>591</v>
      </c>
      <c r="B2999" s="23" t="s">
        <v>22</v>
      </c>
      <c r="C2999" s="23" t="s">
        <v>4768</v>
      </c>
      <c r="D2999" s="23">
        <v>1.3919999999999999</v>
      </c>
      <c r="E2999" s="23" t="s">
        <v>4430</v>
      </c>
      <c r="F2999" s="15" t="s">
        <v>4769</v>
      </c>
      <c r="G2999" s="15" t="s">
        <v>4432</v>
      </c>
      <c r="H2999" s="23" t="s">
        <v>58</v>
      </c>
    </row>
    <row r="3000" spans="1:8" ht="54.95" customHeight="1" x14ac:dyDescent="0.2">
      <c r="A3000" s="23" t="s">
        <v>597</v>
      </c>
      <c r="B3000" s="23" t="s">
        <v>21</v>
      </c>
      <c r="C3000" s="23" t="s">
        <v>4770</v>
      </c>
      <c r="D3000" s="23">
        <v>1.849</v>
      </c>
      <c r="E3000" s="23" t="s">
        <v>4430</v>
      </c>
      <c r="F3000" s="15" t="s">
        <v>4771</v>
      </c>
      <c r="G3000" s="15" t="s">
        <v>4432</v>
      </c>
      <c r="H3000" s="23" t="s">
        <v>58</v>
      </c>
    </row>
    <row r="3001" spans="1:8" ht="54.95" customHeight="1" x14ac:dyDescent="0.2">
      <c r="A3001" s="23" t="s">
        <v>597</v>
      </c>
      <c r="B3001" s="23" t="s">
        <v>22</v>
      </c>
      <c r="C3001" s="23" t="s">
        <v>4772</v>
      </c>
      <c r="D3001" s="23">
        <v>2.2010000000000001</v>
      </c>
      <c r="E3001" s="23" t="s">
        <v>4430</v>
      </c>
      <c r="F3001" s="15" t="s">
        <v>4773</v>
      </c>
      <c r="G3001" s="15" t="s">
        <v>4432</v>
      </c>
      <c r="H3001" s="23" t="s">
        <v>58</v>
      </c>
    </row>
    <row r="3002" spans="1:8" ht="54.95" customHeight="1" x14ac:dyDescent="0.2">
      <c r="A3002" s="23" t="s">
        <v>603</v>
      </c>
      <c r="B3002" s="23" t="s">
        <v>21</v>
      </c>
      <c r="C3002" s="23" t="s">
        <v>4774</v>
      </c>
      <c r="D3002" s="23">
        <v>0.7</v>
      </c>
      <c r="E3002" s="23" t="s">
        <v>4430</v>
      </c>
      <c r="F3002" s="15" t="s">
        <v>4775</v>
      </c>
      <c r="G3002" s="15" t="s">
        <v>4432</v>
      </c>
      <c r="H3002" s="23" t="s">
        <v>58</v>
      </c>
    </row>
    <row r="3003" spans="1:8" ht="54.95" customHeight="1" x14ac:dyDescent="0.2">
      <c r="A3003" s="23" t="s">
        <v>603</v>
      </c>
      <c r="B3003" s="23" t="s">
        <v>22</v>
      </c>
      <c r="C3003" s="23" t="s">
        <v>4776</v>
      </c>
      <c r="D3003" s="23">
        <v>0.65600000000000003</v>
      </c>
      <c r="E3003" s="23" t="s">
        <v>4430</v>
      </c>
      <c r="F3003" s="15" t="s">
        <v>4777</v>
      </c>
      <c r="G3003" s="15" t="s">
        <v>4432</v>
      </c>
      <c r="H3003" s="23" t="s">
        <v>58</v>
      </c>
    </row>
    <row r="3004" spans="1:8" ht="54.95" customHeight="1" x14ac:dyDescent="0.2">
      <c r="A3004" s="23" t="s">
        <v>619</v>
      </c>
      <c r="B3004" s="23" t="s">
        <v>21</v>
      </c>
      <c r="C3004" s="23" t="s">
        <v>4778</v>
      </c>
      <c r="D3004" s="23">
        <v>2.1859999999999999</v>
      </c>
      <c r="E3004" s="23" t="s">
        <v>4430</v>
      </c>
      <c r="F3004" s="15" t="s">
        <v>4779</v>
      </c>
      <c r="G3004" s="15" t="s">
        <v>4432</v>
      </c>
      <c r="H3004" s="23" t="s">
        <v>58</v>
      </c>
    </row>
    <row r="3005" spans="1:8" ht="54.95" customHeight="1" x14ac:dyDescent="0.2">
      <c r="A3005" s="23" t="s">
        <v>619</v>
      </c>
      <c r="B3005" s="23" t="s">
        <v>22</v>
      </c>
      <c r="C3005" s="23" t="s">
        <v>4780</v>
      </c>
      <c r="D3005" s="23">
        <v>2.536</v>
      </c>
      <c r="E3005" s="23" t="s">
        <v>4430</v>
      </c>
      <c r="F3005" s="15" t="s">
        <v>4781</v>
      </c>
      <c r="G3005" s="15" t="s">
        <v>4432</v>
      </c>
      <c r="H3005" s="23" t="s">
        <v>58</v>
      </c>
    </row>
    <row r="3006" spans="1:8" ht="54.95" customHeight="1" x14ac:dyDescent="0.2">
      <c r="A3006" s="23" t="s">
        <v>626</v>
      </c>
      <c r="B3006" s="23" t="s">
        <v>21</v>
      </c>
      <c r="C3006" s="23" t="s">
        <v>4782</v>
      </c>
      <c r="D3006" s="23">
        <v>0.65</v>
      </c>
      <c r="E3006" s="23" t="s">
        <v>4430</v>
      </c>
      <c r="F3006" s="15" t="s">
        <v>4783</v>
      </c>
      <c r="G3006" s="15" t="s">
        <v>4432</v>
      </c>
      <c r="H3006" s="23" t="s">
        <v>58</v>
      </c>
    </row>
    <row r="3007" spans="1:8" ht="54.95" customHeight="1" x14ac:dyDescent="0.2">
      <c r="A3007" s="23" t="s">
        <v>634</v>
      </c>
      <c r="B3007" s="23" t="s">
        <v>21</v>
      </c>
      <c r="C3007" s="23" t="s">
        <v>4784</v>
      </c>
      <c r="D3007" s="23">
        <v>2.4449999999999998</v>
      </c>
      <c r="E3007" s="23" t="s">
        <v>4430</v>
      </c>
      <c r="F3007" s="15" t="s">
        <v>4785</v>
      </c>
      <c r="G3007" s="15" t="s">
        <v>4432</v>
      </c>
      <c r="H3007" s="23" t="s">
        <v>58</v>
      </c>
    </row>
    <row r="3008" spans="1:8" ht="54.95" customHeight="1" x14ac:dyDescent="0.2">
      <c r="A3008" s="23" t="s">
        <v>634</v>
      </c>
      <c r="B3008" s="23" t="s">
        <v>22</v>
      </c>
      <c r="C3008" s="23" t="s">
        <v>4786</v>
      </c>
      <c r="D3008" s="23">
        <v>2.573</v>
      </c>
      <c r="E3008" s="23" t="s">
        <v>4430</v>
      </c>
      <c r="F3008" s="15" t="s">
        <v>4787</v>
      </c>
      <c r="G3008" s="15" t="s">
        <v>4432</v>
      </c>
      <c r="H3008" s="23" t="s">
        <v>58</v>
      </c>
    </row>
    <row r="3009" spans="1:8" ht="54.95" customHeight="1" x14ac:dyDescent="0.2">
      <c r="A3009" s="23" t="s">
        <v>634</v>
      </c>
      <c r="B3009" s="23" t="s">
        <v>24</v>
      </c>
      <c r="C3009" s="23" t="s">
        <v>4788</v>
      </c>
      <c r="D3009" s="23">
        <v>0.85699999999999998</v>
      </c>
      <c r="E3009" s="23" t="s">
        <v>4430</v>
      </c>
      <c r="F3009" s="15" t="s">
        <v>4789</v>
      </c>
      <c r="G3009" s="15" t="s">
        <v>4432</v>
      </c>
      <c r="H3009" s="23" t="s">
        <v>58</v>
      </c>
    </row>
    <row r="3010" spans="1:8" ht="54.95" customHeight="1" x14ac:dyDescent="0.2">
      <c r="A3010" s="23" t="s">
        <v>641</v>
      </c>
      <c r="B3010" s="23" t="s">
        <v>21</v>
      </c>
      <c r="C3010" s="23" t="s">
        <v>4790</v>
      </c>
      <c r="D3010" s="23">
        <v>2.4790000000000001</v>
      </c>
      <c r="E3010" s="23" t="s">
        <v>4430</v>
      </c>
      <c r="F3010" s="15" t="s">
        <v>4791</v>
      </c>
      <c r="G3010" s="15" t="s">
        <v>4432</v>
      </c>
      <c r="H3010" s="23" t="s">
        <v>58</v>
      </c>
    </row>
    <row r="3011" spans="1:8" ht="54.95" customHeight="1" x14ac:dyDescent="0.2">
      <c r="A3011" s="23" t="s">
        <v>641</v>
      </c>
      <c r="B3011" s="23" t="s">
        <v>22</v>
      </c>
      <c r="C3011" s="23" t="s">
        <v>4792</v>
      </c>
      <c r="D3011" s="23">
        <v>2.8420000000000001</v>
      </c>
      <c r="E3011" s="23" t="s">
        <v>4430</v>
      </c>
      <c r="F3011" s="15" t="s">
        <v>4793</v>
      </c>
      <c r="G3011" s="15" t="s">
        <v>4432</v>
      </c>
      <c r="H3011" s="23" t="s">
        <v>58</v>
      </c>
    </row>
    <row r="3012" spans="1:8" ht="54.95" customHeight="1" x14ac:dyDescent="0.2">
      <c r="A3012" s="23" t="s">
        <v>641</v>
      </c>
      <c r="B3012" s="23" t="s">
        <v>24</v>
      </c>
      <c r="C3012" s="23" t="s">
        <v>4794</v>
      </c>
      <c r="D3012" s="23">
        <v>1.448</v>
      </c>
      <c r="E3012" s="23" t="s">
        <v>4430</v>
      </c>
      <c r="F3012" s="15" t="s">
        <v>4795</v>
      </c>
      <c r="G3012" s="15" t="s">
        <v>4432</v>
      </c>
      <c r="H3012" s="23" t="s">
        <v>58</v>
      </c>
    </row>
    <row r="3013" spans="1:8" ht="54.95" customHeight="1" x14ac:dyDescent="0.2">
      <c r="A3013" s="23" t="s">
        <v>647</v>
      </c>
      <c r="B3013" s="23" t="s">
        <v>21</v>
      </c>
      <c r="C3013" s="23" t="s">
        <v>4796</v>
      </c>
      <c r="D3013" s="23">
        <v>2.9000000000000001E-2</v>
      </c>
      <c r="E3013" s="23" t="s">
        <v>4430</v>
      </c>
      <c r="F3013" s="15" t="s">
        <v>4797</v>
      </c>
      <c r="G3013" s="15" t="s">
        <v>4432</v>
      </c>
      <c r="H3013" s="23" t="s">
        <v>58</v>
      </c>
    </row>
    <row r="3014" spans="1:8" ht="54.95" customHeight="1" x14ac:dyDescent="0.2">
      <c r="A3014" s="23" t="s">
        <v>647</v>
      </c>
      <c r="B3014" s="23" t="s">
        <v>22</v>
      </c>
      <c r="C3014" s="23" t="s">
        <v>4798</v>
      </c>
      <c r="D3014" s="23">
        <v>6.0000000000000001E-3</v>
      </c>
      <c r="E3014" s="23" t="s">
        <v>4430</v>
      </c>
      <c r="F3014" s="15" t="s">
        <v>4799</v>
      </c>
      <c r="G3014" s="15" t="s">
        <v>4432</v>
      </c>
      <c r="H3014" s="23" t="s">
        <v>58</v>
      </c>
    </row>
    <row r="3015" spans="1:8" ht="54.95" customHeight="1" x14ac:dyDescent="0.2">
      <c r="A3015" s="23" t="s">
        <v>653</v>
      </c>
      <c r="B3015" s="23" t="s">
        <v>21</v>
      </c>
      <c r="C3015" s="23" t="s">
        <v>4800</v>
      </c>
      <c r="D3015" s="23">
        <v>2.8439999999999999</v>
      </c>
      <c r="E3015" s="23" t="s">
        <v>4430</v>
      </c>
      <c r="F3015" s="15" t="s">
        <v>4801</v>
      </c>
      <c r="G3015" s="15" t="s">
        <v>4432</v>
      </c>
      <c r="H3015" s="23" t="s">
        <v>58</v>
      </c>
    </row>
    <row r="3016" spans="1:8" ht="54.95" customHeight="1" x14ac:dyDescent="0.2">
      <c r="A3016" s="23" t="s">
        <v>653</v>
      </c>
      <c r="B3016" s="23" t="s">
        <v>22</v>
      </c>
      <c r="C3016" s="23" t="s">
        <v>4802</v>
      </c>
      <c r="D3016" s="23">
        <v>2.8260000000000001</v>
      </c>
      <c r="E3016" s="23" t="s">
        <v>4430</v>
      </c>
      <c r="F3016" s="15" t="s">
        <v>4803</v>
      </c>
      <c r="G3016" s="15" t="s">
        <v>4432</v>
      </c>
      <c r="H3016" s="23" t="s">
        <v>58</v>
      </c>
    </row>
    <row r="3017" spans="1:8" ht="54.95" customHeight="1" x14ac:dyDescent="0.2">
      <c r="A3017" s="23" t="s">
        <v>653</v>
      </c>
      <c r="B3017" s="23" t="s">
        <v>24</v>
      </c>
      <c r="C3017" s="23" t="s">
        <v>4804</v>
      </c>
      <c r="D3017" s="23">
        <v>1.075</v>
      </c>
      <c r="E3017" s="23" t="s">
        <v>4430</v>
      </c>
      <c r="F3017" s="15" t="s">
        <v>4805</v>
      </c>
      <c r="G3017" s="15" t="s">
        <v>4432</v>
      </c>
      <c r="H3017" s="23" t="s">
        <v>58</v>
      </c>
    </row>
    <row r="3018" spans="1:8" ht="54.95" customHeight="1" x14ac:dyDescent="0.2">
      <c r="A3018" s="23" t="s">
        <v>660</v>
      </c>
      <c r="B3018" s="23" t="s">
        <v>21</v>
      </c>
      <c r="C3018" s="23" t="s">
        <v>4806</v>
      </c>
      <c r="D3018" s="23">
        <v>2.552</v>
      </c>
      <c r="E3018" s="23" t="s">
        <v>4430</v>
      </c>
      <c r="F3018" s="15" t="s">
        <v>4807</v>
      </c>
      <c r="G3018" s="15" t="s">
        <v>4432</v>
      </c>
      <c r="H3018" s="23" t="s">
        <v>58</v>
      </c>
    </row>
    <row r="3019" spans="1:8" ht="54.95" customHeight="1" x14ac:dyDescent="0.2">
      <c r="A3019" s="23" t="s">
        <v>660</v>
      </c>
      <c r="B3019" s="23" t="s">
        <v>22</v>
      </c>
      <c r="C3019" s="23" t="s">
        <v>4808</v>
      </c>
      <c r="D3019" s="23">
        <v>2.9180000000000001</v>
      </c>
      <c r="E3019" s="23" t="s">
        <v>4430</v>
      </c>
      <c r="F3019" s="15" t="s">
        <v>4809</v>
      </c>
      <c r="G3019" s="15" t="s">
        <v>4432</v>
      </c>
      <c r="H3019" s="23" t="s">
        <v>58</v>
      </c>
    </row>
    <row r="3020" spans="1:8" ht="54.95" customHeight="1" x14ac:dyDescent="0.2">
      <c r="A3020" s="23" t="s">
        <v>666</v>
      </c>
      <c r="B3020" s="23" t="s">
        <v>21</v>
      </c>
      <c r="C3020" s="23" t="s">
        <v>4810</v>
      </c>
      <c r="D3020" s="23">
        <v>1.5940000000000001</v>
      </c>
      <c r="E3020" s="23" t="s">
        <v>4430</v>
      </c>
      <c r="F3020" s="15" t="s">
        <v>4811</v>
      </c>
      <c r="G3020" s="15" t="s">
        <v>4432</v>
      </c>
      <c r="H3020" s="23" t="s">
        <v>58</v>
      </c>
    </row>
    <row r="3021" spans="1:8" ht="54.95" customHeight="1" x14ac:dyDescent="0.2">
      <c r="A3021" s="23" t="s">
        <v>666</v>
      </c>
      <c r="B3021" s="23" t="s">
        <v>22</v>
      </c>
      <c r="C3021" s="23" t="s">
        <v>4812</v>
      </c>
      <c r="D3021" s="23">
        <v>1.2769999999999999</v>
      </c>
      <c r="E3021" s="23" t="s">
        <v>4430</v>
      </c>
      <c r="F3021" s="15" t="s">
        <v>4813</v>
      </c>
      <c r="G3021" s="15" t="s">
        <v>4432</v>
      </c>
      <c r="H3021" s="23" t="s">
        <v>58</v>
      </c>
    </row>
    <row r="3022" spans="1:8" ht="54.95" customHeight="1" x14ac:dyDescent="0.2">
      <c r="A3022" s="23" t="s">
        <v>672</v>
      </c>
      <c r="B3022" s="23" t="s">
        <v>21</v>
      </c>
      <c r="C3022" s="23" t="s">
        <v>4814</v>
      </c>
      <c r="D3022" s="23">
        <v>2.016</v>
      </c>
      <c r="E3022" s="23" t="s">
        <v>4430</v>
      </c>
      <c r="F3022" s="15" t="s">
        <v>4815</v>
      </c>
      <c r="G3022" s="15" t="s">
        <v>4432</v>
      </c>
      <c r="H3022" s="23" t="s">
        <v>58</v>
      </c>
    </row>
    <row r="3023" spans="1:8" ht="54.95" customHeight="1" x14ac:dyDescent="0.2">
      <c r="A3023" s="23" t="s">
        <v>672</v>
      </c>
      <c r="B3023" s="23" t="s">
        <v>22</v>
      </c>
      <c r="C3023" s="23" t="s">
        <v>4816</v>
      </c>
      <c r="D3023" s="23">
        <v>2.3010000000000002</v>
      </c>
      <c r="E3023" s="23" t="s">
        <v>4430</v>
      </c>
      <c r="F3023" s="15" t="s">
        <v>4817</v>
      </c>
      <c r="G3023" s="15" t="s">
        <v>4432</v>
      </c>
      <c r="H3023" s="23" t="s">
        <v>58</v>
      </c>
    </row>
    <row r="3024" spans="1:8" ht="54.95" customHeight="1" x14ac:dyDescent="0.2">
      <c r="A3024" s="23" t="s">
        <v>672</v>
      </c>
      <c r="B3024" s="23" t="s">
        <v>24</v>
      </c>
      <c r="C3024" s="23" t="s">
        <v>4818</v>
      </c>
      <c r="D3024" s="23">
        <v>1.0329999999999999</v>
      </c>
      <c r="E3024" s="23" t="s">
        <v>4430</v>
      </c>
      <c r="F3024" s="15" t="s">
        <v>4819</v>
      </c>
      <c r="G3024" s="15" t="s">
        <v>4432</v>
      </c>
      <c r="H3024" s="23" t="s">
        <v>58</v>
      </c>
    </row>
    <row r="3025" spans="1:8" ht="54.95" customHeight="1" x14ac:dyDescent="0.2">
      <c r="A3025" s="23" t="s">
        <v>678</v>
      </c>
      <c r="B3025" s="23" t="s">
        <v>21</v>
      </c>
      <c r="C3025" s="23" t="s">
        <v>4820</v>
      </c>
      <c r="D3025" s="23">
        <v>1.5409999999999999</v>
      </c>
      <c r="E3025" s="23" t="s">
        <v>4430</v>
      </c>
      <c r="F3025" s="15" t="s">
        <v>4821</v>
      </c>
      <c r="G3025" s="15" t="s">
        <v>4432</v>
      </c>
      <c r="H3025" s="23" t="s">
        <v>58</v>
      </c>
    </row>
    <row r="3026" spans="1:8" ht="54.95" customHeight="1" x14ac:dyDescent="0.2">
      <c r="A3026" s="23" t="s">
        <v>678</v>
      </c>
      <c r="B3026" s="23" t="s">
        <v>22</v>
      </c>
      <c r="C3026" s="23" t="s">
        <v>4822</v>
      </c>
      <c r="D3026" s="23">
        <v>1.655</v>
      </c>
      <c r="E3026" s="23" t="s">
        <v>4430</v>
      </c>
      <c r="F3026" s="15" t="s">
        <v>4823</v>
      </c>
      <c r="G3026" s="15" t="s">
        <v>4432</v>
      </c>
      <c r="H3026" s="23" t="s">
        <v>58</v>
      </c>
    </row>
    <row r="3027" spans="1:8" ht="54.95" customHeight="1" x14ac:dyDescent="0.2">
      <c r="A3027" s="23" t="s">
        <v>684</v>
      </c>
      <c r="B3027" s="23" t="s">
        <v>21</v>
      </c>
      <c r="C3027" s="23" t="s">
        <v>4824</v>
      </c>
      <c r="D3027" s="23">
        <v>1.7430000000000001</v>
      </c>
      <c r="E3027" s="23" t="s">
        <v>4430</v>
      </c>
      <c r="F3027" s="15" t="s">
        <v>4825</v>
      </c>
      <c r="G3027" s="15" t="s">
        <v>4432</v>
      </c>
      <c r="H3027" s="23" t="s">
        <v>58</v>
      </c>
    </row>
    <row r="3028" spans="1:8" ht="54.95" customHeight="1" x14ac:dyDescent="0.2">
      <c r="A3028" s="23" t="s">
        <v>684</v>
      </c>
      <c r="B3028" s="23" t="s">
        <v>22</v>
      </c>
      <c r="C3028" s="23" t="s">
        <v>4826</v>
      </c>
      <c r="D3028" s="23">
        <v>1.329</v>
      </c>
      <c r="E3028" s="23" t="s">
        <v>4430</v>
      </c>
      <c r="F3028" s="15" t="s">
        <v>4827</v>
      </c>
      <c r="G3028" s="15" t="s">
        <v>4432</v>
      </c>
      <c r="H3028" s="23" t="s">
        <v>58</v>
      </c>
    </row>
    <row r="3029" spans="1:8" ht="54.95" customHeight="1" x14ac:dyDescent="0.2">
      <c r="A3029" s="23" t="s">
        <v>690</v>
      </c>
      <c r="B3029" s="23" t="s">
        <v>21</v>
      </c>
      <c r="C3029" s="23" t="s">
        <v>4828</v>
      </c>
      <c r="D3029" s="23">
        <v>1.0189999999999999</v>
      </c>
      <c r="E3029" s="23" t="s">
        <v>4430</v>
      </c>
      <c r="F3029" s="15" t="s">
        <v>4829</v>
      </c>
      <c r="G3029" s="15" t="s">
        <v>4432</v>
      </c>
      <c r="H3029" s="23" t="s">
        <v>58</v>
      </c>
    </row>
    <row r="3030" spans="1:8" ht="54.95" customHeight="1" x14ac:dyDescent="0.2">
      <c r="A3030" s="23" t="s">
        <v>690</v>
      </c>
      <c r="B3030" s="23" t="s">
        <v>22</v>
      </c>
      <c r="C3030" s="23" t="s">
        <v>4830</v>
      </c>
      <c r="D3030" s="23">
        <v>1.4359999999999999</v>
      </c>
      <c r="E3030" s="23" t="s">
        <v>4430</v>
      </c>
      <c r="F3030" s="15" t="s">
        <v>4831</v>
      </c>
      <c r="G3030" s="15" t="s">
        <v>4432</v>
      </c>
      <c r="H3030" s="23" t="s">
        <v>58</v>
      </c>
    </row>
    <row r="3031" spans="1:8" ht="54.95" customHeight="1" x14ac:dyDescent="0.2">
      <c r="A3031" s="23" t="s">
        <v>690</v>
      </c>
      <c r="B3031" s="23" t="s">
        <v>24</v>
      </c>
      <c r="C3031" s="23" t="s">
        <v>4832</v>
      </c>
      <c r="D3031" s="23">
        <v>0.78700000000000003</v>
      </c>
      <c r="E3031" s="23" t="s">
        <v>4430</v>
      </c>
      <c r="F3031" s="15" t="s">
        <v>4833</v>
      </c>
      <c r="G3031" s="15" t="s">
        <v>4432</v>
      </c>
      <c r="H3031" s="23" t="s">
        <v>58</v>
      </c>
    </row>
    <row r="3032" spans="1:8" ht="54.95" customHeight="1" x14ac:dyDescent="0.2">
      <c r="A3032" s="23" t="s">
        <v>696</v>
      </c>
      <c r="B3032" s="23" t="s">
        <v>21</v>
      </c>
      <c r="C3032" s="23" t="s">
        <v>4834</v>
      </c>
      <c r="D3032" s="23">
        <v>1.2769999999999999</v>
      </c>
      <c r="E3032" s="23" t="s">
        <v>4430</v>
      </c>
      <c r="F3032" s="15" t="s">
        <v>4835</v>
      </c>
      <c r="G3032" s="15" t="s">
        <v>4432</v>
      </c>
      <c r="H3032" s="23" t="s">
        <v>58</v>
      </c>
    </row>
    <row r="3033" spans="1:8" ht="54.95" customHeight="1" x14ac:dyDescent="0.2">
      <c r="A3033" s="23" t="s">
        <v>696</v>
      </c>
      <c r="B3033" s="23" t="s">
        <v>22</v>
      </c>
      <c r="C3033" s="23" t="s">
        <v>1545</v>
      </c>
      <c r="D3033" s="23">
        <v>1.321</v>
      </c>
      <c r="E3033" s="23" t="s">
        <v>4430</v>
      </c>
      <c r="F3033" s="15" t="s">
        <v>4836</v>
      </c>
      <c r="G3033" s="15" t="s">
        <v>4432</v>
      </c>
      <c r="H3033" s="23" t="s">
        <v>58</v>
      </c>
    </row>
    <row r="3034" spans="1:8" ht="54.95" customHeight="1" x14ac:dyDescent="0.2">
      <c r="A3034" s="23" t="s">
        <v>702</v>
      </c>
      <c r="B3034" s="23" t="s">
        <v>21</v>
      </c>
      <c r="C3034" s="23" t="s">
        <v>4837</v>
      </c>
      <c r="D3034" s="23">
        <v>0.32700000000000001</v>
      </c>
      <c r="E3034" s="23" t="s">
        <v>4430</v>
      </c>
      <c r="F3034" s="15" t="s">
        <v>4838</v>
      </c>
      <c r="G3034" s="15" t="s">
        <v>4432</v>
      </c>
      <c r="H3034" s="23" t="s">
        <v>58</v>
      </c>
    </row>
    <row r="3035" spans="1:8" ht="54.95" customHeight="1" x14ac:dyDescent="0.2">
      <c r="A3035" s="23" t="s">
        <v>702</v>
      </c>
      <c r="B3035" s="23" t="s">
        <v>22</v>
      </c>
      <c r="C3035" s="23" t="s">
        <v>4839</v>
      </c>
      <c r="D3035" s="23">
        <v>0.45800000000000002</v>
      </c>
      <c r="E3035" s="23" t="s">
        <v>4430</v>
      </c>
      <c r="F3035" s="15" t="s">
        <v>4840</v>
      </c>
      <c r="G3035" s="15" t="s">
        <v>4432</v>
      </c>
      <c r="H3035" s="23" t="s">
        <v>58</v>
      </c>
    </row>
    <row r="3036" spans="1:8" ht="54.95" customHeight="1" x14ac:dyDescent="0.2">
      <c r="A3036" s="23" t="s">
        <v>702</v>
      </c>
      <c r="B3036" s="23" t="s">
        <v>24</v>
      </c>
      <c r="C3036" s="23" t="s">
        <v>4841</v>
      </c>
      <c r="D3036" s="23">
        <v>0.109</v>
      </c>
      <c r="E3036" s="23" t="s">
        <v>4430</v>
      </c>
      <c r="F3036" s="15" t="s">
        <v>4842</v>
      </c>
      <c r="G3036" s="15" t="s">
        <v>4432</v>
      </c>
      <c r="H3036" s="23" t="s">
        <v>58</v>
      </c>
    </row>
    <row r="3037" spans="1:8" ht="54.95" customHeight="1" x14ac:dyDescent="0.2">
      <c r="A3037" s="23" t="s">
        <v>708</v>
      </c>
      <c r="B3037" s="23" t="s">
        <v>21</v>
      </c>
      <c r="C3037" s="23" t="s">
        <v>4843</v>
      </c>
      <c r="D3037" s="23">
        <v>1.998</v>
      </c>
      <c r="E3037" s="23" t="s">
        <v>4430</v>
      </c>
      <c r="F3037" s="15" t="s">
        <v>4844</v>
      </c>
      <c r="G3037" s="15" t="s">
        <v>4432</v>
      </c>
      <c r="H3037" s="23" t="s">
        <v>58</v>
      </c>
    </row>
    <row r="3038" spans="1:8" ht="54.95" customHeight="1" x14ac:dyDescent="0.2">
      <c r="A3038" s="23" t="s">
        <v>708</v>
      </c>
      <c r="B3038" s="23" t="s">
        <v>22</v>
      </c>
      <c r="C3038" s="23" t="s">
        <v>4845</v>
      </c>
      <c r="D3038" s="23">
        <v>2.202</v>
      </c>
      <c r="E3038" s="23" t="s">
        <v>4430</v>
      </c>
      <c r="F3038" s="15" t="s">
        <v>4846</v>
      </c>
      <c r="G3038" s="15" t="s">
        <v>4432</v>
      </c>
      <c r="H3038" s="23" t="s">
        <v>58</v>
      </c>
    </row>
    <row r="3039" spans="1:8" ht="54.95" customHeight="1" x14ac:dyDescent="0.2">
      <c r="A3039" s="23" t="s">
        <v>708</v>
      </c>
      <c r="B3039" s="23" t="s">
        <v>24</v>
      </c>
      <c r="C3039" s="23" t="s">
        <v>4847</v>
      </c>
      <c r="D3039" s="23">
        <v>0.84699999999999998</v>
      </c>
      <c r="E3039" s="23" t="s">
        <v>4430</v>
      </c>
      <c r="F3039" s="15" t="s">
        <v>4848</v>
      </c>
      <c r="G3039" s="15" t="s">
        <v>4432</v>
      </c>
      <c r="H3039" s="23" t="s">
        <v>58</v>
      </c>
    </row>
    <row r="3040" spans="1:8" ht="54.95" customHeight="1" x14ac:dyDescent="0.2">
      <c r="A3040" s="23" t="s">
        <v>714</v>
      </c>
      <c r="B3040" s="23" t="s">
        <v>21</v>
      </c>
      <c r="C3040" s="23" t="s">
        <v>4849</v>
      </c>
      <c r="D3040" s="23">
        <v>1.9319999999999999</v>
      </c>
      <c r="E3040" s="23" t="s">
        <v>4430</v>
      </c>
      <c r="F3040" s="15" t="s">
        <v>4850</v>
      </c>
      <c r="G3040" s="15" t="s">
        <v>4432</v>
      </c>
      <c r="H3040" s="23" t="s">
        <v>58</v>
      </c>
    </row>
    <row r="3041" spans="1:8" ht="54.95" customHeight="1" x14ac:dyDescent="0.2">
      <c r="A3041" s="23" t="s">
        <v>714</v>
      </c>
      <c r="B3041" s="23" t="s">
        <v>22</v>
      </c>
      <c r="C3041" s="23" t="s">
        <v>4851</v>
      </c>
      <c r="D3041" s="23">
        <v>2.238</v>
      </c>
      <c r="E3041" s="23" t="s">
        <v>4430</v>
      </c>
      <c r="F3041" s="15" t="s">
        <v>4852</v>
      </c>
      <c r="G3041" s="15" t="s">
        <v>4432</v>
      </c>
      <c r="H3041" s="23" t="s">
        <v>58</v>
      </c>
    </row>
    <row r="3042" spans="1:8" ht="54.95" customHeight="1" x14ac:dyDescent="0.2">
      <c r="A3042" s="23" t="s">
        <v>714</v>
      </c>
      <c r="B3042" s="23" t="s">
        <v>24</v>
      </c>
      <c r="C3042" s="23" t="s">
        <v>4853</v>
      </c>
      <c r="D3042" s="23">
        <v>1.127</v>
      </c>
      <c r="E3042" s="23" t="s">
        <v>4430</v>
      </c>
      <c r="F3042" s="15" t="s">
        <v>4854</v>
      </c>
      <c r="G3042" s="15" t="s">
        <v>4432</v>
      </c>
      <c r="H3042" s="23" t="s">
        <v>58</v>
      </c>
    </row>
    <row r="3043" spans="1:8" ht="54.95" customHeight="1" x14ac:dyDescent="0.2">
      <c r="A3043" s="23" t="s">
        <v>720</v>
      </c>
      <c r="B3043" s="23" t="s">
        <v>21</v>
      </c>
      <c r="C3043" s="23" t="s">
        <v>4855</v>
      </c>
      <c r="D3043" s="23">
        <v>0.57599999999999996</v>
      </c>
      <c r="E3043" s="23" t="s">
        <v>4430</v>
      </c>
      <c r="F3043" s="15" t="s">
        <v>4856</v>
      </c>
      <c r="G3043" s="15" t="s">
        <v>4432</v>
      </c>
      <c r="H3043" s="23" t="s">
        <v>58</v>
      </c>
    </row>
    <row r="3044" spans="1:8" ht="54.95" customHeight="1" x14ac:dyDescent="0.2">
      <c r="A3044" s="23" t="s">
        <v>720</v>
      </c>
      <c r="B3044" s="23" t="s">
        <v>22</v>
      </c>
      <c r="C3044" s="23" t="s">
        <v>4857</v>
      </c>
      <c r="D3044" s="23">
        <v>0.56299999999999994</v>
      </c>
      <c r="E3044" s="23" t="s">
        <v>4430</v>
      </c>
      <c r="F3044" s="15" t="s">
        <v>4858</v>
      </c>
      <c r="G3044" s="15" t="s">
        <v>4432</v>
      </c>
      <c r="H3044" s="23" t="s">
        <v>58</v>
      </c>
    </row>
    <row r="3045" spans="1:8" ht="54.95" customHeight="1" x14ac:dyDescent="0.2">
      <c r="A3045" s="23" t="s">
        <v>726</v>
      </c>
      <c r="B3045" s="23" t="s">
        <v>21</v>
      </c>
      <c r="C3045" s="23" t="s">
        <v>4859</v>
      </c>
      <c r="D3045" s="23">
        <v>0.621</v>
      </c>
      <c r="E3045" s="23" t="s">
        <v>4430</v>
      </c>
      <c r="F3045" s="15" t="s">
        <v>4860</v>
      </c>
      <c r="G3045" s="15" t="s">
        <v>4432</v>
      </c>
      <c r="H3045" s="23" t="s">
        <v>58</v>
      </c>
    </row>
    <row r="3046" spans="1:8" ht="54.95" customHeight="1" x14ac:dyDescent="0.2">
      <c r="A3046" s="23" t="s">
        <v>726</v>
      </c>
      <c r="B3046" s="23" t="s">
        <v>22</v>
      </c>
      <c r="C3046" s="23" t="s">
        <v>4861</v>
      </c>
      <c r="D3046" s="23">
        <v>0.47699999999999998</v>
      </c>
      <c r="E3046" s="23" t="s">
        <v>4430</v>
      </c>
      <c r="F3046" s="15" t="s">
        <v>4862</v>
      </c>
      <c r="G3046" s="15" t="s">
        <v>4432</v>
      </c>
      <c r="H3046" s="23" t="s">
        <v>58</v>
      </c>
    </row>
    <row r="3047" spans="1:8" ht="54.95" customHeight="1" x14ac:dyDescent="0.2">
      <c r="A3047" s="23" t="s">
        <v>726</v>
      </c>
      <c r="B3047" s="23" t="s">
        <v>24</v>
      </c>
      <c r="C3047" s="23" t="s">
        <v>4863</v>
      </c>
      <c r="D3047" s="23">
        <v>0.28999999999999998</v>
      </c>
      <c r="E3047" s="23" t="s">
        <v>4430</v>
      </c>
      <c r="F3047" s="15" t="s">
        <v>4864</v>
      </c>
      <c r="G3047" s="15" t="s">
        <v>4432</v>
      </c>
      <c r="H3047" s="23" t="s">
        <v>58</v>
      </c>
    </row>
    <row r="3048" spans="1:8" ht="54.95" customHeight="1" x14ac:dyDescent="0.2">
      <c r="A3048" s="23" t="s">
        <v>732</v>
      </c>
      <c r="B3048" s="23" t="s">
        <v>21</v>
      </c>
      <c r="C3048" s="23" t="s">
        <v>4865</v>
      </c>
      <c r="D3048" s="23">
        <v>1.347</v>
      </c>
      <c r="E3048" s="23" t="s">
        <v>4430</v>
      </c>
      <c r="F3048" s="15" t="s">
        <v>4866</v>
      </c>
      <c r="G3048" s="15" t="s">
        <v>4432</v>
      </c>
      <c r="H3048" s="23" t="s">
        <v>58</v>
      </c>
    </row>
    <row r="3049" spans="1:8" ht="54.95" customHeight="1" x14ac:dyDescent="0.2">
      <c r="A3049" s="23" t="s">
        <v>732</v>
      </c>
      <c r="B3049" s="23" t="s">
        <v>22</v>
      </c>
      <c r="C3049" s="23" t="s">
        <v>4867</v>
      </c>
      <c r="D3049" s="23">
        <v>1.5489999999999999</v>
      </c>
      <c r="E3049" s="23" t="s">
        <v>4430</v>
      </c>
      <c r="F3049" s="15" t="s">
        <v>4868</v>
      </c>
      <c r="G3049" s="15" t="s">
        <v>4432</v>
      </c>
      <c r="H3049" s="23" t="s">
        <v>58</v>
      </c>
    </row>
    <row r="3050" spans="1:8" ht="54.95" customHeight="1" x14ac:dyDescent="0.2">
      <c r="A3050" s="23" t="s">
        <v>738</v>
      </c>
      <c r="B3050" s="23" t="s">
        <v>21</v>
      </c>
      <c r="C3050" s="23" t="s">
        <v>4869</v>
      </c>
      <c r="D3050" s="23">
        <v>1.99</v>
      </c>
      <c r="E3050" s="23" t="s">
        <v>4430</v>
      </c>
      <c r="F3050" s="15" t="s">
        <v>4870</v>
      </c>
      <c r="G3050" s="15" t="s">
        <v>4432</v>
      </c>
      <c r="H3050" s="23" t="s">
        <v>58</v>
      </c>
    </row>
    <row r="3051" spans="1:8" ht="54.95" customHeight="1" x14ac:dyDescent="0.2">
      <c r="A3051" s="23" t="s">
        <v>738</v>
      </c>
      <c r="B3051" s="23" t="s">
        <v>22</v>
      </c>
      <c r="C3051" s="23" t="s">
        <v>4871</v>
      </c>
      <c r="D3051" s="23">
        <v>1.95</v>
      </c>
      <c r="E3051" s="23" t="s">
        <v>4430</v>
      </c>
      <c r="F3051" s="15" t="s">
        <v>4872</v>
      </c>
      <c r="G3051" s="15" t="s">
        <v>4432</v>
      </c>
      <c r="H3051" s="23" t="s">
        <v>58</v>
      </c>
    </row>
    <row r="3052" spans="1:8" ht="54.95" customHeight="1" x14ac:dyDescent="0.2">
      <c r="A3052" s="23" t="s">
        <v>744</v>
      </c>
      <c r="B3052" s="23" t="s">
        <v>21</v>
      </c>
      <c r="C3052" s="23" t="s">
        <v>4873</v>
      </c>
      <c r="D3052" s="23">
        <v>1.3859999999999999</v>
      </c>
      <c r="E3052" s="23" t="s">
        <v>4430</v>
      </c>
      <c r="F3052" s="15" t="s">
        <v>4874</v>
      </c>
      <c r="G3052" s="15" t="s">
        <v>4432</v>
      </c>
      <c r="H3052" s="23" t="s">
        <v>58</v>
      </c>
    </row>
    <row r="3053" spans="1:8" ht="54.95" customHeight="1" x14ac:dyDescent="0.2">
      <c r="A3053" s="23" t="s">
        <v>744</v>
      </c>
      <c r="B3053" s="23" t="s">
        <v>22</v>
      </c>
      <c r="C3053" s="23" t="s">
        <v>4875</v>
      </c>
      <c r="D3053" s="23">
        <v>1.5</v>
      </c>
      <c r="E3053" s="23" t="s">
        <v>4430</v>
      </c>
      <c r="F3053" s="15" t="s">
        <v>4876</v>
      </c>
      <c r="G3053" s="15" t="s">
        <v>4432</v>
      </c>
      <c r="H3053" s="23" t="s">
        <v>58</v>
      </c>
    </row>
    <row r="3054" spans="1:8" ht="54.95" customHeight="1" x14ac:dyDescent="0.2">
      <c r="A3054" s="23" t="s">
        <v>750</v>
      </c>
      <c r="B3054" s="23" t="s">
        <v>21</v>
      </c>
      <c r="C3054" s="23" t="s">
        <v>4877</v>
      </c>
      <c r="D3054" s="23">
        <v>1.871</v>
      </c>
      <c r="E3054" s="23" t="s">
        <v>4430</v>
      </c>
      <c r="F3054" s="15" t="s">
        <v>4878</v>
      </c>
      <c r="G3054" s="15" t="s">
        <v>4432</v>
      </c>
      <c r="H3054" s="23" t="s">
        <v>58</v>
      </c>
    </row>
    <row r="3055" spans="1:8" ht="54.95" customHeight="1" x14ac:dyDescent="0.2">
      <c r="A3055" s="23" t="s">
        <v>750</v>
      </c>
      <c r="B3055" s="23" t="s">
        <v>22</v>
      </c>
      <c r="C3055" s="23" t="s">
        <v>4879</v>
      </c>
      <c r="D3055" s="23">
        <v>2.15</v>
      </c>
      <c r="E3055" s="23" t="s">
        <v>4430</v>
      </c>
      <c r="F3055" s="15" t="s">
        <v>4880</v>
      </c>
      <c r="G3055" s="15" t="s">
        <v>4432</v>
      </c>
      <c r="H3055" s="23" t="s">
        <v>58</v>
      </c>
    </row>
    <row r="3056" spans="1:8" ht="54.95" customHeight="1" x14ac:dyDescent="0.2">
      <c r="A3056" s="23" t="s">
        <v>750</v>
      </c>
      <c r="B3056" s="23" t="s">
        <v>24</v>
      </c>
      <c r="C3056" s="23" t="s">
        <v>4881</v>
      </c>
      <c r="D3056" s="23">
        <v>0.753</v>
      </c>
      <c r="E3056" s="23" t="s">
        <v>4430</v>
      </c>
      <c r="F3056" s="15" t="s">
        <v>4882</v>
      </c>
      <c r="G3056" s="15" t="s">
        <v>4432</v>
      </c>
      <c r="H3056" s="23" t="s">
        <v>58</v>
      </c>
    </row>
    <row r="3057" spans="1:8" ht="54.95" customHeight="1" x14ac:dyDescent="0.2">
      <c r="A3057" s="23" t="s">
        <v>756</v>
      </c>
      <c r="B3057" s="23" t="s">
        <v>21</v>
      </c>
      <c r="C3057" s="23" t="s">
        <v>4883</v>
      </c>
      <c r="D3057" s="23">
        <v>1.4770000000000001</v>
      </c>
      <c r="E3057" s="23" t="s">
        <v>4430</v>
      </c>
      <c r="F3057" s="15" t="s">
        <v>4884</v>
      </c>
      <c r="G3057" s="15" t="s">
        <v>4432</v>
      </c>
      <c r="H3057" s="23" t="s">
        <v>58</v>
      </c>
    </row>
    <row r="3058" spans="1:8" ht="54.95" customHeight="1" x14ac:dyDescent="0.2">
      <c r="A3058" s="23" t="s">
        <v>756</v>
      </c>
      <c r="B3058" s="23" t="s">
        <v>22</v>
      </c>
      <c r="C3058" s="23" t="s">
        <v>4885</v>
      </c>
      <c r="D3058" s="23">
        <v>1.2230000000000001</v>
      </c>
      <c r="E3058" s="23" t="s">
        <v>4430</v>
      </c>
      <c r="F3058" s="15" t="s">
        <v>4886</v>
      </c>
      <c r="G3058" s="15" t="s">
        <v>4432</v>
      </c>
      <c r="H3058" s="23" t="s">
        <v>58</v>
      </c>
    </row>
    <row r="3059" spans="1:8" ht="54.95" customHeight="1" x14ac:dyDescent="0.2">
      <c r="A3059" s="23" t="s">
        <v>762</v>
      </c>
      <c r="B3059" s="23" t="s">
        <v>21</v>
      </c>
      <c r="C3059" s="23" t="s">
        <v>4887</v>
      </c>
      <c r="D3059" s="23">
        <v>2.133</v>
      </c>
      <c r="E3059" s="23" t="s">
        <v>4430</v>
      </c>
      <c r="F3059" s="15" t="s">
        <v>4888</v>
      </c>
      <c r="G3059" s="15" t="s">
        <v>4432</v>
      </c>
      <c r="H3059" s="23" t="s">
        <v>58</v>
      </c>
    </row>
    <row r="3060" spans="1:8" ht="54.95" customHeight="1" x14ac:dyDescent="0.2">
      <c r="A3060" s="23" t="s">
        <v>762</v>
      </c>
      <c r="B3060" s="23" t="s">
        <v>22</v>
      </c>
      <c r="C3060" s="23" t="s">
        <v>4889</v>
      </c>
      <c r="D3060" s="23">
        <v>2.488</v>
      </c>
      <c r="E3060" s="23" t="s">
        <v>4430</v>
      </c>
      <c r="F3060" s="15" t="s">
        <v>4890</v>
      </c>
      <c r="G3060" s="15" t="s">
        <v>4432</v>
      </c>
      <c r="H3060" s="23" t="s">
        <v>58</v>
      </c>
    </row>
    <row r="3061" spans="1:8" ht="54.95" customHeight="1" x14ac:dyDescent="0.2">
      <c r="A3061" s="23" t="s">
        <v>762</v>
      </c>
      <c r="B3061" s="23" t="s">
        <v>24</v>
      </c>
      <c r="C3061" s="23" t="s">
        <v>4891</v>
      </c>
      <c r="D3061" s="23">
        <v>0.79400000000000004</v>
      </c>
      <c r="E3061" s="23" t="s">
        <v>4430</v>
      </c>
      <c r="F3061" s="15" t="s">
        <v>4892</v>
      </c>
      <c r="G3061" s="15" t="s">
        <v>4432</v>
      </c>
      <c r="H3061" s="23" t="s">
        <v>58</v>
      </c>
    </row>
    <row r="3062" spans="1:8" ht="54.95" customHeight="1" x14ac:dyDescent="0.2">
      <c r="A3062" s="23" t="s">
        <v>768</v>
      </c>
      <c r="B3062" s="23" t="s">
        <v>21</v>
      </c>
      <c r="C3062" s="23" t="s">
        <v>4893</v>
      </c>
      <c r="D3062" s="23">
        <v>1.3149999999999999</v>
      </c>
      <c r="E3062" s="23" t="s">
        <v>4430</v>
      </c>
      <c r="F3062" s="15" t="s">
        <v>4894</v>
      </c>
      <c r="G3062" s="15" t="s">
        <v>4432</v>
      </c>
      <c r="H3062" s="23" t="s">
        <v>58</v>
      </c>
    </row>
    <row r="3063" spans="1:8" ht="54.95" customHeight="1" x14ac:dyDescent="0.2">
      <c r="A3063" s="23" t="s">
        <v>768</v>
      </c>
      <c r="B3063" s="23" t="s">
        <v>22</v>
      </c>
      <c r="C3063" s="23" t="s">
        <v>4895</v>
      </c>
      <c r="D3063" s="23">
        <v>1.4159999999999999</v>
      </c>
      <c r="E3063" s="23" t="s">
        <v>4430</v>
      </c>
      <c r="F3063" s="15" t="s">
        <v>4896</v>
      </c>
      <c r="G3063" s="15" t="s">
        <v>4432</v>
      </c>
      <c r="H3063" s="23" t="s">
        <v>58</v>
      </c>
    </row>
    <row r="3064" spans="1:8" ht="54.95" customHeight="1" x14ac:dyDescent="0.2">
      <c r="A3064" s="23" t="s">
        <v>774</v>
      </c>
      <c r="B3064" s="23" t="s">
        <v>21</v>
      </c>
      <c r="C3064" s="23" t="s">
        <v>4897</v>
      </c>
      <c r="D3064" s="23">
        <v>1.5249999999999999</v>
      </c>
      <c r="E3064" s="23" t="s">
        <v>4430</v>
      </c>
      <c r="F3064" s="15" t="s">
        <v>4898</v>
      </c>
      <c r="G3064" s="15" t="s">
        <v>4432</v>
      </c>
      <c r="H3064" s="23" t="s">
        <v>58</v>
      </c>
    </row>
    <row r="3065" spans="1:8" ht="54.95" customHeight="1" x14ac:dyDescent="0.2">
      <c r="A3065" s="23" t="s">
        <v>774</v>
      </c>
      <c r="B3065" s="23" t="s">
        <v>22</v>
      </c>
      <c r="C3065" s="23" t="s">
        <v>4899</v>
      </c>
      <c r="D3065" s="23">
        <v>1.175</v>
      </c>
      <c r="E3065" s="23" t="s">
        <v>4430</v>
      </c>
      <c r="F3065" s="15" t="s">
        <v>4900</v>
      </c>
      <c r="G3065" s="15" t="s">
        <v>4432</v>
      </c>
      <c r="H3065" s="23" t="s">
        <v>58</v>
      </c>
    </row>
    <row r="3066" spans="1:8" ht="54.95" customHeight="1" x14ac:dyDescent="0.2">
      <c r="A3066" s="23" t="s">
        <v>774</v>
      </c>
      <c r="B3066" s="23" t="s">
        <v>24</v>
      </c>
      <c r="C3066" s="23" t="s">
        <v>4901</v>
      </c>
      <c r="D3066" s="23">
        <v>0.60399999999999998</v>
      </c>
      <c r="E3066" s="23" t="s">
        <v>4430</v>
      </c>
      <c r="F3066" s="15" t="s">
        <v>4902</v>
      </c>
      <c r="G3066" s="15" t="s">
        <v>4432</v>
      </c>
      <c r="H3066" s="23" t="s">
        <v>58</v>
      </c>
    </row>
    <row r="3067" spans="1:8" ht="54.95" customHeight="1" x14ac:dyDescent="0.2">
      <c r="A3067" s="23" t="s">
        <v>785</v>
      </c>
      <c r="B3067" s="23" t="s">
        <v>21</v>
      </c>
      <c r="C3067" s="23" t="s">
        <v>4903</v>
      </c>
      <c r="D3067" s="23">
        <v>0.34</v>
      </c>
      <c r="E3067" s="23" t="s">
        <v>4430</v>
      </c>
      <c r="F3067" s="15" t="s">
        <v>4904</v>
      </c>
      <c r="G3067" s="15" t="s">
        <v>4432</v>
      </c>
      <c r="H3067" s="23" t="s">
        <v>58</v>
      </c>
    </row>
    <row r="3068" spans="1:8" ht="54.95" customHeight="1" x14ac:dyDescent="0.2">
      <c r="A3068" s="23" t="s">
        <v>785</v>
      </c>
      <c r="B3068" s="23" t="s">
        <v>22</v>
      </c>
      <c r="C3068" s="23" t="s">
        <v>4905</v>
      </c>
      <c r="D3068" s="23">
        <v>0.373</v>
      </c>
      <c r="E3068" s="23" t="s">
        <v>4430</v>
      </c>
      <c r="F3068" s="15" t="s">
        <v>4906</v>
      </c>
      <c r="G3068" s="15" t="s">
        <v>4432</v>
      </c>
      <c r="H3068" s="23" t="s">
        <v>58</v>
      </c>
    </row>
    <row r="3069" spans="1:8" ht="54.95" customHeight="1" x14ac:dyDescent="0.2">
      <c r="A3069" s="23" t="s">
        <v>791</v>
      </c>
      <c r="B3069" s="23" t="s">
        <v>21</v>
      </c>
      <c r="C3069" s="23" t="s">
        <v>4907</v>
      </c>
      <c r="D3069" s="23">
        <v>1.357</v>
      </c>
      <c r="E3069" s="23" t="s">
        <v>4430</v>
      </c>
      <c r="F3069" s="15" t="s">
        <v>4908</v>
      </c>
      <c r="G3069" s="15" t="s">
        <v>4432</v>
      </c>
      <c r="H3069" s="23" t="s">
        <v>58</v>
      </c>
    </row>
    <row r="3070" spans="1:8" ht="54.95" customHeight="1" x14ac:dyDescent="0.2">
      <c r="A3070" s="23" t="s">
        <v>791</v>
      </c>
      <c r="B3070" s="23" t="s">
        <v>22</v>
      </c>
      <c r="C3070" s="23" t="s">
        <v>4909</v>
      </c>
      <c r="D3070" s="23">
        <v>1.284</v>
      </c>
      <c r="E3070" s="23" t="s">
        <v>4430</v>
      </c>
      <c r="F3070" s="15" t="s">
        <v>4910</v>
      </c>
      <c r="G3070" s="15" t="s">
        <v>4432</v>
      </c>
      <c r="H3070" s="23" t="s">
        <v>58</v>
      </c>
    </row>
    <row r="3071" spans="1:8" ht="54.95" customHeight="1" x14ac:dyDescent="0.2">
      <c r="A3071" s="23" t="s">
        <v>797</v>
      </c>
      <c r="B3071" s="23" t="s">
        <v>21</v>
      </c>
      <c r="C3071" s="23" t="s">
        <v>4911</v>
      </c>
      <c r="D3071" s="23">
        <v>1.4430000000000001</v>
      </c>
      <c r="E3071" s="23" t="s">
        <v>4430</v>
      </c>
      <c r="F3071" s="15" t="s">
        <v>4912</v>
      </c>
      <c r="G3071" s="15" t="s">
        <v>4432</v>
      </c>
      <c r="H3071" s="23" t="s">
        <v>58</v>
      </c>
    </row>
    <row r="3072" spans="1:8" ht="54.95" customHeight="1" x14ac:dyDescent="0.2">
      <c r="A3072" s="23" t="s">
        <v>797</v>
      </c>
      <c r="B3072" s="23" t="s">
        <v>22</v>
      </c>
      <c r="C3072" s="23" t="s">
        <v>4913</v>
      </c>
      <c r="D3072" s="23">
        <v>1.589</v>
      </c>
      <c r="E3072" s="23" t="s">
        <v>4430</v>
      </c>
      <c r="F3072" s="15" t="s">
        <v>4914</v>
      </c>
      <c r="G3072" s="15" t="s">
        <v>4432</v>
      </c>
      <c r="H3072" s="23" t="s">
        <v>58</v>
      </c>
    </row>
    <row r="3073" spans="1:8" ht="54.95" customHeight="1" x14ac:dyDescent="0.2">
      <c r="A3073" s="23" t="s">
        <v>813</v>
      </c>
      <c r="B3073" s="23" t="s">
        <v>21</v>
      </c>
      <c r="C3073" s="23" t="s">
        <v>4915</v>
      </c>
      <c r="D3073" s="23">
        <v>2.4660000000000002</v>
      </c>
      <c r="E3073" s="23" t="s">
        <v>4430</v>
      </c>
      <c r="F3073" s="15" t="s">
        <v>4916</v>
      </c>
      <c r="G3073" s="15" t="s">
        <v>4432</v>
      </c>
      <c r="H3073" s="23" t="s">
        <v>58</v>
      </c>
    </row>
    <row r="3074" spans="1:8" ht="54.95" customHeight="1" x14ac:dyDescent="0.2">
      <c r="A3074" s="23" t="s">
        <v>813</v>
      </c>
      <c r="B3074" s="23" t="s">
        <v>22</v>
      </c>
      <c r="C3074" s="23" t="s">
        <v>4917</v>
      </c>
      <c r="D3074" s="23">
        <v>2.7080000000000002</v>
      </c>
      <c r="E3074" s="23" t="s">
        <v>4430</v>
      </c>
      <c r="F3074" s="15" t="s">
        <v>4918</v>
      </c>
      <c r="G3074" s="15" t="s">
        <v>4432</v>
      </c>
      <c r="H3074" s="23" t="s">
        <v>58</v>
      </c>
    </row>
    <row r="3075" spans="1:8" ht="54.95" customHeight="1" x14ac:dyDescent="0.2">
      <c r="A3075" s="23" t="s">
        <v>819</v>
      </c>
      <c r="B3075" s="23" t="s">
        <v>21</v>
      </c>
      <c r="C3075" s="23" t="s">
        <v>4919</v>
      </c>
      <c r="D3075" s="23">
        <v>0.35099999999999998</v>
      </c>
      <c r="E3075" s="23" t="s">
        <v>4430</v>
      </c>
      <c r="F3075" s="15" t="s">
        <v>4920</v>
      </c>
      <c r="G3075" s="15" t="s">
        <v>4432</v>
      </c>
      <c r="H3075" s="23" t="s">
        <v>58</v>
      </c>
    </row>
    <row r="3076" spans="1:8" ht="54.95" customHeight="1" x14ac:dyDescent="0.2">
      <c r="A3076" s="23" t="s">
        <v>819</v>
      </c>
      <c r="B3076" s="23" t="s">
        <v>22</v>
      </c>
      <c r="C3076" s="23" t="s">
        <v>4921</v>
      </c>
      <c r="D3076" s="23">
        <v>0.23200000000000001</v>
      </c>
      <c r="E3076" s="23" t="s">
        <v>4430</v>
      </c>
      <c r="F3076" s="15" t="s">
        <v>4922</v>
      </c>
      <c r="G3076" s="15" t="s">
        <v>4432</v>
      </c>
      <c r="H3076" s="23" t="s">
        <v>58</v>
      </c>
    </row>
    <row r="3077" spans="1:8" ht="54.95" customHeight="1" x14ac:dyDescent="0.2">
      <c r="A3077" s="23" t="s">
        <v>819</v>
      </c>
      <c r="B3077" s="23" t="s">
        <v>24</v>
      </c>
      <c r="C3077" s="23" t="s">
        <v>4923</v>
      </c>
      <c r="D3077" s="23">
        <v>0.09</v>
      </c>
      <c r="E3077" s="23" t="s">
        <v>4430</v>
      </c>
      <c r="F3077" s="15" t="s">
        <v>4924</v>
      </c>
      <c r="G3077" s="15" t="s">
        <v>4432</v>
      </c>
      <c r="H3077" s="23" t="s">
        <v>58</v>
      </c>
    </row>
    <row r="3078" spans="1:8" ht="54.95" customHeight="1" x14ac:dyDescent="0.2">
      <c r="A3078" s="23" t="s">
        <v>825</v>
      </c>
      <c r="B3078" s="23" t="s">
        <v>21</v>
      </c>
      <c r="C3078" s="23" t="s">
        <v>4498</v>
      </c>
      <c r="D3078" s="23">
        <v>1.466</v>
      </c>
      <c r="E3078" s="23" t="s">
        <v>4430</v>
      </c>
      <c r="F3078" s="15" t="s">
        <v>4925</v>
      </c>
      <c r="G3078" s="15" t="s">
        <v>4432</v>
      </c>
      <c r="H3078" s="23" t="s">
        <v>58</v>
      </c>
    </row>
    <row r="3079" spans="1:8" ht="54.95" customHeight="1" x14ac:dyDescent="0.2">
      <c r="A3079" s="23" t="s">
        <v>825</v>
      </c>
      <c r="B3079" s="23" t="s">
        <v>22</v>
      </c>
      <c r="C3079" s="23" t="s">
        <v>4926</v>
      </c>
      <c r="D3079" s="23">
        <v>1.819</v>
      </c>
      <c r="E3079" s="23" t="s">
        <v>4430</v>
      </c>
      <c r="F3079" s="15" t="s">
        <v>4927</v>
      </c>
      <c r="G3079" s="15" t="s">
        <v>4432</v>
      </c>
      <c r="H3079" s="23" t="s">
        <v>58</v>
      </c>
    </row>
    <row r="3080" spans="1:8" ht="54.95" customHeight="1" x14ac:dyDescent="0.2">
      <c r="A3080" s="23" t="s">
        <v>831</v>
      </c>
      <c r="B3080" s="23" t="s">
        <v>21</v>
      </c>
      <c r="C3080" s="23" t="s">
        <v>4928</v>
      </c>
      <c r="D3080" s="23">
        <v>1.597</v>
      </c>
      <c r="E3080" s="23" t="s">
        <v>4430</v>
      </c>
      <c r="F3080" s="15" t="s">
        <v>4929</v>
      </c>
      <c r="G3080" s="15" t="s">
        <v>4432</v>
      </c>
      <c r="H3080" s="23" t="s">
        <v>58</v>
      </c>
    </row>
    <row r="3081" spans="1:8" ht="54.95" customHeight="1" x14ac:dyDescent="0.2">
      <c r="A3081" s="23" t="s">
        <v>831</v>
      </c>
      <c r="B3081" s="23" t="s">
        <v>22</v>
      </c>
      <c r="C3081" s="23" t="s">
        <v>4930</v>
      </c>
      <c r="D3081" s="23">
        <v>1.7749999999999999</v>
      </c>
      <c r="E3081" s="23" t="s">
        <v>4430</v>
      </c>
      <c r="F3081" s="15" t="s">
        <v>4931</v>
      </c>
      <c r="G3081" s="15" t="s">
        <v>4432</v>
      </c>
      <c r="H3081" s="23" t="s">
        <v>58</v>
      </c>
    </row>
    <row r="3082" spans="1:8" ht="54.95" customHeight="1" x14ac:dyDescent="0.2">
      <c r="A3082" s="23" t="s">
        <v>837</v>
      </c>
      <c r="B3082" s="23" t="s">
        <v>21</v>
      </c>
      <c r="C3082" s="23" t="s">
        <v>4932</v>
      </c>
      <c r="D3082" s="23">
        <v>1.3360000000000001</v>
      </c>
      <c r="E3082" s="23" t="s">
        <v>4430</v>
      </c>
      <c r="F3082" s="15" t="s">
        <v>4933</v>
      </c>
      <c r="G3082" s="15" t="s">
        <v>4432</v>
      </c>
      <c r="H3082" s="23" t="s">
        <v>58</v>
      </c>
    </row>
    <row r="3083" spans="1:8" ht="54.95" customHeight="1" x14ac:dyDescent="0.2">
      <c r="A3083" s="23" t="s">
        <v>837</v>
      </c>
      <c r="B3083" s="23" t="s">
        <v>22</v>
      </c>
      <c r="C3083" s="23" t="s">
        <v>4934</v>
      </c>
      <c r="D3083" s="23">
        <v>1.3109999999999999</v>
      </c>
      <c r="E3083" s="23" t="s">
        <v>4430</v>
      </c>
      <c r="F3083" s="15" t="s">
        <v>4935</v>
      </c>
      <c r="G3083" s="15" t="s">
        <v>4432</v>
      </c>
      <c r="H3083" s="23" t="s">
        <v>58</v>
      </c>
    </row>
    <row r="3084" spans="1:8" ht="54.95" customHeight="1" x14ac:dyDescent="0.2">
      <c r="A3084" s="23" t="s">
        <v>843</v>
      </c>
      <c r="B3084" s="23" t="s">
        <v>21</v>
      </c>
      <c r="C3084" s="23" t="s">
        <v>4936</v>
      </c>
      <c r="D3084" s="23">
        <v>2.0030000000000001</v>
      </c>
      <c r="E3084" s="23" t="s">
        <v>4430</v>
      </c>
      <c r="F3084" s="15" t="s">
        <v>4937</v>
      </c>
      <c r="G3084" s="15" t="s">
        <v>4432</v>
      </c>
      <c r="H3084" s="23" t="s">
        <v>58</v>
      </c>
    </row>
    <row r="3085" spans="1:8" ht="54.95" customHeight="1" x14ac:dyDescent="0.2">
      <c r="A3085" s="23" t="s">
        <v>843</v>
      </c>
      <c r="B3085" s="23" t="s">
        <v>22</v>
      </c>
      <c r="C3085" s="23" t="s">
        <v>4869</v>
      </c>
      <c r="D3085" s="23">
        <v>1.9950000000000001</v>
      </c>
      <c r="E3085" s="23" t="s">
        <v>4430</v>
      </c>
      <c r="F3085" s="15" t="s">
        <v>4938</v>
      </c>
      <c r="G3085" s="15" t="s">
        <v>4432</v>
      </c>
      <c r="H3085" s="23" t="s">
        <v>58</v>
      </c>
    </row>
    <row r="3086" spans="1:8" ht="54.95" customHeight="1" x14ac:dyDescent="0.2">
      <c r="A3086" s="23" t="s">
        <v>849</v>
      </c>
      <c r="B3086" s="23" t="s">
        <v>21</v>
      </c>
      <c r="C3086" s="23" t="s">
        <v>4939</v>
      </c>
      <c r="D3086" s="23">
        <v>1.26</v>
      </c>
      <c r="E3086" s="23" t="s">
        <v>4430</v>
      </c>
      <c r="F3086" s="15" t="s">
        <v>4940</v>
      </c>
      <c r="G3086" s="15" t="s">
        <v>4432</v>
      </c>
      <c r="H3086" s="23" t="s">
        <v>58</v>
      </c>
    </row>
    <row r="3087" spans="1:8" ht="54.95" customHeight="1" x14ac:dyDescent="0.2">
      <c r="A3087" s="23" t="s">
        <v>849</v>
      </c>
      <c r="B3087" s="23" t="s">
        <v>22</v>
      </c>
      <c r="C3087" s="23" t="s">
        <v>4441</v>
      </c>
      <c r="D3087" s="23">
        <v>1.333</v>
      </c>
      <c r="E3087" s="23" t="s">
        <v>4430</v>
      </c>
      <c r="F3087" s="15" t="s">
        <v>4941</v>
      </c>
      <c r="G3087" s="15" t="s">
        <v>4432</v>
      </c>
      <c r="H3087" s="23" t="s">
        <v>58</v>
      </c>
    </row>
    <row r="3088" spans="1:8" ht="54.95" customHeight="1" x14ac:dyDescent="0.2">
      <c r="A3088" s="23" t="s">
        <v>855</v>
      </c>
      <c r="B3088" s="23" t="s">
        <v>21</v>
      </c>
      <c r="C3088" s="23" t="s">
        <v>4533</v>
      </c>
      <c r="D3088" s="23">
        <v>1.179</v>
      </c>
      <c r="E3088" s="23" t="s">
        <v>4430</v>
      </c>
      <c r="F3088" s="15" t="s">
        <v>4942</v>
      </c>
      <c r="G3088" s="15" t="s">
        <v>4432</v>
      </c>
      <c r="H3088" s="23" t="s">
        <v>58</v>
      </c>
    </row>
    <row r="3089" spans="1:8" ht="54.95" customHeight="1" x14ac:dyDescent="0.2">
      <c r="A3089" s="23" t="s">
        <v>855</v>
      </c>
      <c r="B3089" s="23" t="s">
        <v>22</v>
      </c>
      <c r="C3089" s="23" t="s">
        <v>4943</v>
      </c>
      <c r="D3089" s="23">
        <v>0.93500000000000005</v>
      </c>
      <c r="E3089" s="23" t="s">
        <v>4430</v>
      </c>
      <c r="F3089" s="15" t="s">
        <v>4944</v>
      </c>
      <c r="G3089" s="15" t="s">
        <v>4432</v>
      </c>
      <c r="H3089" s="23" t="s">
        <v>58</v>
      </c>
    </row>
    <row r="3090" spans="1:8" ht="54.95" customHeight="1" x14ac:dyDescent="0.2">
      <c r="A3090" s="23" t="s">
        <v>861</v>
      </c>
      <c r="B3090" s="23" t="s">
        <v>21</v>
      </c>
      <c r="C3090" s="23" t="s">
        <v>4450</v>
      </c>
      <c r="D3090" s="23">
        <v>1.9650000000000001</v>
      </c>
      <c r="E3090" s="23" t="s">
        <v>4430</v>
      </c>
      <c r="F3090" s="15" t="s">
        <v>4945</v>
      </c>
      <c r="G3090" s="15" t="s">
        <v>4432</v>
      </c>
      <c r="H3090" s="23" t="s">
        <v>58</v>
      </c>
    </row>
    <row r="3091" spans="1:8" ht="54.95" customHeight="1" x14ac:dyDescent="0.2">
      <c r="A3091" s="23" t="s">
        <v>861</v>
      </c>
      <c r="B3091" s="23" t="s">
        <v>22</v>
      </c>
      <c r="C3091" s="23" t="s">
        <v>4946</v>
      </c>
      <c r="D3091" s="23">
        <v>1.929</v>
      </c>
      <c r="E3091" s="23" t="s">
        <v>4430</v>
      </c>
      <c r="F3091" s="15" t="s">
        <v>4947</v>
      </c>
      <c r="G3091" s="15" t="s">
        <v>4432</v>
      </c>
      <c r="H3091" s="23" t="s">
        <v>58</v>
      </c>
    </row>
    <row r="3092" spans="1:8" ht="54.95" customHeight="1" x14ac:dyDescent="0.2">
      <c r="A3092" s="23" t="s">
        <v>861</v>
      </c>
      <c r="B3092" s="23" t="s">
        <v>24</v>
      </c>
      <c r="C3092" s="23" t="s">
        <v>4948</v>
      </c>
      <c r="D3092" s="23">
        <v>1.0109999999999999</v>
      </c>
      <c r="E3092" s="23" t="s">
        <v>4430</v>
      </c>
      <c r="F3092" s="15" t="s">
        <v>4949</v>
      </c>
      <c r="G3092" s="15" t="s">
        <v>4432</v>
      </c>
      <c r="H3092" s="23" t="s">
        <v>58</v>
      </c>
    </row>
    <row r="3093" spans="1:8" ht="54.95" customHeight="1" x14ac:dyDescent="0.2">
      <c r="A3093" s="23" t="s">
        <v>867</v>
      </c>
      <c r="B3093" s="23" t="s">
        <v>21</v>
      </c>
      <c r="C3093" s="23" t="s">
        <v>4950</v>
      </c>
      <c r="D3093" s="23">
        <v>1.341</v>
      </c>
      <c r="E3093" s="23" t="s">
        <v>4430</v>
      </c>
      <c r="F3093" s="15" t="s">
        <v>4951</v>
      </c>
      <c r="G3093" s="15" t="s">
        <v>4432</v>
      </c>
      <c r="H3093" s="23" t="s">
        <v>58</v>
      </c>
    </row>
    <row r="3094" spans="1:8" ht="54.95" customHeight="1" x14ac:dyDescent="0.2">
      <c r="A3094" s="23" t="s">
        <v>867</v>
      </c>
      <c r="B3094" s="23" t="s">
        <v>22</v>
      </c>
      <c r="C3094" s="23" t="s">
        <v>4952</v>
      </c>
      <c r="D3094" s="23">
        <v>1.218</v>
      </c>
      <c r="E3094" s="23" t="s">
        <v>4430</v>
      </c>
      <c r="F3094" s="15" t="s">
        <v>4953</v>
      </c>
      <c r="G3094" s="15" t="s">
        <v>4432</v>
      </c>
      <c r="H3094" s="23" t="s">
        <v>58</v>
      </c>
    </row>
    <row r="3095" spans="1:8" ht="54.95" customHeight="1" x14ac:dyDescent="0.2">
      <c r="A3095" s="23" t="s">
        <v>867</v>
      </c>
      <c r="B3095" s="23" t="s">
        <v>24</v>
      </c>
      <c r="C3095" s="23" t="s">
        <v>4954</v>
      </c>
      <c r="D3095" s="23">
        <v>1.018</v>
      </c>
      <c r="E3095" s="23" t="s">
        <v>4430</v>
      </c>
      <c r="F3095" s="15" t="s">
        <v>4955</v>
      </c>
      <c r="G3095" s="15" t="s">
        <v>4432</v>
      </c>
      <c r="H3095" s="23" t="s">
        <v>58</v>
      </c>
    </row>
    <row r="3096" spans="1:8" ht="54.95" customHeight="1" x14ac:dyDescent="0.2">
      <c r="A3096" s="23" t="s">
        <v>873</v>
      </c>
      <c r="B3096" s="23" t="s">
        <v>21</v>
      </c>
      <c r="C3096" s="23" t="s">
        <v>4956</v>
      </c>
      <c r="D3096" s="23">
        <v>1.9850000000000001</v>
      </c>
      <c r="E3096" s="23" t="s">
        <v>4430</v>
      </c>
      <c r="F3096" s="15" t="s">
        <v>4957</v>
      </c>
      <c r="G3096" s="15" t="s">
        <v>4432</v>
      </c>
      <c r="H3096" s="23" t="s">
        <v>58</v>
      </c>
    </row>
    <row r="3097" spans="1:8" ht="54.95" customHeight="1" x14ac:dyDescent="0.2">
      <c r="A3097" s="23" t="s">
        <v>873</v>
      </c>
      <c r="B3097" s="23" t="s">
        <v>22</v>
      </c>
      <c r="C3097" s="23" t="s">
        <v>4958</v>
      </c>
      <c r="D3097" s="23">
        <v>2.1930000000000001</v>
      </c>
      <c r="E3097" s="23" t="s">
        <v>4430</v>
      </c>
      <c r="F3097" s="15" t="s">
        <v>4959</v>
      </c>
      <c r="G3097" s="15" t="s">
        <v>4432</v>
      </c>
      <c r="H3097" s="23" t="s">
        <v>58</v>
      </c>
    </row>
    <row r="3098" spans="1:8" ht="54.95" customHeight="1" x14ac:dyDescent="0.2">
      <c r="A3098" s="23" t="s">
        <v>879</v>
      </c>
      <c r="B3098" s="23" t="s">
        <v>21</v>
      </c>
      <c r="C3098" s="23" t="s">
        <v>4960</v>
      </c>
      <c r="D3098" s="23">
        <v>1.89</v>
      </c>
      <c r="E3098" s="23" t="s">
        <v>4430</v>
      </c>
      <c r="F3098" s="15" t="s">
        <v>4961</v>
      </c>
      <c r="G3098" s="15" t="s">
        <v>4432</v>
      </c>
      <c r="H3098" s="23" t="s">
        <v>58</v>
      </c>
    </row>
    <row r="3099" spans="1:8" ht="54.95" customHeight="1" x14ac:dyDescent="0.2">
      <c r="A3099" s="23" t="s">
        <v>879</v>
      </c>
      <c r="B3099" s="23" t="s">
        <v>22</v>
      </c>
      <c r="C3099" s="23" t="s">
        <v>4962</v>
      </c>
      <c r="D3099" s="23">
        <v>2.073</v>
      </c>
      <c r="E3099" s="23" t="s">
        <v>4430</v>
      </c>
      <c r="F3099" s="15" t="s">
        <v>4963</v>
      </c>
      <c r="G3099" s="15" t="s">
        <v>4432</v>
      </c>
      <c r="H3099" s="23" t="s">
        <v>58</v>
      </c>
    </row>
    <row r="3100" spans="1:8" ht="54.95" customHeight="1" x14ac:dyDescent="0.2">
      <c r="A3100" s="23" t="s">
        <v>879</v>
      </c>
      <c r="B3100" s="23" t="s">
        <v>24</v>
      </c>
      <c r="C3100" s="23" t="s">
        <v>4964</v>
      </c>
      <c r="D3100" s="23">
        <v>0.80900000000000005</v>
      </c>
      <c r="E3100" s="23" t="s">
        <v>4430</v>
      </c>
      <c r="F3100" s="15" t="s">
        <v>4965</v>
      </c>
      <c r="G3100" s="15" t="s">
        <v>4432</v>
      </c>
      <c r="H3100" s="23" t="s">
        <v>58</v>
      </c>
    </row>
    <row r="3101" spans="1:8" ht="54.95" customHeight="1" x14ac:dyDescent="0.2">
      <c r="A3101" s="23" t="s">
        <v>885</v>
      </c>
      <c r="B3101" s="23" t="s">
        <v>21</v>
      </c>
      <c r="C3101" s="23" t="s">
        <v>4966</v>
      </c>
      <c r="D3101" s="23">
        <v>1.6639999999999999</v>
      </c>
      <c r="E3101" s="23" t="s">
        <v>4430</v>
      </c>
      <c r="F3101" s="15" t="s">
        <v>4967</v>
      </c>
      <c r="G3101" s="15" t="s">
        <v>4432</v>
      </c>
      <c r="H3101" s="23" t="s">
        <v>58</v>
      </c>
    </row>
    <row r="3102" spans="1:8" ht="54.95" customHeight="1" x14ac:dyDescent="0.2">
      <c r="A3102" s="23" t="s">
        <v>885</v>
      </c>
      <c r="B3102" s="23" t="s">
        <v>22</v>
      </c>
      <c r="C3102" s="23" t="s">
        <v>4968</v>
      </c>
      <c r="D3102" s="23">
        <v>1.694</v>
      </c>
      <c r="E3102" s="23" t="s">
        <v>4430</v>
      </c>
      <c r="F3102" s="15" t="s">
        <v>4969</v>
      </c>
      <c r="G3102" s="15" t="s">
        <v>4432</v>
      </c>
      <c r="H3102" s="23" t="s">
        <v>58</v>
      </c>
    </row>
    <row r="3103" spans="1:8" ht="54.95" customHeight="1" x14ac:dyDescent="0.2">
      <c r="A3103" s="23" t="s">
        <v>893</v>
      </c>
      <c r="B3103" s="23" t="s">
        <v>21</v>
      </c>
      <c r="C3103" s="23" t="s">
        <v>4970</v>
      </c>
      <c r="D3103" s="23">
        <v>2</v>
      </c>
      <c r="E3103" s="23" t="s">
        <v>4430</v>
      </c>
      <c r="F3103" s="15" t="s">
        <v>4971</v>
      </c>
      <c r="G3103" s="15" t="s">
        <v>4432</v>
      </c>
      <c r="H3103" s="23" t="s">
        <v>58</v>
      </c>
    </row>
    <row r="3104" spans="1:8" ht="54.95" customHeight="1" x14ac:dyDescent="0.2">
      <c r="A3104" s="23" t="s">
        <v>893</v>
      </c>
      <c r="B3104" s="23" t="s">
        <v>22</v>
      </c>
      <c r="C3104" s="23" t="s">
        <v>4970</v>
      </c>
      <c r="D3104" s="23">
        <v>2</v>
      </c>
      <c r="E3104" s="23" t="s">
        <v>4430</v>
      </c>
      <c r="F3104" s="15" t="s">
        <v>4972</v>
      </c>
      <c r="G3104" s="15" t="s">
        <v>4432</v>
      </c>
      <c r="H3104" s="23" t="s">
        <v>58</v>
      </c>
    </row>
    <row r="3105" spans="1:8" ht="54.95" customHeight="1" x14ac:dyDescent="0.2">
      <c r="A3105" s="23" t="s">
        <v>899</v>
      </c>
      <c r="B3105" s="23" t="s">
        <v>21</v>
      </c>
      <c r="C3105" s="23" t="s">
        <v>4973</v>
      </c>
      <c r="D3105" s="23">
        <v>1.3959999999999999</v>
      </c>
      <c r="E3105" s="23" t="s">
        <v>4430</v>
      </c>
      <c r="F3105" s="15" t="s">
        <v>4974</v>
      </c>
      <c r="G3105" s="15" t="s">
        <v>4432</v>
      </c>
      <c r="H3105" s="23" t="s">
        <v>58</v>
      </c>
    </row>
    <row r="3106" spans="1:8" ht="54.95" customHeight="1" x14ac:dyDescent="0.2">
      <c r="A3106" s="23" t="s">
        <v>899</v>
      </c>
      <c r="B3106" s="23" t="s">
        <v>22</v>
      </c>
      <c r="C3106" s="23" t="s">
        <v>4517</v>
      </c>
      <c r="D3106" s="23">
        <v>1.4379999999999999</v>
      </c>
      <c r="E3106" s="23" t="s">
        <v>4430</v>
      </c>
      <c r="F3106" s="15" t="s">
        <v>4975</v>
      </c>
      <c r="G3106" s="15" t="s">
        <v>4432</v>
      </c>
      <c r="H3106" s="23" t="s">
        <v>58</v>
      </c>
    </row>
    <row r="3107" spans="1:8" ht="54.95" customHeight="1" x14ac:dyDescent="0.2">
      <c r="A3107" s="23" t="s">
        <v>899</v>
      </c>
      <c r="B3107" s="23" t="s">
        <v>24</v>
      </c>
      <c r="C3107" s="23" t="s">
        <v>4976</v>
      </c>
      <c r="D3107" s="23">
        <v>0.47499999999999998</v>
      </c>
      <c r="E3107" s="23" t="s">
        <v>4430</v>
      </c>
      <c r="F3107" s="15" t="s">
        <v>4977</v>
      </c>
      <c r="G3107" s="15" t="s">
        <v>4432</v>
      </c>
      <c r="H3107" s="23" t="s">
        <v>58</v>
      </c>
    </row>
    <row r="3108" spans="1:8" ht="54.95" customHeight="1" x14ac:dyDescent="0.2">
      <c r="A3108" s="23" t="s">
        <v>905</v>
      </c>
      <c r="B3108" s="23" t="s">
        <v>21</v>
      </c>
      <c r="C3108" s="23" t="s">
        <v>4978</v>
      </c>
      <c r="D3108" s="23">
        <v>0.84799999999999998</v>
      </c>
      <c r="E3108" s="23" t="s">
        <v>4430</v>
      </c>
      <c r="F3108" s="15" t="s">
        <v>4979</v>
      </c>
      <c r="G3108" s="15" t="s">
        <v>4432</v>
      </c>
      <c r="H3108" s="23" t="s">
        <v>58</v>
      </c>
    </row>
    <row r="3109" spans="1:8" ht="54.95" customHeight="1" x14ac:dyDescent="0.2">
      <c r="A3109" s="23" t="s">
        <v>905</v>
      </c>
      <c r="B3109" s="23" t="s">
        <v>22</v>
      </c>
      <c r="C3109" s="23" t="s">
        <v>1558</v>
      </c>
      <c r="D3109" s="23">
        <v>0.83199999999999996</v>
      </c>
      <c r="E3109" s="23" t="s">
        <v>4430</v>
      </c>
      <c r="F3109" s="15" t="s">
        <v>4980</v>
      </c>
      <c r="G3109" s="15" t="s">
        <v>4432</v>
      </c>
      <c r="H3109" s="23" t="s">
        <v>58</v>
      </c>
    </row>
    <row r="3110" spans="1:8" ht="54.95" customHeight="1" x14ac:dyDescent="0.2">
      <c r="A3110" s="23" t="s">
        <v>911</v>
      </c>
      <c r="B3110" s="23" t="s">
        <v>21</v>
      </c>
      <c r="C3110" s="23" t="s">
        <v>4981</v>
      </c>
      <c r="D3110" s="23">
        <v>1.355</v>
      </c>
      <c r="E3110" s="23" t="s">
        <v>4430</v>
      </c>
      <c r="F3110" s="15" t="s">
        <v>4982</v>
      </c>
      <c r="G3110" s="15" t="s">
        <v>4432</v>
      </c>
      <c r="H3110" s="23" t="s">
        <v>58</v>
      </c>
    </row>
    <row r="3111" spans="1:8" ht="54.95" customHeight="1" x14ac:dyDescent="0.2">
      <c r="A3111" s="23" t="s">
        <v>911</v>
      </c>
      <c r="B3111" s="23" t="s">
        <v>22</v>
      </c>
      <c r="C3111" s="23" t="s">
        <v>4983</v>
      </c>
      <c r="D3111" s="23">
        <v>0.96599999999999997</v>
      </c>
      <c r="E3111" s="23" t="s">
        <v>4430</v>
      </c>
      <c r="F3111" s="15" t="s">
        <v>4984</v>
      </c>
      <c r="G3111" s="15" t="s">
        <v>4432</v>
      </c>
      <c r="H3111" s="23" t="s">
        <v>58</v>
      </c>
    </row>
    <row r="3112" spans="1:8" ht="54.95" customHeight="1" x14ac:dyDescent="0.2">
      <c r="A3112" s="23" t="s">
        <v>917</v>
      </c>
      <c r="B3112" s="23" t="s">
        <v>21</v>
      </c>
      <c r="C3112" s="23" t="s">
        <v>4939</v>
      </c>
      <c r="D3112" s="23">
        <v>1.26</v>
      </c>
      <c r="E3112" s="23" t="s">
        <v>4430</v>
      </c>
      <c r="F3112" s="15" t="s">
        <v>4985</v>
      </c>
      <c r="G3112" s="15" t="s">
        <v>4432</v>
      </c>
      <c r="H3112" s="23" t="s">
        <v>58</v>
      </c>
    </row>
    <row r="3113" spans="1:8" ht="54.95" customHeight="1" x14ac:dyDescent="0.2">
      <c r="A3113" s="23" t="s">
        <v>917</v>
      </c>
      <c r="B3113" s="23" t="s">
        <v>22</v>
      </c>
      <c r="C3113" s="23" t="s">
        <v>4519</v>
      </c>
      <c r="D3113" s="23">
        <v>1.395</v>
      </c>
      <c r="E3113" s="23" t="s">
        <v>4430</v>
      </c>
      <c r="F3113" s="15" t="s">
        <v>4986</v>
      </c>
      <c r="G3113" s="15" t="s">
        <v>4432</v>
      </c>
      <c r="H3113" s="23" t="s">
        <v>58</v>
      </c>
    </row>
    <row r="3114" spans="1:8" ht="54.95" customHeight="1" x14ac:dyDescent="0.2">
      <c r="A3114" s="23" t="s">
        <v>917</v>
      </c>
      <c r="B3114" s="23" t="s">
        <v>24</v>
      </c>
      <c r="C3114" s="23" t="s">
        <v>4987</v>
      </c>
      <c r="D3114" s="23">
        <v>0.71299999999999997</v>
      </c>
      <c r="E3114" s="23" t="s">
        <v>4430</v>
      </c>
      <c r="F3114" s="15" t="s">
        <v>4988</v>
      </c>
      <c r="G3114" s="15" t="s">
        <v>4432</v>
      </c>
      <c r="H3114" s="23" t="s">
        <v>58</v>
      </c>
    </row>
    <row r="3115" spans="1:8" ht="54.95" customHeight="1" x14ac:dyDescent="0.2">
      <c r="A3115" s="23" t="s">
        <v>925</v>
      </c>
      <c r="B3115" s="23" t="s">
        <v>21</v>
      </c>
      <c r="C3115" s="23" t="s">
        <v>4989</v>
      </c>
      <c r="D3115" s="23">
        <v>2.39</v>
      </c>
      <c r="E3115" s="23" t="s">
        <v>4430</v>
      </c>
      <c r="F3115" s="15" t="s">
        <v>4990</v>
      </c>
      <c r="G3115" s="15" t="s">
        <v>4432</v>
      </c>
      <c r="H3115" s="23" t="s">
        <v>58</v>
      </c>
    </row>
    <row r="3116" spans="1:8" ht="54.95" customHeight="1" x14ac:dyDescent="0.2">
      <c r="A3116" s="23" t="s">
        <v>925</v>
      </c>
      <c r="B3116" s="23" t="s">
        <v>22</v>
      </c>
      <c r="C3116" s="23" t="s">
        <v>4991</v>
      </c>
      <c r="D3116" s="23">
        <v>2.4900000000000002</v>
      </c>
      <c r="E3116" s="23" t="s">
        <v>4430</v>
      </c>
      <c r="F3116" s="15" t="s">
        <v>4992</v>
      </c>
      <c r="G3116" s="15" t="s">
        <v>4432</v>
      </c>
      <c r="H3116" s="23" t="s">
        <v>58</v>
      </c>
    </row>
    <row r="3117" spans="1:8" ht="54.95" customHeight="1" x14ac:dyDescent="0.2">
      <c r="A3117" s="23" t="s">
        <v>925</v>
      </c>
      <c r="B3117" s="23" t="s">
        <v>24</v>
      </c>
      <c r="C3117" s="23" t="s">
        <v>4993</v>
      </c>
      <c r="D3117" s="23">
        <v>1.0329999999999999</v>
      </c>
      <c r="E3117" s="23" t="s">
        <v>4430</v>
      </c>
      <c r="F3117" s="15" t="s">
        <v>4994</v>
      </c>
      <c r="G3117" s="15" t="s">
        <v>4432</v>
      </c>
      <c r="H3117" s="23" t="s">
        <v>58</v>
      </c>
    </row>
    <row r="3118" spans="1:8" ht="54.95" customHeight="1" x14ac:dyDescent="0.2">
      <c r="A3118" s="23" t="s">
        <v>931</v>
      </c>
      <c r="B3118" s="23" t="s">
        <v>21</v>
      </c>
      <c r="C3118" s="23" t="s">
        <v>4995</v>
      </c>
      <c r="D3118" s="23">
        <v>1.9239999999999999</v>
      </c>
      <c r="E3118" s="23" t="s">
        <v>4430</v>
      </c>
      <c r="F3118" s="15" t="s">
        <v>4996</v>
      </c>
      <c r="G3118" s="15" t="s">
        <v>4432</v>
      </c>
      <c r="H3118" s="23" t="s">
        <v>58</v>
      </c>
    </row>
    <row r="3119" spans="1:8" ht="54.95" customHeight="1" x14ac:dyDescent="0.2">
      <c r="A3119" s="23" t="s">
        <v>931</v>
      </c>
      <c r="B3119" s="23" t="s">
        <v>22</v>
      </c>
      <c r="C3119" s="23" t="s">
        <v>4997</v>
      </c>
      <c r="D3119" s="23">
        <v>2.028</v>
      </c>
      <c r="E3119" s="23" t="s">
        <v>4430</v>
      </c>
      <c r="F3119" s="15" t="s">
        <v>4998</v>
      </c>
      <c r="G3119" s="15" t="s">
        <v>4432</v>
      </c>
      <c r="H3119" s="23" t="s">
        <v>58</v>
      </c>
    </row>
    <row r="3120" spans="1:8" ht="54.95" customHeight="1" x14ac:dyDescent="0.2">
      <c r="A3120" s="23" t="s">
        <v>931</v>
      </c>
      <c r="B3120" s="23" t="s">
        <v>24</v>
      </c>
      <c r="C3120" s="23" t="s">
        <v>4999</v>
      </c>
      <c r="D3120" s="23">
        <v>0.89700000000000002</v>
      </c>
      <c r="E3120" s="23" t="s">
        <v>4430</v>
      </c>
      <c r="F3120" s="15" t="s">
        <v>5000</v>
      </c>
      <c r="G3120" s="15" t="s">
        <v>4432</v>
      </c>
      <c r="H3120" s="23" t="s">
        <v>58</v>
      </c>
    </row>
    <row r="3121" spans="1:8" ht="54.95" customHeight="1" x14ac:dyDescent="0.2">
      <c r="A3121" s="23" t="s">
        <v>937</v>
      </c>
      <c r="B3121" s="23" t="s">
        <v>21</v>
      </c>
      <c r="C3121" s="23" t="s">
        <v>5001</v>
      </c>
      <c r="D3121" s="23">
        <v>0.42899999999999999</v>
      </c>
      <c r="E3121" s="23" t="s">
        <v>4430</v>
      </c>
      <c r="F3121" s="15" t="s">
        <v>5002</v>
      </c>
      <c r="G3121" s="15" t="s">
        <v>4432</v>
      </c>
      <c r="H3121" s="23" t="s">
        <v>58</v>
      </c>
    </row>
    <row r="3122" spans="1:8" ht="54.95" customHeight="1" x14ac:dyDescent="0.2">
      <c r="A3122" s="23" t="s">
        <v>937</v>
      </c>
      <c r="B3122" s="23" t="s">
        <v>22</v>
      </c>
      <c r="C3122" s="23" t="s">
        <v>5003</v>
      </c>
      <c r="D3122" s="23">
        <v>0.28599999999999998</v>
      </c>
      <c r="E3122" s="23" t="s">
        <v>4430</v>
      </c>
      <c r="F3122" s="15" t="s">
        <v>5004</v>
      </c>
      <c r="G3122" s="15" t="s">
        <v>4432</v>
      </c>
      <c r="H3122" s="23" t="s">
        <v>58</v>
      </c>
    </row>
    <row r="3123" spans="1:8" ht="54.95" customHeight="1" x14ac:dyDescent="0.2">
      <c r="A3123" s="23" t="s">
        <v>943</v>
      </c>
      <c r="B3123" s="23" t="s">
        <v>21</v>
      </c>
      <c r="C3123" s="23" t="s">
        <v>5005</v>
      </c>
      <c r="D3123" s="23">
        <v>1.8480000000000001</v>
      </c>
      <c r="E3123" s="23" t="s">
        <v>4430</v>
      </c>
      <c r="F3123" s="15" t="s">
        <v>5006</v>
      </c>
      <c r="G3123" s="15" t="s">
        <v>4432</v>
      </c>
      <c r="H3123" s="23" t="s">
        <v>58</v>
      </c>
    </row>
    <row r="3124" spans="1:8" ht="54.95" customHeight="1" x14ac:dyDescent="0.2">
      <c r="A3124" s="23" t="s">
        <v>943</v>
      </c>
      <c r="B3124" s="23" t="s">
        <v>22</v>
      </c>
      <c r="C3124" s="23" t="s">
        <v>5007</v>
      </c>
      <c r="D3124" s="23">
        <v>1.1990000000000001</v>
      </c>
      <c r="E3124" s="23" t="s">
        <v>4430</v>
      </c>
      <c r="F3124" s="15" t="s">
        <v>5008</v>
      </c>
      <c r="G3124" s="15" t="s">
        <v>4432</v>
      </c>
      <c r="H3124" s="23" t="s">
        <v>58</v>
      </c>
    </row>
    <row r="3125" spans="1:8" ht="54.95" customHeight="1" x14ac:dyDescent="0.2">
      <c r="A3125" s="23" t="s">
        <v>949</v>
      </c>
      <c r="B3125" s="23" t="s">
        <v>21</v>
      </c>
      <c r="C3125" s="23" t="s">
        <v>5009</v>
      </c>
      <c r="D3125" s="23">
        <v>1.304</v>
      </c>
      <c r="E3125" s="23" t="s">
        <v>4430</v>
      </c>
      <c r="F3125" s="15" t="s">
        <v>5010</v>
      </c>
      <c r="G3125" s="15" t="s">
        <v>4432</v>
      </c>
      <c r="H3125" s="23" t="s">
        <v>58</v>
      </c>
    </row>
    <row r="3126" spans="1:8" ht="54.95" customHeight="1" x14ac:dyDescent="0.2">
      <c r="A3126" s="23" t="s">
        <v>949</v>
      </c>
      <c r="B3126" s="23" t="s">
        <v>22</v>
      </c>
      <c r="C3126" s="23" t="s">
        <v>4830</v>
      </c>
      <c r="D3126" s="23">
        <v>1.304</v>
      </c>
      <c r="E3126" s="23" t="s">
        <v>4430</v>
      </c>
      <c r="F3126" s="15" t="s">
        <v>5011</v>
      </c>
      <c r="G3126" s="15" t="s">
        <v>4432</v>
      </c>
      <c r="H3126" s="23" t="s">
        <v>58</v>
      </c>
    </row>
    <row r="3127" spans="1:8" ht="54.95" customHeight="1" x14ac:dyDescent="0.2">
      <c r="A3127" s="23" t="s">
        <v>955</v>
      </c>
      <c r="B3127" s="23" t="s">
        <v>21</v>
      </c>
      <c r="C3127" s="23" t="s">
        <v>5012</v>
      </c>
      <c r="D3127" s="23">
        <v>1.5269999999999999</v>
      </c>
      <c r="E3127" s="23" t="s">
        <v>4430</v>
      </c>
      <c r="F3127" s="15" t="s">
        <v>5013</v>
      </c>
      <c r="G3127" s="15" t="s">
        <v>4432</v>
      </c>
      <c r="H3127" s="23" t="s">
        <v>58</v>
      </c>
    </row>
    <row r="3128" spans="1:8" ht="54.95" customHeight="1" x14ac:dyDescent="0.2">
      <c r="A3128" s="23" t="s">
        <v>955</v>
      </c>
      <c r="B3128" s="23" t="s">
        <v>22</v>
      </c>
      <c r="C3128" s="23" t="s">
        <v>5014</v>
      </c>
      <c r="D3128" s="23">
        <v>1.9059999999999999</v>
      </c>
      <c r="E3128" s="23" t="s">
        <v>4430</v>
      </c>
      <c r="F3128" s="15" t="s">
        <v>5015</v>
      </c>
      <c r="G3128" s="15" t="s">
        <v>4432</v>
      </c>
      <c r="H3128" s="23" t="s">
        <v>58</v>
      </c>
    </row>
    <row r="3129" spans="1:8" ht="54.95" customHeight="1" x14ac:dyDescent="0.2">
      <c r="A3129" s="23" t="s">
        <v>961</v>
      </c>
      <c r="B3129" s="23" t="s">
        <v>21</v>
      </c>
      <c r="C3129" s="23" t="s">
        <v>5016</v>
      </c>
      <c r="D3129" s="23">
        <v>1.4790000000000001</v>
      </c>
      <c r="E3129" s="23" t="s">
        <v>4430</v>
      </c>
      <c r="F3129" s="15" t="s">
        <v>5017</v>
      </c>
      <c r="G3129" s="15" t="s">
        <v>4432</v>
      </c>
      <c r="H3129" s="23" t="s">
        <v>58</v>
      </c>
    </row>
    <row r="3130" spans="1:8" ht="54.95" customHeight="1" x14ac:dyDescent="0.2">
      <c r="A3130" s="23" t="s">
        <v>961</v>
      </c>
      <c r="B3130" s="23" t="s">
        <v>22</v>
      </c>
      <c r="C3130" s="23" t="s">
        <v>5018</v>
      </c>
      <c r="D3130" s="23">
        <v>1.458</v>
      </c>
      <c r="E3130" s="23" t="s">
        <v>4430</v>
      </c>
      <c r="F3130" s="15" t="s">
        <v>5019</v>
      </c>
      <c r="G3130" s="15" t="s">
        <v>4432</v>
      </c>
      <c r="H3130" s="23" t="s">
        <v>58</v>
      </c>
    </row>
    <row r="3131" spans="1:8" ht="54.95" customHeight="1" x14ac:dyDescent="0.2">
      <c r="A3131" s="23" t="s">
        <v>967</v>
      </c>
      <c r="B3131" s="23" t="s">
        <v>21</v>
      </c>
      <c r="C3131" s="23" t="s">
        <v>5020</v>
      </c>
      <c r="D3131" s="23">
        <v>1.048</v>
      </c>
      <c r="E3131" s="23" t="s">
        <v>4430</v>
      </c>
      <c r="F3131" s="15" t="s">
        <v>5021</v>
      </c>
      <c r="G3131" s="15" t="s">
        <v>4432</v>
      </c>
      <c r="H3131" s="23" t="s">
        <v>58</v>
      </c>
    </row>
    <row r="3132" spans="1:8" ht="54.95" customHeight="1" x14ac:dyDescent="0.2">
      <c r="A3132" s="23" t="s">
        <v>967</v>
      </c>
      <c r="B3132" s="23" t="s">
        <v>22</v>
      </c>
      <c r="C3132" s="23" t="s">
        <v>4828</v>
      </c>
      <c r="D3132" s="23">
        <v>1.0129999999999999</v>
      </c>
      <c r="E3132" s="23" t="s">
        <v>4430</v>
      </c>
      <c r="F3132" s="15" t="s">
        <v>5022</v>
      </c>
      <c r="G3132" s="15" t="s">
        <v>4432</v>
      </c>
      <c r="H3132" s="23" t="s">
        <v>58</v>
      </c>
    </row>
    <row r="3133" spans="1:8" ht="54.95" customHeight="1" x14ac:dyDescent="0.2">
      <c r="A3133" s="23" t="s">
        <v>974</v>
      </c>
      <c r="B3133" s="23" t="s">
        <v>21</v>
      </c>
      <c r="C3133" s="23" t="s">
        <v>5023</v>
      </c>
      <c r="D3133" s="23">
        <v>0.879</v>
      </c>
      <c r="E3133" s="23" t="s">
        <v>4430</v>
      </c>
      <c r="F3133" s="15" t="s">
        <v>5024</v>
      </c>
      <c r="G3133" s="15" t="s">
        <v>4432</v>
      </c>
      <c r="H3133" s="23" t="s">
        <v>58</v>
      </c>
    </row>
    <row r="3134" spans="1:8" ht="54.95" customHeight="1" x14ac:dyDescent="0.2">
      <c r="A3134" s="23" t="s">
        <v>974</v>
      </c>
      <c r="B3134" s="23" t="s">
        <v>22</v>
      </c>
      <c r="C3134" s="23" t="s">
        <v>5025</v>
      </c>
      <c r="D3134" s="23">
        <v>1.0880000000000001</v>
      </c>
      <c r="E3134" s="23" t="s">
        <v>4430</v>
      </c>
      <c r="F3134" s="15" t="s">
        <v>5026</v>
      </c>
      <c r="G3134" s="15" t="s">
        <v>4432</v>
      </c>
      <c r="H3134" s="23" t="s">
        <v>58</v>
      </c>
    </row>
    <row r="3135" spans="1:8" ht="54.95" customHeight="1" x14ac:dyDescent="0.2">
      <c r="A3135" s="23" t="s">
        <v>980</v>
      </c>
      <c r="B3135" s="23" t="s">
        <v>21</v>
      </c>
      <c r="C3135" s="23" t="s">
        <v>5027</v>
      </c>
      <c r="D3135" s="23">
        <v>1.4970000000000001</v>
      </c>
      <c r="E3135" s="23" t="s">
        <v>4430</v>
      </c>
      <c r="F3135" s="15" t="s">
        <v>5028</v>
      </c>
      <c r="G3135" s="15" t="s">
        <v>4432</v>
      </c>
      <c r="H3135" s="23" t="s">
        <v>58</v>
      </c>
    </row>
    <row r="3136" spans="1:8" ht="54.95" customHeight="1" x14ac:dyDescent="0.2">
      <c r="A3136" s="23" t="s">
        <v>980</v>
      </c>
      <c r="B3136" s="23" t="s">
        <v>22</v>
      </c>
      <c r="C3136" s="23" t="s">
        <v>1545</v>
      </c>
      <c r="D3136" s="23">
        <v>1.321</v>
      </c>
      <c r="E3136" s="23" t="s">
        <v>4430</v>
      </c>
      <c r="F3136" s="15" t="s">
        <v>5029</v>
      </c>
      <c r="G3136" s="15" t="s">
        <v>4432</v>
      </c>
      <c r="H3136" s="23" t="s">
        <v>58</v>
      </c>
    </row>
    <row r="3137" spans="1:8" ht="54.95" customHeight="1" x14ac:dyDescent="0.2">
      <c r="A3137" s="23" t="s">
        <v>986</v>
      </c>
      <c r="B3137" s="23" t="s">
        <v>21</v>
      </c>
      <c r="C3137" s="23" t="s">
        <v>4834</v>
      </c>
      <c r="D3137" s="23">
        <v>1.2769999999999999</v>
      </c>
      <c r="E3137" s="23" t="s">
        <v>4430</v>
      </c>
      <c r="F3137" s="15" t="s">
        <v>5030</v>
      </c>
      <c r="G3137" s="15" t="s">
        <v>4432</v>
      </c>
      <c r="H3137" s="23" t="s">
        <v>58</v>
      </c>
    </row>
    <row r="3138" spans="1:8" ht="54.95" customHeight="1" x14ac:dyDescent="0.2">
      <c r="A3138" s="23" t="s">
        <v>986</v>
      </c>
      <c r="B3138" s="23" t="s">
        <v>22</v>
      </c>
      <c r="C3138" s="23" t="s">
        <v>1545</v>
      </c>
      <c r="D3138" s="23">
        <v>1.321</v>
      </c>
      <c r="E3138" s="23" t="s">
        <v>4430</v>
      </c>
      <c r="F3138" s="15" t="s">
        <v>5031</v>
      </c>
      <c r="G3138" s="15" t="s">
        <v>4432</v>
      </c>
      <c r="H3138" s="23" t="s">
        <v>58</v>
      </c>
    </row>
    <row r="3139" spans="1:8" ht="54.95" customHeight="1" x14ac:dyDescent="0.2">
      <c r="A3139" s="23" t="s">
        <v>992</v>
      </c>
      <c r="B3139" s="23" t="s">
        <v>21</v>
      </c>
      <c r="C3139" s="23" t="s">
        <v>5032</v>
      </c>
      <c r="D3139" s="23">
        <v>1.5629999999999999</v>
      </c>
      <c r="E3139" s="23" t="s">
        <v>4430</v>
      </c>
      <c r="F3139" s="15" t="s">
        <v>5033</v>
      </c>
      <c r="G3139" s="15" t="s">
        <v>4432</v>
      </c>
      <c r="H3139" s="23" t="s">
        <v>58</v>
      </c>
    </row>
    <row r="3140" spans="1:8" ht="54.95" customHeight="1" x14ac:dyDescent="0.2">
      <c r="A3140" s="23" t="s">
        <v>992</v>
      </c>
      <c r="B3140" s="23" t="s">
        <v>22</v>
      </c>
      <c r="C3140" s="23" t="s">
        <v>5034</v>
      </c>
      <c r="D3140" s="23">
        <v>1.5009999999999999</v>
      </c>
      <c r="E3140" s="23" t="s">
        <v>4430</v>
      </c>
      <c r="F3140" s="15" t="s">
        <v>5035</v>
      </c>
      <c r="G3140" s="15" t="s">
        <v>4432</v>
      </c>
      <c r="H3140" s="23" t="s">
        <v>58</v>
      </c>
    </row>
    <row r="3141" spans="1:8" ht="54.95" customHeight="1" x14ac:dyDescent="0.2">
      <c r="A3141" s="23" t="s">
        <v>1007</v>
      </c>
      <c r="B3141" s="23" t="s">
        <v>21</v>
      </c>
      <c r="C3141" s="23" t="s">
        <v>5036</v>
      </c>
      <c r="D3141" s="23">
        <v>1.2330000000000001</v>
      </c>
      <c r="E3141" s="23" t="s">
        <v>4430</v>
      </c>
      <c r="F3141" s="15" t="s">
        <v>5037</v>
      </c>
      <c r="G3141" s="15" t="s">
        <v>4432</v>
      </c>
      <c r="H3141" s="23" t="s">
        <v>58</v>
      </c>
    </row>
    <row r="3142" spans="1:8" ht="54.95" customHeight="1" x14ac:dyDescent="0.2">
      <c r="A3142" s="23" t="s">
        <v>1007</v>
      </c>
      <c r="B3142" s="23" t="s">
        <v>22</v>
      </c>
      <c r="C3142" s="23" t="s">
        <v>5038</v>
      </c>
      <c r="D3142" s="23">
        <v>1.66</v>
      </c>
      <c r="E3142" s="23" t="s">
        <v>4430</v>
      </c>
      <c r="F3142" s="15" t="s">
        <v>5039</v>
      </c>
      <c r="G3142" s="15" t="s">
        <v>4432</v>
      </c>
      <c r="H3142" s="23" t="s">
        <v>58</v>
      </c>
    </row>
    <row r="3143" spans="1:8" ht="54.95" customHeight="1" x14ac:dyDescent="0.2">
      <c r="A3143" s="23" t="s">
        <v>1013</v>
      </c>
      <c r="B3143" s="23" t="s">
        <v>21</v>
      </c>
      <c r="C3143" s="23" t="s">
        <v>5040</v>
      </c>
      <c r="D3143" s="23">
        <v>1.4830000000000001</v>
      </c>
      <c r="E3143" s="23" t="s">
        <v>4430</v>
      </c>
      <c r="F3143" s="15" t="s">
        <v>5041</v>
      </c>
      <c r="G3143" s="15" t="s">
        <v>4432</v>
      </c>
      <c r="H3143" s="23" t="s">
        <v>58</v>
      </c>
    </row>
    <row r="3144" spans="1:8" ht="54.95" customHeight="1" x14ac:dyDescent="0.2">
      <c r="A3144" s="23" t="s">
        <v>1013</v>
      </c>
      <c r="B3144" s="23" t="s">
        <v>22</v>
      </c>
      <c r="C3144" s="23" t="s">
        <v>4926</v>
      </c>
      <c r="D3144" s="23">
        <v>1.8009999999999999</v>
      </c>
      <c r="E3144" s="23" t="s">
        <v>4430</v>
      </c>
      <c r="F3144" s="15" t="s">
        <v>5042</v>
      </c>
      <c r="G3144" s="15" t="s">
        <v>4432</v>
      </c>
      <c r="H3144" s="23" t="s">
        <v>58</v>
      </c>
    </row>
    <row r="3145" spans="1:8" ht="54.95" customHeight="1" x14ac:dyDescent="0.2">
      <c r="A3145" s="23" t="s">
        <v>1013</v>
      </c>
      <c r="B3145" s="23" t="s">
        <v>24</v>
      </c>
      <c r="C3145" s="23" t="s">
        <v>5043</v>
      </c>
      <c r="D3145" s="23">
        <v>0.91</v>
      </c>
      <c r="E3145" s="23" t="s">
        <v>4430</v>
      </c>
      <c r="F3145" s="15" t="s">
        <v>5044</v>
      </c>
      <c r="G3145" s="15" t="s">
        <v>4432</v>
      </c>
      <c r="H3145" s="23" t="s">
        <v>58</v>
      </c>
    </row>
    <row r="3146" spans="1:8" ht="54.95" customHeight="1" x14ac:dyDescent="0.2">
      <c r="A3146" s="23" t="s">
        <v>1019</v>
      </c>
      <c r="B3146" s="23" t="s">
        <v>21</v>
      </c>
      <c r="C3146" s="23" t="s">
        <v>5045</v>
      </c>
      <c r="D3146" s="23">
        <v>1.653</v>
      </c>
      <c r="E3146" s="23" t="s">
        <v>4430</v>
      </c>
      <c r="F3146" s="15" t="s">
        <v>5046</v>
      </c>
      <c r="G3146" s="15" t="s">
        <v>4432</v>
      </c>
      <c r="H3146" s="23" t="s">
        <v>58</v>
      </c>
    </row>
    <row r="3147" spans="1:8" ht="54.95" customHeight="1" x14ac:dyDescent="0.2">
      <c r="A3147" s="23" t="s">
        <v>1019</v>
      </c>
      <c r="B3147" s="23" t="s">
        <v>22</v>
      </c>
      <c r="C3147" s="23" t="s">
        <v>5047</v>
      </c>
      <c r="D3147" s="23">
        <v>1.5649999999999999</v>
      </c>
      <c r="E3147" s="23" t="s">
        <v>4430</v>
      </c>
      <c r="F3147" s="15" t="s">
        <v>5048</v>
      </c>
      <c r="G3147" s="15" t="s">
        <v>4432</v>
      </c>
      <c r="H3147" s="23" t="s">
        <v>58</v>
      </c>
    </row>
    <row r="3148" spans="1:8" ht="54.95" customHeight="1" x14ac:dyDescent="0.2">
      <c r="A3148" s="23" t="s">
        <v>1025</v>
      </c>
      <c r="B3148" s="23" t="s">
        <v>21</v>
      </c>
      <c r="C3148" s="23" t="s">
        <v>5049</v>
      </c>
      <c r="D3148" s="23">
        <v>1.923</v>
      </c>
      <c r="E3148" s="23" t="s">
        <v>4430</v>
      </c>
      <c r="F3148" s="15" t="s">
        <v>5050</v>
      </c>
      <c r="G3148" s="15" t="s">
        <v>4432</v>
      </c>
      <c r="H3148" s="23" t="s">
        <v>58</v>
      </c>
    </row>
    <row r="3149" spans="1:8" ht="54.95" customHeight="1" x14ac:dyDescent="0.2">
      <c r="A3149" s="23" t="s">
        <v>1025</v>
      </c>
      <c r="B3149" s="23" t="s">
        <v>22</v>
      </c>
      <c r="C3149" s="23" t="s">
        <v>5051</v>
      </c>
      <c r="D3149" s="23">
        <v>1.9650000000000001</v>
      </c>
      <c r="E3149" s="23" t="s">
        <v>4430</v>
      </c>
      <c r="F3149" s="15" t="s">
        <v>5052</v>
      </c>
      <c r="G3149" s="15" t="s">
        <v>4432</v>
      </c>
      <c r="H3149" s="23" t="s">
        <v>58</v>
      </c>
    </row>
    <row r="3150" spans="1:8" ht="54.95" customHeight="1" x14ac:dyDescent="0.2">
      <c r="A3150" s="23" t="s">
        <v>1031</v>
      </c>
      <c r="B3150" s="23" t="s">
        <v>21</v>
      </c>
      <c r="C3150" s="23" t="s">
        <v>1544</v>
      </c>
      <c r="D3150" s="23">
        <v>1.28</v>
      </c>
      <c r="E3150" s="23" t="s">
        <v>4430</v>
      </c>
      <c r="F3150" s="15" t="s">
        <v>5053</v>
      </c>
      <c r="G3150" s="15" t="s">
        <v>4432</v>
      </c>
      <c r="H3150" s="23" t="s">
        <v>58</v>
      </c>
    </row>
    <row r="3151" spans="1:8" ht="54.95" customHeight="1" x14ac:dyDescent="0.2">
      <c r="A3151" s="23" t="s">
        <v>1031</v>
      </c>
      <c r="B3151" s="23" t="s">
        <v>22</v>
      </c>
      <c r="C3151" s="23" t="s">
        <v>5054</v>
      </c>
      <c r="D3151" s="23">
        <v>1.401</v>
      </c>
      <c r="E3151" s="23" t="s">
        <v>4430</v>
      </c>
      <c r="F3151" s="15" t="s">
        <v>5055</v>
      </c>
      <c r="G3151" s="15" t="s">
        <v>4432</v>
      </c>
      <c r="H3151" s="23" t="s">
        <v>58</v>
      </c>
    </row>
    <row r="3152" spans="1:8" ht="54.95" customHeight="1" x14ac:dyDescent="0.2">
      <c r="A3152" s="23" t="s">
        <v>1037</v>
      </c>
      <c r="B3152" s="23" t="s">
        <v>21</v>
      </c>
      <c r="C3152" s="23" t="s">
        <v>5056</v>
      </c>
      <c r="D3152" s="23">
        <v>3.5000000000000003E-2</v>
      </c>
      <c r="E3152" s="23" t="s">
        <v>4430</v>
      </c>
      <c r="F3152" s="15" t="s">
        <v>5057</v>
      </c>
      <c r="G3152" s="15" t="s">
        <v>4432</v>
      </c>
      <c r="H3152" s="23" t="s">
        <v>58</v>
      </c>
    </row>
    <row r="3153" spans="1:8" ht="54.95" customHeight="1" x14ac:dyDescent="0.2">
      <c r="A3153" s="23" t="s">
        <v>1037</v>
      </c>
      <c r="B3153" s="23" t="s">
        <v>22</v>
      </c>
      <c r="C3153" s="23" t="s">
        <v>5058</v>
      </c>
      <c r="D3153" s="23">
        <v>4.0000000000000001E-3</v>
      </c>
      <c r="E3153" s="23" t="s">
        <v>4430</v>
      </c>
      <c r="F3153" s="15" t="s">
        <v>5059</v>
      </c>
      <c r="G3153" s="15" t="s">
        <v>4432</v>
      </c>
      <c r="H3153" s="23" t="s">
        <v>58</v>
      </c>
    </row>
    <row r="3154" spans="1:8" ht="54.95" customHeight="1" x14ac:dyDescent="0.2">
      <c r="A3154" s="23" t="s">
        <v>1048</v>
      </c>
      <c r="B3154" s="23" t="s">
        <v>21</v>
      </c>
      <c r="C3154" s="23" t="s">
        <v>4976</v>
      </c>
      <c r="D3154" s="23">
        <v>0.46400000000000002</v>
      </c>
      <c r="E3154" s="23" t="s">
        <v>4430</v>
      </c>
      <c r="F3154" s="15" t="s">
        <v>5060</v>
      </c>
      <c r="G3154" s="15" t="s">
        <v>4432</v>
      </c>
      <c r="H3154" s="23" t="s">
        <v>58</v>
      </c>
    </row>
    <row r="3155" spans="1:8" ht="54.95" customHeight="1" x14ac:dyDescent="0.2">
      <c r="A3155" s="23" t="s">
        <v>1048</v>
      </c>
      <c r="B3155" s="23" t="s">
        <v>22</v>
      </c>
      <c r="C3155" s="23" t="s">
        <v>5061</v>
      </c>
      <c r="D3155" s="23">
        <v>0.39600000000000002</v>
      </c>
      <c r="E3155" s="23" t="s">
        <v>4430</v>
      </c>
      <c r="F3155" s="15" t="s">
        <v>5062</v>
      </c>
      <c r="G3155" s="15" t="s">
        <v>4432</v>
      </c>
      <c r="H3155" s="23" t="s">
        <v>58</v>
      </c>
    </row>
    <row r="3156" spans="1:8" ht="54.95" customHeight="1" x14ac:dyDescent="0.2">
      <c r="A3156" s="23" t="s">
        <v>1078</v>
      </c>
      <c r="B3156" s="23" t="s">
        <v>21</v>
      </c>
      <c r="C3156" s="23" t="s">
        <v>5063</v>
      </c>
      <c r="D3156" s="23">
        <v>4.1959999999999997</v>
      </c>
      <c r="E3156" s="23" t="s">
        <v>4430</v>
      </c>
      <c r="F3156" s="15" t="s">
        <v>5064</v>
      </c>
      <c r="G3156" s="15" t="s">
        <v>4432</v>
      </c>
      <c r="H3156" s="23" t="s">
        <v>58</v>
      </c>
    </row>
    <row r="3157" spans="1:8" ht="54.95" customHeight="1" x14ac:dyDescent="0.2">
      <c r="A3157" s="23" t="s">
        <v>1078</v>
      </c>
      <c r="B3157" s="23" t="s">
        <v>22</v>
      </c>
      <c r="C3157" s="23" t="s">
        <v>5065</v>
      </c>
      <c r="D3157" s="23">
        <v>4.6950000000000003</v>
      </c>
      <c r="E3157" s="23" t="s">
        <v>4430</v>
      </c>
      <c r="F3157" s="15" t="s">
        <v>5066</v>
      </c>
      <c r="G3157" s="15" t="s">
        <v>4432</v>
      </c>
      <c r="H3157" s="23" t="s">
        <v>58</v>
      </c>
    </row>
    <row r="3158" spans="1:8" ht="54.95" customHeight="1" x14ac:dyDescent="0.2">
      <c r="A3158" s="23" t="s">
        <v>1107</v>
      </c>
      <c r="B3158" s="23" t="s">
        <v>21</v>
      </c>
      <c r="C3158" s="23" t="s">
        <v>5067</v>
      </c>
      <c r="D3158" s="23">
        <v>1.5189999999999999</v>
      </c>
      <c r="E3158" s="23" t="s">
        <v>4430</v>
      </c>
      <c r="F3158" s="15" t="s">
        <v>5068</v>
      </c>
      <c r="G3158" s="15" t="s">
        <v>4432</v>
      </c>
      <c r="H3158" s="23" t="s">
        <v>58</v>
      </c>
    </row>
    <row r="3159" spans="1:8" ht="54.95" customHeight="1" x14ac:dyDescent="0.2">
      <c r="A3159" s="23" t="s">
        <v>1107</v>
      </c>
      <c r="B3159" s="23" t="s">
        <v>22</v>
      </c>
      <c r="C3159" s="23" t="s">
        <v>5069</v>
      </c>
      <c r="D3159" s="23">
        <v>1.754</v>
      </c>
      <c r="E3159" s="23" t="s">
        <v>4430</v>
      </c>
      <c r="F3159" s="15" t="s">
        <v>5070</v>
      </c>
      <c r="G3159" s="15" t="s">
        <v>4432</v>
      </c>
      <c r="H3159" s="23" t="s">
        <v>58</v>
      </c>
    </row>
    <row r="3160" spans="1:8" ht="54.95" customHeight="1" x14ac:dyDescent="0.2">
      <c r="A3160" s="23" t="s">
        <v>1107</v>
      </c>
      <c r="B3160" s="23" t="s">
        <v>24</v>
      </c>
      <c r="C3160" s="23" t="s">
        <v>5071</v>
      </c>
      <c r="D3160" s="23">
        <v>0.442</v>
      </c>
      <c r="E3160" s="23" t="s">
        <v>4430</v>
      </c>
      <c r="F3160" s="15" t="s">
        <v>5072</v>
      </c>
      <c r="G3160" s="15" t="s">
        <v>4432</v>
      </c>
      <c r="H3160" s="23" t="s">
        <v>58</v>
      </c>
    </row>
    <row r="3161" spans="1:8" ht="54.95" customHeight="1" x14ac:dyDescent="0.2">
      <c r="A3161" s="23" t="s">
        <v>1117</v>
      </c>
      <c r="B3161" s="23" t="s">
        <v>21</v>
      </c>
      <c r="C3161" s="23" t="s">
        <v>4519</v>
      </c>
      <c r="D3161" s="23">
        <v>1.4019999999999999</v>
      </c>
      <c r="E3161" s="23" t="s">
        <v>4430</v>
      </c>
      <c r="F3161" s="15" t="s">
        <v>5073</v>
      </c>
      <c r="G3161" s="15" t="s">
        <v>4432</v>
      </c>
      <c r="H3161" s="23" t="s">
        <v>58</v>
      </c>
    </row>
    <row r="3162" spans="1:8" ht="54.95" customHeight="1" x14ac:dyDescent="0.2">
      <c r="A3162" s="23" t="s">
        <v>1117</v>
      </c>
      <c r="B3162" s="23" t="s">
        <v>22</v>
      </c>
      <c r="C3162" s="23" t="s">
        <v>5074</v>
      </c>
      <c r="D3162" s="23">
        <v>1.4470000000000001</v>
      </c>
      <c r="E3162" s="23" t="s">
        <v>4430</v>
      </c>
      <c r="F3162" s="15" t="s">
        <v>5075</v>
      </c>
      <c r="G3162" s="15" t="s">
        <v>4432</v>
      </c>
      <c r="H3162" s="23" t="s">
        <v>58</v>
      </c>
    </row>
    <row r="3163" spans="1:8" ht="54.95" customHeight="1" x14ac:dyDescent="0.2">
      <c r="A3163" s="23" t="s">
        <v>1117</v>
      </c>
      <c r="B3163" s="23" t="s">
        <v>24</v>
      </c>
      <c r="C3163" s="23" t="s">
        <v>5076</v>
      </c>
      <c r="D3163" s="23">
        <v>0.95899999999999996</v>
      </c>
      <c r="E3163" s="23" t="s">
        <v>4430</v>
      </c>
      <c r="F3163" s="15" t="s">
        <v>5077</v>
      </c>
      <c r="G3163" s="15" t="s">
        <v>4432</v>
      </c>
      <c r="H3163" s="23" t="s">
        <v>58</v>
      </c>
    </row>
    <row r="3164" spans="1:8" ht="54.95" customHeight="1" x14ac:dyDescent="0.2">
      <c r="A3164" s="23" t="s">
        <v>1123</v>
      </c>
      <c r="B3164" s="23" t="s">
        <v>21</v>
      </c>
      <c r="C3164" s="23" t="s">
        <v>5078</v>
      </c>
      <c r="D3164" s="23">
        <v>1.83</v>
      </c>
      <c r="E3164" s="23" t="s">
        <v>4430</v>
      </c>
      <c r="F3164" s="15" t="s">
        <v>5079</v>
      </c>
      <c r="G3164" s="15" t="s">
        <v>4432</v>
      </c>
      <c r="H3164" s="23" t="s">
        <v>58</v>
      </c>
    </row>
    <row r="3165" spans="1:8" ht="54.95" customHeight="1" x14ac:dyDescent="0.2">
      <c r="A3165" s="23" t="s">
        <v>1123</v>
      </c>
      <c r="B3165" s="23" t="s">
        <v>22</v>
      </c>
      <c r="C3165" s="23" t="s">
        <v>5080</v>
      </c>
      <c r="D3165" s="23">
        <v>1.5660000000000001</v>
      </c>
      <c r="E3165" s="23" t="s">
        <v>4430</v>
      </c>
      <c r="F3165" s="15" t="s">
        <v>5081</v>
      </c>
      <c r="G3165" s="15" t="s">
        <v>4432</v>
      </c>
      <c r="H3165" s="23" t="s">
        <v>58</v>
      </c>
    </row>
    <row r="3166" spans="1:8" ht="54.95" customHeight="1" x14ac:dyDescent="0.2">
      <c r="A3166" s="23" t="s">
        <v>1135</v>
      </c>
      <c r="B3166" s="23" t="s">
        <v>21</v>
      </c>
      <c r="C3166" s="23" t="s">
        <v>5082</v>
      </c>
      <c r="D3166" s="23">
        <v>1.1830000000000001</v>
      </c>
      <c r="E3166" s="23" t="s">
        <v>4430</v>
      </c>
      <c r="F3166" s="15" t="s">
        <v>5083</v>
      </c>
      <c r="G3166" s="15" t="s">
        <v>4432</v>
      </c>
      <c r="H3166" s="23" t="s">
        <v>58</v>
      </c>
    </row>
    <row r="3167" spans="1:8" ht="54.95" customHeight="1" x14ac:dyDescent="0.2">
      <c r="A3167" s="23" t="s">
        <v>1135</v>
      </c>
      <c r="B3167" s="23" t="s">
        <v>22</v>
      </c>
      <c r="C3167" s="23" t="s">
        <v>5084</v>
      </c>
      <c r="D3167" s="23">
        <v>1.1279999999999999</v>
      </c>
      <c r="E3167" s="23" t="s">
        <v>4430</v>
      </c>
      <c r="F3167" s="15" t="s">
        <v>5085</v>
      </c>
      <c r="G3167" s="15" t="s">
        <v>4432</v>
      </c>
      <c r="H3167" s="23" t="s">
        <v>58</v>
      </c>
    </row>
    <row r="3168" spans="1:8" ht="54.95" customHeight="1" x14ac:dyDescent="0.2">
      <c r="A3168" s="23" t="s">
        <v>1141</v>
      </c>
      <c r="B3168" s="23" t="s">
        <v>21</v>
      </c>
      <c r="C3168" s="23" t="s">
        <v>4885</v>
      </c>
      <c r="D3168" s="23">
        <v>1.1890000000000001</v>
      </c>
      <c r="E3168" s="23" t="s">
        <v>4430</v>
      </c>
      <c r="F3168" s="15" t="s">
        <v>5086</v>
      </c>
      <c r="G3168" s="15" t="s">
        <v>4432</v>
      </c>
      <c r="H3168" s="23" t="s">
        <v>58</v>
      </c>
    </row>
    <row r="3169" spans="1:8" ht="54.95" customHeight="1" x14ac:dyDescent="0.2">
      <c r="A3169" s="23" t="s">
        <v>1141</v>
      </c>
      <c r="B3169" s="23" t="s">
        <v>22</v>
      </c>
      <c r="C3169" s="23" t="s">
        <v>5087</v>
      </c>
      <c r="D3169" s="23">
        <v>1.363</v>
      </c>
      <c r="E3169" s="23" t="s">
        <v>4430</v>
      </c>
      <c r="F3169" s="15" t="s">
        <v>5088</v>
      </c>
      <c r="G3169" s="15" t="s">
        <v>4432</v>
      </c>
      <c r="H3169" s="23" t="s">
        <v>58</v>
      </c>
    </row>
    <row r="3170" spans="1:8" ht="54.95" customHeight="1" x14ac:dyDescent="0.2">
      <c r="A3170" s="23" t="s">
        <v>1141</v>
      </c>
      <c r="B3170" s="23" t="s">
        <v>24</v>
      </c>
      <c r="C3170" s="23" t="s">
        <v>4774</v>
      </c>
      <c r="D3170" s="23">
        <v>0.69599999999999995</v>
      </c>
      <c r="E3170" s="23" t="s">
        <v>4430</v>
      </c>
      <c r="F3170" s="15" t="s">
        <v>5089</v>
      </c>
      <c r="G3170" s="15" t="s">
        <v>4432</v>
      </c>
      <c r="H3170" s="23" t="s">
        <v>58</v>
      </c>
    </row>
    <row r="3171" spans="1:8" ht="54.95" customHeight="1" x14ac:dyDescent="0.2">
      <c r="A3171" s="23" t="s">
        <v>1148</v>
      </c>
      <c r="B3171" s="23" t="s">
        <v>21</v>
      </c>
      <c r="C3171" s="23" t="s">
        <v>5090</v>
      </c>
      <c r="D3171" s="23">
        <v>1.4419999999999999</v>
      </c>
      <c r="E3171" s="23" t="s">
        <v>4430</v>
      </c>
      <c r="F3171" s="15" t="s">
        <v>5091</v>
      </c>
      <c r="G3171" s="15" t="s">
        <v>4432</v>
      </c>
      <c r="H3171" s="23" t="s">
        <v>58</v>
      </c>
    </row>
    <row r="3172" spans="1:8" ht="54.95" customHeight="1" x14ac:dyDescent="0.2">
      <c r="A3172" s="23" t="s">
        <v>1148</v>
      </c>
      <c r="B3172" s="23" t="s">
        <v>22</v>
      </c>
      <c r="C3172" s="23" t="s">
        <v>5092</v>
      </c>
      <c r="D3172" s="23">
        <v>1.4510000000000001</v>
      </c>
      <c r="E3172" s="23" t="s">
        <v>4430</v>
      </c>
      <c r="F3172" s="15" t="s">
        <v>5093</v>
      </c>
      <c r="G3172" s="15" t="s">
        <v>4432</v>
      </c>
      <c r="H3172" s="23" t="s">
        <v>58</v>
      </c>
    </row>
    <row r="3173" spans="1:8" ht="54.95" customHeight="1" x14ac:dyDescent="0.2">
      <c r="A3173" s="23" t="s">
        <v>1155</v>
      </c>
      <c r="B3173" s="23" t="s">
        <v>21</v>
      </c>
      <c r="C3173" s="23" t="s">
        <v>4588</v>
      </c>
      <c r="D3173" s="23">
        <v>1.4590000000000001</v>
      </c>
      <c r="E3173" s="23" t="s">
        <v>4430</v>
      </c>
      <c r="F3173" s="15" t="s">
        <v>5094</v>
      </c>
      <c r="G3173" s="15" t="s">
        <v>4432</v>
      </c>
      <c r="H3173" s="23" t="s">
        <v>58</v>
      </c>
    </row>
    <row r="3174" spans="1:8" ht="54.95" customHeight="1" x14ac:dyDescent="0.2">
      <c r="A3174" s="23" t="s">
        <v>1155</v>
      </c>
      <c r="B3174" s="23" t="s">
        <v>22</v>
      </c>
      <c r="C3174" s="23" t="s">
        <v>4531</v>
      </c>
      <c r="D3174" s="23">
        <v>1.333</v>
      </c>
      <c r="E3174" s="23" t="s">
        <v>4430</v>
      </c>
      <c r="F3174" s="15" t="s">
        <v>5095</v>
      </c>
      <c r="G3174" s="15" t="s">
        <v>4432</v>
      </c>
      <c r="H3174" s="23" t="s">
        <v>58</v>
      </c>
    </row>
    <row r="3175" spans="1:8" ht="54.95" customHeight="1" x14ac:dyDescent="0.2">
      <c r="A3175" s="23" t="s">
        <v>1161</v>
      </c>
      <c r="B3175" s="23" t="s">
        <v>21</v>
      </c>
      <c r="C3175" s="23" t="s">
        <v>1572</v>
      </c>
      <c r="D3175" s="23">
        <v>1.62</v>
      </c>
      <c r="E3175" s="23" t="s">
        <v>4430</v>
      </c>
      <c r="F3175" s="15" t="s">
        <v>5096</v>
      </c>
      <c r="G3175" s="15" t="s">
        <v>4432</v>
      </c>
      <c r="H3175" s="23" t="s">
        <v>58</v>
      </c>
    </row>
    <row r="3176" spans="1:8" ht="54.95" customHeight="1" x14ac:dyDescent="0.2">
      <c r="A3176" s="23" t="s">
        <v>1161</v>
      </c>
      <c r="B3176" s="23" t="s">
        <v>22</v>
      </c>
      <c r="C3176" s="23" t="s">
        <v>5097</v>
      </c>
      <c r="D3176" s="23">
        <v>1.7210000000000001</v>
      </c>
      <c r="E3176" s="23" t="s">
        <v>4430</v>
      </c>
      <c r="F3176" s="15" t="s">
        <v>5098</v>
      </c>
      <c r="G3176" s="15" t="s">
        <v>4432</v>
      </c>
      <c r="H3176" s="23" t="s">
        <v>58</v>
      </c>
    </row>
    <row r="3177" spans="1:8" ht="54.95" customHeight="1" x14ac:dyDescent="0.2">
      <c r="A3177" s="23" t="s">
        <v>1167</v>
      </c>
      <c r="B3177" s="23" t="s">
        <v>21</v>
      </c>
      <c r="C3177" s="23" t="s">
        <v>4590</v>
      </c>
      <c r="D3177" s="23">
        <v>1.7829999999999999</v>
      </c>
      <c r="E3177" s="23" t="s">
        <v>4430</v>
      </c>
      <c r="F3177" s="15" t="s">
        <v>5099</v>
      </c>
      <c r="G3177" s="15" t="s">
        <v>4432</v>
      </c>
      <c r="H3177" s="23" t="s">
        <v>58</v>
      </c>
    </row>
    <row r="3178" spans="1:8" ht="54.95" customHeight="1" x14ac:dyDescent="0.2">
      <c r="A3178" s="23" t="s">
        <v>1167</v>
      </c>
      <c r="B3178" s="23" t="s">
        <v>22</v>
      </c>
      <c r="C3178" s="23" t="s">
        <v>5100</v>
      </c>
      <c r="D3178" s="23">
        <v>1.6870000000000001</v>
      </c>
      <c r="E3178" s="23" t="s">
        <v>4430</v>
      </c>
      <c r="F3178" s="15" t="s">
        <v>5101</v>
      </c>
      <c r="G3178" s="15" t="s">
        <v>4432</v>
      </c>
      <c r="H3178" s="23" t="s">
        <v>58</v>
      </c>
    </row>
    <row r="3179" spans="1:8" ht="54.95" customHeight="1" x14ac:dyDescent="0.2">
      <c r="A3179" s="23" t="s">
        <v>1178</v>
      </c>
      <c r="B3179" s="23" t="s">
        <v>21</v>
      </c>
      <c r="C3179" s="23" t="s">
        <v>5102</v>
      </c>
      <c r="D3179" s="23">
        <v>1.028</v>
      </c>
      <c r="E3179" s="23" t="s">
        <v>4430</v>
      </c>
      <c r="F3179" s="15" t="s">
        <v>5103</v>
      </c>
      <c r="G3179" s="15" t="s">
        <v>4432</v>
      </c>
      <c r="H3179" s="23" t="s">
        <v>58</v>
      </c>
    </row>
    <row r="3180" spans="1:8" ht="54.95" customHeight="1" x14ac:dyDescent="0.2">
      <c r="A3180" s="23" t="s">
        <v>1178</v>
      </c>
      <c r="B3180" s="23" t="s">
        <v>22</v>
      </c>
      <c r="C3180" s="23" t="s">
        <v>5104</v>
      </c>
      <c r="D3180" s="23">
        <v>0.94</v>
      </c>
      <c r="E3180" s="23" t="s">
        <v>4430</v>
      </c>
      <c r="F3180" s="15" t="s">
        <v>5105</v>
      </c>
      <c r="G3180" s="15" t="s">
        <v>4432</v>
      </c>
      <c r="H3180" s="23" t="s">
        <v>58</v>
      </c>
    </row>
    <row r="3181" spans="1:8" ht="54.95" customHeight="1" x14ac:dyDescent="0.2">
      <c r="A3181" s="23" t="s">
        <v>1178</v>
      </c>
      <c r="B3181" s="23" t="s">
        <v>24</v>
      </c>
      <c r="C3181" s="23" t="s">
        <v>5106</v>
      </c>
      <c r="D3181" s="23">
        <v>0.51200000000000001</v>
      </c>
      <c r="E3181" s="23" t="s">
        <v>4430</v>
      </c>
      <c r="F3181" s="15" t="s">
        <v>5107</v>
      </c>
      <c r="G3181" s="15" t="s">
        <v>4432</v>
      </c>
      <c r="H3181" s="23" t="s">
        <v>58</v>
      </c>
    </row>
    <row r="3182" spans="1:8" ht="54.95" customHeight="1" x14ac:dyDescent="0.2">
      <c r="A3182" s="23" t="s">
        <v>1184</v>
      </c>
      <c r="B3182" s="23" t="s">
        <v>21</v>
      </c>
      <c r="C3182" s="23" t="s">
        <v>5025</v>
      </c>
      <c r="D3182" s="23">
        <v>1.095</v>
      </c>
      <c r="E3182" s="23" t="s">
        <v>4430</v>
      </c>
      <c r="F3182" s="15" t="s">
        <v>5108</v>
      </c>
      <c r="G3182" s="15" t="s">
        <v>4432</v>
      </c>
      <c r="H3182" s="23" t="s">
        <v>58</v>
      </c>
    </row>
    <row r="3183" spans="1:8" ht="54.95" customHeight="1" x14ac:dyDescent="0.2">
      <c r="A3183" s="23" t="s">
        <v>1184</v>
      </c>
      <c r="B3183" s="23" t="s">
        <v>22</v>
      </c>
      <c r="C3183" s="23" t="s">
        <v>4722</v>
      </c>
      <c r="D3183" s="23">
        <v>1.0269999999999999</v>
      </c>
      <c r="E3183" s="23" t="s">
        <v>4430</v>
      </c>
      <c r="F3183" s="15" t="s">
        <v>5109</v>
      </c>
      <c r="G3183" s="15" t="s">
        <v>4432</v>
      </c>
      <c r="H3183" s="23" t="s">
        <v>58</v>
      </c>
    </row>
    <row r="3184" spans="1:8" ht="54.95" customHeight="1" x14ac:dyDescent="0.2">
      <c r="A3184" s="23" t="s">
        <v>1195</v>
      </c>
      <c r="B3184" s="23" t="s">
        <v>21</v>
      </c>
      <c r="C3184" s="23" t="s">
        <v>5110</v>
      </c>
      <c r="D3184" s="23">
        <v>2.093</v>
      </c>
      <c r="E3184" s="23" t="s">
        <v>4430</v>
      </c>
      <c r="F3184" s="15" t="s">
        <v>5111</v>
      </c>
      <c r="G3184" s="15" t="s">
        <v>4432</v>
      </c>
      <c r="H3184" s="23" t="s">
        <v>58</v>
      </c>
    </row>
    <row r="3185" spans="1:8" ht="54.95" customHeight="1" x14ac:dyDescent="0.2">
      <c r="A3185" s="23" t="s">
        <v>1195</v>
      </c>
      <c r="B3185" s="23" t="s">
        <v>22</v>
      </c>
      <c r="C3185" s="23" t="s">
        <v>5112</v>
      </c>
      <c r="D3185" s="23">
        <v>2.3820000000000001</v>
      </c>
      <c r="E3185" s="23" t="s">
        <v>4430</v>
      </c>
      <c r="F3185" s="15" t="s">
        <v>5113</v>
      </c>
      <c r="G3185" s="15" t="s">
        <v>4432</v>
      </c>
      <c r="H3185" s="23" t="s">
        <v>58</v>
      </c>
    </row>
    <row r="3186" spans="1:8" ht="54.95" customHeight="1" x14ac:dyDescent="0.2">
      <c r="A3186" s="23" t="s">
        <v>1214</v>
      </c>
      <c r="B3186" s="23" t="s">
        <v>21</v>
      </c>
      <c r="C3186" s="23" t="s">
        <v>5114</v>
      </c>
      <c r="D3186" s="23">
        <v>1.7849999999999999</v>
      </c>
      <c r="E3186" s="23" t="s">
        <v>4430</v>
      </c>
      <c r="F3186" s="15" t="s">
        <v>5115</v>
      </c>
      <c r="G3186" s="15" t="s">
        <v>4432</v>
      </c>
      <c r="H3186" s="23" t="s">
        <v>58</v>
      </c>
    </row>
    <row r="3187" spans="1:8" ht="54.95" customHeight="1" x14ac:dyDescent="0.2">
      <c r="A3187" s="23" t="s">
        <v>1214</v>
      </c>
      <c r="B3187" s="23" t="s">
        <v>22</v>
      </c>
      <c r="C3187" s="23" t="s">
        <v>5116</v>
      </c>
      <c r="D3187" s="23">
        <v>1.8220000000000001</v>
      </c>
      <c r="E3187" s="23" t="s">
        <v>4430</v>
      </c>
      <c r="F3187" s="15" t="s">
        <v>5117</v>
      </c>
      <c r="G3187" s="15" t="s">
        <v>4432</v>
      </c>
      <c r="H3187" s="23" t="s">
        <v>58</v>
      </c>
    </row>
    <row r="3188" spans="1:8" ht="54.95" customHeight="1" x14ac:dyDescent="0.2">
      <c r="A3188" s="23" t="s">
        <v>1230</v>
      </c>
      <c r="B3188" s="23" t="s">
        <v>21</v>
      </c>
      <c r="C3188" s="23" t="s">
        <v>5118</v>
      </c>
      <c r="D3188" s="23">
        <v>1.1439999999999999</v>
      </c>
      <c r="E3188" s="23" t="s">
        <v>4430</v>
      </c>
      <c r="F3188" s="15" t="s">
        <v>5119</v>
      </c>
      <c r="G3188" s="15" t="s">
        <v>4432</v>
      </c>
      <c r="H3188" s="23" t="s">
        <v>58</v>
      </c>
    </row>
    <row r="3189" spans="1:8" ht="54.95" customHeight="1" x14ac:dyDescent="0.2">
      <c r="A3189" s="23" t="s">
        <v>1230</v>
      </c>
      <c r="B3189" s="23" t="s">
        <v>22</v>
      </c>
      <c r="C3189" s="23" t="s">
        <v>5120</v>
      </c>
      <c r="D3189" s="23">
        <v>0.65100000000000002</v>
      </c>
      <c r="E3189" s="23" t="s">
        <v>4430</v>
      </c>
      <c r="F3189" s="15" t="s">
        <v>5121</v>
      </c>
      <c r="G3189" s="15" t="s">
        <v>4432</v>
      </c>
      <c r="H3189" s="23" t="s">
        <v>58</v>
      </c>
    </row>
    <row r="3190" spans="1:8" ht="54.95" customHeight="1" x14ac:dyDescent="0.2">
      <c r="A3190" s="23" t="s">
        <v>1236</v>
      </c>
      <c r="B3190" s="23" t="s">
        <v>21</v>
      </c>
      <c r="C3190" s="23" t="s">
        <v>5122</v>
      </c>
      <c r="D3190" s="23">
        <v>1.3839999999999999</v>
      </c>
      <c r="E3190" s="23" t="s">
        <v>4430</v>
      </c>
      <c r="F3190" s="15" t="s">
        <v>5123</v>
      </c>
      <c r="G3190" s="15" t="s">
        <v>4432</v>
      </c>
      <c r="H3190" s="23" t="s">
        <v>58</v>
      </c>
    </row>
    <row r="3191" spans="1:8" ht="54.95" customHeight="1" x14ac:dyDescent="0.2">
      <c r="A3191" s="23" t="s">
        <v>1236</v>
      </c>
      <c r="B3191" s="23" t="s">
        <v>22</v>
      </c>
      <c r="C3191" s="23" t="s">
        <v>5122</v>
      </c>
      <c r="D3191" s="23">
        <v>1.3839999999999999</v>
      </c>
      <c r="E3191" s="23" t="s">
        <v>4430</v>
      </c>
      <c r="F3191" s="15" t="s">
        <v>5124</v>
      </c>
      <c r="G3191" s="15" t="s">
        <v>4432</v>
      </c>
      <c r="H3191" s="23" t="s">
        <v>58</v>
      </c>
    </row>
    <row r="3192" spans="1:8" ht="54.95" customHeight="1" x14ac:dyDescent="0.2">
      <c r="A3192" s="23" t="s">
        <v>1247</v>
      </c>
      <c r="B3192" s="23" t="s">
        <v>21</v>
      </c>
      <c r="C3192" s="23" t="s">
        <v>5125</v>
      </c>
      <c r="D3192" s="23">
        <v>1.994</v>
      </c>
      <c r="E3192" s="23" t="s">
        <v>4430</v>
      </c>
      <c r="F3192" s="15" t="s">
        <v>5126</v>
      </c>
      <c r="G3192" s="15" t="s">
        <v>4432</v>
      </c>
      <c r="H3192" s="23" t="s">
        <v>58</v>
      </c>
    </row>
    <row r="3193" spans="1:8" ht="54.95" customHeight="1" x14ac:dyDescent="0.2">
      <c r="A3193" s="23" t="s">
        <v>1247</v>
      </c>
      <c r="B3193" s="23" t="s">
        <v>22</v>
      </c>
      <c r="C3193" s="23" t="s">
        <v>5127</v>
      </c>
      <c r="D3193" s="23">
        <v>1.5960000000000001</v>
      </c>
      <c r="E3193" s="23" t="s">
        <v>4430</v>
      </c>
      <c r="F3193" s="15" t="s">
        <v>5128</v>
      </c>
      <c r="G3193" s="15" t="s">
        <v>4432</v>
      </c>
      <c r="H3193" s="23" t="s">
        <v>58</v>
      </c>
    </row>
    <row r="3194" spans="1:8" ht="54.95" customHeight="1" x14ac:dyDescent="0.2">
      <c r="A3194" s="23" t="s">
        <v>1253</v>
      </c>
      <c r="B3194" s="23" t="s">
        <v>21</v>
      </c>
      <c r="C3194" s="23" t="s">
        <v>5129</v>
      </c>
      <c r="D3194" s="23">
        <v>1.4039999999999999</v>
      </c>
      <c r="E3194" s="23" t="s">
        <v>4430</v>
      </c>
      <c r="F3194" s="15" t="s">
        <v>5130</v>
      </c>
      <c r="G3194" s="15" t="s">
        <v>4432</v>
      </c>
      <c r="H3194" s="23" t="s">
        <v>58</v>
      </c>
    </row>
    <row r="3195" spans="1:8" ht="54.95" customHeight="1" x14ac:dyDescent="0.2">
      <c r="A3195" s="23" t="s">
        <v>1253</v>
      </c>
      <c r="B3195" s="23" t="s">
        <v>22</v>
      </c>
      <c r="C3195" s="23" t="s">
        <v>5131</v>
      </c>
      <c r="D3195" s="23">
        <v>1.4039999999999999</v>
      </c>
      <c r="E3195" s="23" t="s">
        <v>4430</v>
      </c>
      <c r="F3195" s="15" t="s">
        <v>5132</v>
      </c>
      <c r="G3195" s="15" t="s">
        <v>4432</v>
      </c>
      <c r="H3195" s="23" t="s">
        <v>58</v>
      </c>
    </row>
    <row r="3196" spans="1:8" ht="54.95" customHeight="1" x14ac:dyDescent="0.2">
      <c r="A3196" s="23" t="s">
        <v>1259</v>
      </c>
      <c r="B3196" s="23" t="s">
        <v>21</v>
      </c>
      <c r="C3196" s="23" t="s">
        <v>5133</v>
      </c>
      <c r="D3196" s="23">
        <v>1.5509999999999999</v>
      </c>
      <c r="E3196" s="23" t="s">
        <v>4430</v>
      </c>
      <c r="F3196" s="15" t="s">
        <v>5134</v>
      </c>
      <c r="G3196" s="15" t="s">
        <v>4432</v>
      </c>
      <c r="H3196" s="23" t="s">
        <v>58</v>
      </c>
    </row>
    <row r="3197" spans="1:8" ht="54.95" customHeight="1" x14ac:dyDescent="0.2">
      <c r="A3197" s="23" t="s">
        <v>1259</v>
      </c>
      <c r="B3197" s="23" t="s">
        <v>22</v>
      </c>
      <c r="C3197" s="23" t="s">
        <v>5034</v>
      </c>
      <c r="D3197" s="23">
        <v>1.5109999999999999</v>
      </c>
      <c r="E3197" s="23" t="s">
        <v>4430</v>
      </c>
      <c r="F3197" s="15" t="s">
        <v>5135</v>
      </c>
      <c r="G3197" s="15" t="s">
        <v>4432</v>
      </c>
      <c r="H3197" s="23" t="s">
        <v>58</v>
      </c>
    </row>
    <row r="3198" spans="1:8" ht="54.95" customHeight="1" x14ac:dyDescent="0.2">
      <c r="A3198" s="23" t="s">
        <v>1291</v>
      </c>
      <c r="B3198" s="23" t="s">
        <v>21</v>
      </c>
      <c r="C3198" s="23" t="s">
        <v>5136</v>
      </c>
      <c r="D3198" s="23">
        <v>1.323</v>
      </c>
      <c r="E3198" s="23" t="s">
        <v>4430</v>
      </c>
      <c r="F3198" s="15" t="s">
        <v>5137</v>
      </c>
      <c r="G3198" s="15" t="s">
        <v>4432</v>
      </c>
      <c r="H3198" s="23" t="s">
        <v>58</v>
      </c>
    </row>
    <row r="3199" spans="1:8" ht="54.95" customHeight="1" x14ac:dyDescent="0.2">
      <c r="A3199" s="23" t="s">
        <v>1291</v>
      </c>
      <c r="B3199" s="23" t="s">
        <v>22</v>
      </c>
      <c r="C3199" s="23" t="s">
        <v>5138</v>
      </c>
      <c r="D3199" s="23">
        <v>1.5620000000000001</v>
      </c>
      <c r="E3199" s="23" t="s">
        <v>4430</v>
      </c>
      <c r="F3199" s="15" t="s">
        <v>5139</v>
      </c>
      <c r="G3199" s="15" t="s">
        <v>4432</v>
      </c>
      <c r="H3199" s="23" t="s">
        <v>58</v>
      </c>
    </row>
    <row r="3200" spans="1:8" ht="54.95" customHeight="1" x14ac:dyDescent="0.2">
      <c r="A3200" s="23" t="s">
        <v>1305</v>
      </c>
      <c r="B3200" s="23" t="s">
        <v>21</v>
      </c>
      <c r="C3200" s="23" t="s">
        <v>5140</v>
      </c>
      <c r="D3200" s="23">
        <v>1.621</v>
      </c>
      <c r="E3200" s="23" t="s">
        <v>4430</v>
      </c>
      <c r="F3200" s="15" t="s">
        <v>5141</v>
      </c>
      <c r="G3200" s="15" t="s">
        <v>4432</v>
      </c>
      <c r="H3200" s="23" t="s">
        <v>58</v>
      </c>
    </row>
    <row r="3201" spans="1:8" ht="54.95" customHeight="1" x14ac:dyDescent="0.2">
      <c r="A3201" s="23" t="s">
        <v>1305</v>
      </c>
      <c r="B3201" s="23" t="s">
        <v>22</v>
      </c>
      <c r="C3201" s="23" t="s">
        <v>5142</v>
      </c>
      <c r="D3201" s="23">
        <v>1.8089999999999999</v>
      </c>
      <c r="E3201" s="23" t="s">
        <v>4430</v>
      </c>
      <c r="F3201" s="15" t="s">
        <v>5143</v>
      </c>
      <c r="G3201" s="15" t="s">
        <v>4432</v>
      </c>
      <c r="H3201" s="23" t="s">
        <v>58</v>
      </c>
    </row>
    <row r="3202" spans="1:8" ht="54.95" customHeight="1" x14ac:dyDescent="0.2">
      <c r="A3202" s="23" t="s">
        <v>1311</v>
      </c>
      <c r="B3202" s="23" t="s">
        <v>21</v>
      </c>
      <c r="C3202" s="23" t="s">
        <v>5144</v>
      </c>
      <c r="D3202" s="23">
        <v>1.58</v>
      </c>
      <c r="E3202" s="23" t="s">
        <v>4430</v>
      </c>
      <c r="F3202" s="15" t="s">
        <v>5145</v>
      </c>
      <c r="G3202" s="15" t="s">
        <v>4432</v>
      </c>
      <c r="H3202" s="23" t="s">
        <v>58</v>
      </c>
    </row>
    <row r="3203" spans="1:8" ht="54.95" customHeight="1" x14ac:dyDescent="0.2">
      <c r="A3203" s="23" t="s">
        <v>1311</v>
      </c>
      <c r="B3203" s="23" t="s">
        <v>22</v>
      </c>
      <c r="C3203" s="23" t="s">
        <v>4527</v>
      </c>
      <c r="D3203" s="23">
        <v>1.698</v>
      </c>
      <c r="E3203" s="23" t="s">
        <v>4430</v>
      </c>
      <c r="F3203" s="15" t="s">
        <v>5146</v>
      </c>
      <c r="G3203" s="15" t="s">
        <v>4432</v>
      </c>
      <c r="H3203" s="23" t="s">
        <v>58</v>
      </c>
    </row>
    <row r="3204" spans="1:8" ht="54.95" customHeight="1" x14ac:dyDescent="0.2">
      <c r="A3204" s="23" t="s">
        <v>1330</v>
      </c>
      <c r="B3204" s="23" t="s">
        <v>21</v>
      </c>
      <c r="C3204" s="23" t="s">
        <v>5147</v>
      </c>
      <c r="D3204" s="23">
        <v>1.5089999999999999</v>
      </c>
      <c r="E3204" s="23" t="s">
        <v>4430</v>
      </c>
      <c r="F3204" s="15" t="s">
        <v>5148</v>
      </c>
      <c r="G3204" s="15" t="s">
        <v>4432</v>
      </c>
      <c r="H3204" s="23" t="s">
        <v>58</v>
      </c>
    </row>
    <row r="3205" spans="1:8" ht="54.95" customHeight="1" x14ac:dyDescent="0.2">
      <c r="A3205" s="23" t="s">
        <v>1330</v>
      </c>
      <c r="B3205" s="23" t="s">
        <v>22</v>
      </c>
      <c r="C3205" s="23" t="s">
        <v>5149</v>
      </c>
      <c r="D3205" s="23">
        <v>1.522</v>
      </c>
      <c r="E3205" s="23" t="s">
        <v>4430</v>
      </c>
      <c r="F3205" s="15" t="s">
        <v>5150</v>
      </c>
      <c r="G3205" s="15" t="s">
        <v>4432</v>
      </c>
      <c r="H3205" s="23" t="s">
        <v>58</v>
      </c>
    </row>
    <row r="3206" spans="1:8" ht="54.95" customHeight="1" x14ac:dyDescent="0.2">
      <c r="A3206" s="23" t="s">
        <v>1346</v>
      </c>
      <c r="B3206" s="23" t="s">
        <v>21</v>
      </c>
      <c r="C3206" s="23" t="s">
        <v>5151</v>
      </c>
      <c r="D3206" s="23">
        <v>1.827</v>
      </c>
      <c r="E3206" s="23" t="s">
        <v>4430</v>
      </c>
      <c r="F3206" s="15" t="s">
        <v>5152</v>
      </c>
      <c r="G3206" s="15" t="s">
        <v>4432</v>
      </c>
      <c r="H3206" s="23" t="s">
        <v>58</v>
      </c>
    </row>
    <row r="3207" spans="1:8" ht="54.95" customHeight="1" x14ac:dyDescent="0.2">
      <c r="A3207" s="23" t="s">
        <v>1346</v>
      </c>
      <c r="B3207" s="23" t="s">
        <v>22</v>
      </c>
      <c r="C3207" s="23" t="s">
        <v>5153</v>
      </c>
      <c r="D3207" s="23">
        <v>1.7649999999999999</v>
      </c>
      <c r="E3207" s="23" t="s">
        <v>4430</v>
      </c>
      <c r="F3207" s="15" t="s">
        <v>5154</v>
      </c>
      <c r="G3207" s="15" t="s">
        <v>4432</v>
      </c>
      <c r="H3207" s="23" t="s">
        <v>58</v>
      </c>
    </row>
    <row r="3208" spans="1:8" ht="54.95" customHeight="1" x14ac:dyDescent="0.2">
      <c r="A3208" s="23" t="s">
        <v>1352</v>
      </c>
      <c r="B3208" s="23" t="s">
        <v>21</v>
      </c>
      <c r="C3208" s="23" t="s">
        <v>5155</v>
      </c>
      <c r="D3208" s="23">
        <v>1.5469999999999999</v>
      </c>
      <c r="E3208" s="23" t="s">
        <v>4430</v>
      </c>
      <c r="F3208" s="15" t="s">
        <v>5156</v>
      </c>
      <c r="G3208" s="15" t="s">
        <v>4432</v>
      </c>
      <c r="H3208" s="23" t="s">
        <v>58</v>
      </c>
    </row>
    <row r="3209" spans="1:8" ht="54.95" customHeight="1" x14ac:dyDescent="0.2">
      <c r="A3209" s="23" t="s">
        <v>1352</v>
      </c>
      <c r="B3209" s="23" t="s">
        <v>22</v>
      </c>
      <c r="C3209" s="23" t="s">
        <v>5138</v>
      </c>
      <c r="D3209" s="23">
        <v>1.397</v>
      </c>
      <c r="E3209" s="23" t="s">
        <v>4430</v>
      </c>
      <c r="F3209" s="15" t="s">
        <v>5157</v>
      </c>
      <c r="G3209" s="15" t="s">
        <v>4432</v>
      </c>
      <c r="H3209" s="23" t="s">
        <v>58</v>
      </c>
    </row>
    <row r="3210" spans="1:8" ht="54.95" customHeight="1" x14ac:dyDescent="0.2">
      <c r="A3210" s="23" t="s">
        <v>1386</v>
      </c>
      <c r="B3210" s="23" t="s">
        <v>21</v>
      </c>
      <c r="C3210" s="23" t="s">
        <v>5158</v>
      </c>
      <c r="D3210" s="23">
        <v>2.4020000000000001</v>
      </c>
      <c r="E3210" s="23" t="s">
        <v>4430</v>
      </c>
      <c r="F3210" s="15" t="s">
        <v>5159</v>
      </c>
      <c r="G3210" s="15" t="s">
        <v>4432</v>
      </c>
      <c r="H3210" s="23" t="s">
        <v>58</v>
      </c>
    </row>
    <row r="3211" spans="1:8" ht="54.95" customHeight="1" x14ac:dyDescent="0.2">
      <c r="A3211" s="23" t="s">
        <v>1386</v>
      </c>
      <c r="B3211" s="23" t="s">
        <v>22</v>
      </c>
      <c r="C3211" s="23" t="s">
        <v>5160</v>
      </c>
      <c r="D3211" s="23">
        <v>2.8079999999999998</v>
      </c>
      <c r="E3211" s="23" t="s">
        <v>4430</v>
      </c>
      <c r="F3211" s="15" t="s">
        <v>5161</v>
      </c>
      <c r="G3211" s="15" t="s">
        <v>4432</v>
      </c>
      <c r="H3211" s="23" t="s">
        <v>58</v>
      </c>
    </row>
    <row r="3212" spans="1:8" ht="54.95" customHeight="1" x14ac:dyDescent="0.2">
      <c r="A3212" s="23" t="s">
        <v>1405</v>
      </c>
      <c r="B3212" s="23" t="s">
        <v>21</v>
      </c>
      <c r="C3212" s="23" t="s">
        <v>5162</v>
      </c>
      <c r="D3212" s="23">
        <v>2.17</v>
      </c>
      <c r="E3212" s="23" t="s">
        <v>4430</v>
      </c>
      <c r="F3212" s="15" t="s">
        <v>5163</v>
      </c>
      <c r="G3212" s="15" t="s">
        <v>4432</v>
      </c>
      <c r="H3212" s="23" t="s">
        <v>58</v>
      </c>
    </row>
    <row r="3213" spans="1:8" ht="54.95" customHeight="1" x14ac:dyDescent="0.2">
      <c r="A3213" s="23" t="s">
        <v>1405</v>
      </c>
      <c r="B3213" s="23" t="s">
        <v>22</v>
      </c>
      <c r="C3213" s="23" t="s">
        <v>4772</v>
      </c>
      <c r="D3213" s="23">
        <v>2.2149999999999999</v>
      </c>
      <c r="E3213" s="23" t="s">
        <v>4430</v>
      </c>
      <c r="F3213" s="15" t="s">
        <v>5164</v>
      </c>
      <c r="G3213" s="15" t="s">
        <v>4432</v>
      </c>
      <c r="H3213" s="23" t="s">
        <v>58</v>
      </c>
    </row>
    <row r="3214" spans="1:8" ht="54.95" customHeight="1" x14ac:dyDescent="0.2">
      <c r="A3214" s="23" t="s">
        <v>1425</v>
      </c>
      <c r="B3214" s="23" t="s">
        <v>21</v>
      </c>
      <c r="C3214" s="23" t="s">
        <v>5165</v>
      </c>
      <c r="D3214" s="23">
        <v>1.0389999999999999</v>
      </c>
      <c r="E3214" s="23" t="s">
        <v>4430</v>
      </c>
      <c r="F3214" s="15" t="s">
        <v>5166</v>
      </c>
      <c r="G3214" s="15" t="s">
        <v>4432</v>
      </c>
      <c r="H3214" s="23" t="s">
        <v>58</v>
      </c>
    </row>
    <row r="3215" spans="1:8" ht="54.95" customHeight="1" x14ac:dyDescent="0.2">
      <c r="A3215" s="23" t="s">
        <v>1425</v>
      </c>
      <c r="B3215" s="23" t="s">
        <v>22</v>
      </c>
      <c r="C3215" s="23" t="s">
        <v>5167</v>
      </c>
      <c r="D3215" s="23">
        <v>1.1379999999999999</v>
      </c>
      <c r="E3215" s="23" t="s">
        <v>4430</v>
      </c>
      <c r="F3215" s="15" t="s">
        <v>5168</v>
      </c>
      <c r="G3215" s="15" t="s">
        <v>4432</v>
      </c>
      <c r="H3215" s="23" t="s">
        <v>58</v>
      </c>
    </row>
    <row r="3216" spans="1:8" ht="54.95" customHeight="1" x14ac:dyDescent="0.2">
      <c r="A3216" s="23" t="s">
        <v>1475</v>
      </c>
      <c r="B3216" s="23" t="s">
        <v>21</v>
      </c>
      <c r="C3216" s="23" t="s">
        <v>5169</v>
      </c>
      <c r="D3216" s="23">
        <v>0.65500000000000003</v>
      </c>
      <c r="E3216" s="23" t="s">
        <v>4430</v>
      </c>
      <c r="F3216" s="15" t="s">
        <v>5170</v>
      </c>
      <c r="G3216" s="15" t="s">
        <v>4432</v>
      </c>
      <c r="H3216" s="23" t="s">
        <v>58</v>
      </c>
    </row>
    <row r="3217" spans="1:8" ht="54.95" customHeight="1" x14ac:dyDescent="0.2">
      <c r="A3217" s="23" t="s">
        <v>1475</v>
      </c>
      <c r="B3217" s="23" t="s">
        <v>22</v>
      </c>
      <c r="C3217" s="23" t="s">
        <v>5171</v>
      </c>
      <c r="D3217" s="23">
        <v>0.60699999999999998</v>
      </c>
      <c r="E3217" s="23" t="s">
        <v>4430</v>
      </c>
      <c r="F3217" s="15" t="s">
        <v>5172</v>
      </c>
      <c r="G3217" s="15" t="s">
        <v>4432</v>
      </c>
      <c r="H3217" s="23" t="s">
        <v>58</v>
      </c>
    </row>
    <row r="3218" spans="1:8" ht="54.95" customHeight="1" x14ac:dyDescent="0.2">
      <c r="A3218" s="23" t="s">
        <v>44</v>
      </c>
      <c r="B3218" s="23" t="s">
        <v>23</v>
      </c>
      <c r="C3218" s="23" t="s">
        <v>46</v>
      </c>
      <c r="D3218" s="23" t="s">
        <v>46</v>
      </c>
      <c r="E3218" s="23" t="s">
        <v>101</v>
      </c>
      <c r="F3218" s="15" t="s">
        <v>104</v>
      </c>
      <c r="G3218" s="15" t="s">
        <v>5173</v>
      </c>
      <c r="H3218" s="23" t="s">
        <v>58</v>
      </c>
    </row>
    <row r="3219" spans="1:8" ht="54.95" customHeight="1" x14ac:dyDescent="0.2">
      <c r="A3219" s="23" t="s">
        <v>44</v>
      </c>
      <c r="B3219" s="23" t="s">
        <v>24</v>
      </c>
      <c r="C3219" s="23" t="s">
        <v>46</v>
      </c>
      <c r="D3219" s="23" t="s">
        <v>46</v>
      </c>
      <c r="E3219" s="23" t="s">
        <v>101</v>
      </c>
      <c r="F3219" s="15" t="s">
        <v>104</v>
      </c>
      <c r="G3219" s="15" t="s">
        <v>5173</v>
      </c>
      <c r="H3219" s="23" t="s">
        <v>58</v>
      </c>
    </row>
    <row r="3220" spans="1:8" ht="54.95" customHeight="1" x14ac:dyDescent="0.2">
      <c r="A3220" s="23" t="s">
        <v>44</v>
      </c>
      <c r="B3220" s="23" t="s">
        <v>25</v>
      </c>
      <c r="C3220" s="23" t="s">
        <v>46</v>
      </c>
      <c r="D3220" s="23" t="s">
        <v>46</v>
      </c>
      <c r="E3220" s="23" t="s">
        <v>101</v>
      </c>
      <c r="F3220" s="15" t="s">
        <v>104</v>
      </c>
      <c r="G3220" s="15" t="s">
        <v>5173</v>
      </c>
      <c r="H3220" s="23" t="s">
        <v>58</v>
      </c>
    </row>
    <row r="3221" spans="1:8" ht="54.95" customHeight="1" x14ac:dyDescent="0.2">
      <c r="A3221" s="23" t="s">
        <v>59</v>
      </c>
      <c r="B3221" s="23" t="s">
        <v>23</v>
      </c>
      <c r="C3221" s="23" t="s">
        <v>46</v>
      </c>
      <c r="D3221" s="23" t="s">
        <v>46</v>
      </c>
      <c r="E3221" s="23" t="s">
        <v>101</v>
      </c>
      <c r="F3221" s="15" t="s">
        <v>104</v>
      </c>
      <c r="G3221" s="15" t="s">
        <v>5173</v>
      </c>
      <c r="H3221" s="23" t="s">
        <v>58</v>
      </c>
    </row>
    <row r="3222" spans="1:8" ht="54.95" customHeight="1" x14ac:dyDescent="0.2">
      <c r="A3222" s="23" t="s">
        <v>59</v>
      </c>
      <c r="B3222" s="23" t="s">
        <v>24</v>
      </c>
      <c r="C3222" s="23" t="s">
        <v>46</v>
      </c>
      <c r="D3222" s="23" t="s">
        <v>46</v>
      </c>
      <c r="E3222" s="23" t="s">
        <v>101</v>
      </c>
      <c r="F3222" s="15" t="s">
        <v>104</v>
      </c>
      <c r="G3222" s="15" t="s">
        <v>5173</v>
      </c>
      <c r="H3222" s="23" t="s">
        <v>58</v>
      </c>
    </row>
    <row r="3223" spans="1:8" ht="54.95" customHeight="1" x14ac:dyDescent="0.2">
      <c r="A3223" s="23" t="s">
        <v>59</v>
      </c>
      <c r="B3223" s="23" t="s">
        <v>25</v>
      </c>
      <c r="C3223" s="23" t="s">
        <v>46</v>
      </c>
      <c r="D3223" s="23" t="s">
        <v>46</v>
      </c>
      <c r="E3223" s="23" t="s">
        <v>101</v>
      </c>
      <c r="F3223" s="15" t="s">
        <v>104</v>
      </c>
      <c r="G3223" s="15" t="s">
        <v>5173</v>
      </c>
      <c r="H3223" s="23" t="s">
        <v>58</v>
      </c>
    </row>
    <row r="3224" spans="1:8" ht="54.95" customHeight="1" x14ac:dyDescent="0.2">
      <c r="A3224" s="23" t="s">
        <v>67</v>
      </c>
      <c r="B3224" s="23" t="s">
        <v>23</v>
      </c>
      <c r="C3224" s="23" t="s">
        <v>46</v>
      </c>
      <c r="D3224" s="23" t="s">
        <v>46</v>
      </c>
      <c r="E3224" s="23" t="s">
        <v>101</v>
      </c>
      <c r="F3224" s="15" t="s">
        <v>104</v>
      </c>
      <c r="G3224" s="15" t="s">
        <v>5173</v>
      </c>
      <c r="H3224" s="23" t="s">
        <v>58</v>
      </c>
    </row>
    <row r="3225" spans="1:8" ht="54.95" customHeight="1" x14ac:dyDescent="0.2">
      <c r="A3225" s="23" t="s">
        <v>67</v>
      </c>
      <c r="B3225" s="23" t="s">
        <v>25</v>
      </c>
      <c r="C3225" s="23" t="s">
        <v>46</v>
      </c>
      <c r="D3225" s="23" t="s">
        <v>46</v>
      </c>
      <c r="E3225" s="23" t="s">
        <v>101</v>
      </c>
      <c r="F3225" s="15" t="s">
        <v>104</v>
      </c>
      <c r="G3225" s="15" t="s">
        <v>5173</v>
      </c>
      <c r="H3225" s="23" t="s">
        <v>58</v>
      </c>
    </row>
    <row r="3226" spans="1:8" ht="54.95" customHeight="1" x14ac:dyDescent="0.2">
      <c r="A3226" s="23" t="s">
        <v>76</v>
      </c>
      <c r="B3226" s="23" t="s">
        <v>23</v>
      </c>
      <c r="C3226" s="23" t="s">
        <v>46</v>
      </c>
      <c r="D3226" s="23" t="s">
        <v>46</v>
      </c>
      <c r="E3226" s="23" t="s">
        <v>101</v>
      </c>
      <c r="F3226" s="15" t="s">
        <v>104</v>
      </c>
      <c r="G3226" s="15" t="s">
        <v>5173</v>
      </c>
      <c r="H3226" s="23" t="s">
        <v>58</v>
      </c>
    </row>
    <row r="3227" spans="1:8" ht="54.95" customHeight="1" x14ac:dyDescent="0.2">
      <c r="A3227" s="23" t="s">
        <v>76</v>
      </c>
      <c r="B3227" s="23" t="s">
        <v>24</v>
      </c>
      <c r="C3227" s="23" t="s">
        <v>46</v>
      </c>
      <c r="D3227" s="23" t="s">
        <v>46</v>
      </c>
      <c r="E3227" s="23" t="s">
        <v>101</v>
      </c>
      <c r="F3227" s="15" t="s">
        <v>104</v>
      </c>
      <c r="G3227" s="15" t="s">
        <v>5173</v>
      </c>
      <c r="H3227" s="23" t="s">
        <v>58</v>
      </c>
    </row>
    <row r="3228" spans="1:8" ht="54.95" customHeight="1" x14ac:dyDescent="0.2">
      <c r="A3228" s="23" t="s">
        <v>76</v>
      </c>
      <c r="B3228" s="23" t="s">
        <v>25</v>
      </c>
      <c r="C3228" s="23" t="s">
        <v>46</v>
      </c>
      <c r="D3228" s="23" t="s">
        <v>46</v>
      </c>
      <c r="E3228" s="23" t="s">
        <v>101</v>
      </c>
      <c r="F3228" s="15" t="s">
        <v>104</v>
      </c>
      <c r="G3228" s="15" t="s">
        <v>5173</v>
      </c>
      <c r="H3228" s="23" t="s">
        <v>58</v>
      </c>
    </row>
    <row r="3229" spans="1:8" ht="54.95" customHeight="1" x14ac:dyDescent="0.2">
      <c r="A3229" s="23" t="s">
        <v>84</v>
      </c>
      <c r="B3229" s="23" t="s">
        <v>23</v>
      </c>
      <c r="C3229" s="23" t="s">
        <v>46</v>
      </c>
      <c r="D3229" s="23" t="s">
        <v>46</v>
      </c>
      <c r="E3229" s="23" t="s">
        <v>101</v>
      </c>
      <c r="F3229" s="15" t="s">
        <v>104</v>
      </c>
      <c r="G3229" s="15" t="s">
        <v>5173</v>
      </c>
      <c r="H3229" s="23" t="s">
        <v>58</v>
      </c>
    </row>
    <row r="3230" spans="1:8" ht="54.95" customHeight="1" x14ac:dyDescent="0.2">
      <c r="A3230" s="23" t="s">
        <v>84</v>
      </c>
      <c r="B3230" s="23" t="s">
        <v>25</v>
      </c>
      <c r="C3230" s="23" t="s">
        <v>46</v>
      </c>
      <c r="D3230" s="23" t="s">
        <v>46</v>
      </c>
      <c r="E3230" s="23" t="s">
        <v>101</v>
      </c>
      <c r="F3230" s="15" t="s">
        <v>104</v>
      </c>
      <c r="G3230" s="15" t="s">
        <v>5173</v>
      </c>
      <c r="H3230" s="23" t="s">
        <v>58</v>
      </c>
    </row>
    <row r="3231" spans="1:8" ht="54.95" customHeight="1" x14ac:dyDescent="0.2">
      <c r="A3231" s="23" t="s">
        <v>91</v>
      </c>
      <c r="B3231" s="23" t="s">
        <v>23</v>
      </c>
      <c r="C3231" s="23" t="s">
        <v>46</v>
      </c>
      <c r="D3231" s="23" t="s">
        <v>46</v>
      </c>
      <c r="E3231" s="23" t="s">
        <v>101</v>
      </c>
      <c r="F3231" s="15" t="s">
        <v>104</v>
      </c>
      <c r="G3231" s="15" t="s">
        <v>5173</v>
      </c>
      <c r="H3231" s="23" t="s">
        <v>58</v>
      </c>
    </row>
    <row r="3232" spans="1:8" ht="54.95" customHeight="1" x14ac:dyDescent="0.2">
      <c r="A3232" s="23" t="s">
        <v>91</v>
      </c>
      <c r="B3232" s="23" t="s">
        <v>24</v>
      </c>
      <c r="C3232" s="23" t="s">
        <v>46</v>
      </c>
      <c r="D3232" s="23" t="s">
        <v>46</v>
      </c>
      <c r="E3232" s="23" t="s">
        <v>101</v>
      </c>
      <c r="F3232" s="15" t="s">
        <v>104</v>
      </c>
      <c r="G3232" s="15" t="s">
        <v>5173</v>
      </c>
      <c r="H3232" s="23" t="s">
        <v>58</v>
      </c>
    </row>
    <row r="3233" spans="1:8" ht="54.95" customHeight="1" x14ac:dyDescent="0.2">
      <c r="A3233" s="23" t="s">
        <v>91</v>
      </c>
      <c r="B3233" s="23" t="s">
        <v>25</v>
      </c>
      <c r="C3233" s="23" t="s">
        <v>46</v>
      </c>
      <c r="D3233" s="23" t="s">
        <v>46</v>
      </c>
      <c r="E3233" s="23" t="s">
        <v>101</v>
      </c>
      <c r="F3233" s="15" t="s">
        <v>104</v>
      </c>
      <c r="G3233" s="15" t="s">
        <v>5173</v>
      </c>
      <c r="H3233" s="23" t="s">
        <v>58</v>
      </c>
    </row>
    <row r="3234" spans="1:8" ht="54.95" customHeight="1" x14ac:dyDescent="0.2">
      <c r="A3234" s="23" t="s">
        <v>98</v>
      </c>
      <c r="B3234" s="23" t="s">
        <v>3</v>
      </c>
      <c r="C3234" s="23" t="s">
        <v>46</v>
      </c>
      <c r="D3234" s="23" t="s">
        <v>46</v>
      </c>
      <c r="E3234" s="23" t="s">
        <v>46</v>
      </c>
      <c r="F3234" s="15" t="s">
        <v>102</v>
      </c>
      <c r="G3234" s="15" t="s">
        <v>5173</v>
      </c>
      <c r="H3234" s="23" t="s">
        <v>58</v>
      </c>
    </row>
    <row r="3235" spans="1:8" ht="54.95" customHeight="1" x14ac:dyDescent="0.2">
      <c r="A3235" s="23" t="s">
        <v>98</v>
      </c>
      <c r="B3235" s="23" t="s">
        <v>6</v>
      </c>
      <c r="C3235" s="23" t="s">
        <v>46</v>
      </c>
      <c r="D3235" s="23" t="s">
        <v>46</v>
      </c>
      <c r="E3235" s="23" t="s">
        <v>46</v>
      </c>
      <c r="F3235" s="15" t="s">
        <v>102</v>
      </c>
      <c r="G3235" s="15" t="s">
        <v>5173</v>
      </c>
      <c r="H3235" s="23" t="s">
        <v>58</v>
      </c>
    </row>
    <row r="3236" spans="1:8" ht="54.95" customHeight="1" x14ac:dyDescent="0.2">
      <c r="A3236" s="23" t="s">
        <v>98</v>
      </c>
      <c r="B3236" s="23" t="s">
        <v>7</v>
      </c>
      <c r="C3236" s="23" t="s">
        <v>46</v>
      </c>
      <c r="D3236" s="23" t="s">
        <v>46</v>
      </c>
      <c r="E3236" s="23" t="s">
        <v>46</v>
      </c>
      <c r="F3236" s="15" t="s">
        <v>102</v>
      </c>
      <c r="G3236" s="15" t="s">
        <v>5173</v>
      </c>
      <c r="H3236" s="23" t="s">
        <v>58</v>
      </c>
    </row>
    <row r="3237" spans="1:8" ht="54.95" customHeight="1" x14ac:dyDescent="0.2">
      <c r="A3237" s="23" t="s">
        <v>98</v>
      </c>
      <c r="B3237" s="23" t="s">
        <v>8</v>
      </c>
      <c r="C3237" s="23" t="s">
        <v>46</v>
      </c>
      <c r="D3237" s="23" t="s">
        <v>46</v>
      </c>
      <c r="E3237" s="23" t="s">
        <v>46</v>
      </c>
      <c r="F3237" s="15" t="s">
        <v>102</v>
      </c>
      <c r="G3237" s="15" t="s">
        <v>5173</v>
      </c>
      <c r="H3237" s="23" t="s">
        <v>58</v>
      </c>
    </row>
    <row r="3238" spans="1:8" ht="54.95" customHeight="1" x14ac:dyDescent="0.2">
      <c r="A3238" s="23" t="s">
        <v>98</v>
      </c>
      <c r="B3238" s="23" t="s">
        <v>9</v>
      </c>
      <c r="C3238" s="23" t="s">
        <v>46</v>
      </c>
      <c r="D3238" s="23" t="s">
        <v>46</v>
      </c>
      <c r="E3238" s="23" t="s">
        <v>46</v>
      </c>
      <c r="F3238" s="15" t="s">
        <v>102</v>
      </c>
      <c r="G3238" s="15" t="s">
        <v>5173</v>
      </c>
      <c r="H3238" s="23" t="s">
        <v>58</v>
      </c>
    </row>
    <row r="3239" spans="1:8" ht="54.95" customHeight="1" x14ac:dyDescent="0.2">
      <c r="A3239" s="23" t="s">
        <v>98</v>
      </c>
      <c r="B3239" s="23" t="s">
        <v>10</v>
      </c>
      <c r="C3239" s="23" t="s">
        <v>46</v>
      </c>
      <c r="D3239" s="23" t="s">
        <v>46</v>
      </c>
      <c r="E3239" s="23" t="s">
        <v>46</v>
      </c>
      <c r="F3239" s="15" t="s">
        <v>102</v>
      </c>
      <c r="G3239" s="15" t="s">
        <v>5173</v>
      </c>
      <c r="H3239" s="23" t="s">
        <v>58</v>
      </c>
    </row>
    <row r="3240" spans="1:8" ht="54.95" customHeight="1" x14ac:dyDescent="0.2">
      <c r="A3240" s="23" t="s">
        <v>98</v>
      </c>
      <c r="B3240" s="23" t="s">
        <v>11</v>
      </c>
      <c r="C3240" s="23" t="s">
        <v>46</v>
      </c>
      <c r="D3240" s="23" t="s">
        <v>46</v>
      </c>
      <c r="E3240" s="23" t="s">
        <v>46</v>
      </c>
      <c r="F3240" s="15" t="s">
        <v>102</v>
      </c>
      <c r="G3240" s="15" t="s">
        <v>5173</v>
      </c>
      <c r="H3240" s="23" t="s">
        <v>58</v>
      </c>
    </row>
    <row r="3241" spans="1:8" ht="54.95" customHeight="1" x14ac:dyDescent="0.2">
      <c r="A3241" s="23" t="s">
        <v>98</v>
      </c>
      <c r="B3241" s="23" t="s">
        <v>13</v>
      </c>
      <c r="C3241" s="23" t="s">
        <v>46</v>
      </c>
      <c r="D3241" s="23" t="s">
        <v>46</v>
      </c>
      <c r="E3241" s="23" t="s">
        <v>46</v>
      </c>
      <c r="F3241" s="15" t="s">
        <v>102</v>
      </c>
      <c r="G3241" s="15" t="s">
        <v>5173</v>
      </c>
      <c r="H3241" s="23" t="s">
        <v>58</v>
      </c>
    </row>
    <row r="3242" spans="1:8" ht="54.95" customHeight="1" x14ac:dyDescent="0.2">
      <c r="A3242" s="23" t="s">
        <v>98</v>
      </c>
      <c r="B3242" s="23" t="s">
        <v>14</v>
      </c>
      <c r="C3242" s="23" t="s">
        <v>46</v>
      </c>
      <c r="D3242" s="23" t="s">
        <v>46</v>
      </c>
      <c r="E3242" s="23" t="s">
        <v>46</v>
      </c>
      <c r="F3242" s="15" t="s">
        <v>102</v>
      </c>
      <c r="G3242" s="15" t="s">
        <v>5173</v>
      </c>
      <c r="H3242" s="23" t="s">
        <v>58</v>
      </c>
    </row>
    <row r="3243" spans="1:8" ht="54.95" customHeight="1" x14ac:dyDescent="0.2">
      <c r="A3243" s="23" t="s">
        <v>98</v>
      </c>
      <c r="B3243" s="23" t="s">
        <v>15</v>
      </c>
      <c r="C3243" s="23" t="s">
        <v>46</v>
      </c>
      <c r="D3243" s="23" t="s">
        <v>46</v>
      </c>
      <c r="E3243" s="23" t="s">
        <v>46</v>
      </c>
      <c r="F3243" s="15" t="s">
        <v>103</v>
      </c>
      <c r="G3243" s="15" t="s">
        <v>5173</v>
      </c>
      <c r="H3243" s="23" t="s">
        <v>58</v>
      </c>
    </row>
    <row r="3244" spans="1:8" ht="54.95" customHeight="1" x14ac:dyDescent="0.2">
      <c r="A3244" s="23" t="s">
        <v>98</v>
      </c>
      <c r="B3244" s="23" t="s">
        <v>17</v>
      </c>
      <c r="C3244" s="23" t="s">
        <v>46</v>
      </c>
      <c r="D3244" s="23" t="s">
        <v>46</v>
      </c>
      <c r="E3244" s="23" t="s">
        <v>46</v>
      </c>
      <c r="F3244" s="15" t="s">
        <v>103</v>
      </c>
      <c r="G3244" s="15" t="s">
        <v>5173</v>
      </c>
      <c r="H3244" s="23" t="s">
        <v>58</v>
      </c>
    </row>
    <row r="3245" spans="1:8" ht="54.95" customHeight="1" x14ac:dyDescent="0.2">
      <c r="A3245" s="23" t="s">
        <v>98</v>
      </c>
      <c r="B3245" s="23" t="s">
        <v>19</v>
      </c>
      <c r="C3245" s="23" t="s">
        <v>46</v>
      </c>
      <c r="D3245" s="23" t="s">
        <v>46</v>
      </c>
      <c r="E3245" s="23" t="s">
        <v>46</v>
      </c>
      <c r="F3245" s="15" t="s">
        <v>103</v>
      </c>
      <c r="G3245" s="15" t="s">
        <v>5173</v>
      </c>
      <c r="H3245" s="23" t="s">
        <v>58</v>
      </c>
    </row>
    <row r="3246" spans="1:8" ht="54.95" customHeight="1" x14ac:dyDescent="0.2">
      <c r="A3246" s="23" t="s">
        <v>98</v>
      </c>
      <c r="B3246" s="23" t="s">
        <v>21</v>
      </c>
      <c r="C3246" s="23" t="s">
        <v>46</v>
      </c>
      <c r="D3246" s="23" t="s">
        <v>46</v>
      </c>
      <c r="E3246" s="23" t="s">
        <v>101</v>
      </c>
      <c r="F3246" s="15" t="s">
        <v>104</v>
      </c>
      <c r="G3246" s="15" t="s">
        <v>5173</v>
      </c>
      <c r="H3246" s="23" t="s">
        <v>58</v>
      </c>
    </row>
    <row r="3247" spans="1:8" ht="54.95" customHeight="1" x14ac:dyDescent="0.2">
      <c r="A3247" s="23" t="s">
        <v>98</v>
      </c>
      <c r="B3247" s="23" t="s">
        <v>22</v>
      </c>
      <c r="C3247" s="23" t="s">
        <v>46</v>
      </c>
      <c r="D3247" s="23" t="s">
        <v>46</v>
      </c>
      <c r="E3247" s="23" t="s">
        <v>101</v>
      </c>
      <c r="F3247" s="15" t="s">
        <v>104</v>
      </c>
      <c r="G3247" s="15" t="s">
        <v>5173</v>
      </c>
      <c r="H3247" s="23" t="s">
        <v>58</v>
      </c>
    </row>
    <row r="3248" spans="1:8" ht="54.95" customHeight="1" x14ac:dyDescent="0.2">
      <c r="A3248" s="23" t="s">
        <v>98</v>
      </c>
      <c r="B3248" s="23" t="s">
        <v>23</v>
      </c>
      <c r="C3248" s="23" t="s">
        <v>46</v>
      </c>
      <c r="D3248" s="23" t="s">
        <v>46</v>
      </c>
      <c r="E3248" s="23" t="s">
        <v>101</v>
      </c>
      <c r="F3248" s="15" t="s">
        <v>104</v>
      </c>
      <c r="G3248" s="15" t="s">
        <v>5173</v>
      </c>
      <c r="H3248" s="23" t="s">
        <v>58</v>
      </c>
    </row>
    <row r="3249" spans="1:8" ht="54.95" customHeight="1" x14ac:dyDescent="0.2">
      <c r="A3249" s="23" t="s">
        <v>98</v>
      </c>
      <c r="B3249" s="23" t="s">
        <v>24</v>
      </c>
      <c r="C3249" s="23" t="s">
        <v>46</v>
      </c>
      <c r="D3249" s="23" t="s">
        <v>46</v>
      </c>
      <c r="E3249" s="23" t="s">
        <v>101</v>
      </c>
      <c r="F3249" s="15" t="s">
        <v>104</v>
      </c>
      <c r="G3249" s="15" t="s">
        <v>5173</v>
      </c>
      <c r="H3249" s="23" t="s">
        <v>58</v>
      </c>
    </row>
    <row r="3250" spans="1:8" ht="54.95" customHeight="1" x14ac:dyDescent="0.2">
      <c r="A3250" s="23" t="s">
        <v>98</v>
      </c>
      <c r="B3250" s="23" t="s">
        <v>25</v>
      </c>
      <c r="C3250" s="23" t="s">
        <v>46</v>
      </c>
      <c r="D3250" s="23" t="s">
        <v>46</v>
      </c>
      <c r="E3250" s="23" t="s">
        <v>101</v>
      </c>
      <c r="F3250" s="15" t="s">
        <v>104</v>
      </c>
      <c r="G3250" s="15" t="s">
        <v>5173</v>
      </c>
      <c r="H3250" s="23" t="s">
        <v>58</v>
      </c>
    </row>
    <row r="3251" spans="1:8" ht="54.95" customHeight="1" x14ac:dyDescent="0.2">
      <c r="A3251" s="23" t="s">
        <v>107</v>
      </c>
      <c r="B3251" s="23" t="s">
        <v>23</v>
      </c>
      <c r="C3251" s="23" t="s">
        <v>46</v>
      </c>
      <c r="D3251" s="23" t="s">
        <v>46</v>
      </c>
      <c r="E3251" s="23" t="s">
        <v>101</v>
      </c>
      <c r="F3251" s="15" t="s">
        <v>104</v>
      </c>
      <c r="G3251" s="15" t="s">
        <v>5173</v>
      </c>
      <c r="H3251" s="23" t="s">
        <v>58</v>
      </c>
    </row>
    <row r="3252" spans="1:8" ht="54.95" customHeight="1" x14ac:dyDescent="0.2">
      <c r="A3252" s="23" t="s">
        <v>107</v>
      </c>
      <c r="B3252" s="23" t="s">
        <v>24</v>
      </c>
      <c r="C3252" s="23" t="s">
        <v>46</v>
      </c>
      <c r="D3252" s="23" t="s">
        <v>46</v>
      </c>
      <c r="E3252" s="23" t="s">
        <v>101</v>
      </c>
      <c r="F3252" s="15" t="s">
        <v>104</v>
      </c>
      <c r="G3252" s="15" t="s">
        <v>5173</v>
      </c>
      <c r="H3252" s="23" t="s">
        <v>58</v>
      </c>
    </row>
    <row r="3253" spans="1:8" ht="54.95" customHeight="1" x14ac:dyDescent="0.2">
      <c r="A3253" s="23" t="s">
        <v>107</v>
      </c>
      <c r="B3253" s="23" t="s">
        <v>25</v>
      </c>
      <c r="C3253" s="23" t="s">
        <v>46</v>
      </c>
      <c r="D3253" s="23" t="s">
        <v>46</v>
      </c>
      <c r="E3253" s="23" t="s">
        <v>101</v>
      </c>
      <c r="F3253" s="15" t="s">
        <v>104</v>
      </c>
      <c r="G3253" s="15" t="s">
        <v>5173</v>
      </c>
      <c r="H3253" s="23" t="s">
        <v>58</v>
      </c>
    </row>
    <row r="3254" spans="1:8" ht="54.95" customHeight="1" x14ac:dyDescent="0.2">
      <c r="A3254" s="23" t="s">
        <v>114</v>
      </c>
      <c r="B3254" s="23" t="s">
        <v>23</v>
      </c>
      <c r="C3254" s="23" t="s">
        <v>46</v>
      </c>
      <c r="D3254" s="23" t="s">
        <v>46</v>
      </c>
      <c r="E3254" s="23" t="s">
        <v>101</v>
      </c>
      <c r="F3254" s="15" t="s">
        <v>104</v>
      </c>
      <c r="G3254" s="15" t="s">
        <v>5173</v>
      </c>
      <c r="H3254" s="23" t="s">
        <v>58</v>
      </c>
    </row>
    <row r="3255" spans="1:8" ht="54.95" customHeight="1" x14ac:dyDescent="0.2">
      <c r="A3255" s="23" t="s">
        <v>114</v>
      </c>
      <c r="B3255" s="23" t="s">
        <v>25</v>
      </c>
      <c r="C3255" s="23" t="s">
        <v>46</v>
      </c>
      <c r="D3255" s="23" t="s">
        <v>46</v>
      </c>
      <c r="E3255" s="23" t="s">
        <v>101</v>
      </c>
      <c r="F3255" s="15" t="s">
        <v>104</v>
      </c>
      <c r="G3255" s="15" t="s">
        <v>5173</v>
      </c>
      <c r="H3255" s="23" t="s">
        <v>58</v>
      </c>
    </row>
    <row r="3256" spans="1:8" ht="54.95" customHeight="1" x14ac:dyDescent="0.2">
      <c r="A3256" s="23" t="s">
        <v>122</v>
      </c>
      <c r="B3256" s="23" t="s">
        <v>23</v>
      </c>
      <c r="C3256" s="23" t="s">
        <v>46</v>
      </c>
      <c r="D3256" s="23" t="s">
        <v>46</v>
      </c>
      <c r="E3256" s="23" t="s">
        <v>101</v>
      </c>
      <c r="F3256" s="15" t="s">
        <v>104</v>
      </c>
      <c r="G3256" s="15" t="s">
        <v>5173</v>
      </c>
      <c r="H3256" s="23" t="s">
        <v>58</v>
      </c>
    </row>
    <row r="3257" spans="1:8" ht="54.95" customHeight="1" x14ac:dyDescent="0.2">
      <c r="A3257" s="23" t="s">
        <v>122</v>
      </c>
      <c r="B3257" s="23" t="s">
        <v>24</v>
      </c>
      <c r="C3257" s="23" t="s">
        <v>46</v>
      </c>
      <c r="D3257" s="23" t="s">
        <v>46</v>
      </c>
      <c r="E3257" s="23" t="s">
        <v>101</v>
      </c>
      <c r="F3257" s="15" t="s">
        <v>104</v>
      </c>
      <c r="G3257" s="15" t="s">
        <v>5173</v>
      </c>
      <c r="H3257" s="23" t="s">
        <v>58</v>
      </c>
    </row>
    <row r="3258" spans="1:8" ht="54.95" customHeight="1" x14ac:dyDescent="0.2">
      <c r="A3258" s="23" t="s">
        <v>122</v>
      </c>
      <c r="B3258" s="23" t="s">
        <v>25</v>
      </c>
      <c r="C3258" s="23" t="s">
        <v>46</v>
      </c>
      <c r="D3258" s="23" t="s">
        <v>46</v>
      </c>
      <c r="E3258" s="23" t="s">
        <v>101</v>
      </c>
      <c r="F3258" s="15" t="s">
        <v>104</v>
      </c>
      <c r="G3258" s="15" t="s">
        <v>5173</v>
      </c>
      <c r="H3258" s="23" t="s">
        <v>58</v>
      </c>
    </row>
    <row r="3259" spans="1:8" ht="54.95" customHeight="1" x14ac:dyDescent="0.2">
      <c r="A3259" s="23" t="s">
        <v>129</v>
      </c>
      <c r="B3259" s="23" t="s">
        <v>23</v>
      </c>
      <c r="C3259" s="23" t="s">
        <v>46</v>
      </c>
      <c r="D3259" s="23" t="s">
        <v>46</v>
      </c>
      <c r="E3259" s="23" t="s">
        <v>101</v>
      </c>
      <c r="F3259" s="15" t="s">
        <v>104</v>
      </c>
      <c r="G3259" s="15" t="s">
        <v>5173</v>
      </c>
      <c r="H3259" s="23" t="s">
        <v>58</v>
      </c>
    </row>
    <row r="3260" spans="1:8" ht="54.95" customHeight="1" x14ac:dyDescent="0.2">
      <c r="A3260" s="23" t="s">
        <v>129</v>
      </c>
      <c r="B3260" s="23" t="s">
        <v>25</v>
      </c>
      <c r="C3260" s="23" t="s">
        <v>46</v>
      </c>
      <c r="D3260" s="23" t="s">
        <v>46</v>
      </c>
      <c r="E3260" s="23" t="s">
        <v>101</v>
      </c>
      <c r="F3260" s="15" t="s">
        <v>104</v>
      </c>
      <c r="G3260" s="15" t="s">
        <v>5173</v>
      </c>
      <c r="H3260" s="23" t="s">
        <v>58</v>
      </c>
    </row>
    <row r="3261" spans="1:8" ht="54.95" customHeight="1" x14ac:dyDescent="0.2">
      <c r="A3261" s="23" t="s">
        <v>137</v>
      </c>
      <c r="B3261" s="23" t="s">
        <v>21</v>
      </c>
      <c r="C3261" s="23" t="s">
        <v>46</v>
      </c>
      <c r="D3261" s="23" t="s">
        <v>46</v>
      </c>
      <c r="E3261" s="23" t="s">
        <v>101</v>
      </c>
      <c r="F3261" s="15" t="s">
        <v>104</v>
      </c>
      <c r="G3261" s="15" t="s">
        <v>5173</v>
      </c>
      <c r="H3261" s="23" t="s">
        <v>58</v>
      </c>
    </row>
    <row r="3262" spans="1:8" ht="54.95" customHeight="1" x14ac:dyDescent="0.2">
      <c r="A3262" s="23" t="s">
        <v>137</v>
      </c>
      <c r="B3262" s="23" t="s">
        <v>22</v>
      </c>
      <c r="C3262" s="23" t="s">
        <v>46</v>
      </c>
      <c r="D3262" s="23" t="s">
        <v>46</v>
      </c>
      <c r="E3262" s="23" t="s">
        <v>101</v>
      </c>
      <c r="F3262" s="15" t="s">
        <v>104</v>
      </c>
      <c r="G3262" s="15" t="s">
        <v>5173</v>
      </c>
      <c r="H3262" s="23" t="s">
        <v>58</v>
      </c>
    </row>
    <row r="3263" spans="1:8" ht="54.95" customHeight="1" x14ac:dyDescent="0.2">
      <c r="A3263" s="23" t="s">
        <v>137</v>
      </c>
      <c r="B3263" s="23" t="s">
        <v>23</v>
      </c>
      <c r="C3263" s="23" t="s">
        <v>46</v>
      </c>
      <c r="D3263" s="23" t="s">
        <v>46</v>
      </c>
      <c r="E3263" s="23" t="s">
        <v>101</v>
      </c>
      <c r="F3263" s="15" t="s">
        <v>104</v>
      </c>
      <c r="G3263" s="15" t="s">
        <v>5173</v>
      </c>
      <c r="H3263" s="23" t="s">
        <v>58</v>
      </c>
    </row>
    <row r="3264" spans="1:8" ht="54.95" customHeight="1" x14ac:dyDescent="0.2">
      <c r="A3264" s="23" t="s">
        <v>137</v>
      </c>
      <c r="B3264" s="23" t="s">
        <v>24</v>
      </c>
      <c r="C3264" s="23" t="s">
        <v>46</v>
      </c>
      <c r="D3264" s="23" t="s">
        <v>46</v>
      </c>
      <c r="E3264" s="23" t="s">
        <v>101</v>
      </c>
      <c r="F3264" s="15" t="s">
        <v>104</v>
      </c>
      <c r="G3264" s="15" t="s">
        <v>5173</v>
      </c>
      <c r="H3264" s="23" t="s">
        <v>58</v>
      </c>
    </row>
    <row r="3265" spans="1:8" ht="54.95" customHeight="1" x14ac:dyDescent="0.2">
      <c r="A3265" s="23" t="s">
        <v>137</v>
      </c>
      <c r="B3265" s="23" t="s">
        <v>25</v>
      </c>
      <c r="C3265" s="23" t="s">
        <v>46</v>
      </c>
      <c r="D3265" s="23" t="s">
        <v>46</v>
      </c>
      <c r="E3265" s="23" t="s">
        <v>101</v>
      </c>
      <c r="F3265" s="15" t="s">
        <v>104</v>
      </c>
      <c r="G3265" s="15" t="s">
        <v>5173</v>
      </c>
      <c r="H3265" s="23" t="s">
        <v>58</v>
      </c>
    </row>
    <row r="3266" spans="1:8" ht="54.95" customHeight="1" x14ac:dyDescent="0.2">
      <c r="A3266" s="23" t="s">
        <v>143</v>
      </c>
      <c r="B3266" s="23" t="s">
        <v>23</v>
      </c>
      <c r="C3266" s="23" t="s">
        <v>46</v>
      </c>
      <c r="D3266" s="23" t="s">
        <v>46</v>
      </c>
      <c r="E3266" s="23" t="s">
        <v>101</v>
      </c>
      <c r="F3266" s="15" t="s">
        <v>104</v>
      </c>
      <c r="G3266" s="15" t="s">
        <v>5173</v>
      </c>
      <c r="H3266" s="23" t="s">
        <v>58</v>
      </c>
    </row>
    <row r="3267" spans="1:8" ht="54.95" customHeight="1" x14ac:dyDescent="0.2">
      <c r="A3267" s="23" t="s">
        <v>143</v>
      </c>
      <c r="B3267" s="23" t="s">
        <v>25</v>
      </c>
      <c r="C3267" s="23" t="s">
        <v>46</v>
      </c>
      <c r="D3267" s="23" t="s">
        <v>46</v>
      </c>
      <c r="E3267" s="23" t="s">
        <v>101</v>
      </c>
      <c r="F3267" s="15" t="s">
        <v>104</v>
      </c>
      <c r="G3267" s="15" t="s">
        <v>5173</v>
      </c>
      <c r="H3267" s="23" t="s">
        <v>58</v>
      </c>
    </row>
    <row r="3268" spans="1:8" ht="54.95" customHeight="1" x14ac:dyDescent="0.2">
      <c r="A3268" s="23" t="s">
        <v>150</v>
      </c>
      <c r="B3268" s="23" t="s">
        <v>23</v>
      </c>
      <c r="C3268" s="23" t="s">
        <v>46</v>
      </c>
      <c r="D3268" s="23" t="s">
        <v>46</v>
      </c>
      <c r="E3268" s="23" t="s">
        <v>101</v>
      </c>
      <c r="F3268" s="15" t="s">
        <v>104</v>
      </c>
      <c r="G3268" s="15" t="s">
        <v>5173</v>
      </c>
      <c r="H3268" s="23" t="s">
        <v>58</v>
      </c>
    </row>
    <row r="3269" spans="1:8" ht="54.95" customHeight="1" x14ac:dyDescent="0.2">
      <c r="A3269" s="23" t="s">
        <v>150</v>
      </c>
      <c r="B3269" s="23" t="s">
        <v>24</v>
      </c>
      <c r="C3269" s="23" t="s">
        <v>46</v>
      </c>
      <c r="D3269" s="23" t="s">
        <v>46</v>
      </c>
      <c r="E3269" s="23" t="s">
        <v>101</v>
      </c>
      <c r="F3269" s="15" t="s">
        <v>104</v>
      </c>
      <c r="G3269" s="15" t="s">
        <v>5173</v>
      </c>
      <c r="H3269" s="23" t="s">
        <v>58</v>
      </c>
    </row>
    <row r="3270" spans="1:8" ht="54.95" customHeight="1" x14ac:dyDescent="0.2">
      <c r="A3270" s="23" t="s">
        <v>150</v>
      </c>
      <c r="B3270" s="23" t="s">
        <v>25</v>
      </c>
      <c r="C3270" s="23" t="s">
        <v>46</v>
      </c>
      <c r="D3270" s="23" t="s">
        <v>46</v>
      </c>
      <c r="E3270" s="23" t="s">
        <v>101</v>
      </c>
      <c r="F3270" s="15" t="s">
        <v>104</v>
      </c>
      <c r="G3270" s="15" t="s">
        <v>5173</v>
      </c>
      <c r="H3270" s="23" t="s">
        <v>58</v>
      </c>
    </row>
    <row r="3271" spans="1:8" ht="54.95" customHeight="1" x14ac:dyDescent="0.2">
      <c r="A3271" s="23" t="s">
        <v>157</v>
      </c>
      <c r="B3271" s="23" t="s">
        <v>15</v>
      </c>
      <c r="C3271" s="23" t="s">
        <v>5174</v>
      </c>
      <c r="D3271" s="23">
        <v>12</v>
      </c>
      <c r="E3271" s="23" t="s">
        <v>1540</v>
      </c>
      <c r="F3271" s="15" t="s">
        <v>103</v>
      </c>
      <c r="G3271" s="15" t="s">
        <v>5173</v>
      </c>
      <c r="H3271" s="23" t="s">
        <v>58</v>
      </c>
    </row>
    <row r="3272" spans="1:8" ht="54.95" customHeight="1" x14ac:dyDescent="0.2">
      <c r="A3272" s="23" t="s">
        <v>157</v>
      </c>
      <c r="B3272" s="23" t="s">
        <v>17</v>
      </c>
      <c r="C3272" s="23" t="s">
        <v>5175</v>
      </c>
      <c r="D3272" s="23">
        <v>-10.8</v>
      </c>
      <c r="E3272" s="23" t="s">
        <v>1540</v>
      </c>
      <c r="F3272" s="15" t="s">
        <v>103</v>
      </c>
      <c r="G3272" s="15" t="s">
        <v>5173</v>
      </c>
      <c r="H3272" s="23" t="s">
        <v>58</v>
      </c>
    </row>
    <row r="3273" spans="1:8" ht="54.95" customHeight="1" x14ac:dyDescent="0.2">
      <c r="A3273" s="23" t="s">
        <v>157</v>
      </c>
      <c r="B3273" s="23" t="s">
        <v>21</v>
      </c>
      <c r="C3273" s="23" t="s">
        <v>46</v>
      </c>
      <c r="D3273" s="23" t="s">
        <v>46</v>
      </c>
      <c r="E3273" s="23" t="s">
        <v>101</v>
      </c>
      <c r="F3273" s="15" t="s">
        <v>104</v>
      </c>
      <c r="G3273" s="15" t="s">
        <v>5173</v>
      </c>
      <c r="H3273" s="23" t="s">
        <v>58</v>
      </c>
    </row>
    <row r="3274" spans="1:8" ht="54.95" customHeight="1" x14ac:dyDescent="0.2">
      <c r="A3274" s="23" t="s">
        <v>157</v>
      </c>
      <c r="B3274" s="23" t="s">
        <v>22</v>
      </c>
      <c r="C3274" s="23" t="s">
        <v>46</v>
      </c>
      <c r="D3274" s="23" t="s">
        <v>46</v>
      </c>
      <c r="E3274" s="23" t="s">
        <v>101</v>
      </c>
      <c r="F3274" s="15" t="s">
        <v>104</v>
      </c>
      <c r="G3274" s="15" t="s">
        <v>5173</v>
      </c>
      <c r="H3274" s="23" t="s">
        <v>58</v>
      </c>
    </row>
    <row r="3275" spans="1:8" ht="54.95" customHeight="1" x14ac:dyDescent="0.2">
      <c r="A3275" s="23" t="s">
        <v>157</v>
      </c>
      <c r="B3275" s="23" t="s">
        <v>23</v>
      </c>
      <c r="C3275" s="23" t="s">
        <v>46</v>
      </c>
      <c r="D3275" s="23" t="s">
        <v>46</v>
      </c>
      <c r="E3275" s="23" t="s">
        <v>101</v>
      </c>
      <c r="F3275" s="15" t="s">
        <v>104</v>
      </c>
      <c r="G3275" s="15" t="s">
        <v>5173</v>
      </c>
      <c r="H3275" s="23" t="s">
        <v>58</v>
      </c>
    </row>
    <row r="3276" spans="1:8" ht="54.95" customHeight="1" x14ac:dyDescent="0.2">
      <c r="A3276" s="23" t="s">
        <v>157</v>
      </c>
      <c r="B3276" s="23" t="s">
        <v>24</v>
      </c>
      <c r="C3276" s="23" t="s">
        <v>46</v>
      </c>
      <c r="D3276" s="23" t="s">
        <v>46</v>
      </c>
      <c r="E3276" s="23" t="s">
        <v>101</v>
      </c>
      <c r="F3276" s="15" t="s">
        <v>104</v>
      </c>
      <c r="G3276" s="15" t="s">
        <v>5173</v>
      </c>
      <c r="H3276" s="23" t="s">
        <v>58</v>
      </c>
    </row>
    <row r="3277" spans="1:8" ht="54.95" customHeight="1" x14ac:dyDescent="0.2">
      <c r="A3277" s="23" t="s">
        <v>157</v>
      </c>
      <c r="B3277" s="23" t="s">
        <v>25</v>
      </c>
      <c r="C3277" s="23" t="s">
        <v>46</v>
      </c>
      <c r="D3277" s="23" t="s">
        <v>46</v>
      </c>
      <c r="E3277" s="23" t="s">
        <v>101</v>
      </c>
      <c r="F3277" s="15" t="s">
        <v>104</v>
      </c>
      <c r="G3277" s="15" t="s">
        <v>5173</v>
      </c>
      <c r="H3277" s="23" t="s">
        <v>58</v>
      </c>
    </row>
    <row r="3278" spans="1:8" ht="54.95" customHeight="1" x14ac:dyDescent="0.2">
      <c r="A3278" s="23" t="s">
        <v>163</v>
      </c>
      <c r="B3278" s="23" t="s">
        <v>19</v>
      </c>
      <c r="C3278" s="23" t="s">
        <v>46</v>
      </c>
      <c r="D3278" s="23" t="s">
        <v>46</v>
      </c>
      <c r="E3278" s="23" t="s">
        <v>46</v>
      </c>
      <c r="F3278" s="15" t="s">
        <v>103</v>
      </c>
      <c r="G3278" s="15" t="s">
        <v>5173</v>
      </c>
      <c r="H3278" s="23" t="s">
        <v>58</v>
      </c>
    </row>
    <row r="3279" spans="1:8" ht="54.95" customHeight="1" x14ac:dyDescent="0.2">
      <c r="A3279" s="23" t="s">
        <v>163</v>
      </c>
      <c r="B3279" s="23" t="s">
        <v>21</v>
      </c>
      <c r="C3279" s="23" t="s">
        <v>46</v>
      </c>
      <c r="D3279" s="23" t="s">
        <v>46</v>
      </c>
      <c r="E3279" s="23" t="s">
        <v>101</v>
      </c>
      <c r="F3279" s="15" t="s">
        <v>104</v>
      </c>
      <c r="G3279" s="15" t="s">
        <v>5173</v>
      </c>
      <c r="H3279" s="23" t="s">
        <v>58</v>
      </c>
    </row>
    <row r="3280" spans="1:8" ht="54.95" customHeight="1" x14ac:dyDescent="0.2">
      <c r="A3280" s="23" t="s">
        <v>163</v>
      </c>
      <c r="B3280" s="23" t="s">
        <v>22</v>
      </c>
      <c r="C3280" s="23" t="s">
        <v>46</v>
      </c>
      <c r="D3280" s="23" t="s">
        <v>46</v>
      </c>
      <c r="E3280" s="23" t="s">
        <v>101</v>
      </c>
      <c r="F3280" s="15" t="s">
        <v>104</v>
      </c>
      <c r="G3280" s="15" t="s">
        <v>5173</v>
      </c>
      <c r="H3280" s="23" t="s">
        <v>58</v>
      </c>
    </row>
    <row r="3281" spans="1:8" ht="54.95" customHeight="1" x14ac:dyDescent="0.2">
      <c r="A3281" s="23" t="s">
        <v>163</v>
      </c>
      <c r="B3281" s="23" t="s">
        <v>23</v>
      </c>
      <c r="C3281" s="23" t="s">
        <v>46</v>
      </c>
      <c r="D3281" s="23" t="s">
        <v>46</v>
      </c>
      <c r="E3281" s="23" t="s">
        <v>101</v>
      </c>
      <c r="F3281" s="15" t="s">
        <v>104</v>
      </c>
      <c r="G3281" s="15" t="s">
        <v>5173</v>
      </c>
      <c r="H3281" s="23" t="s">
        <v>58</v>
      </c>
    </row>
    <row r="3282" spans="1:8" ht="54.95" customHeight="1" x14ac:dyDescent="0.2">
      <c r="A3282" s="23" t="s">
        <v>163</v>
      </c>
      <c r="B3282" s="23" t="s">
        <v>24</v>
      </c>
      <c r="C3282" s="23" t="s">
        <v>46</v>
      </c>
      <c r="D3282" s="23" t="s">
        <v>46</v>
      </c>
      <c r="E3282" s="23" t="s">
        <v>101</v>
      </c>
      <c r="F3282" s="15" t="s">
        <v>104</v>
      </c>
      <c r="G3282" s="15" t="s">
        <v>5173</v>
      </c>
      <c r="H3282" s="23" t="s">
        <v>58</v>
      </c>
    </row>
    <row r="3283" spans="1:8" ht="54.95" customHeight="1" x14ac:dyDescent="0.2">
      <c r="A3283" s="23" t="s">
        <v>163</v>
      </c>
      <c r="B3283" s="23" t="s">
        <v>25</v>
      </c>
      <c r="C3283" s="23" t="s">
        <v>46</v>
      </c>
      <c r="D3283" s="23" t="s">
        <v>46</v>
      </c>
      <c r="E3283" s="23" t="s">
        <v>101</v>
      </c>
      <c r="F3283" s="15" t="s">
        <v>104</v>
      </c>
      <c r="G3283" s="15" t="s">
        <v>5173</v>
      </c>
      <c r="H3283" s="23" t="s">
        <v>58</v>
      </c>
    </row>
    <row r="3284" spans="1:8" ht="54.95" customHeight="1" x14ac:dyDescent="0.2">
      <c r="A3284" s="23" t="s">
        <v>169</v>
      </c>
      <c r="B3284" s="23" t="s">
        <v>23</v>
      </c>
      <c r="C3284" s="23" t="s">
        <v>46</v>
      </c>
      <c r="D3284" s="23" t="s">
        <v>46</v>
      </c>
      <c r="E3284" s="23" t="s">
        <v>101</v>
      </c>
      <c r="F3284" s="15" t="s">
        <v>104</v>
      </c>
      <c r="G3284" s="15" t="s">
        <v>5173</v>
      </c>
      <c r="H3284" s="23" t="s">
        <v>58</v>
      </c>
    </row>
    <row r="3285" spans="1:8" ht="54.95" customHeight="1" x14ac:dyDescent="0.2">
      <c r="A3285" s="23" t="s">
        <v>169</v>
      </c>
      <c r="B3285" s="23" t="s">
        <v>24</v>
      </c>
      <c r="C3285" s="23" t="s">
        <v>46</v>
      </c>
      <c r="D3285" s="23" t="s">
        <v>46</v>
      </c>
      <c r="E3285" s="23" t="s">
        <v>101</v>
      </c>
      <c r="F3285" s="15" t="s">
        <v>104</v>
      </c>
      <c r="G3285" s="15" t="s">
        <v>5173</v>
      </c>
      <c r="H3285" s="23" t="s">
        <v>58</v>
      </c>
    </row>
    <row r="3286" spans="1:8" ht="54.95" customHeight="1" x14ac:dyDescent="0.2">
      <c r="A3286" s="23" t="s">
        <v>169</v>
      </c>
      <c r="B3286" s="23" t="s">
        <v>25</v>
      </c>
      <c r="C3286" s="23" t="s">
        <v>46</v>
      </c>
      <c r="D3286" s="23" t="s">
        <v>46</v>
      </c>
      <c r="E3286" s="23" t="s">
        <v>101</v>
      </c>
      <c r="F3286" s="15" t="s">
        <v>104</v>
      </c>
      <c r="G3286" s="15" t="s">
        <v>5173</v>
      </c>
      <c r="H3286" s="23" t="s">
        <v>58</v>
      </c>
    </row>
    <row r="3287" spans="1:8" ht="54.95" customHeight="1" x14ac:dyDescent="0.2">
      <c r="A3287" s="23" t="s">
        <v>176</v>
      </c>
      <c r="B3287" s="23" t="s">
        <v>23</v>
      </c>
      <c r="C3287" s="23" t="s">
        <v>46</v>
      </c>
      <c r="D3287" s="23" t="s">
        <v>46</v>
      </c>
      <c r="E3287" s="23" t="s">
        <v>101</v>
      </c>
      <c r="F3287" s="15" t="s">
        <v>104</v>
      </c>
      <c r="G3287" s="15" t="s">
        <v>5173</v>
      </c>
      <c r="H3287" s="23" t="s">
        <v>58</v>
      </c>
    </row>
    <row r="3288" spans="1:8" ht="54.95" customHeight="1" x14ac:dyDescent="0.2">
      <c r="A3288" s="23" t="s">
        <v>176</v>
      </c>
      <c r="B3288" s="23" t="s">
        <v>24</v>
      </c>
      <c r="C3288" s="23" t="s">
        <v>46</v>
      </c>
      <c r="D3288" s="23" t="s">
        <v>46</v>
      </c>
      <c r="E3288" s="23" t="s">
        <v>101</v>
      </c>
      <c r="F3288" s="15" t="s">
        <v>104</v>
      </c>
      <c r="G3288" s="15" t="s">
        <v>5173</v>
      </c>
      <c r="H3288" s="23" t="s">
        <v>58</v>
      </c>
    </row>
    <row r="3289" spans="1:8" ht="54.95" customHeight="1" x14ac:dyDescent="0.2">
      <c r="A3289" s="23" t="s">
        <v>176</v>
      </c>
      <c r="B3289" s="23" t="s">
        <v>25</v>
      </c>
      <c r="C3289" s="23" t="s">
        <v>46</v>
      </c>
      <c r="D3289" s="23" t="s">
        <v>46</v>
      </c>
      <c r="E3289" s="23" t="s">
        <v>101</v>
      </c>
      <c r="F3289" s="15" t="s">
        <v>104</v>
      </c>
      <c r="G3289" s="15" t="s">
        <v>5173</v>
      </c>
      <c r="H3289" s="23" t="s">
        <v>58</v>
      </c>
    </row>
    <row r="3290" spans="1:8" ht="54.95" customHeight="1" x14ac:dyDescent="0.2">
      <c r="A3290" s="23" t="s">
        <v>183</v>
      </c>
      <c r="B3290" s="23" t="s">
        <v>23</v>
      </c>
      <c r="C3290" s="23" t="s">
        <v>46</v>
      </c>
      <c r="D3290" s="23" t="s">
        <v>46</v>
      </c>
      <c r="E3290" s="23" t="s">
        <v>101</v>
      </c>
      <c r="F3290" s="15" t="s">
        <v>104</v>
      </c>
      <c r="G3290" s="15" t="s">
        <v>5173</v>
      </c>
      <c r="H3290" s="23" t="s">
        <v>58</v>
      </c>
    </row>
    <row r="3291" spans="1:8" ht="54.95" customHeight="1" x14ac:dyDescent="0.2">
      <c r="A3291" s="23" t="s">
        <v>183</v>
      </c>
      <c r="B3291" s="23" t="s">
        <v>24</v>
      </c>
      <c r="C3291" s="23" t="s">
        <v>46</v>
      </c>
      <c r="D3291" s="23" t="s">
        <v>46</v>
      </c>
      <c r="E3291" s="23" t="s">
        <v>101</v>
      </c>
      <c r="F3291" s="15" t="s">
        <v>104</v>
      </c>
      <c r="G3291" s="15" t="s">
        <v>5173</v>
      </c>
      <c r="H3291" s="23" t="s">
        <v>58</v>
      </c>
    </row>
    <row r="3292" spans="1:8" ht="54.95" customHeight="1" x14ac:dyDescent="0.2">
      <c r="A3292" s="23" t="s">
        <v>183</v>
      </c>
      <c r="B3292" s="23" t="s">
        <v>25</v>
      </c>
      <c r="C3292" s="23" t="s">
        <v>46</v>
      </c>
      <c r="D3292" s="23" t="s">
        <v>46</v>
      </c>
      <c r="E3292" s="23" t="s">
        <v>101</v>
      </c>
      <c r="F3292" s="15" t="s">
        <v>104</v>
      </c>
      <c r="G3292" s="15" t="s">
        <v>5173</v>
      </c>
      <c r="H3292" s="23" t="s">
        <v>58</v>
      </c>
    </row>
    <row r="3293" spans="1:8" ht="54.95" customHeight="1" x14ac:dyDescent="0.2">
      <c r="A3293" s="23" t="s">
        <v>190</v>
      </c>
      <c r="B3293" s="23" t="s">
        <v>15</v>
      </c>
      <c r="C3293" s="23" t="s">
        <v>5176</v>
      </c>
      <c r="D3293" s="23">
        <v>23.62</v>
      </c>
      <c r="E3293" s="23" t="s">
        <v>1540</v>
      </c>
      <c r="F3293" s="15" t="s">
        <v>103</v>
      </c>
      <c r="G3293" s="15" t="s">
        <v>5173</v>
      </c>
      <c r="H3293" s="23" t="s">
        <v>58</v>
      </c>
    </row>
    <row r="3294" spans="1:8" ht="54.95" customHeight="1" x14ac:dyDescent="0.2">
      <c r="A3294" s="23" t="s">
        <v>190</v>
      </c>
      <c r="B3294" s="23" t="s">
        <v>17</v>
      </c>
      <c r="C3294" s="23" t="s">
        <v>5177</v>
      </c>
      <c r="D3294" s="23">
        <v>0.7</v>
      </c>
      <c r="E3294" s="23" t="s">
        <v>1540</v>
      </c>
      <c r="F3294" s="15" t="s">
        <v>103</v>
      </c>
      <c r="G3294" s="15" t="s">
        <v>5173</v>
      </c>
      <c r="H3294" s="23" t="s">
        <v>58</v>
      </c>
    </row>
    <row r="3295" spans="1:8" ht="54.95" customHeight="1" x14ac:dyDescent="0.2">
      <c r="A3295" s="23" t="s">
        <v>190</v>
      </c>
      <c r="B3295" s="23" t="s">
        <v>19</v>
      </c>
      <c r="C3295" s="23" t="s">
        <v>5178</v>
      </c>
      <c r="D3295" s="23">
        <v>13.4</v>
      </c>
      <c r="E3295" s="23" t="s">
        <v>5179</v>
      </c>
      <c r="F3295" s="15" t="s">
        <v>103</v>
      </c>
      <c r="G3295" s="15" t="s">
        <v>5173</v>
      </c>
      <c r="H3295" s="23" t="s">
        <v>58</v>
      </c>
    </row>
    <row r="3296" spans="1:8" ht="54.95" customHeight="1" x14ac:dyDescent="0.2">
      <c r="A3296" s="23" t="s">
        <v>190</v>
      </c>
      <c r="B3296" s="23" t="s">
        <v>23</v>
      </c>
      <c r="C3296" s="23" t="s">
        <v>46</v>
      </c>
      <c r="D3296" s="23" t="s">
        <v>46</v>
      </c>
      <c r="E3296" s="23" t="s">
        <v>101</v>
      </c>
      <c r="F3296" s="15" t="s">
        <v>104</v>
      </c>
      <c r="G3296" s="15" t="s">
        <v>5173</v>
      </c>
      <c r="H3296" s="23" t="s">
        <v>58</v>
      </c>
    </row>
    <row r="3297" spans="1:8" ht="54.95" customHeight="1" x14ac:dyDescent="0.2">
      <c r="A3297" s="23" t="s">
        <v>190</v>
      </c>
      <c r="B3297" s="23" t="s">
        <v>24</v>
      </c>
      <c r="C3297" s="23" t="s">
        <v>46</v>
      </c>
      <c r="D3297" s="23" t="s">
        <v>46</v>
      </c>
      <c r="E3297" s="23" t="s">
        <v>101</v>
      </c>
      <c r="F3297" s="15" t="s">
        <v>104</v>
      </c>
      <c r="G3297" s="15" t="s">
        <v>5173</v>
      </c>
      <c r="H3297" s="23" t="s">
        <v>58</v>
      </c>
    </row>
    <row r="3298" spans="1:8" ht="54.95" customHeight="1" x14ac:dyDescent="0.2">
      <c r="A3298" s="23" t="s">
        <v>190</v>
      </c>
      <c r="B3298" s="23" t="s">
        <v>25</v>
      </c>
      <c r="C3298" s="23" t="s">
        <v>46</v>
      </c>
      <c r="D3298" s="23" t="s">
        <v>46</v>
      </c>
      <c r="E3298" s="23" t="s">
        <v>101</v>
      </c>
      <c r="F3298" s="15" t="s">
        <v>104</v>
      </c>
      <c r="G3298" s="15" t="s">
        <v>5173</v>
      </c>
      <c r="H3298" s="23" t="s">
        <v>58</v>
      </c>
    </row>
    <row r="3299" spans="1:8" ht="54.95" customHeight="1" x14ac:dyDescent="0.2">
      <c r="A3299" s="23" t="s">
        <v>196</v>
      </c>
      <c r="B3299" s="23" t="s">
        <v>3</v>
      </c>
      <c r="C3299" s="23" t="s">
        <v>46</v>
      </c>
      <c r="D3299" s="23" t="s">
        <v>46</v>
      </c>
      <c r="E3299" s="23" t="s">
        <v>46</v>
      </c>
      <c r="F3299" s="15" t="s">
        <v>198</v>
      </c>
      <c r="G3299" s="15" t="s">
        <v>5173</v>
      </c>
      <c r="H3299" s="23" t="s">
        <v>58</v>
      </c>
    </row>
    <row r="3300" spans="1:8" ht="54.95" customHeight="1" x14ac:dyDescent="0.2">
      <c r="A3300" s="23" t="s">
        <v>196</v>
      </c>
      <c r="B3300" s="23" t="s">
        <v>6</v>
      </c>
      <c r="C3300" s="23" t="s">
        <v>46</v>
      </c>
      <c r="D3300" s="23" t="s">
        <v>46</v>
      </c>
      <c r="E3300" s="23" t="s">
        <v>46</v>
      </c>
      <c r="F3300" s="15" t="s">
        <v>198</v>
      </c>
      <c r="G3300" s="15" t="s">
        <v>5173</v>
      </c>
      <c r="H3300" s="23" t="s">
        <v>58</v>
      </c>
    </row>
    <row r="3301" spans="1:8" ht="54.95" customHeight="1" x14ac:dyDescent="0.2">
      <c r="A3301" s="23" t="s">
        <v>196</v>
      </c>
      <c r="B3301" s="23" t="s">
        <v>7</v>
      </c>
      <c r="C3301" s="23" t="s">
        <v>46</v>
      </c>
      <c r="D3301" s="23" t="s">
        <v>46</v>
      </c>
      <c r="E3301" s="23" t="s">
        <v>46</v>
      </c>
      <c r="F3301" s="15" t="s">
        <v>198</v>
      </c>
      <c r="G3301" s="15" t="s">
        <v>5173</v>
      </c>
      <c r="H3301" s="23" t="s">
        <v>58</v>
      </c>
    </row>
    <row r="3302" spans="1:8" ht="54.95" customHeight="1" x14ac:dyDescent="0.2">
      <c r="A3302" s="23" t="s">
        <v>196</v>
      </c>
      <c r="B3302" s="23" t="s">
        <v>8</v>
      </c>
      <c r="C3302" s="23" t="s">
        <v>46</v>
      </c>
      <c r="D3302" s="23" t="s">
        <v>46</v>
      </c>
      <c r="E3302" s="23" t="s">
        <v>46</v>
      </c>
      <c r="F3302" s="15" t="s">
        <v>198</v>
      </c>
      <c r="G3302" s="15" t="s">
        <v>5173</v>
      </c>
      <c r="H3302" s="23" t="s">
        <v>58</v>
      </c>
    </row>
    <row r="3303" spans="1:8" ht="54.95" customHeight="1" x14ac:dyDescent="0.2">
      <c r="A3303" s="23" t="s">
        <v>196</v>
      </c>
      <c r="B3303" s="23" t="s">
        <v>9</v>
      </c>
      <c r="C3303" s="23" t="s">
        <v>46</v>
      </c>
      <c r="D3303" s="23" t="s">
        <v>46</v>
      </c>
      <c r="E3303" s="23" t="s">
        <v>46</v>
      </c>
      <c r="F3303" s="15" t="s">
        <v>198</v>
      </c>
      <c r="G3303" s="15" t="s">
        <v>5173</v>
      </c>
      <c r="H3303" s="23" t="s">
        <v>58</v>
      </c>
    </row>
    <row r="3304" spans="1:8" ht="54.95" customHeight="1" x14ac:dyDescent="0.2">
      <c r="A3304" s="23" t="s">
        <v>196</v>
      </c>
      <c r="B3304" s="23" t="s">
        <v>10</v>
      </c>
      <c r="C3304" s="23" t="s">
        <v>46</v>
      </c>
      <c r="D3304" s="23" t="s">
        <v>46</v>
      </c>
      <c r="E3304" s="23" t="s">
        <v>46</v>
      </c>
      <c r="F3304" s="15" t="s">
        <v>198</v>
      </c>
      <c r="G3304" s="15" t="s">
        <v>5173</v>
      </c>
      <c r="H3304" s="23" t="s">
        <v>58</v>
      </c>
    </row>
    <row r="3305" spans="1:8" ht="54.95" customHeight="1" x14ac:dyDescent="0.2">
      <c r="A3305" s="23" t="s">
        <v>196</v>
      </c>
      <c r="B3305" s="23" t="s">
        <v>11</v>
      </c>
      <c r="C3305" s="23" t="s">
        <v>46</v>
      </c>
      <c r="D3305" s="23" t="s">
        <v>46</v>
      </c>
      <c r="E3305" s="23" t="s">
        <v>46</v>
      </c>
      <c r="F3305" s="15" t="s">
        <v>198</v>
      </c>
      <c r="G3305" s="15" t="s">
        <v>5173</v>
      </c>
      <c r="H3305" s="23" t="s">
        <v>58</v>
      </c>
    </row>
    <row r="3306" spans="1:8" ht="54.95" customHeight="1" x14ac:dyDescent="0.2">
      <c r="A3306" s="23" t="s">
        <v>196</v>
      </c>
      <c r="B3306" s="23" t="s">
        <v>13</v>
      </c>
      <c r="C3306" s="23" t="s">
        <v>46</v>
      </c>
      <c r="D3306" s="23" t="s">
        <v>46</v>
      </c>
      <c r="E3306" s="23" t="s">
        <v>46</v>
      </c>
      <c r="F3306" s="15" t="s">
        <v>198</v>
      </c>
      <c r="G3306" s="15" t="s">
        <v>5173</v>
      </c>
      <c r="H3306" s="23" t="s">
        <v>58</v>
      </c>
    </row>
    <row r="3307" spans="1:8" ht="54.95" customHeight="1" x14ac:dyDescent="0.2">
      <c r="A3307" s="23" t="s">
        <v>196</v>
      </c>
      <c r="B3307" s="23" t="s">
        <v>14</v>
      </c>
      <c r="C3307" s="23" t="s">
        <v>46</v>
      </c>
      <c r="D3307" s="23" t="s">
        <v>46</v>
      </c>
      <c r="E3307" s="23" t="s">
        <v>46</v>
      </c>
      <c r="F3307" s="15" t="s">
        <v>198</v>
      </c>
      <c r="G3307" s="15" t="s">
        <v>5173</v>
      </c>
      <c r="H3307" s="23" t="s">
        <v>58</v>
      </c>
    </row>
    <row r="3308" spans="1:8" ht="54.95" customHeight="1" x14ac:dyDescent="0.2">
      <c r="A3308" s="23" t="s">
        <v>196</v>
      </c>
      <c r="B3308" s="23" t="s">
        <v>15</v>
      </c>
      <c r="C3308" s="23" t="s">
        <v>46</v>
      </c>
      <c r="D3308" s="23" t="s">
        <v>46</v>
      </c>
      <c r="E3308" s="23" t="s">
        <v>46</v>
      </c>
      <c r="F3308" s="15" t="s">
        <v>103</v>
      </c>
      <c r="G3308" s="15" t="s">
        <v>5173</v>
      </c>
      <c r="H3308" s="23" t="s">
        <v>58</v>
      </c>
    </row>
    <row r="3309" spans="1:8" ht="54.95" customHeight="1" x14ac:dyDescent="0.2">
      <c r="A3309" s="23" t="s">
        <v>196</v>
      </c>
      <c r="B3309" s="23" t="s">
        <v>17</v>
      </c>
      <c r="C3309" s="23" t="s">
        <v>46</v>
      </c>
      <c r="D3309" s="23" t="s">
        <v>46</v>
      </c>
      <c r="E3309" s="23" t="s">
        <v>46</v>
      </c>
      <c r="F3309" s="15" t="s">
        <v>103</v>
      </c>
      <c r="G3309" s="15" t="s">
        <v>5173</v>
      </c>
      <c r="H3309" s="23" t="s">
        <v>58</v>
      </c>
    </row>
    <row r="3310" spans="1:8" ht="54.95" customHeight="1" x14ac:dyDescent="0.2">
      <c r="A3310" s="23" t="s">
        <v>196</v>
      </c>
      <c r="B3310" s="23" t="s">
        <v>19</v>
      </c>
      <c r="C3310" s="23" t="s">
        <v>46</v>
      </c>
      <c r="D3310" s="23" t="s">
        <v>46</v>
      </c>
      <c r="E3310" s="23" t="s">
        <v>46</v>
      </c>
      <c r="F3310" s="15" t="s">
        <v>103</v>
      </c>
      <c r="G3310" s="15" t="s">
        <v>5173</v>
      </c>
      <c r="H3310" s="23" t="s">
        <v>58</v>
      </c>
    </row>
    <row r="3311" spans="1:8" ht="54.95" customHeight="1" x14ac:dyDescent="0.2">
      <c r="A3311" s="23" t="s">
        <v>196</v>
      </c>
      <c r="B3311" s="23" t="s">
        <v>21</v>
      </c>
      <c r="C3311" s="23" t="s">
        <v>46</v>
      </c>
      <c r="D3311" s="23" t="s">
        <v>46</v>
      </c>
      <c r="E3311" s="23" t="s">
        <v>101</v>
      </c>
      <c r="F3311" s="15" t="s">
        <v>104</v>
      </c>
      <c r="G3311" s="15" t="s">
        <v>5173</v>
      </c>
      <c r="H3311" s="23" t="s">
        <v>58</v>
      </c>
    </row>
    <row r="3312" spans="1:8" ht="54.95" customHeight="1" x14ac:dyDescent="0.2">
      <c r="A3312" s="23" t="s">
        <v>196</v>
      </c>
      <c r="B3312" s="23" t="s">
        <v>22</v>
      </c>
      <c r="C3312" s="23" t="s">
        <v>46</v>
      </c>
      <c r="D3312" s="23" t="s">
        <v>46</v>
      </c>
      <c r="E3312" s="23" t="s">
        <v>101</v>
      </c>
      <c r="F3312" s="15" t="s">
        <v>104</v>
      </c>
      <c r="G3312" s="15" t="s">
        <v>5173</v>
      </c>
      <c r="H3312" s="23" t="s">
        <v>58</v>
      </c>
    </row>
    <row r="3313" spans="1:8" ht="54.95" customHeight="1" x14ac:dyDescent="0.2">
      <c r="A3313" s="23" t="s">
        <v>196</v>
      </c>
      <c r="B3313" s="23" t="s">
        <v>23</v>
      </c>
      <c r="C3313" s="23" t="s">
        <v>46</v>
      </c>
      <c r="D3313" s="23" t="s">
        <v>46</v>
      </c>
      <c r="E3313" s="23" t="s">
        <v>101</v>
      </c>
      <c r="F3313" s="15" t="s">
        <v>104</v>
      </c>
      <c r="G3313" s="15" t="s">
        <v>5173</v>
      </c>
      <c r="H3313" s="23" t="s">
        <v>58</v>
      </c>
    </row>
    <row r="3314" spans="1:8" ht="54.95" customHeight="1" x14ac:dyDescent="0.2">
      <c r="A3314" s="23" t="s">
        <v>196</v>
      </c>
      <c r="B3314" s="23" t="s">
        <v>24</v>
      </c>
      <c r="C3314" s="23" t="s">
        <v>46</v>
      </c>
      <c r="D3314" s="23" t="s">
        <v>46</v>
      </c>
      <c r="E3314" s="23" t="s">
        <v>101</v>
      </c>
      <c r="F3314" s="15" t="s">
        <v>104</v>
      </c>
      <c r="G3314" s="15" t="s">
        <v>5173</v>
      </c>
      <c r="H3314" s="23" t="s">
        <v>58</v>
      </c>
    </row>
    <row r="3315" spans="1:8" ht="54.95" customHeight="1" x14ac:dyDescent="0.2">
      <c r="A3315" s="23" t="s">
        <v>196</v>
      </c>
      <c r="B3315" s="23" t="s">
        <v>25</v>
      </c>
      <c r="C3315" s="23" t="s">
        <v>46</v>
      </c>
      <c r="D3315" s="23" t="s">
        <v>46</v>
      </c>
      <c r="E3315" s="23" t="s">
        <v>101</v>
      </c>
      <c r="F3315" s="15" t="s">
        <v>104</v>
      </c>
      <c r="G3315" s="15" t="s">
        <v>5173</v>
      </c>
      <c r="H3315" s="23" t="s">
        <v>58</v>
      </c>
    </row>
    <row r="3316" spans="1:8" ht="54.95" customHeight="1" x14ac:dyDescent="0.2">
      <c r="A3316" s="23" t="s">
        <v>199</v>
      </c>
      <c r="B3316" s="23" t="s">
        <v>23</v>
      </c>
      <c r="C3316" s="23" t="s">
        <v>46</v>
      </c>
      <c r="D3316" s="23" t="s">
        <v>46</v>
      </c>
      <c r="E3316" s="23" t="s">
        <v>101</v>
      </c>
      <c r="F3316" s="15" t="s">
        <v>104</v>
      </c>
      <c r="G3316" s="15" t="s">
        <v>5173</v>
      </c>
      <c r="H3316" s="23" t="s">
        <v>58</v>
      </c>
    </row>
    <row r="3317" spans="1:8" ht="54.95" customHeight="1" x14ac:dyDescent="0.2">
      <c r="A3317" s="23" t="s">
        <v>199</v>
      </c>
      <c r="B3317" s="23" t="s">
        <v>25</v>
      </c>
      <c r="C3317" s="23" t="s">
        <v>46</v>
      </c>
      <c r="D3317" s="23" t="s">
        <v>46</v>
      </c>
      <c r="E3317" s="23" t="s">
        <v>101</v>
      </c>
      <c r="F3317" s="15" t="s">
        <v>104</v>
      </c>
      <c r="G3317" s="15" t="s">
        <v>5173</v>
      </c>
      <c r="H3317" s="23" t="s">
        <v>58</v>
      </c>
    </row>
    <row r="3318" spans="1:8" ht="54.95" customHeight="1" x14ac:dyDescent="0.2">
      <c r="A3318" s="23" t="s">
        <v>206</v>
      </c>
      <c r="B3318" s="23" t="s">
        <v>23</v>
      </c>
      <c r="C3318" s="23" t="s">
        <v>46</v>
      </c>
      <c r="D3318" s="23" t="s">
        <v>46</v>
      </c>
      <c r="E3318" s="23" t="s">
        <v>101</v>
      </c>
      <c r="F3318" s="15" t="s">
        <v>104</v>
      </c>
      <c r="G3318" s="15" t="s">
        <v>5173</v>
      </c>
      <c r="H3318" s="23" t="s">
        <v>58</v>
      </c>
    </row>
    <row r="3319" spans="1:8" ht="54.95" customHeight="1" x14ac:dyDescent="0.2">
      <c r="A3319" s="23" t="s">
        <v>206</v>
      </c>
      <c r="B3319" s="23" t="s">
        <v>24</v>
      </c>
      <c r="C3319" s="23" t="s">
        <v>46</v>
      </c>
      <c r="D3319" s="23" t="s">
        <v>46</v>
      </c>
      <c r="E3319" s="23" t="s">
        <v>101</v>
      </c>
      <c r="F3319" s="15" t="s">
        <v>104</v>
      </c>
      <c r="G3319" s="15" t="s">
        <v>5173</v>
      </c>
      <c r="H3319" s="23" t="s">
        <v>58</v>
      </c>
    </row>
    <row r="3320" spans="1:8" ht="54.95" customHeight="1" x14ac:dyDescent="0.2">
      <c r="A3320" s="23" t="s">
        <v>206</v>
      </c>
      <c r="B3320" s="23" t="s">
        <v>25</v>
      </c>
      <c r="C3320" s="23" t="s">
        <v>46</v>
      </c>
      <c r="D3320" s="23" t="s">
        <v>46</v>
      </c>
      <c r="E3320" s="23" t="s">
        <v>101</v>
      </c>
      <c r="F3320" s="15" t="s">
        <v>104</v>
      </c>
      <c r="G3320" s="15" t="s">
        <v>5173</v>
      </c>
      <c r="H3320" s="23" t="s">
        <v>58</v>
      </c>
    </row>
    <row r="3321" spans="1:8" ht="54.95" customHeight="1" x14ac:dyDescent="0.2">
      <c r="A3321" s="23" t="s">
        <v>213</v>
      </c>
      <c r="B3321" s="23" t="s">
        <v>23</v>
      </c>
      <c r="C3321" s="23" t="s">
        <v>46</v>
      </c>
      <c r="D3321" s="23" t="s">
        <v>46</v>
      </c>
      <c r="E3321" s="23" t="s">
        <v>101</v>
      </c>
      <c r="F3321" s="15" t="s">
        <v>104</v>
      </c>
      <c r="G3321" s="15" t="s">
        <v>5173</v>
      </c>
      <c r="H3321" s="23" t="s">
        <v>58</v>
      </c>
    </row>
    <row r="3322" spans="1:8" ht="54.95" customHeight="1" x14ac:dyDescent="0.2">
      <c r="A3322" s="23" t="s">
        <v>213</v>
      </c>
      <c r="B3322" s="23" t="s">
        <v>24</v>
      </c>
      <c r="C3322" s="23" t="s">
        <v>46</v>
      </c>
      <c r="D3322" s="23" t="s">
        <v>46</v>
      </c>
      <c r="E3322" s="23" t="s">
        <v>101</v>
      </c>
      <c r="F3322" s="15" t="s">
        <v>104</v>
      </c>
      <c r="G3322" s="15" t="s">
        <v>5173</v>
      </c>
      <c r="H3322" s="23" t="s">
        <v>58</v>
      </c>
    </row>
    <row r="3323" spans="1:8" ht="54.95" customHeight="1" x14ac:dyDescent="0.2">
      <c r="A3323" s="23" t="s">
        <v>213</v>
      </c>
      <c r="B3323" s="23" t="s">
        <v>25</v>
      </c>
      <c r="C3323" s="23" t="s">
        <v>46</v>
      </c>
      <c r="D3323" s="23" t="s">
        <v>46</v>
      </c>
      <c r="E3323" s="23" t="s">
        <v>101</v>
      </c>
      <c r="F3323" s="15" t="s">
        <v>104</v>
      </c>
      <c r="G3323" s="15" t="s">
        <v>5173</v>
      </c>
      <c r="H3323" s="23" t="s">
        <v>58</v>
      </c>
    </row>
    <row r="3324" spans="1:8" ht="54.95" customHeight="1" x14ac:dyDescent="0.2">
      <c r="A3324" s="23" t="s">
        <v>220</v>
      </c>
      <c r="B3324" s="23" t="s">
        <v>23</v>
      </c>
      <c r="C3324" s="23" t="s">
        <v>46</v>
      </c>
      <c r="D3324" s="23" t="s">
        <v>46</v>
      </c>
      <c r="E3324" s="23" t="s">
        <v>101</v>
      </c>
      <c r="F3324" s="15" t="s">
        <v>104</v>
      </c>
      <c r="G3324" s="15" t="s">
        <v>5173</v>
      </c>
      <c r="H3324" s="23" t="s">
        <v>58</v>
      </c>
    </row>
    <row r="3325" spans="1:8" ht="54.95" customHeight="1" x14ac:dyDescent="0.2">
      <c r="A3325" s="23" t="s">
        <v>220</v>
      </c>
      <c r="B3325" s="23" t="s">
        <v>25</v>
      </c>
      <c r="C3325" s="23" t="s">
        <v>46</v>
      </c>
      <c r="D3325" s="23" t="s">
        <v>46</v>
      </c>
      <c r="E3325" s="23" t="s">
        <v>101</v>
      </c>
      <c r="F3325" s="15" t="s">
        <v>104</v>
      </c>
      <c r="G3325" s="15" t="s">
        <v>5173</v>
      </c>
      <c r="H3325" s="23" t="s">
        <v>58</v>
      </c>
    </row>
    <row r="3326" spans="1:8" ht="54.95" customHeight="1" x14ac:dyDescent="0.2">
      <c r="A3326" s="23" t="s">
        <v>227</v>
      </c>
      <c r="B3326" s="23" t="s">
        <v>15</v>
      </c>
      <c r="C3326" s="23" t="s">
        <v>46</v>
      </c>
      <c r="D3326" s="23" t="s">
        <v>46</v>
      </c>
      <c r="E3326" s="23" t="s">
        <v>46</v>
      </c>
      <c r="F3326" s="15" t="s">
        <v>103</v>
      </c>
      <c r="G3326" s="15" t="s">
        <v>5173</v>
      </c>
      <c r="H3326" s="23" t="s">
        <v>58</v>
      </c>
    </row>
    <row r="3327" spans="1:8" ht="54.95" customHeight="1" x14ac:dyDescent="0.2">
      <c r="A3327" s="23" t="s">
        <v>227</v>
      </c>
      <c r="B3327" s="23" t="s">
        <v>17</v>
      </c>
      <c r="C3327" s="23" t="s">
        <v>46</v>
      </c>
      <c r="D3327" s="23" t="s">
        <v>46</v>
      </c>
      <c r="E3327" s="23" t="s">
        <v>46</v>
      </c>
      <c r="F3327" s="15" t="s">
        <v>103</v>
      </c>
      <c r="G3327" s="15" t="s">
        <v>5173</v>
      </c>
      <c r="H3327" s="23" t="s">
        <v>58</v>
      </c>
    </row>
    <row r="3328" spans="1:8" ht="54.95" customHeight="1" x14ac:dyDescent="0.2">
      <c r="A3328" s="23" t="s">
        <v>227</v>
      </c>
      <c r="B3328" s="23" t="s">
        <v>19</v>
      </c>
      <c r="C3328" s="23" t="s">
        <v>46</v>
      </c>
      <c r="D3328" s="23" t="s">
        <v>46</v>
      </c>
      <c r="E3328" s="23" t="s">
        <v>46</v>
      </c>
      <c r="F3328" s="15" t="s">
        <v>103</v>
      </c>
      <c r="G3328" s="15" t="s">
        <v>5173</v>
      </c>
      <c r="H3328" s="23" t="s">
        <v>58</v>
      </c>
    </row>
    <row r="3329" spans="1:8" ht="54.95" customHeight="1" x14ac:dyDescent="0.2">
      <c r="A3329" s="23" t="s">
        <v>227</v>
      </c>
      <c r="B3329" s="23" t="s">
        <v>21</v>
      </c>
      <c r="C3329" s="23" t="s">
        <v>46</v>
      </c>
      <c r="D3329" s="23" t="s">
        <v>46</v>
      </c>
      <c r="E3329" s="23" t="s">
        <v>101</v>
      </c>
      <c r="F3329" s="15" t="s">
        <v>104</v>
      </c>
      <c r="G3329" s="15" t="s">
        <v>5173</v>
      </c>
      <c r="H3329" s="23" t="s">
        <v>58</v>
      </c>
    </row>
    <row r="3330" spans="1:8" ht="54.95" customHeight="1" x14ac:dyDescent="0.2">
      <c r="A3330" s="23" t="s">
        <v>227</v>
      </c>
      <c r="B3330" s="23" t="s">
        <v>22</v>
      </c>
      <c r="C3330" s="23" t="s">
        <v>46</v>
      </c>
      <c r="D3330" s="23" t="s">
        <v>46</v>
      </c>
      <c r="E3330" s="23" t="s">
        <v>101</v>
      </c>
      <c r="F3330" s="15" t="s">
        <v>104</v>
      </c>
      <c r="G3330" s="15" t="s">
        <v>5173</v>
      </c>
      <c r="H3330" s="23" t="s">
        <v>58</v>
      </c>
    </row>
    <row r="3331" spans="1:8" ht="54.95" customHeight="1" x14ac:dyDescent="0.2">
      <c r="A3331" s="23" t="s">
        <v>227</v>
      </c>
      <c r="B3331" s="23" t="s">
        <v>23</v>
      </c>
      <c r="C3331" s="23" t="s">
        <v>46</v>
      </c>
      <c r="D3331" s="23" t="s">
        <v>46</v>
      </c>
      <c r="E3331" s="23" t="s">
        <v>101</v>
      </c>
      <c r="F3331" s="15" t="s">
        <v>104</v>
      </c>
      <c r="G3331" s="15" t="s">
        <v>5173</v>
      </c>
      <c r="H3331" s="23" t="s">
        <v>58</v>
      </c>
    </row>
    <row r="3332" spans="1:8" ht="54.95" customHeight="1" x14ac:dyDescent="0.2">
      <c r="A3332" s="23" t="s">
        <v>227</v>
      </c>
      <c r="B3332" s="23" t="s">
        <v>24</v>
      </c>
      <c r="C3332" s="23" t="s">
        <v>46</v>
      </c>
      <c r="D3332" s="23" t="s">
        <v>46</v>
      </c>
      <c r="E3332" s="23" t="s">
        <v>101</v>
      </c>
      <c r="F3332" s="15" t="s">
        <v>104</v>
      </c>
      <c r="G3332" s="15" t="s">
        <v>5173</v>
      </c>
      <c r="H3332" s="23" t="s">
        <v>58</v>
      </c>
    </row>
    <row r="3333" spans="1:8" ht="54.95" customHeight="1" x14ac:dyDescent="0.2">
      <c r="A3333" s="23" t="s">
        <v>227</v>
      </c>
      <c r="B3333" s="23" t="s">
        <v>25</v>
      </c>
      <c r="C3333" s="23" t="s">
        <v>46</v>
      </c>
      <c r="D3333" s="23" t="s">
        <v>46</v>
      </c>
      <c r="E3333" s="23" t="s">
        <v>101</v>
      </c>
      <c r="F3333" s="15" t="s">
        <v>104</v>
      </c>
      <c r="G3333" s="15" t="s">
        <v>5173</v>
      </c>
      <c r="H3333" s="23" t="s">
        <v>58</v>
      </c>
    </row>
    <row r="3334" spans="1:8" ht="54.95" customHeight="1" x14ac:dyDescent="0.2">
      <c r="A3334" s="23" t="s">
        <v>232</v>
      </c>
      <c r="B3334" s="23" t="s">
        <v>23</v>
      </c>
      <c r="C3334" s="23" t="s">
        <v>46</v>
      </c>
      <c r="D3334" s="23" t="s">
        <v>46</v>
      </c>
      <c r="E3334" s="23" t="s">
        <v>101</v>
      </c>
      <c r="F3334" s="15" t="s">
        <v>104</v>
      </c>
      <c r="G3334" s="15" t="s">
        <v>5173</v>
      </c>
      <c r="H3334" s="23" t="s">
        <v>58</v>
      </c>
    </row>
    <row r="3335" spans="1:8" ht="54.95" customHeight="1" x14ac:dyDescent="0.2">
      <c r="A3335" s="23" t="s">
        <v>232</v>
      </c>
      <c r="B3335" s="23" t="s">
        <v>24</v>
      </c>
      <c r="C3335" s="23" t="s">
        <v>46</v>
      </c>
      <c r="D3335" s="23" t="s">
        <v>46</v>
      </c>
      <c r="E3335" s="23" t="s">
        <v>101</v>
      </c>
      <c r="F3335" s="15" t="s">
        <v>104</v>
      </c>
      <c r="G3335" s="15" t="s">
        <v>5173</v>
      </c>
      <c r="H3335" s="23" t="s">
        <v>58</v>
      </c>
    </row>
    <row r="3336" spans="1:8" ht="54.95" customHeight="1" x14ac:dyDescent="0.2">
      <c r="A3336" s="23" t="s">
        <v>232</v>
      </c>
      <c r="B3336" s="23" t="s">
        <v>25</v>
      </c>
      <c r="C3336" s="23" t="s">
        <v>46</v>
      </c>
      <c r="D3336" s="23" t="s">
        <v>46</v>
      </c>
      <c r="E3336" s="23" t="s">
        <v>101</v>
      </c>
      <c r="F3336" s="15" t="s">
        <v>104</v>
      </c>
      <c r="G3336" s="15" t="s">
        <v>5173</v>
      </c>
      <c r="H3336" s="23" t="s">
        <v>58</v>
      </c>
    </row>
    <row r="3337" spans="1:8" ht="54.95" customHeight="1" x14ac:dyDescent="0.2">
      <c r="A3337" s="23" t="s">
        <v>239</v>
      </c>
      <c r="B3337" s="23" t="s">
        <v>15</v>
      </c>
      <c r="C3337" s="23" t="s">
        <v>46</v>
      </c>
      <c r="D3337" s="23" t="s">
        <v>46</v>
      </c>
      <c r="E3337" s="23" t="s">
        <v>46</v>
      </c>
      <c r="F3337" s="15" t="s">
        <v>103</v>
      </c>
      <c r="G3337" s="15" t="s">
        <v>5173</v>
      </c>
      <c r="H3337" s="23" t="s">
        <v>58</v>
      </c>
    </row>
    <row r="3338" spans="1:8" ht="54.95" customHeight="1" x14ac:dyDescent="0.2">
      <c r="A3338" s="23" t="s">
        <v>239</v>
      </c>
      <c r="B3338" s="23" t="s">
        <v>17</v>
      </c>
      <c r="C3338" s="23" t="s">
        <v>46</v>
      </c>
      <c r="D3338" s="23" t="s">
        <v>46</v>
      </c>
      <c r="E3338" s="23" t="s">
        <v>46</v>
      </c>
      <c r="F3338" s="15" t="s">
        <v>103</v>
      </c>
      <c r="G3338" s="15" t="s">
        <v>5173</v>
      </c>
      <c r="H3338" s="23" t="s">
        <v>58</v>
      </c>
    </row>
    <row r="3339" spans="1:8" ht="54.95" customHeight="1" x14ac:dyDescent="0.2">
      <c r="A3339" s="23" t="s">
        <v>239</v>
      </c>
      <c r="B3339" s="23" t="s">
        <v>19</v>
      </c>
      <c r="C3339" s="23" t="s">
        <v>46</v>
      </c>
      <c r="D3339" s="23" t="s">
        <v>46</v>
      </c>
      <c r="E3339" s="23" t="s">
        <v>46</v>
      </c>
      <c r="F3339" s="15" t="s">
        <v>103</v>
      </c>
      <c r="G3339" s="15" t="s">
        <v>5173</v>
      </c>
      <c r="H3339" s="23" t="s">
        <v>58</v>
      </c>
    </row>
    <row r="3340" spans="1:8" ht="54.95" customHeight="1" x14ac:dyDescent="0.2">
      <c r="A3340" s="23" t="s">
        <v>239</v>
      </c>
      <c r="B3340" s="23" t="s">
        <v>21</v>
      </c>
      <c r="C3340" s="23" t="s">
        <v>46</v>
      </c>
      <c r="D3340" s="23" t="s">
        <v>46</v>
      </c>
      <c r="E3340" s="23" t="s">
        <v>101</v>
      </c>
      <c r="F3340" s="15" t="s">
        <v>104</v>
      </c>
      <c r="G3340" s="15" t="s">
        <v>5173</v>
      </c>
      <c r="H3340" s="23" t="s">
        <v>58</v>
      </c>
    </row>
    <row r="3341" spans="1:8" ht="54.95" customHeight="1" x14ac:dyDescent="0.2">
      <c r="A3341" s="23" t="s">
        <v>239</v>
      </c>
      <c r="B3341" s="23" t="s">
        <v>22</v>
      </c>
      <c r="C3341" s="23" t="s">
        <v>46</v>
      </c>
      <c r="D3341" s="23" t="s">
        <v>46</v>
      </c>
      <c r="E3341" s="23" t="s">
        <v>101</v>
      </c>
      <c r="F3341" s="15" t="s">
        <v>104</v>
      </c>
      <c r="G3341" s="15" t="s">
        <v>5173</v>
      </c>
      <c r="H3341" s="23" t="s">
        <v>58</v>
      </c>
    </row>
    <row r="3342" spans="1:8" ht="54.95" customHeight="1" x14ac:dyDescent="0.2">
      <c r="A3342" s="23" t="s">
        <v>239</v>
      </c>
      <c r="B3342" s="23" t="s">
        <v>23</v>
      </c>
      <c r="C3342" s="23" t="s">
        <v>46</v>
      </c>
      <c r="D3342" s="23" t="s">
        <v>46</v>
      </c>
      <c r="E3342" s="23" t="s">
        <v>101</v>
      </c>
      <c r="F3342" s="15" t="s">
        <v>104</v>
      </c>
      <c r="G3342" s="15" t="s">
        <v>5173</v>
      </c>
      <c r="H3342" s="23" t="s">
        <v>58</v>
      </c>
    </row>
    <row r="3343" spans="1:8" ht="54.95" customHeight="1" x14ac:dyDescent="0.2">
      <c r="A3343" s="23" t="s">
        <v>239</v>
      </c>
      <c r="B3343" s="23" t="s">
        <v>24</v>
      </c>
      <c r="C3343" s="23" t="s">
        <v>46</v>
      </c>
      <c r="D3343" s="23" t="s">
        <v>46</v>
      </c>
      <c r="E3343" s="23" t="s">
        <v>101</v>
      </c>
      <c r="F3343" s="15" t="s">
        <v>104</v>
      </c>
      <c r="G3343" s="15" t="s">
        <v>5173</v>
      </c>
      <c r="H3343" s="23" t="s">
        <v>58</v>
      </c>
    </row>
    <row r="3344" spans="1:8" ht="54.95" customHeight="1" x14ac:dyDescent="0.2">
      <c r="A3344" s="23" t="s">
        <v>239</v>
      </c>
      <c r="B3344" s="23" t="s">
        <v>25</v>
      </c>
      <c r="C3344" s="23" t="s">
        <v>46</v>
      </c>
      <c r="D3344" s="23" t="s">
        <v>46</v>
      </c>
      <c r="E3344" s="23" t="s">
        <v>101</v>
      </c>
      <c r="F3344" s="15" t="s">
        <v>104</v>
      </c>
      <c r="G3344" s="15" t="s">
        <v>5173</v>
      </c>
      <c r="H3344" s="23" t="s">
        <v>58</v>
      </c>
    </row>
    <row r="3345" spans="1:8" ht="54.95" customHeight="1" x14ac:dyDescent="0.2">
      <c r="A3345" s="23" t="s">
        <v>244</v>
      </c>
      <c r="B3345" s="23" t="s">
        <v>23</v>
      </c>
      <c r="C3345" s="23" t="s">
        <v>46</v>
      </c>
      <c r="D3345" s="23" t="s">
        <v>46</v>
      </c>
      <c r="E3345" s="23" t="s">
        <v>101</v>
      </c>
      <c r="F3345" s="15" t="s">
        <v>104</v>
      </c>
      <c r="G3345" s="15" t="s">
        <v>5173</v>
      </c>
      <c r="H3345" s="23" t="s">
        <v>58</v>
      </c>
    </row>
    <row r="3346" spans="1:8" ht="54.95" customHeight="1" x14ac:dyDescent="0.2">
      <c r="A3346" s="23" t="s">
        <v>244</v>
      </c>
      <c r="B3346" s="23" t="s">
        <v>24</v>
      </c>
      <c r="C3346" s="23" t="s">
        <v>46</v>
      </c>
      <c r="D3346" s="23" t="s">
        <v>46</v>
      </c>
      <c r="E3346" s="23" t="s">
        <v>101</v>
      </c>
      <c r="F3346" s="15" t="s">
        <v>104</v>
      </c>
      <c r="G3346" s="15" t="s">
        <v>5173</v>
      </c>
      <c r="H3346" s="23" t="s">
        <v>58</v>
      </c>
    </row>
    <row r="3347" spans="1:8" ht="54.95" customHeight="1" x14ac:dyDescent="0.2">
      <c r="A3347" s="23" t="s">
        <v>244</v>
      </c>
      <c r="B3347" s="23" t="s">
        <v>25</v>
      </c>
      <c r="C3347" s="23" t="s">
        <v>46</v>
      </c>
      <c r="D3347" s="23" t="s">
        <v>46</v>
      </c>
      <c r="E3347" s="23" t="s">
        <v>101</v>
      </c>
      <c r="F3347" s="15" t="s">
        <v>104</v>
      </c>
      <c r="G3347" s="15" t="s">
        <v>5173</v>
      </c>
      <c r="H3347" s="23" t="s">
        <v>58</v>
      </c>
    </row>
    <row r="3348" spans="1:8" ht="54.95" customHeight="1" x14ac:dyDescent="0.2">
      <c r="A3348" s="23" t="s">
        <v>251</v>
      </c>
      <c r="B3348" s="23" t="s">
        <v>23</v>
      </c>
      <c r="C3348" s="23" t="s">
        <v>46</v>
      </c>
      <c r="D3348" s="23" t="s">
        <v>46</v>
      </c>
      <c r="E3348" s="23" t="s">
        <v>101</v>
      </c>
      <c r="F3348" s="15" t="s">
        <v>104</v>
      </c>
      <c r="G3348" s="15" t="s">
        <v>5173</v>
      </c>
      <c r="H3348" s="23" t="s">
        <v>58</v>
      </c>
    </row>
    <row r="3349" spans="1:8" ht="54.95" customHeight="1" x14ac:dyDescent="0.2">
      <c r="A3349" s="23" t="s">
        <v>251</v>
      </c>
      <c r="B3349" s="23" t="s">
        <v>24</v>
      </c>
      <c r="C3349" s="23" t="s">
        <v>46</v>
      </c>
      <c r="D3349" s="23" t="s">
        <v>46</v>
      </c>
      <c r="E3349" s="23" t="s">
        <v>101</v>
      </c>
      <c r="F3349" s="15" t="s">
        <v>104</v>
      </c>
      <c r="G3349" s="15" t="s">
        <v>5173</v>
      </c>
      <c r="H3349" s="23" t="s">
        <v>58</v>
      </c>
    </row>
    <row r="3350" spans="1:8" ht="54.95" customHeight="1" x14ac:dyDescent="0.2">
      <c r="A3350" s="23" t="s">
        <v>251</v>
      </c>
      <c r="B3350" s="23" t="s">
        <v>25</v>
      </c>
      <c r="C3350" s="23" t="s">
        <v>46</v>
      </c>
      <c r="D3350" s="23" t="s">
        <v>46</v>
      </c>
      <c r="E3350" s="23" t="s">
        <v>101</v>
      </c>
      <c r="F3350" s="15" t="s">
        <v>104</v>
      </c>
      <c r="G3350" s="15" t="s">
        <v>5173</v>
      </c>
      <c r="H3350" s="23" t="s">
        <v>58</v>
      </c>
    </row>
    <row r="3351" spans="1:8" ht="54.95" customHeight="1" x14ac:dyDescent="0.2">
      <c r="A3351" s="23" t="s">
        <v>258</v>
      </c>
      <c r="B3351" s="23" t="s">
        <v>21</v>
      </c>
      <c r="C3351" s="23" t="s">
        <v>46</v>
      </c>
      <c r="D3351" s="23" t="s">
        <v>46</v>
      </c>
      <c r="E3351" s="23" t="s">
        <v>101</v>
      </c>
      <c r="F3351" s="15" t="s">
        <v>104</v>
      </c>
      <c r="G3351" s="15" t="s">
        <v>5173</v>
      </c>
      <c r="H3351" s="23" t="s">
        <v>58</v>
      </c>
    </row>
    <row r="3352" spans="1:8" ht="54.95" customHeight="1" x14ac:dyDescent="0.2">
      <c r="A3352" s="23" t="s">
        <v>258</v>
      </c>
      <c r="B3352" s="23" t="s">
        <v>22</v>
      </c>
      <c r="C3352" s="23" t="s">
        <v>46</v>
      </c>
      <c r="D3352" s="23" t="s">
        <v>46</v>
      </c>
      <c r="E3352" s="23" t="s">
        <v>101</v>
      </c>
      <c r="F3352" s="15" t="s">
        <v>104</v>
      </c>
      <c r="G3352" s="15" t="s">
        <v>5173</v>
      </c>
      <c r="H3352" s="23" t="s">
        <v>58</v>
      </c>
    </row>
    <row r="3353" spans="1:8" ht="54.95" customHeight="1" x14ac:dyDescent="0.2">
      <c r="A3353" s="23" t="s">
        <v>258</v>
      </c>
      <c r="B3353" s="23" t="s">
        <v>23</v>
      </c>
      <c r="C3353" s="23" t="s">
        <v>46</v>
      </c>
      <c r="D3353" s="23" t="s">
        <v>46</v>
      </c>
      <c r="E3353" s="23" t="s">
        <v>101</v>
      </c>
      <c r="F3353" s="15" t="s">
        <v>104</v>
      </c>
      <c r="G3353" s="15" t="s">
        <v>5173</v>
      </c>
      <c r="H3353" s="23" t="s">
        <v>58</v>
      </c>
    </row>
    <row r="3354" spans="1:8" ht="54.95" customHeight="1" x14ac:dyDescent="0.2">
      <c r="A3354" s="23" t="s">
        <v>258</v>
      </c>
      <c r="B3354" s="23" t="s">
        <v>24</v>
      </c>
      <c r="C3354" s="23" t="s">
        <v>46</v>
      </c>
      <c r="D3354" s="23" t="s">
        <v>46</v>
      </c>
      <c r="E3354" s="23" t="s">
        <v>101</v>
      </c>
      <c r="F3354" s="15" t="s">
        <v>104</v>
      </c>
      <c r="G3354" s="15" t="s">
        <v>5173</v>
      </c>
      <c r="H3354" s="23" t="s">
        <v>58</v>
      </c>
    </row>
    <row r="3355" spans="1:8" ht="54.95" customHeight="1" x14ac:dyDescent="0.2">
      <c r="A3355" s="23" t="s">
        <v>258</v>
      </c>
      <c r="B3355" s="23" t="s">
        <v>25</v>
      </c>
      <c r="C3355" s="23" t="s">
        <v>46</v>
      </c>
      <c r="D3355" s="23" t="s">
        <v>46</v>
      </c>
      <c r="E3355" s="23" t="s">
        <v>101</v>
      </c>
      <c r="F3355" s="15" t="s">
        <v>104</v>
      </c>
      <c r="G3355" s="15" t="s">
        <v>5173</v>
      </c>
      <c r="H3355" s="23" t="s">
        <v>58</v>
      </c>
    </row>
    <row r="3356" spans="1:8" ht="54.95" customHeight="1" x14ac:dyDescent="0.2">
      <c r="A3356" s="23" t="s">
        <v>264</v>
      </c>
      <c r="B3356" s="23" t="s">
        <v>19</v>
      </c>
      <c r="C3356" s="23" t="s">
        <v>46</v>
      </c>
      <c r="D3356" s="23" t="s">
        <v>46</v>
      </c>
      <c r="E3356" s="23" t="s">
        <v>46</v>
      </c>
      <c r="F3356" s="15" t="s">
        <v>103</v>
      </c>
      <c r="G3356" s="15" t="s">
        <v>5173</v>
      </c>
      <c r="H3356" s="23" t="s">
        <v>58</v>
      </c>
    </row>
    <row r="3357" spans="1:8" ht="54.95" customHeight="1" x14ac:dyDescent="0.2">
      <c r="A3357" s="23" t="s">
        <v>264</v>
      </c>
      <c r="B3357" s="23" t="s">
        <v>23</v>
      </c>
      <c r="C3357" s="23" t="s">
        <v>46</v>
      </c>
      <c r="D3357" s="23" t="s">
        <v>46</v>
      </c>
      <c r="E3357" s="23" t="s">
        <v>101</v>
      </c>
      <c r="F3357" s="15" t="s">
        <v>104</v>
      </c>
      <c r="G3357" s="15" t="s">
        <v>5173</v>
      </c>
      <c r="H3357" s="23" t="s">
        <v>58</v>
      </c>
    </row>
    <row r="3358" spans="1:8" ht="54.95" customHeight="1" x14ac:dyDescent="0.2">
      <c r="A3358" s="23" t="s">
        <v>264</v>
      </c>
      <c r="B3358" s="23" t="s">
        <v>24</v>
      </c>
      <c r="C3358" s="23" t="s">
        <v>46</v>
      </c>
      <c r="D3358" s="23" t="s">
        <v>46</v>
      </c>
      <c r="E3358" s="23" t="s">
        <v>101</v>
      </c>
      <c r="F3358" s="15" t="s">
        <v>104</v>
      </c>
      <c r="G3358" s="15" t="s">
        <v>5173</v>
      </c>
      <c r="H3358" s="23" t="s">
        <v>58</v>
      </c>
    </row>
    <row r="3359" spans="1:8" ht="54.95" customHeight="1" x14ac:dyDescent="0.2">
      <c r="A3359" s="23" t="s">
        <v>264</v>
      </c>
      <c r="B3359" s="23" t="s">
        <v>25</v>
      </c>
      <c r="C3359" s="23" t="s">
        <v>46</v>
      </c>
      <c r="D3359" s="23" t="s">
        <v>46</v>
      </c>
      <c r="E3359" s="23" t="s">
        <v>101</v>
      </c>
      <c r="F3359" s="15" t="s">
        <v>104</v>
      </c>
      <c r="G3359" s="15" t="s">
        <v>5173</v>
      </c>
      <c r="H3359" s="23" t="s">
        <v>58</v>
      </c>
    </row>
    <row r="3360" spans="1:8" ht="54.95" customHeight="1" x14ac:dyDescent="0.2">
      <c r="A3360" s="23" t="s">
        <v>271</v>
      </c>
      <c r="B3360" s="23" t="s">
        <v>23</v>
      </c>
      <c r="C3360" s="23" t="s">
        <v>46</v>
      </c>
      <c r="D3360" s="23" t="s">
        <v>46</v>
      </c>
      <c r="E3360" s="23" t="s">
        <v>101</v>
      </c>
      <c r="F3360" s="15" t="s">
        <v>104</v>
      </c>
      <c r="G3360" s="15" t="s">
        <v>5173</v>
      </c>
      <c r="H3360" s="23" t="s">
        <v>58</v>
      </c>
    </row>
    <row r="3361" spans="1:8" ht="54.95" customHeight="1" x14ac:dyDescent="0.2">
      <c r="A3361" s="23" t="s">
        <v>271</v>
      </c>
      <c r="B3361" s="23" t="s">
        <v>24</v>
      </c>
      <c r="C3361" s="23" t="s">
        <v>46</v>
      </c>
      <c r="D3361" s="23" t="s">
        <v>46</v>
      </c>
      <c r="E3361" s="23" t="s">
        <v>101</v>
      </c>
      <c r="F3361" s="15" t="s">
        <v>104</v>
      </c>
      <c r="G3361" s="15" t="s">
        <v>5173</v>
      </c>
      <c r="H3361" s="23" t="s">
        <v>58</v>
      </c>
    </row>
    <row r="3362" spans="1:8" ht="54.95" customHeight="1" x14ac:dyDescent="0.2">
      <c r="A3362" s="23" t="s">
        <v>271</v>
      </c>
      <c r="B3362" s="23" t="s">
        <v>25</v>
      </c>
      <c r="C3362" s="23" t="s">
        <v>46</v>
      </c>
      <c r="D3362" s="23" t="s">
        <v>46</v>
      </c>
      <c r="E3362" s="23" t="s">
        <v>101</v>
      </c>
      <c r="F3362" s="15" t="s">
        <v>104</v>
      </c>
      <c r="G3362" s="15" t="s">
        <v>5173</v>
      </c>
      <c r="H3362" s="23" t="s">
        <v>58</v>
      </c>
    </row>
    <row r="3363" spans="1:8" ht="54.95" customHeight="1" x14ac:dyDescent="0.2">
      <c r="A3363" s="23" t="s">
        <v>278</v>
      </c>
      <c r="B3363" s="23" t="s">
        <v>23</v>
      </c>
      <c r="C3363" s="23" t="s">
        <v>46</v>
      </c>
      <c r="D3363" s="23" t="s">
        <v>46</v>
      </c>
      <c r="E3363" s="23" t="s">
        <v>101</v>
      </c>
      <c r="F3363" s="15" t="s">
        <v>104</v>
      </c>
      <c r="G3363" s="15" t="s">
        <v>5173</v>
      </c>
      <c r="H3363" s="23" t="s">
        <v>58</v>
      </c>
    </row>
    <row r="3364" spans="1:8" ht="54.95" customHeight="1" x14ac:dyDescent="0.2">
      <c r="A3364" s="23" t="s">
        <v>278</v>
      </c>
      <c r="B3364" s="23" t="s">
        <v>25</v>
      </c>
      <c r="C3364" s="23" t="s">
        <v>46</v>
      </c>
      <c r="D3364" s="23" t="s">
        <v>46</v>
      </c>
      <c r="E3364" s="23" t="s">
        <v>101</v>
      </c>
      <c r="F3364" s="15" t="s">
        <v>104</v>
      </c>
      <c r="G3364" s="15" t="s">
        <v>5173</v>
      </c>
      <c r="H3364" s="23" t="s">
        <v>58</v>
      </c>
    </row>
    <row r="3365" spans="1:8" ht="54.95" customHeight="1" x14ac:dyDescent="0.2">
      <c r="A3365" s="23" t="s">
        <v>285</v>
      </c>
      <c r="B3365" s="23" t="s">
        <v>23</v>
      </c>
      <c r="C3365" s="23" t="s">
        <v>46</v>
      </c>
      <c r="D3365" s="23" t="s">
        <v>46</v>
      </c>
      <c r="E3365" s="23" t="s">
        <v>101</v>
      </c>
      <c r="F3365" s="15" t="s">
        <v>104</v>
      </c>
      <c r="G3365" s="15" t="s">
        <v>5173</v>
      </c>
      <c r="H3365" s="23" t="s">
        <v>58</v>
      </c>
    </row>
    <row r="3366" spans="1:8" ht="54.95" customHeight="1" x14ac:dyDescent="0.2">
      <c r="A3366" s="23" t="s">
        <v>285</v>
      </c>
      <c r="B3366" s="23" t="s">
        <v>25</v>
      </c>
      <c r="C3366" s="23" t="s">
        <v>46</v>
      </c>
      <c r="D3366" s="23" t="s">
        <v>46</v>
      </c>
      <c r="E3366" s="23" t="s">
        <v>101</v>
      </c>
      <c r="F3366" s="15" t="s">
        <v>104</v>
      </c>
      <c r="G3366" s="15" t="s">
        <v>5173</v>
      </c>
      <c r="H3366" s="23" t="s">
        <v>58</v>
      </c>
    </row>
    <row r="3367" spans="1:8" ht="54.95" customHeight="1" x14ac:dyDescent="0.2">
      <c r="A3367" s="23" t="s">
        <v>292</v>
      </c>
      <c r="B3367" s="23" t="s">
        <v>23</v>
      </c>
      <c r="C3367" s="23" t="s">
        <v>46</v>
      </c>
      <c r="D3367" s="23" t="s">
        <v>46</v>
      </c>
      <c r="E3367" s="23" t="s">
        <v>101</v>
      </c>
      <c r="F3367" s="15" t="s">
        <v>104</v>
      </c>
      <c r="G3367" s="15" t="s">
        <v>5173</v>
      </c>
      <c r="H3367" s="23" t="s">
        <v>58</v>
      </c>
    </row>
    <row r="3368" spans="1:8" ht="54.95" customHeight="1" x14ac:dyDescent="0.2">
      <c r="A3368" s="23" t="s">
        <v>292</v>
      </c>
      <c r="B3368" s="23" t="s">
        <v>24</v>
      </c>
      <c r="C3368" s="23" t="s">
        <v>46</v>
      </c>
      <c r="D3368" s="23" t="s">
        <v>46</v>
      </c>
      <c r="E3368" s="23" t="s">
        <v>101</v>
      </c>
      <c r="F3368" s="15" t="s">
        <v>104</v>
      </c>
      <c r="G3368" s="15" t="s">
        <v>5173</v>
      </c>
      <c r="H3368" s="23" t="s">
        <v>58</v>
      </c>
    </row>
    <row r="3369" spans="1:8" ht="54.95" customHeight="1" x14ac:dyDescent="0.2">
      <c r="A3369" s="23" t="s">
        <v>292</v>
      </c>
      <c r="B3369" s="23" t="s">
        <v>25</v>
      </c>
      <c r="C3369" s="23" t="s">
        <v>46</v>
      </c>
      <c r="D3369" s="23" t="s">
        <v>46</v>
      </c>
      <c r="E3369" s="23" t="s">
        <v>101</v>
      </c>
      <c r="F3369" s="15" t="s">
        <v>104</v>
      </c>
      <c r="G3369" s="15" t="s">
        <v>5173</v>
      </c>
      <c r="H3369" s="23" t="s">
        <v>58</v>
      </c>
    </row>
    <row r="3370" spans="1:8" ht="54.95" customHeight="1" x14ac:dyDescent="0.2">
      <c r="A3370" s="23" t="s">
        <v>299</v>
      </c>
      <c r="B3370" s="23" t="s">
        <v>23</v>
      </c>
      <c r="C3370" s="23" t="s">
        <v>46</v>
      </c>
      <c r="D3370" s="23" t="s">
        <v>46</v>
      </c>
      <c r="E3370" s="23" t="s">
        <v>101</v>
      </c>
      <c r="F3370" s="15" t="s">
        <v>104</v>
      </c>
      <c r="G3370" s="15" t="s">
        <v>5173</v>
      </c>
      <c r="H3370" s="23" t="s">
        <v>58</v>
      </c>
    </row>
    <row r="3371" spans="1:8" ht="54.95" customHeight="1" x14ac:dyDescent="0.2">
      <c r="A3371" s="23" t="s">
        <v>299</v>
      </c>
      <c r="B3371" s="23" t="s">
        <v>24</v>
      </c>
      <c r="C3371" s="23" t="s">
        <v>46</v>
      </c>
      <c r="D3371" s="23" t="s">
        <v>46</v>
      </c>
      <c r="E3371" s="23" t="s">
        <v>101</v>
      </c>
      <c r="F3371" s="15" t="s">
        <v>104</v>
      </c>
      <c r="G3371" s="15" t="s">
        <v>5173</v>
      </c>
      <c r="H3371" s="23" t="s">
        <v>58</v>
      </c>
    </row>
    <row r="3372" spans="1:8" ht="54.95" customHeight="1" x14ac:dyDescent="0.2">
      <c r="A3372" s="23" t="s">
        <v>299</v>
      </c>
      <c r="B3372" s="23" t="s">
        <v>25</v>
      </c>
      <c r="C3372" s="23" t="s">
        <v>46</v>
      </c>
      <c r="D3372" s="23" t="s">
        <v>46</v>
      </c>
      <c r="E3372" s="23" t="s">
        <v>101</v>
      </c>
      <c r="F3372" s="15" t="s">
        <v>104</v>
      </c>
      <c r="G3372" s="15" t="s">
        <v>5173</v>
      </c>
      <c r="H3372" s="23" t="s">
        <v>58</v>
      </c>
    </row>
    <row r="3373" spans="1:8" ht="54.95" customHeight="1" x14ac:dyDescent="0.2">
      <c r="A3373" s="23" t="s">
        <v>306</v>
      </c>
      <c r="B3373" s="23" t="s">
        <v>3</v>
      </c>
      <c r="C3373" s="23" t="s">
        <v>46</v>
      </c>
      <c r="D3373" s="23" t="s">
        <v>46</v>
      </c>
      <c r="E3373" s="23" t="s">
        <v>46</v>
      </c>
      <c r="F3373" s="15" t="s">
        <v>198</v>
      </c>
      <c r="G3373" s="15" t="s">
        <v>5173</v>
      </c>
      <c r="H3373" s="23" t="s">
        <v>58</v>
      </c>
    </row>
    <row r="3374" spans="1:8" ht="54.95" customHeight="1" x14ac:dyDescent="0.2">
      <c r="A3374" s="23" t="s">
        <v>306</v>
      </c>
      <c r="B3374" s="23" t="s">
        <v>6</v>
      </c>
      <c r="C3374" s="23" t="s">
        <v>46</v>
      </c>
      <c r="D3374" s="23" t="s">
        <v>46</v>
      </c>
      <c r="E3374" s="23" t="s">
        <v>46</v>
      </c>
      <c r="F3374" s="15" t="s">
        <v>198</v>
      </c>
      <c r="G3374" s="15" t="s">
        <v>5173</v>
      </c>
      <c r="H3374" s="23" t="s">
        <v>58</v>
      </c>
    </row>
    <row r="3375" spans="1:8" ht="54.95" customHeight="1" x14ac:dyDescent="0.2">
      <c r="A3375" s="23" t="s">
        <v>306</v>
      </c>
      <c r="B3375" s="23" t="s">
        <v>7</v>
      </c>
      <c r="C3375" s="23" t="s">
        <v>46</v>
      </c>
      <c r="D3375" s="23" t="s">
        <v>46</v>
      </c>
      <c r="E3375" s="23" t="s">
        <v>46</v>
      </c>
      <c r="F3375" s="15" t="s">
        <v>198</v>
      </c>
      <c r="G3375" s="15" t="s">
        <v>5173</v>
      </c>
      <c r="H3375" s="23" t="s">
        <v>58</v>
      </c>
    </row>
    <row r="3376" spans="1:8" ht="54.95" customHeight="1" x14ac:dyDescent="0.2">
      <c r="A3376" s="23" t="s">
        <v>306</v>
      </c>
      <c r="B3376" s="23" t="s">
        <v>8</v>
      </c>
      <c r="C3376" s="23" t="s">
        <v>46</v>
      </c>
      <c r="D3376" s="23" t="s">
        <v>46</v>
      </c>
      <c r="E3376" s="23" t="s">
        <v>46</v>
      </c>
      <c r="F3376" s="15" t="s">
        <v>198</v>
      </c>
      <c r="G3376" s="15" t="s">
        <v>5173</v>
      </c>
      <c r="H3376" s="23" t="s">
        <v>58</v>
      </c>
    </row>
    <row r="3377" spans="1:8" ht="54.95" customHeight="1" x14ac:dyDescent="0.2">
      <c r="A3377" s="23" t="s">
        <v>306</v>
      </c>
      <c r="B3377" s="23" t="s">
        <v>9</v>
      </c>
      <c r="C3377" s="23" t="s">
        <v>46</v>
      </c>
      <c r="D3377" s="23" t="s">
        <v>46</v>
      </c>
      <c r="E3377" s="23" t="s">
        <v>46</v>
      </c>
      <c r="F3377" s="15" t="s">
        <v>198</v>
      </c>
      <c r="G3377" s="15" t="s">
        <v>5173</v>
      </c>
      <c r="H3377" s="23" t="s">
        <v>58</v>
      </c>
    </row>
    <row r="3378" spans="1:8" ht="54.95" customHeight="1" x14ac:dyDescent="0.2">
      <c r="A3378" s="23" t="s">
        <v>306</v>
      </c>
      <c r="B3378" s="23" t="s">
        <v>10</v>
      </c>
      <c r="C3378" s="23" t="s">
        <v>46</v>
      </c>
      <c r="D3378" s="23" t="s">
        <v>46</v>
      </c>
      <c r="E3378" s="23" t="s">
        <v>46</v>
      </c>
      <c r="F3378" s="15" t="s">
        <v>198</v>
      </c>
      <c r="G3378" s="15" t="s">
        <v>5173</v>
      </c>
      <c r="H3378" s="23" t="s">
        <v>58</v>
      </c>
    </row>
    <row r="3379" spans="1:8" ht="54.95" customHeight="1" x14ac:dyDescent="0.2">
      <c r="A3379" s="23" t="s">
        <v>306</v>
      </c>
      <c r="B3379" s="23" t="s">
        <v>11</v>
      </c>
      <c r="C3379" s="23" t="s">
        <v>46</v>
      </c>
      <c r="D3379" s="23" t="s">
        <v>46</v>
      </c>
      <c r="E3379" s="23" t="s">
        <v>46</v>
      </c>
      <c r="F3379" s="15" t="s">
        <v>198</v>
      </c>
      <c r="G3379" s="15" t="s">
        <v>5173</v>
      </c>
      <c r="H3379" s="23" t="s">
        <v>58</v>
      </c>
    </row>
    <row r="3380" spans="1:8" ht="54.95" customHeight="1" x14ac:dyDescent="0.2">
      <c r="A3380" s="23" t="s">
        <v>306</v>
      </c>
      <c r="B3380" s="23" t="s">
        <v>13</v>
      </c>
      <c r="C3380" s="23" t="s">
        <v>46</v>
      </c>
      <c r="D3380" s="23" t="s">
        <v>46</v>
      </c>
      <c r="E3380" s="23" t="s">
        <v>46</v>
      </c>
      <c r="F3380" s="15" t="s">
        <v>198</v>
      </c>
      <c r="G3380" s="15" t="s">
        <v>5173</v>
      </c>
      <c r="H3380" s="23" t="s">
        <v>58</v>
      </c>
    </row>
    <row r="3381" spans="1:8" ht="54.95" customHeight="1" x14ac:dyDescent="0.2">
      <c r="A3381" s="23" t="s">
        <v>306</v>
      </c>
      <c r="B3381" s="23" t="s">
        <v>14</v>
      </c>
      <c r="C3381" s="23" t="s">
        <v>46</v>
      </c>
      <c r="D3381" s="23" t="s">
        <v>46</v>
      </c>
      <c r="E3381" s="23" t="s">
        <v>46</v>
      </c>
      <c r="F3381" s="15" t="s">
        <v>198</v>
      </c>
      <c r="G3381" s="15" t="s">
        <v>5173</v>
      </c>
      <c r="H3381" s="23" t="s">
        <v>58</v>
      </c>
    </row>
    <row r="3382" spans="1:8" ht="54.95" customHeight="1" x14ac:dyDescent="0.2">
      <c r="A3382" s="23" t="s">
        <v>306</v>
      </c>
      <c r="B3382" s="23" t="s">
        <v>15</v>
      </c>
      <c r="C3382" s="23" t="s">
        <v>46</v>
      </c>
      <c r="D3382" s="23" t="s">
        <v>46</v>
      </c>
      <c r="E3382" s="23" t="s">
        <v>46</v>
      </c>
      <c r="F3382" s="15" t="s">
        <v>103</v>
      </c>
      <c r="G3382" s="15" t="s">
        <v>5173</v>
      </c>
      <c r="H3382" s="23" t="s">
        <v>58</v>
      </c>
    </row>
    <row r="3383" spans="1:8" ht="54.95" customHeight="1" x14ac:dyDescent="0.2">
      <c r="A3383" s="23" t="s">
        <v>306</v>
      </c>
      <c r="B3383" s="23" t="s">
        <v>17</v>
      </c>
      <c r="C3383" s="23" t="s">
        <v>46</v>
      </c>
      <c r="D3383" s="23" t="s">
        <v>46</v>
      </c>
      <c r="E3383" s="23" t="s">
        <v>46</v>
      </c>
      <c r="F3383" s="15" t="s">
        <v>103</v>
      </c>
      <c r="G3383" s="15" t="s">
        <v>5173</v>
      </c>
      <c r="H3383" s="23" t="s">
        <v>58</v>
      </c>
    </row>
    <row r="3384" spans="1:8" ht="54.95" customHeight="1" x14ac:dyDescent="0.2">
      <c r="A3384" s="23" t="s">
        <v>306</v>
      </c>
      <c r="B3384" s="23" t="s">
        <v>19</v>
      </c>
      <c r="C3384" s="23" t="s">
        <v>46</v>
      </c>
      <c r="D3384" s="23" t="s">
        <v>46</v>
      </c>
      <c r="E3384" s="23" t="s">
        <v>46</v>
      </c>
      <c r="F3384" s="15" t="s">
        <v>103</v>
      </c>
      <c r="G3384" s="15" t="s">
        <v>5173</v>
      </c>
      <c r="H3384" s="23" t="s">
        <v>58</v>
      </c>
    </row>
    <row r="3385" spans="1:8" ht="54.95" customHeight="1" x14ac:dyDescent="0.2">
      <c r="A3385" s="23" t="s">
        <v>306</v>
      </c>
      <c r="B3385" s="23" t="s">
        <v>21</v>
      </c>
      <c r="C3385" s="23" t="s">
        <v>46</v>
      </c>
      <c r="D3385" s="23" t="s">
        <v>46</v>
      </c>
      <c r="E3385" s="23" t="s">
        <v>101</v>
      </c>
      <c r="F3385" s="15" t="s">
        <v>104</v>
      </c>
      <c r="G3385" s="15" t="s">
        <v>5173</v>
      </c>
      <c r="H3385" s="23" t="s">
        <v>58</v>
      </c>
    </row>
    <row r="3386" spans="1:8" ht="54.95" customHeight="1" x14ac:dyDescent="0.2">
      <c r="A3386" s="23" t="s">
        <v>306</v>
      </c>
      <c r="B3386" s="23" t="s">
        <v>22</v>
      </c>
      <c r="C3386" s="23" t="s">
        <v>46</v>
      </c>
      <c r="D3386" s="23" t="s">
        <v>46</v>
      </c>
      <c r="E3386" s="23" t="s">
        <v>101</v>
      </c>
      <c r="F3386" s="15" t="s">
        <v>104</v>
      </c>
      <c r="G3386" s="15" t="s">
        <v>5173</v>
      </c>
      <c r="H3386" s="23" t="s">
        <v>58</v>
      </c>
    </row>
    <row r="3387" spans="1:8" ht="54.95" customHeight="1" x14ac:dyDescent="0.2">
      <c r="A3387" s="23" t="s">
        <v>306</v>
      </c>
      <c r="B3387" s="23" t="s">
        <v>23</v>
      </c>
      <c r="C3387" s="23" t="s">
        <v>46</v>
      </c>
      <c r="D3387" s="23" t="s">
        <v>46</v>
      </c>
      <c r="E3387" s="23" t="s">
        <v>101</v>
      </c>
      <c r="F3387" s="15" t="s">
        <v>104</v>
      </c>
      <c r="G3387" s="15" t="s">
        <v>5173</v>
      </c>
      <c r="H3387" s="23" t="s">
        <v>58</v>
      </c>
    </row>
    <row r="3388" spans="1:8" ht="54.95" customHeight="1" x14ac:dyDescent="0.2">
      <c r="A3388" s="23" t="s">
        <v>306</v>
      </c>
      <c r="B3388" s="23" t="s">
        <v>24</v>
      </c>
      <c r="C3388" s="23" t="s">
        <v>46</v>
      </c>
      <c r="D3388" s="23" t="s">
        <v>46</v>
      </c>
      <c r="E3388" s="23" t="s">
        <v>101</v>
      </c>
      <c r="F3388" s="15" t="s">
        <v>104</v>
      </c>
      <c r="G3388" s="15" t="s">
        <v>5173</v>
      </c>
      <c r="H3388" s="23" t="s">
        <v>58</v>
      </c>
    </row>
    <row r="3389" spans="1:8" ht="54.95" customHeight="1" x14ac:dyDescent="0.2">
      <c r="A3389" s="23" t="s">
        <v>306</v>
      </c>
      <c r="B3389" s="23" t="s">
        <v>25</v>
      </c>
      <c r="C3389" s="23" t="s">
        <v>46</v>
      </c>
      <c r="D3389" s="23" t="s">
        <v>46</v>
      </c>
      <c r="E3389" s="23" t="s">
        <v>101</v>
      </c>
      <c r="F3389" s="15" t="s">
        <v>104</v>
      </c>
      <c r="G3389" s="15" t="s">
        <v>5173</v>
      </c>
      <c r="H3389" s="23" t="s">
        <v>58</v>
      </c>
    </row>
    <row r="3390" spans="1:8" ht="54.95" customHeight="1" x14ac:dyDescent="0.2">
      <c r="A3390" s="23" t="s">
        <v>310</v>
      </c>
      <c r="B3390" s="23" t="s">
        <v>3</v>
      </c>
      <c r="C3390" s="23" t="s">
        <v>46</v>
      </c>
      <c r="D3390" s="23" t="s">
        <v>46</v>
      </c>
      <c r="E3390" s="23" t="s">
        <v>46</v>
      </c>
      <c r="F3390" s="15" t="s">
        <v>198</v>
      </c>
      <c r="G3390" s="15" t="s">
        <v>5173</v>
      </c>
      <c r="H3390" s="23" t="s">
        <v>58</v>
      </c>
    </row>
    <row r="3391" spans="1:8" ht="54.95" customHeight="1" x14ac:dyDescent="0.2">
      <c r="A3391" s="23" t="s">
        <v>310</v>
      </c>
      <c r="B3391" s="23" t="s">
        <v>6</v>
      </c>
      <c r="C3391" s="23" t="s">
        <v>46</v>
      </c>
      <c r="D3391" s="23" t="s">
        <v>46</v>
      </c>
      <c r="E3391" s="23" t="s">
        <v>46</v>
      </c>
      <c r="F3391" s="15" t="s">
        <v>198</v>
      </c>
      <c r="G3391" s="15" t="s">
        <v>5173</v>
      </c>
      <c r="H3391" s="23" t="s">
        <v>58</v>
      </c>
    </row>
    <row r="3392" spans="1:8" ht="54.95" customHeight="1" x14ac:dyDescent="0.2">
      <c r="A3392" s="23" t="s">
        <v>310</v>
      </c>
      <c r="B3392" s="23" t="s">
        <v>7</v>
      </c>
      <c r="C3392" s="23" t="s">
        <v>46</v>
      </c>
      <c r="D3392" s="23" t="s">
        <v>46</v>
      </c>
      <c r="E3392" s="23" t="s">
        <v>46</v>
      </c>
      <c r="F3392" s="15" t="s">
        <v>198</v>
      </c>
      <c r="G3392" s="15" t="s">
        <v>5173</v>
      </c>
      <c r="H3392" s="23" t="s">
        <v>58</v>
      </c>
    </row>
    <row r="3393" spans="1:8" ht="54.95" customHeight="1" x14ac:dyDescent="0.2">
      <c r="A3393" s="23" t="s">
        <v>310</v>
      </c>
      <c r="B3393" s="23" t="s">
        <v>8</v>
      </c>
      <c r="C3393" s="23" t="s">
        <v>46</v>
      </c>
      <c r="D3393" s="23" t="s">
        <v>46</v>
      </c>
      <c r="E3393" s="23" t="s">
        <v>46</v>
      </c>
      <c r="F3393" s="15" t="s">
        <v>198</v>
      </c>
      <c r="G3393" s="15" t="s">
        <v>5173</v>
      </c>
      <c r="H3393" s="23" t="s">
        <v>58</v>
      </c>
    </row>
    <row r="3394" spans="1:8" ht="54.95" customHeight="1" x14ac:dyDescent="0.2">
      <c r="A3394" s="23" t="s">
        <v>310</v>
      </c>
      <c r="B3394" s="23" t="s">
        <v>9</v>
      </c>
      <c r="C3394" s="23" t="s">
        <v>46</v>
      </c>
      <c r="D3394" s="23" t="s">
        <v>46</v>
      </c>
      <c r="E3394" s="23" t="s">
        <v>46</v>
      </c>
      <c r="F3394" s="15" t="s">
        <v>198</v>
      </c>
      <c r="G3394" s="15" t="s">
        <v>5173</v>
      </c>
      <c r="H3394" s="23" t="s">
        <v>58</v>
      </c>
    </row>
    <row r="3395" spans="1:8" ht="54.95" customHeight="1" x14ac:dyDescent="0.2">
      <c r="A3395" s="23" t="s">
        <v>310</v>
      </c>
      <c r="B3395" s="23" t="s">
        <v>10</v>
      </c>
      <c r="C3395" s="23" t="s">
        <v>46</v>
      </c>
      <c r="D3395" s="23" t="s">
        <v>46</v>
      </c>
      <c r="E3395" s="23" t="s">
        <v>46</v>
      </c>
      <c r="F3395" s="15" t="s">
        <v>198</v>
      </c>
      <c r="G3395" s="15" t="s">
        <v>5173</v>
      </c>
      <c r="H3395" s="23" t="s">
        <v>58</v>
      </c>
    </row>
    <row r="3396" spans="1:8" ht="54.95" customHeight="1" x14ac:dyDescent="0.2">
      <c r="A3396" s="23" t="s">
        <v>310</v>
      </c>
      <c r="B3396" s="23" t="s">
        <v>11</v>
      </c>
      <c r="C3396" s="23" t="s">
        <v>46</v>
      </c>
      <c r="D3396" s="23" t="s">
        <v>46</v>
      </c>
      <c r="E3396" s="23" t="s">
        <v>46</v>
      </c>
      <c r="F3396" s="15" t="s">
        <v>198</v>
      </c>
      <c r="G3396" s="15" t="s">
        <v>5173</v>
      </c>
      <c r="H3396" s="23" t="s">
        <v>58</v>
      </c>
    </row>
    <row r="3397" spans="1:8" ht="54.95" customHeight="1" x14ac:dyDescent="0.2">
      <c r="A3397" s="23" t="s">
        <v>310</v>
      </c>
      <c r="B3397" s="23" t="s">
        <v>13</v>
      </c>
      <c r="C3397" s="23" t="s">
        <v>46</v>
      </c>
      <c r="D3397" s="23" t="s">
        <v>46</v>
      </c>
      <c r="E3397" s="23" t="s">
        <v>46</v>
      </c>
      <c r="F3397" s="15" t="s">
        <v>198</v>
      </c>
      <c r="G3397" s="15" t="s">
        <v>5173</v>
      </c>
      <c r="H3397" s="23" t="s">
        <v>58</v>
      </c>
    </row>
    <row r="3398" spans="1:8" ht="54.95" customHeight="1" x14ac:dyDescent="0.2">
      <c r="A3398" s="23" t="s">
        <v>310</v>
      </c>
      <c r="B3398" s="23" t="s">
        <v>14</v>
      </c>
      <c r="C3398" s="23" t="s">
        <v>46</v>
      </c>
      <c r="D3398" s="23" t="s">
        <v>46</v>
      </c>
      <c r="E3398" s="23" t="s">
        <v>46</v>
      </c>
      <c r="F3398" s="15" t="s">
        <v>198</v>
      </c>
      <c r="G3398" s="15" t="s">
        <v>5173</v>
      </c>
      <c r="H3398" s="23" t="s">
        <v>58</v>
      </c>
    </row>
    <row r="3399" spans="1:8" ht="54.95" customHeight="1" x14ac:dyDescent="0.2">
      <c r="A3399" s="23" t="s">
        <v>310</v>
      </c>
      <c r="B3399" s="23" t="s">
        <v>19</v>
      </c>
      <c r="C3399" s="23" t="s">
        <v>46</v>
      </c>
      <c r="D3399" s="23" t="s">
        <v>46</v>
      </c>
      <c r="E3399" s="23" t="s">
        <v>46</v>
      </c>
      <c r="F3399" s="15" t="s">
        <v>103</v>
      </c>
      <c r="G3399" s="15" t="s">
        <v>5173</v>
      </c>
      <c r="H3399" s="23" t="s">
        <v>58</v>
      </c>
    </row>
    <row r="3400" spans="1:8" ht="54.95" customHeight="1" x14ac:dyDescent="0.2">
      <c r="A3400" s="23" t="s">
        <v>310</v>
      </c>
      <c r="B3400" s="23" t="s">
        <v>21</v>
      </c>
      <c r="C3400" s="23" t="s">
        <v>46</v>
      </c>
      <c r="D3400" s="23" t="s">
        <v>46</v>
      </c>
      <c r="E3400" s="23" t="s">
        <v>101</v>
      </c>
      <c r="F3400" s="15" t="s">
        <v>104</v>
      </c>
      <c r="G3400" s="15" t="s">
        <v>5173</v>
      </c>
      <c r="H3400" s="23" t="s">
        <v>58</v>
      </c>
    </row>
    <row r="3401" spans="1:8" ht="54.95" customHeight="1" x14ac:dyDescent="0.2">
      <c r="A3401" s="23" t="s">
        <v>310</v>
      </c>
      <c r="B3401" s="23" t="s">
        <v>22</v>
      </c>
      <c r="C3401" s="23" t="s">
        <v>46</v>
      </c>
      <c r="D3401" s="23" t="s">
        <v>46</v>
      </c>
      <c r="E3401" s="23" t="s">
        <v>101</v>
      </c>
      <c r="F3401" s="15" t="s">
        <v>104</v>
      </c>
      <c r="G3401" s="15" t="s">
        <v>5173</v>
      </c>
      <c r="H3401" s="23" t="s">
        <v>58</v>
      </c>
    </row>
    <row r="3402" spans="1:8" ht="54.95" customHeight="1" x14ac:dyDescent="0.2">
      <c r="A3402" s="23" t="s">
        <v>310</v>
      </c>
      <c r="B3402" s="23" t="s">
        <v>23</v>
      </c>
      <c r="C3402" s="23" t="s">
        <v>46</v>
      </c>
      <c r="D3402" s="23" t="s">
        <v>46</v>
      </c>
      <c r="E3402" s="23" t="s">
        <v>101</v>
      </c>
      <c r="F3402" s="15" t="s">
        <v>104</v>
      </c>
      <c r="G3402" s="15" t="s">
        <v>5173</v>
      </c>
      <c r="H3402" s="23" t="s">
        <v>58</v>
      </c>
    </row>
    <row r="3403" spans="1:8" ht="54.95" customHeight="1" x14ac:dyDescent="0.2">
      <c r="A3403" s="23" t="s">
        <v>310</v>
      </c>
      <c r="B3403" s="23" t="s">
        <v>24</v>
      </c>
      <c r="C3403" s="23" t="s">
        <v>46</v>
      </c>
      <c r="D3403" s="23" t="s">
        <v>46</v>
      </c>
      <c r="E3403" s="23" t="s">
        <v>101</v>
      </c>
      <c r="F3403" s="15" t="s">
        <v>104</v>
      </c>
      <c r="G3403" s="15" t="s">
        <v>5173</v>
      </c>
      <c r="H3403" s="23" t="s">
        <v>58</v>
      </c>
    </row>
    <row r="3404" spans="1:8" ht="54.95" customHeight="1" x14ac:dyDescent="0.2">
      <c r="A3404" s="23" t="s">
        <v>310</v>
      </c>
      <c r="B3404" s="23" t="s">
        <v>25</v>
      </c>
      <c r="C3404" s="23" t="s">
        <v>46</v>
      </c>
      <c r="D3404" s="23" t="s">
        <v>46</v>
      </c>
      <c r="E3404" s="23" t="s">
        <v>101</v>
      </c>
      <c r="F3404" s="15" t="s">
        <v>104</v>
      </c>
      <c r="G3404" s="15" t="s">
        <v>5173</v>
      </c>
      <c r="H3404" s="23" t="s">
        <v>58</v>
      </c>
    </row>
    <row r="3405" spans="1:8" ht="54.95" customHeight="1" x14ac:dyDescent="0.2">
      <c r="A3405" s="23" t="s">
        <v>315</v>
      </c>
      <c r="B3405" s="23" t="s">
        <v>23</v>
      </c>
      <c r="C3405" s="23" t="s">
        <v>46</v>
      </c>
      <c r="D3405" s="23" t="s">
        <v>46</v>
      </c>
      <c r="E3405" s="23" t="s">
        <v>101</v>
      </c>
      <c r="F3405" s="15" t="s">
        <v>104</v>
      </c>
      <c r="G3405" s="15" t="s">
        <v>5173</v>
      </c>
      <c r="H3405" s="23" t="s">
        <v>58</v>
      </c>
    </row>
    <row r="3406" spans="1:8" ht="54.95" customHeight="1" x14ac:dyDescent="0.2">
      <c r="A3406" s="23" t="s">
        <v>315</v>
      </c>
      <c r="B3406" s="23" t="s">
        <v>24</v>
      </c>
      <c r="C3406" s="23" t="s">
        <v>46</v>
      </c>
      <c r="D3406" s="23" t="s">
        <v>46</v>
      </c>
      <c r="E3406" s="23" t="s">
        <v>101</v>
      </c>
      <c r="F3406" s="15" t="s">
        <v>104</v>
      </c>
      <c r="G3406" s="15" t="s">
        <v>5173</v>
      </c>
      <c r="H3406" s="23" t="s">
        <v>58</v>
      </c>
    </row>
    <row r="3407" spans="1:8" ht="54.95" customHeight="1" x14ac:dyDescent="0.2">
      <c r="A3407" s="23" t="s">
        <v>315</v>
      </c>
      <c r="B3407" s="23" t="s">
        <v>25</v>
      </c>
      <c r="C3407" s="23" t="s">
        <v>46</v>
      </c>
      <c r="D3407" s="23" t="s">
        <v>46</v>
      </c>
      <c r="E3407" s="23" t="s">
        <v>101</v>
      </c>
      <c r="F3407" s="15" t="s">
        <v>104</v>
      </c>
      <c r="G3407" s="15" t="s">
        <v>5173</v>
      </c>
      <c r="H3407" s="23" t="s">
        <v>58</v>
      </c>
    </row>
    <row r="3408" spans="1:8" ht="54.95" customHeight="1" x14ac:dyDescent="0.2">
      <c r="A3408" s="23" t="s">
        <v>322</v>
      </c>
      <c r="B3408" s="23" t="s">
        <v>23</v>
      </c>
      <c r="C3408" s="23" t="s">
        <v>46</v>
      </c>
      <c r="D3408" s="23" t="s">
        <v>46</v>
      </c>
      <c r="E3408" s="23" t="s">
        <v>101</v>
      </c>
      <c r="F3408" s="15" t="s">
        <v>104</v>
      </c>
      <c r="G3408" s="15" t="s">
        <v>5173</v>
      </c>
      <c r="H3408" s="23" t="s">
        <v>58</v>
      </c>
    </row>
    <row r="3409" spans="1:8" ht="54.95" customHeight="1" x14ac:dyDescent="0.2">
      <c r="A3409" s="23" t="s">
        <v>322</v>
      </c>
      <c r="B3409" s="23" t="s">
        <v>24</v>
      </c>
      <c r="C3409" s="23" t="s">
        <v>46</v>
      </c>
      <c r="D3409" s="23" t="s">
        <v>46</v>
      </c>
      <c r="E3409" s="23" t="s">
        <v>101</v>
      </c>
      <c r="F3409" s="15" t="s">
        <v>104</v>
      </c>
      <c r="G3409" s="15" t="s">
        <v>5173</v>
      </c>
      <c r="H3409" s="23" t="s">
        <v>58</v>
      </c>
    </row>
    <row r="3410" spans="1:8" ht="54.95" customHeight="1" x14ac:dyDescent="0.2">
      <c r="A3410" s="23" t="s">
        <v>322</v>
      </c>
      <c r="B3410" s="23" t="s">
        <v>25</v>
      </c>
      <c r="C3410" s="23" t="s">
        <v>46</v>
      </c>
      <c r="D3410" s="23" t="s">
        <v>46</v>
      </c>
      <c r="E3410" s="23" t="s">
        <v>101</v>
      </c>
      <c r="F3410" s="15" t="s">
        <v>104</v>
      </c>
      <c r="G3410" s="15" t="s">
        <v>5173</v>
      </c>
      <c r="H3410" s="23" t="s">
        <v>58</v>
      </c>
    </row>
    <row r="3411" spans="1:8" ht="54.95" customHeight="1" x14ac:dyDescent="0.2">
      <c r="A3411" s="23" t="s">
        <v>329</v>
      </c>
      <c r="B3411" s="23" t="s">
        <v>23</v>
      </c>
      <c r="C3411" s="23" t="s">
        <v>46</v>
      </c>
      <c r="D3411" s="23" t="s">
        <v>46</v>
      </c>
      <c r="E3411" s="23" t="s">
        <v>101</v>
      </c>
      <c r="F3411" s="15" t="s">
        <v>104</v>
      </c>
      <c r="G3411" s="15" t="s">
        <v>5173</v>
      </c>
      <c r="H3411" s="23" t="s">
        <v>58</v>
      </c>
    </row>
    <row r="3412" spans="1:8" ht="54.95" customHeight="1" x14ac:dyDescent="0.2">
      <c r="A3412" s="23" t="s">
        <v>329</v>
      </c>
      <c r="B3412" s="23" t="s">
        <v>25</v>
      </c>
      <c r="C3412" s="23" t="s">
        <v>46</v>
      </c>
      <c r="D3412" s="23" t="s">
        <v>46</v>
      </c>
      <c r="E3412" s="23" t="s">
        <v>101</v>
      </c>
      <c r="F3412" s="15" t="s">
        <v>104</v>
      </c>
      <c r="G3412" s="15" t="s">
        <v>5173</v>
      </c>
      <c r="H3412" s="23" t="s">
        <v>58</v>
      </c>
    </row>
    <row r="3413" spans="1:8" ht="54.95" customHeight="1" x14ac:dyDescent="0.2">
      <c r="A3413" s="23" t="s">
        <v>336</v>
      </c>
      <c r="B3413" s="23" t="s">
        <v>19</v>
      </c>
      <c r="C3413" s="23" t="s">
        <v>46</v>
      </c>
      <c r="D3413" s="23" t="s">
        <v>46</v>
      </c>
      <c r="E3413" s="23" t="s">
        <v>46</v>
      </c>
      <c r="F3413" s="15" t="s">
        <v>103</v>
      </c>
      <c r="G3413" s="15" t="s">
        <v>5173</v>
      </c>
      <c r="H3413" s="23" t="s">
        <v>58</v>
      </c>
    </row>
    <row r="3414" spans="1:8" ht="54.95" customHeight="1" x14ac:dyDescent="0.2">
      <c r="A3414" s="23" t="s">
        <v>336</v>
      </c>
      <c r="B3414" s="23" t="s">
        <v>21</v>
      </c>
      <c r="C3414" s="23" t="s">
        <v>46</v>
      </c>
      <c r="D3414" s="23" t="s">
        <v>46</v>
      </c>
      <c r="E3414" s="23" t="s">
        <v>101</v>
      </c>
      <c r="F3414" s="15" t="s">
        <v>104</v>
      </c>
      <c r="G3414" s="15" t="s">
        <v>5173</v>
      </c>
      <c r="H3414" s="23" t="s">
        <v>58</v>
      </c>
    </row>
    <row r="3415" spans="1:8" ht="54.95" customHeight="1" x14ac:dyDescent="0.2">
      <c r="A3415" s="23" t="s">
        <v>336</v>
      </c>
      <c r="B3415" s="23" t="s">
        <v>22</v>
      </c>
      <c r="C3415" s="23" t="s">
        <v>46</v>
      </c>
      <c r="D3415" s="23" t="s">
        <v>46</v>
      </c>
      <c r="E3415" s="23" t="s">
        <v>101</v>
      </c>
      <c r="F3415" s="15" t="s">
        <v>104</v>
      </c>
      <c r="G3415" s="15" t="s">
        <v>5173</v>
      </c>
      <c r="H3415" s="23" t="s">
        <v>58</v>
      </c>
    </row>
    <row r="3416" spans="1:8" ht="54.95" customHeight="1" x14ac:dyDescent="0.2">
      <c r="A3416" s="23" t="s">
        <v>336</v>
      </c>
      <c r="B3416" s="23" t="s">
        <v>23</v>
      </c>
      <c r="C3416" s="23" t="s">
        <v>46</v>
      </c>
      <c r="D3416" s="23" t="s">
        <v>46</v>
      </c>
      <c r="E3416" s="23" t="s">
        <v>101</v>
      </c>
      <c r="F3416" s="15" t="s">
        <v>104</v>
      </c>
      <c r="G3416" s="15" t="s">
        <v>5173</v>
      </c>
      <c r="H3416" s="23" t="s">
        <v>58</v>
      </c>
    </row>
    <row r="3417" spans="1:8" ht="54.95" customHeight="1" x14ac:dyDescent="0.2">
      <c r="A3417" s="23" t="s">
        <v>336</v>
      </c>
      <c r="B3417" s="23" t="s">
        <v>24</v>
      </c>
      <c r="C3417" s="23" t="s">
        <v>46</v>
      </c>
      <c r="D3417" s="23" t="s">
        <v>46</v>
      </c>
      <c r="E3417" s="23" t="s">
        <v>101</v>
      </c>
      <c r="F3417" s="15" t="s">
        <v>104</v>
      </c>
      <c r="G3417" s="15" t="s">
        <v>5173</v>
      </c>
      <c r="H3417" s="23" t="s">
        <v>58</v>
      </c>
    </row>
    <row r="3418" spans="1:8" ht="54.95" customHeight="1" x14ac:dyDescent="0.2">
      <c r="A3418" s="23" t="s">
        <v>336</v>
      </c>
      <c r="B3418" s="23" t="s">
        <v>25</v>
      </c>
      <c r="C3418" s="23" t="s">
        <v>46</v>
      </c>
      <c r="D3418" s="23" t="s">
        <v>46</v>
      </c>
      <c r="E3418" s="23" t="s">
        <v>101</v>
      </c>
      <c r="F3418" s="15" t="s">
        <v>104</v>
      </c>
      <c r="G3418" s="15" t="s">
        <v>5173</v>
      </c>
      <c r="H3418" s="23" t="s">
        <v>58</v>
      </c>
    </row>
    <row r="3419" spans="1:8" ht="54.95" customHeight="1" x14ac:dyDescent="0.2">
      <c r="A3419" s="23" t="s">
        <v>342</v>
      </c>
      <c r="B3419" s="23" t="s">
        <v>23</v>
      </c>
      <c r="C3419" s="23" t="s">
        <v>46</v>
      </c>
      <c r="D3419" s="23" t="s">
        <v>46</v>
      </c>
      <c r="E3419" s="23" t="s">
        <v>101</v>
      </c>
      <c r="F3419" s="15" t="s">
        <v>104</v>
      </c>
      <c r="G3419" s="15" t="s">
        <v>5173</v>
      </c>
      <c r="H3419" s="23" t="s">
        <v>58</v>
      </c>
    </row>
    <row r="3420" spans="1:8" ht="54.95" customHeight="1" x14ac:dyDescent="0.2">
      <c r="A3420" s="23" t="s">
        <v>342</v>
      </c>
      <c r="B3420" s="23" t="s">
        <v>25</v>
      </c>
      <c r="C3420" s="23" t="s">
        <v>46</v>
      </c>
      <c r="D3420" s="23" t="s">
        <v>46</v>
      </c>
      <c r="E3420" s="23" t="s">
        <v>101</v>
      </c>
      <c r="F3420" s="15" t="s">
        <v>104</v>
      </c>
      <c r="G3420" s="15" t="s">
        <v>5173</v>
      </c>
      <c r="H3420" s="23" t="s">
        <v>58</v>
      </c>
    </row>
    <row r="3421" spans="1:8" ht="54.95" customHeight="1" x14ac:dyDescent="0.2">
      <c r="A3421" s="23" t="s">
        <v>349</v>
      </c>
      <c r="B3421" s="23" t="s">
        <v>23</v>
      </c>
      <c r="C3421" s="23" t="s">
        <v>46</v>
      </c>
      <c r="D3421" s="23" t="s">
        <v>46</v>
      </c>
      <c r="E3421" s="23" t="s">
        <v>101</v>
      </c>
      <c r="F3421" s="15" t="s">
        <v>104</v>
      </c>
      <c r="G3421" s="15" t="s">
        <v>5173</v>
      </c>
      <c r="H3421" s="23" t="s">
        <v>58</v>
      </c>
    </row>
    <row r="3422" spans="1:8" ht="54.95" customHeight="1" x14ac:dyDescent="0.2">
      <c r="A3422" s="23" t="s">
        <v>349</v>
      </c>
      <c r="B3422" s="23" t="s">
        <v>24</v>
      </c>
      <c r="C3422" s="23" t="s">
        <v>46</v>
      </c>
      <c r="D3422" s="23" t="s">
        <v>46</v>
      </c>
      <c r="E3422" s="23" t="s">
        <v>101</v>
      </c>
      <c r="F3422" s="15" t="s">
        <v>104</v>
      </c>
      <c r="G3422" s="15" t="s">
        <v>5173</v>
      </c>
      <c r="H3422" s="23" t="s">
        <v>58</v>
      </c>
    </row>
    <row r="3423" spans="1:8" ht="54.95" customHeight="1" x14ac:dyDescent="0.2">
      <c r="A3423" s="23" t="s">
        <v>349</v>
      </c>
      <c r="B3423" s="23" t="s">
        <v>25</v>
      </c>
      <c r="C3423" s="23" t="s">
        <v>46</v>
      </c>
      <c r="D3423" s="23" t="s">
        <v>46</v>
      </c>
      <c r="E3423" s="23" t="s">
        <v>101</v>
      </c>
      <c r="F3423" s="15" t="s">
        <v>104</v>
      </c>
      <c r="G3423" s="15" t="s">
        <v>5173</v>
      </c>
      <c r="H3423" s="23" t="s">
        <v>58</v>
      </c>
    </row>
    <row r="3424" spans="1:8" ht="54.95" customHeight="1" x14ac:dyDescent="0.2">
      <c r="A3424" s="23" t="s">
        <v>356</v>
      </c>
      <c r="B3424" s="23" t="s">
        <v>23</v>
      </c>
      <c r="C3424" s="23" t="s">
        <v>46</v>
      </c>
      <c r="D3424" s="23" t="s">
        <v>46</v>
      </c>
      <c r="E3424" s="23" t="s">
        <v>101</v>
      </c>
      <c r="F3424" s="15" t="s">
        <v>104</v>
      </c>
      <c r="G3424" s="15" t="s">
        <v>5173</v>
      </c>
      <c r="H3424" s="23" t="s">
        <v>58</v>
      </c>
    </row>
    <row r="3425" spans="1:8" ht="54.95" customHeight="1" x14ac:dyDescent="0.2">
      <c r="A3425" s="23" t="s">
        <v>356</v>
      </c>
      <c r="B3425" s="23" t="s">
        <v>24</v>
      </c>
      <c r="C3425" s="23" t="s">
        <v>46</v>
      </c>
      <c r="D3425" s="23" t="s">
        <v>46</v>
      </c>
      <c r="E3425" s="23" t="s">
        <v>101</v>
      </c>
      <c r="F3425" s="15" t="s">
        <v>104</v>
      </c>
      <c r="G3425" s="15" t="s">
        <v>5173</v>
      </c>
      <c r="H3425" s="23" t="s">
        <v>58</v>
      </c>
    </row>
    <row r="3426" spans="1:8" ht="54.95" customHeight="1" x14ac:dyDescent="0.2">
      <c r="A3426" s="23" t="s">
        <v>356</v>
      </c>
      <c r="B3426" s="23" t="s">
        <v>25</v>
      </c>
      <c r="C3426" s="23" t="s">
        <v>46</v>
      </c>
      <c r="D3426" s="23" t="s">
        <v>46</v>
      </c>
      <c r="E3426" s="23" t="s">
        <v>101</v>
      </c>
      <c r="F3426" s="15" t="s">
        <v>104</v>
      </c>
      <c r="G3426" s="15" t="s">
        <v>5173</v>
      </c>
      <c r="H3426" s="23" t="s">
        <v>58</v>
      </c>
    </row>
    <row r="3427" spans="1:8" ht="54.95" customHeight="1" x14ac:dyDescent="0.2">
      <c r="A3427" s="23" t="s">
        <v>362</v>
      </c>
      <c r="B3427" s="23" t="s">
        <v>23</v>
      </c>
      <c r="C3427" s="23" t="s">
        <v>46</v>
      </c>
      <c r="D3427" s="23" t="s">
        <v>46</v>
      </c>
      <c r="E3427" s="23" t="s">
        <v>101</v>
      </c>
      <c r="F3427" s="15" t="s">
        <v>104</v>
      </c>
      <c r="G3427" s="15" t="s">
        <v>5173</v>
      </c>
      <c r="H3427" s="23" t="s">
        <v>58</v>
      </c>
    </row>
    <row r="3428" spans="1:8" ht="54.95" customHeight="1" x14ac:dyDescent="0.2">
      <c r="A3428" s="23" t="s">
        <v>362</v>
      </c>
      <c r="B3428" s="23" t="s">
        <v>25</v>
      </c>
      <c r="C3428" s="23" t="s">
        <v>46</v>
      </c>
      <c r="D3428" s="23" t="s">
        <v>46</v>
      </c>
      <c r="E3428" s="23" t="s">
        <v>101</v>
      </c>
      <c r="F3428" s="15" t="s">
        <v>104</v>
      </c>
      <c r="G3428" s="15" t="s">
        <v>5173</v>
      </c>
      <c r="H3428" s="23" t="s">
        <v>58</v>
      </c>
    </row>
    <row r="3429" spans="1:8" ht="54.95" customHeight="1" x14ac:dyDescent="0.2">
      <c r="A3429" s="23" t="s">
        <v>368</v>
      </c>
      <c r="B3429" s="23" t="s">
        <v>23</v>
      </c>
      <c r="C3429" s="23" t="s">
        <v>46</v>
      </c>
      <c r="D3429" s="23" t="s">
        <v>46</v>
      </c>
      <c r="E3429" s="23" t="s">
        <v>101</v>
      </c>
      <c r="F3429" s="15" t="s">
        <v>104</v>
      </c>
      <c r="G3429" s="15" t="s">
        <v>5173</v>
      </c>
      <c r="H3429" s="23" t="s">
        <v>58</v>
      </c>
    </row>
    <row r="3430" spans="1:8" ht="54.95" customHeight="1" x14ac:dyDescent="0.2">
      <c r="A3430" s="23" t="s">
        <v>368</v>
      </c>
      <c r="B3430" s="23" t="s">
        <v>25</v>
      </c>
      <c r="C3430" s="23" t="s">
        <v>46</v>
      </c>
      <c r="D3430" s="23" t="s">
        <v>46</v>
      </c>
      <c r="E3430" s="23" t="s">
        <v>101</v>
      </c>
      <c r="F3430" s="15" t="s">
        <v>104</v>
      </c>
      <c r="G3430" s="15" t="s">
        <v>5173</v>
      </c>
      <c r="H3430" s="23" t="s">
        <v>58</v>
      </c>
    </row>
    <row r="3431" spans="1:8" ht="54.95" customHeight="1" x14ac:dyDescent="0.2">
      <c r="A3431" s="23" t="s">
        <v>374</v>
      </c>
      <c r="B3431" s="23" t="s">
        <v>23</v>
      </c>
      <c r="C3431" s="23" t="s">
        <v>46</v>
      </c>
      <c r="D3431" s="23" t="s">
        <v>46</v>
      </c>
      <c r="E3431" s="23" t="s">
        <v>101</v>
      </c>
      <c r="F3431" s="15" t="s">
        <v>104</v>
      </c>
      <c r="G3431" s="15" t="s">
        <v>5173</v>
      </c>
      <c r="H3431" s="23" t="s">
        <v>58</v>
      </c>
    </row>
    <row r="3432" spans="1:8" ht="54.95" customHeight="1" x14ac:dyDescent="0.2">
      <c r="A3432" s="23" t="s">
        <v>374</v>
      </c>
      <c r="B3432" s="23" t="s">
        <v>25</v>
      </c>
      <c r="C3432" s="23" t="s">
        <v>46</v>
      </c>
      <c r="D3432" s="23" t="s">
        <v>46</v>
      </c>
      <c r="E3432" s="23" t="s">
        <v>101</v>
      </c>
      <c r="F3432" s="15" t="s">
        <v>104</v>
      </c>
      <c r="G3432" s="15" t="s">
        <v>5173</v>
      </c>
      <c r="H3432" s="23" t="s">
        <v>58</v>
      </c>
    </row>
    <row r="3433" spans="1:8" ht="54.95" customHeight="1" x14ac:dyDescent="0.2">
      <c r="A3433" s="23" t="s">
        <v>381</v>
      </c>
      <c r="B3433" s="23" t="s">
        <v>23</v>
      </c>
      <c r="C3433" s="23" t="s">
        <v>46</v>
      </c>
      <c r="D3433" s="23" t="s">
        <v>46</v>
      </c>
      <c r="E3433" s="23" t="s">
        <v>101</v>
      </c>
      <c r="F3433" s="15" t="s">
        <v>104</v>
      </c>
      <c r="G3433" s="15" t="s">
        <v>5173</v>
      </c>
      <c r="H3433" s="23" t="s">
        <v>58</v>
      </c>
    </row>
    <row r="3434" spans="1:8" ht="54.95" customHeight="1" x14ac:dyDescent="0.2">
      <c r="A3434" s="23" t="s">
        <v>381</v>
      </c>
      <c r="B3434" s="23" t="s">
        <v>25</v>
      </c>
      <c r="C3434" s="23" t="s">
        <v>46</v>
      </c>
      <c r="D3434" s="23" t="s">
        <v>46</v>
      </c>
      <c r="E3434" s="23" t="s">
        <v>101</v>
      </c>
      <c r="F3434" s="15" t="s">
        <v>104</v>
      </c>
      <c r="G3434" s="15" t="s">
        <v>5173</v>
      </c>
      <c r="H3434" s="23" t="s">
        <v>58</v>
      </c>
    </row>
    <row r="3435" spans="1:8" ht="54.95" customHeight="1" x14ac:dyDescent="0.2">
      <c r="A3435" s="23" t="s">
        <v>388</v>
      </c>
      <c r="B3435" s="23" t="s">
        <v>23</v>
      </c>
      <c r="C3435" s="23" t="s">
        <v>46</v>
      </c>
      <c r="D3435" s="23" t="s">
        <v>46</v>
      </c>
      <c r="E3435" s="23" t="s">
        <v>101</v>
      </c>
      <c r="F3435" s="15" t="s">
        <v>104</v>
      </c>
      <c r="G3435" s="15" t="s">
        <v>5173</v>
      </c>
      <c r="H3435" s="23" t="s">
        <v>58</v>
      </c>
    </row>
    <row r="3436" spans="1:8" ht="54.95" customHeight="1" x14ac:dyDescent="0.2">
      <c r="A3436" s="23" t="s">
        <v>388</v>
      </c>
      <c r="B3436" s="23" t="s">
        <v>25</v>
      </c>
      <c r="C3436" s="23" t="s">
        <v>46</v>
      </c>
      <c r="D3436" s="23" t="s">
        <v>46</v>
      </c>
      <c r="E3436" s="23" t="s">
        <v>101</v>
      </c>
      <c r="F3436" s="15" t="s">
        <v>104</v>
      </c>
      <c r="G3436" s="15" t="s">
        <v>5173</v>
      </c>
      <c r="H3436" s="23" t="s">
        <v>58</v>
      </c>
    </row>
    <row r="3437" spans="1:8" ht="54.95" customHeight="1" x14ac:dyDescent="0.2">
      <c r="A3437" s="23" t="s">
        <v>395</v>
      </c>
      <c r="B3437" s="23" t="s">
        <v>23</v>
      </c>
      <c r="C3437" s="23" t="s">
        <v>46</v>
      </c>
      <c r="D3437" s="23" t="s">
        <v>46</v>
      </c>
      <c r="E3437" s="23" t="s">
        <v>101</v>
      </c>
      <c r="F3437" s="15" t="s">
        <v>104</v>
      </c>
      <c r="G3437" s="15" t="s">
        <v>5173</v>
      </c>
      <c r="H3437" s="23" t="s">
        <v>58</v>
      </c>
    </row>
    <row r="3438" spans="1:8" ht="54.95" customHeight="1" x14ac:dyDescent="0.2">
      <c r="A3438" s="23" t="s">
        <v>395</v>
      </c>
      <c r="B3438" s="23" t="s">
        <v>25</v>
      </c>
      <c r="C3438" s="23" t="s">
        <v>46</v>
      </c>
      <c r="D3438" s="23" t="s">
        <v>46</v>
      </c>
      <c r="E3438" s="23" t="s">
        <v>101</v>
      </c>
      <c r="F3438" s="15" t="s">
        <v>104</v>
      </c>
      <c r="G3438" s="15" t="s">
        <v>5173</v>
      </c>
      <c r="H3438" s="23" t="s">
        <v>58</v>
      </c>
    </row>
    <row r="3439" spans="1:8" ht="54.95" customHeight="1" x14ac:dyDescent="0.2">
      <c r="A3439" s="23" t="s">
        <v>401</v>
      </c>
      <c r="B3439" s="23" t="s">
        <v>23</v>
      </c>
      <c r="C3439" s="23" t="s">
        <v>46</v>
      </c>
      <c r="D3439" s="23" t="s">
        <v>46</v>
      </c>
      <c r="E3439" s="23" t="s">
        <v>101</v>
      </c>
      <c r="F3439" s="15" t="s">
        <v>104</v>
      </c>
      <c r="G3439" s="15" t="s">
        <v>5173</v>
      </c>
      <c r="H3439" s="23" t="s">
        <v>58</v>
      </c>
    </row>
    <row r="3440" spans="1:8" ht="54.95" customHeight="1" x14ac:dyDescent="0.2">
      <c r="A3440" s="23" t="s">
        <v>401</v>
      </c>
      <c r="B3440" s="23" t="s">
        <v>24</v>
      </c>
      <c r="C3440" s="23" t="s">
        <v>46</v>
      </c>
      <c r="D3440" s="23" t="s">
        <v>46</v>
      </c>
      <c r="E3440" s="23" t="s">
        <v>101</v>
      </c>
      <c r="F3440" s="15" t="s">
        <v>104</v>
      </c>
      <c r="G3440" s="15" t="s">
        <v>5173</v>
      </c>
      <c r="H3440" s="23" t="s">
        <v>58</v>
      </c>
    </row>
    <row r="3441" spans="1:8" ht="54.95" customHeight="1" x14ac:dyDescent="0.2">
      <c r="A3441" s="23" t="s">
        <v>401</v>
      </c>
      <c r="B3441" s="23" t="s">
        <v>25</v>
      </c>
      <c r="C3441" s="23" t="s">
        <v>46</v>
      </c>
      <c r="D3441" s="23" t="s">
        <v>46</v>
      </c>
      <c r="E3441" s="23" t="s">
        <v>101</v>
      </c>
      <c r="F3441" s="15" t="s">
        <v>104</v>
      </c>
      <c r="G3441" s="15" t="s">
        <v>5173</v>
      </c>
      <c r="H3441" s="23" t="s">
        <v>58</v>
      </c>
    </row>
    <row r="3442" spans="1:8" ht="54.95" customHeight="1" x14ac:dyDescent="0.2">
      <c r="A3442" s="23" t="s">
        <v>407</v>
      </c>
      <c r="B3442" s="23" t="s">
        <v>23</v>
      </c>
      <c r="C3442" s="23" t="s">
        <v>46</v>
      </c>
      <c r="D3442" s="23" t="s">
        <v>46</v>
      </c>
      <c r="E3442" s="23" t="s">
        <v>101</v>
      </c>
      <c r="F3442" s="15" t="s">
        <v>104</v>
      </c>
      <c r="G3442" s="15" t="s">
        <v>5173</v>
      </c>
      <c r="H3442" s="23" t="s">
        <v>58</v>
      </c>
    </row>
    <row r="3443" spans="1:8" ht="54.95" customHeight="1" x14ac:dyDescent="0.2">
      <c r="A3443" s="23" t="s">
        <v>407</v>
      </c>
      <c r="B3443" s="23" t="s">
        <v>24</v>
      </c>
      <c r="C3443" s="23" t="s">
        <v>46</v>
      </c>
      <c r="D3443" s="23" t="s">
        <v>46</v>
      </c>
      <c r="E3443" s="23" t="s">
        <v>101</v>
      </c>
      <c r="F3443" s="15" t="s">
        <v>104</v>
      </c>
      <c r="G3443" s="15" t="s">
        <v>5173</v>
      </c>
      <c r="H3443" s="23" t="s">
        <v>58</v>
      </c>
    </row>
    <row r="3444" spans="1:8" ht="54.95" customHeight="1" x14ac:dyDescent="0.2">
      <c r="A3444" s="23" t="s">
        <v>407</v>
      </c>
      <c r="B3444" s="23" t="s">
        <v>25</v>
      </c>
      <c r="C3444" s="23" t="s">
        <v>46</v>
      </c>
      <c r="D3444" s="23" t="s">
        <v>46</v>
      </c>
      <c r="E3444" s="23" t="s">
        <v>101</v>
      </c>
      <c r="F3444" s="15" t="s">
        <v>104</v>
      </c>
      <c r="G3444" s="15" t="s">
        <v>5173</v>
      </c>
      <c r="H3444" s="23" t="s">
        <v>58</v>
      </c>
    </row>
    <row r="3445" spans="1:8" ht="54.95" customHeight="1" x14ac:dyDescent="0.2">
      <c r="A3445" s="23" t="s">
        <v>413</v>
      </c>
      <c r="B3445" s="23" t="s">
        <v>23</v>
      </c>
      <c r="C3445" s="23" t="s">
        <v>46</v>
      </c>
      <c r="D3445" s="23" t="s">
        <v>46</v>
      </c>
      <c r="E3445" s="23" t="s">
        <v>101</v>
      </c>
      <c r="F3445" s="15" t="s">
        <v>104</v>
      </c>
      <c r="G3445" s="15" t="s">
        <v>5173</v>
      </c>
      <c r="H3445" s="23" t="s">
        <v>58</v>
      </c>
    </row>
    <row r="3446" spans="1:8" ht="54.95" customHeight="1" x14ac:dyDescent="0.2">
      <c r="A3446" s="23" t="s">
        <v>413</v>
      </c>
      <c r="B3446" s="23" t="s">
        <v>24</v>
      </c>
      <c r="C3446" s="23" t="s">
        <v>46</v>
      </c>
      <c r="D3446" s="23" t="s">
        <v>46</v>
      </c>
      <c r="E3446" s="23" t="s">
        <v>101</v>
      </c>
      <c r="F3446" s="15" t="s">
        <v>104</v>
      </c>
      <c r="G3446" s="15" t="s">
        <v>5173</v>
      </c>
      <c r="H3446" s="23" t="s">
        <v>58</v>
      </c>
    </row>
    <row r="3447" spans="1:8" ht="54.95" customHeight="1" x14ac:dyDescent="0.2">
      <c r="A3447" s="23" t="s">
        <v>413</v>
      </c>
      <c r="B3447" s="23" t="s">
        <v>25</v>
      </c>
      <c r="C3447" s="23" t="s">
        <v>46</v>
      </c>
      <c r="D3447" s="23" t="s">
        <v>46</v>
      </c>
      <c r="E3447" s="23" t="s">
        <v>101</v>
      </c>
      <c r="F3447" s="15" t="s">
        <v>104</v>
      </c>
      <c r="G3447" s="15" t="s">
        <v>5173</v>
      </c>
      <c r="H3447" s="23" t="s">
        <v>58</v>
      </c>
    </row>
    <row r="3448" spans="1:8" ht="54.95" customHeight="1" x14ac:dyDescent="0.2">
      <c r="A3448" s="23" t="s">
        <v>419</v>
      </c>
      <c r="B3448" s="23" t="s">
        <v>23</v>
      </c>
      <c r="C3448" s="23" t="s">
        <v>46</v>
      </c>
      <c r="D3448" s="23" t="s">
        <v>46</v>
      </c>
      <c r="E3448" s="23" t="s">
        <v>101</v>
      </c>
      <c r="F3448" s="15" t="s">
        <v>104</v>
      </c>
      <c r="G3448" s="15" t="s">
        <v>5173</v>
      </c>
      <c r="H3448" s="23" t="s">
        <v>58</v>
      </c>
    </row>
    <row r="3449" spans="1:8" ht="54.95" customHeight="1" x14ac:dyDescent="0.2">
      <c r="A3449" s="23" t="s">
        <v>419</v>
      </c>
      <c r="B3449" s="23" t="s">
        <v>24</v>
      </c>
      <c r="C3449" s="23" t="s">
        <v>46</v>
      </c>
      <c r="D3449" s="23" t="s">
        <v>46</v>
      </c>
      <c r="E3449" s="23" t="s">
        <v>101</v>
      </c>
      <c r="F3449" s="15" t="s">
        <v>104</v>
      </c>
      <c r="G3449" s="15" t="s">
        <v>5173</v>
      </c>
      <c r="H3449" s="23" t="s">
        <v>58</v>
      </c>
    </row>
    <row r="3450" spans="1:8" ht="54.95" customHeight="1" x14ac:dyDescent="0.2">
      <c r="A3450" s="23" t="s">
        <v>419</v>
      </c>
      <c r="B3450" s="23" t="s">
        <v>25</v>
      </c>
      <c r="C3450" s="23" t="s">
        <v>46</v>
      </c>
      <c r="D3450" s="23" t="s">
        <v>46</v>
      </c>
      <c r="E3450" s="23" t="s">
        <v>101</v>
      </c>
      <c r="F3450" s="15" t="s">
        <v>104</v>
      </c>
      <c r="G3450" s="15" t="s">
        <v>5173</v>
      </c>
      <c r="H3450" s="23" t="s">
        <v>58</v>
      </c>
    </row>
    <row r="3451" spans="1:8" ht="54.95" customHeight="1" x14ac:dyDescent="0.2">
      <c r="A3451" s="23" t="s">
        <v>426</v>
      </c>
      <c r="B3451" s="23" t="s">
        <v>23</v>
      </c>
      <c r="C3451" s="23" t="s">
        <v>46</v>
      </c>
      <c r="D3451" s="23" t="s">
        <v>46</v>
      </c>
      <c r="E3451" s="23" t="s">
        <v>101</v>
      </c>
      <c r="F3451" s="15" t="s">
        <v>104</v>
      </c>
      <c r="G3451" s="15" t="s">
        <v>5173</v>
      </c>
      <c r="H3451" s="23" t="s">
        <v>58</v>
      </c>
    </row>
    <row r="3452" spans="1:8" ht="54.95" customHeight="1" x14ac:dyDescent="0.2">
      <c r="A3452" s="23" t="s">
        <v>426</v>
      </c>
      <c r="B3452" s="23" t="s">
        <v>24</v>
      </c>
      <c r="C3452" s="23" t="s">
        <v>46</v>
      </c>
      <c r="D3452" s="23" t="s">
        <v>46</v>
      </c>
      <c r="E3452" s="23" t="s">
        <v>101</v>
      </c>
      <c r="F3452" s="15" t="s">
        <v>104</v>
      </c>
      <c r="G3452" s="15" t="s">
        <v>5173</v>
      </c>
      <c r="H3452" s="23" t="s">
        <v>58</v>
      </c>
    </row>
    <row r="3453" spans="1:8" ht="54.95" customHeight="1" x14ac:dyDescent="0.2">
      <c r="A3453" s="23" t="s">
        <v>426</v>
      </c>
      <c r="B3453" s="23" t="s">
        <v>25</v>
      </c>
      <c r="C3453" s="23" t="s">
        <v>46</v>
      </c>
      <c r="D3453" s="23" t="s">
        <v>46</v>
      </c>
      <c r="E3453" s="23" t="s">
        <v>101</v>
      </c>
      <c r="F3453" s="15" t="s">
        <v>104</v>
      </c>
      <c r="G3453" s="15" t="s">
        <v>5173</v>
      </c>
      <c r="H3453" s="23" t="s">
        <v>58</v>
      </c>
    </row>
    <row r="3454" spans="1:8" ht="54.95" customHeight="1" x14ac:dyDescent="0.2">
      <c r="A3454" s="23" t="s">
        <v>432</v>
      </c>
      <c r="B3454" s="23" t="s">
        <v>23</v>
      </c>
      <c r="C3454" s="23" t="s">
        <v>46</v>
      </c>
      <c r="D3454" s="23" t="s">
        <v>46</v>
      </c>
      <c r="E3454" s="23" t="s">
        <v>101</v>
      </c>
      <c r="F3454" s="15" t="s">
        <v>104</v>
      </c>
      <c r="G3454" s="15" t="s">
        <v>5173</v>
      </c>
      <c r="H3454" s="23" t="s">
        <v>58</v>
      </c>
    </row>
    <row r="3455" spans="1:8" ht="54.95" customHeight="1" x14ac:dyDescent="0.2">
      <c r="A3455" s="23" t="s">
        <v>432</v>
      </c>
      <c r="B3455" s="23" t="s">
        <v>25</v>
      </c>
      <c r="C3455" s="23" t="s">
        <v>46</v>
      </c>
      <c r="D3455" s="23" t="s">
        <v>46</v>
      </c>
      <c r="E3455" s="23" t="s">
        <v>101</v>
      </c>
      <c r="F3455" s="15" t="s">
        <v>104</v>
      </c>
      <c r="G3455" s="15" t="s">
        <v>5173</v>
      </c>
      <c r="H3455" s="23" t="s">
        <v>58</v>
      </c>
    </row>
    <row r="3456" spans="1:8" ht="54.95" customHeight="1" x14ac:dyDescent="0.2">
      <c r="A3456" s="23" t="s">
        <v>439</v>
      </c>
      <c r="B3456" s="23" t="s">
        <v>23</v>
      </c>
      <c r="C3456" s="23" t="s">
        <v>46</v>
      </c>
      <c r="D3456" s="23" t="s">
        <v>46</v>
      </c>
      <c r="E3456" s="23" t="s">
        <v>101</v>
      </c>
      <c r="F3456" s="15" t="s">
        <v>104</v>
      </c>
      <c r="G3456" s="15" t="s">
        <v>5173</v>
      </c>
      <c r="H3456" s="23" t="s">
        <v>58</v>
      </c>
    </row>
    <row r="3457" spans="1:8" ht="54.95" customHeight="1" x14ac:dyDescent="0.2">
      <c r="A3457" s="23" t="s">
        <v>439</v>
      </c>
      <c r="B3457" s="23" t="s">
        <v>24</v>
      </c>
      <c r="C3457" s="23" t="s">
        <v>46</v>
      </c>
      <c r="D3457" s="23" t="s">
        <v>46</v>
      </c>
      <c r="E3457" s="23" t="s">
        <v>101</v>
      </c>
      <c r="F3457" s="15" t="s">
        <v>104</v>
      </c>
      <c r="G3457" s="15" t="s">
        <v>5173</v>
      </c>
      <c r="H3457" s="23" t="s">
        <v>58</v>
      </c>
    </row>
    <row r="3458" spans="1:8" ht="54.95" customHeight="1" x14ac:dyDescent="0.2">
      <c r="A3458" s="23" t="s">
        <v>439</v>
      </c>
      <c r="B3458" s="23" t="s">
        <v>25</v>
      </c>
      <c r="C3458" s="23" t="s">
        <v>46</v>
      </c>
      <c r="D3458" s="23" t="s">
        <v>46</v>
      </c>
      <c r="E3458" s="23" t="s">
        <v>101</v>
      </c>
      <c r="F3458" s="15" t="s">
        <v>104</v>
      </c>
      <c r="G3458" s="15" t="s">
        <v>5173</v>
      </c>
      <c r="H3458" s="23" t="s">
        <v>58</v>
      </c>
    </row>
    <row r="3459" spans="1:8" ht="54.95" customHeight="1" x14ac:dyDescent="0.2">
      <c r="A3459" s="23" t="s">
        <v>445</v>
      </c>
      <c r="B3459" s="23" t="s">
        <v>23</v>
      </c>
      <c r="C3459" s="23" t="s">
        <v>46</v>
      </c>
      <c r="D3459" s="23" t="s">
        <v>46</v>
      </c>
      <c r="E3459" s="23" t="s">
        <v>101</v>
      </c>
      <c r="F3459" s="15" t="s">
        <v>104</v>
      </c>
      <c r="G3459" s="15" t="s">
        <v>5173</v>
      </c>
      <c r="H3459" s="23" t="s">
        <v>58</v>
      </c>
    </row>
    <row r="3460" spans="1:8" ht="54.95" customHeight="1" x14ac:dyDescent="0.2">
      <c r="A3460" s="23" t="s">
        <v>445</v>
      </c>
      <c r="B3460" s="23" t="s">
        <v>25</v>
      </c>
      <c r="C3460" s="23" t="s">
        <v>46</v>
      </c>
      <c r="D3460" s="23" t="s">
        <v>46</v>
      </c>
      <c r="E3460" s="23" t="s">
        <v>101</v>
      </c>
      <c r="F3460" s="15" t="s">
        <v>104</v>
      </c>
      <c r="G3460" s="15" t="s">
        <v>5173</v>
      </c>
      <c r="H3460" s="23" t="s">
        <v>58</v>
      </c>
    </row>
    <row r="3461" spans="1:8" ht="54.95" customHeight="1" x14ac:dyDescent="0.2">
      <c r="A3461" s="23" t="s">
        <v>451</v>
      </c>
      <c r="B3461" s="23" t="s">
        <v>23</v>
      </c>
      <c r="C3461" s="23" t="s">
        <v>46</v>
      </c>
      <c r="D3461" s="23" t="s">
        <v>46</v>
      </c>
      <c r="E3461" s="23" t="s">
        <v>101</v>
      </c>
      <c r="F3461" s="15" t="s">
        <v>104</v>
      </c>
      <c r="G3461" s="15" t="s">
        <v>5173</v>
      </c>
      <c r="H3461" s="23" t="s">
        <v>58</v>
      </c>
    </row>
    <row r="3462" spans="1:8" ht="54.95" customHeight="1" x14ac:dyDescent="0.2">
      <c r="A3462" s="23" t="s">
        <v>451</v>
      </c>
      <c r="B3462" s="23" t="s">
        <v>24</v>
      </c>
      <c r="C3462" s="23" t="s">
        <v>46</v>
      </c>
      <c r="D3462" s="23" t="s">
        <v>46</v>
      </c>
      <c r="E3462" s="23" t="s">
        <v>101</v>
      </c>
      <c r="F3462" s="15" t="s">
        <v>104</v>
      </c>
      <c r="G3462" s="15" t="s">
        <v>5173</v>
      </c>
      <c r="H3462" s="23" t="s">
        <v>58</v>
      </c>
    </row>
    <row r="3463" spans="1:8" ht="54.95" customHeight="1" x14ac:dyDescent="0.2">
      <c r="A3463" s="23" t="s">
        <v>451</v>
      </c>
      <c r="B3463" s="23" t="s">
        <v>25</v>
      </c>
      <c r="C3463" s="23" t="s">
        <v>46</v>
      </c>
      <c r="D3463" s="23" t="s">
        <v>46</v>
      </c>
      <c r="E3463" s="23" t="s">
        <v>101</v>
      </c>
      <c r="F3463" s="15" t="s">
        <v>104</v>
      </c>
      <c r="G3463" s="15" t="s">
        <v>5173</v>
      </c>
      <c r="H3463" s="23" t="s">
        <v>58</v>
      </c>
    </row>
    <row r="3464" spans="1:8" ht="54.95" customHeight="1" x14ac:dyDescent="0.2">
      <c r="A3464" s="23" t="s">
        <v>458</v>
      </c>
      <c r="B3464" s="23" t="s">
        <v>23</v>
      </c>
      <c r="C3464" s="23" t="s">
        <v>46</v>
      </c>
      <c r="D3464" s="23" t="s">
        <v>46</v>
      </c>
      <c r="E3464" s="23" t="s">
        <v>101</v>
      </c>
      <c r="F3464" s="15" t="s">
        <v>104</v>
      </c>
      <c r="G3464" s="15" t="s">
        <v>5173</v>
      </c>
      <c r="H3464" s="23" t="s">
        <v>58</v>
      </c>
    </row>
    <row r="3465" spans="1:8" ht="54.95" customHeight="1" x14ac:dyDescent="0.2">
      <c r="A3465" s="23" t="s">
        <v>458</v>
      </c>
      <c r="B3465" s="23" t="s">
        <v>25</v>
      </c>
      <c r="C3465" s="23" t="s">
        <v>46</v>
      </c>
      <c r="D3465" s="23" t="s">
        <v>46</v>
      </c>
      <c r="E3465" s="23" t="s">
        <v>101</v>
      </c>
      <c r="F3465" s="15" t="s">
        <v>104</v>
      </c>
      <c r="G3465" s="15" t="s">
        <v>5173</v>
      </c>
      <c r="H3465" s="23" t="s">
        <v>58</v>
      </c>
    </row>
    <row r="3466" spans="1:8" ht="54.95" customHeight="1" x14ac:dyDescent="0.2">
      <c r="A3466" s="23" t="s">
        <v>464</v>
      </c>
      <c r="B3466" s="23" t="s">
        <v>23</v>
      </c>
      <c r="C3466" s="23" t="s">
        <v>46</v>
      </c>
      <c r="D3466" s="23" t="s">
        <v>46</v>
      </c>
      <c r="E3466" s="23" t="s">
        <v>101</v>
      </c>
      <c r="F3466" s="15" t="s">
        <v>104</v>
      </c>
      <c r="G3466" s="15" t="s">
        <v>5173</v>
      </c>
      <c r="H3466" s="23" t="s">
        <v>58</v>
      </c>
    </row>
    <row r="3467" spans="1:8" ht="54.95" customHeight="1" x14ac:dyDescent="0.2">
      <c r="A3467" s="23" t="s">
        <v>464</v>
      </c>
      <c r="B3467" s="23" t="s">
        <v>25</v>
      </c>
      <c r="C3467" s="23" t="s">
        <v>46</v>
      </c>
      <c r="D3467" s="23" t="s">
        <v>46</v>
      </c>
      <c r="E3467" s="23" t="s">
        <v>101</v>
      </c>
      <c r="F3467" s="15" t="s">
        <v>104</v>
      </c>
      <c r="G3467" s="15" t="s">
        <v>5173</v>
      </c>
      <c r="H3467" s="23" t="s">
        <v>58</v>
      </c>
    </row>
    <row r="3468" spans="1:8" ht="54.95" customHeight="1" x14ac:dyDescent="0.2">
      <c r="A3468" s="23" t="s">
        <v>471</v>
      </c>
      <c r="B3468" s="23" t="s">
        <v>23</v>
      </c>
      <c r="C3468" s="23" t="s">
        <v>46</v>
      </c>
      <c r="D3468" s="23" t="s">
        <v>46</v>
      </c>
      <c r="E3468" s="23" t="s">
        <v>101</v>
      </c>
      <c r="F3468" s="15" t="s">
        <v>104</v>
      </c>
      <c r="G3468" s="15" t="s">
        <v>5173</v>
      </c>
      <c r="H3468" s="23" t="s">
        <v>58</v>
      </c>
    </row>
    <row r="3469" spans="1:8" ht="54.95" customHeight="1" x14ac:dyDescent="0.2">
      <c r="A3469" s="23" t="s">
        <v>471</v>
      </c>
      <c r="B3469" s="23" t="s">
        <v>25</v>
      </c>
      <c r="C3469" s="23" t="s">
        <v>46</v>
      </c>
      <c r="D3469" s="23" t="s">
        <v>46</v>
      </c>
      <c r="E3469" s="23" t="s">
        <v>101</v>
      </c>
      <c r="F3469" s="15" t="s">
        <v>104</v>
      </c>
      <c r="G3469" s="15" t="s">
        <v>5173</v>
      </c>
      <c r="H3469" s="23" t="s">
        <v>58</v>
      </c>
    </row>
    <row r="3470" spans="1:8" ht="54.95" customHeight="1" x14ac:dyDescent="0.2">
      <c r="A3470" s="23" t="s">
        <v>478</v>
      </c>
      <c r="B3470" s="23" t="s">
        <v>11</v>
      </c>
      <c r="C3470" s="23" t="s">
        <v>46</v>
      </c>
      <c r="D3470" s="23" t="s">
        <v>46</v>
      </c>
      <c r="E3470" s="23" t="s">
        <v>46</v>
      </c>
      <c r="F3470" s="15" t="s">
        <v>198</v>
      </c>
      <c r="G3470" s="15" t="s">
        <v>5173</v>
      </c>
      <c r="H3470" s="23" t="s">
        <v>58</v>
      </c>
    </row>
    <row r="3471" spans="1:8" ht="54.95" customHeight="1" x14ac:dyDescent="0.2">
      <c r="A3471" s="23" t="s">
        <v>478</v>
      </c>
      <c r="B3471" s="23" t="s">
        <v>13</v>
      </c>
      <c r="C3471" s="23" t="s">
        <v>46</v>
      </c>
      <c r="D3471" s="23" t="s">
        <v>46</v>
      </c>
      <c r="E3471" s="23" t="s">
        <v>46</v>
      </c>
      <c r="F3471" s="15" t="s">
        <v>198</v>
      </c>
      <c r="G3471" s="15" t="s">
        <v>5173</v>
      </c>
      <c r="H3471" s="23" t="s">
        <v>58</v>
      </c>
    </row>
    <row r="3472" spans="1:8" ht="54.95" customHeight="1" x14ac:dyDescent="0.2">
      <c r="A3472" s="23" t="s">
        <v>478</v>
      </c>
      <c r="B3472" s="23" t="s">
        <v>14</v>
      </c>
      <c r="C3472" s="23" t="s">
        <v>46</v>
      </c>
      <c r="D3472" s="23" t="s">
        <v>46</v>
      </c>
      <c r="E3472" s="23" t="s">
        <v>46</v>
      </c>
      <c r="F3472" s="15" t="s">
        <v>198</v>
      </c>
      <c r="G3472" s="15" t="s">
        <v>5173</v>
      </c>
      <c r="H3472" s="23" t="s">
        <v>58</v>
      </c>
    </row>
    <row r="3473" spans="1:8" ht="54.95" customHeight="1" x14ac:dyDescent="0.2">
      <c r="A3473" s="23" t="s">
        <v>478</v>
      </c>
      <c r="B3473" s="23" t="s">
        <v>21</v>
      </c>
      <c r="C3473" s="23" t="s">
        <v>46</v>
      </c>
      <c r="D3473" s="23" t="s">
        <v>46</v>
      </c>
      <c r="E3473" s="23" t="s">
        <v>101</v>
      </c>
      <c r="F3473" s="15" t="s">
        <v>104</v>
      </c>
      <c r="G3473" s="15" t="s">
        <v>5173</v>
      </c>
      <c r="H3473" s="23" t="s">
        <v>58</v>
      </c>
    </row>
    <row r="3474" spans="1:8" ht="54.95" customHeight="1" x14ac:dyDescent="0.2">
      <c r="A3474" s="23" t="s">
        <v>478</v>
      </c>
      <c r="B3474" s="23" t="s">
        <v>22</v>
      </c>
      <c r="C3474" s="23" t="s">
        <v>46</v>
      </c>
      <c r="D3474" s="23" t="s">
        <v>46</v>
      </c>
      <c r="E3474" s="23" t="s">
        <v>101</v>
      </c>
      <c r="F3474" s="15" t="s">
        <v>104</v>
      </c>
      <c r="G3474" s="15" t="s">
        <v>5173</v>
      </c>
      <c r="H3474" s="23" t="s">
        <v>58</v>
      </c>
    </row>
    <row r="3475" spans="1:8" ht="54.95" customHeight="1" x14ac:dyDescent="0.2">
      <c r="A3475" s="23" t="s">
        <v>478</v>
      </c>
      <c r="B3475" s="23" t="s">
        <v>23</v>
      </c>
      <c r="C3475" s="23" t="s">
        <v>46</v>
      </c>
      <c r="D3475" s="23" t="s">
        <v>46</v>
      </c>
      <c r="E3475" s="23" t="s">
        <v>101</v>
      </c>
      <c r="F3475" s="15" t="s">
        <v>104</v>
      </c>
      <c r="G3475" s="15" t="s">
        <v>5173</v>
      </c>
      <c r="H3475" s="23" t="s">
        <v>58</v>
      </c>
    </row>
    <row r="3476" spans="1:8" ht="54.95" customHeight="1" x14ac:dyDescent="0.2">
      <c r="A3476" s="23" t="s">
        <v>478</v>
      </c>
      <c r="B3476" s="23" t="s">
        <v>24</v>
      </c>
      <c r="C3476" s="23" t="s">
        <v>46</v>
      </c>
      <c r="D3476" s="23" t="s">
        <v>46</v>
      </c>
      <c r="E3476" s="23" t="s">
        <v>101</v>
      </c>
      <c r="F3476" s="15" t="s">
        <v>104</v>
      </c>
      <c r="G3476" s="15" t="s">
        <v>5173</v>
      </c>
      <c r="H3476" s="23" t="s">
        <v>58</v>
      </c>
    </row>
    <row r="3477" spans="1:8" ht="54.95" customHeight="1" x14ac:dyDescent="0.2">
      <c r="A3477" s="23" t="s">
        <v>478</v>
      </c>
      <c r="B3477" s="23" t="s">
        <v>25</v>
      </c>
      <c r="C3477" s="23" t="s">
        <v>46</v>
      </c>
      <c r="D3477" s="23" t="s">
        <v>46</v>
      </c>
      <c r="E3477" s="23" t="s">
        <v>101</v>
      </c>
      <c r="F3477" s="15" t="s">
        <v>104</v>
      </c>
      <c r="G3477" s="15" t="s">
        <v>5173</v>
      </c>
      <c r="H3477" s="23" t="s">
        <v>58</v>
      </c>
    </row>
    <row r="3478" spans="1:8" ht="54.95" customHeight="1" x14ac:dyDescent="0.2">
      <c r="A3478" s="23" t="s">
        <v>482</v>
      </c>
      <c r="B3478" s="23" t="s">
        <v>23</v>
      </c>
      <c r="C3478" s="23" t="s">
        <v>46</v>
      </c>
      <c r="D3478" s="23" t="s">
        <v>46</v>
      </c>
      <c r="E3478" s="23" t="s">
        <v>101</v>
      </c>
      <c r="F3478" s="15" t="s">
        <v>104</v>
      </c>
      <c r="G3478" s="15" t="s">
        <v>5173</v>
      </c>
      <c r="H3478" s="23" t="s">
        <v>58</v>
      </c>
    </row>
    <row r="3479" spans="1:8" ht="54.95" customHeight="1" x14ac:dyDescent="0.2">
      <c r="A3479" s="23" t="s">
        <v>482</v>
      </c>
      <c r="B3479" s="23" t="s">
        <v>25</v>
      </c>
      <c r="C3479" s="23" t="s">
        <v>46</v>
      </c>
      <c r="D3479" s="23" t="s">
        <v>46</v>
      </c>
      <c r="E3479" s="23" t="s">
        <v>101</v>
      </c>
      <c r="F3479" s="15" t="s">
        <v>104</v>
      </c>
      <c r="G3479" s="15" t="s">
        <v>5173</v>
      </c>
      <c r="H3479" s="23" t="s">
        <v>58</v>
      </c>
    </row>
    <row r="3480" spans="1:8" ht="54.95" customHeight="1" x14ac:dyDescent="0.2">
      <c r="A3480" s="23" t="s">
        <v>488</v>
      </c>
      <c r="B3480" s="23" t="s">
        <v>23</v>
      </c>
      <c r="C3480" s="23" t="s">
        <v>46</v>
      </c>
      <c r="D3480" s="23" t="s">
        <v>46</v>
      </c>
      <c r="E3480" s="23" t="s">
        <v>101</v>
      </c>
      <c r="F3480" s="15" t="s">
        <v>104</v>
      </c>
      <c r="G3480" s="15" t="s">
        <v>5173</v>
      </c>
      <c r="H3480" s="23" t="s">
        <v>58</v>
      </c>
    </row>
    <row r="3481" spans="1:8" ht="54.95" customHeight="1" x14ac:dyDescent="0.2">
      <c r="A3481" s="23" t="s">
        <v>488</v>
      </c>
      <c r="B3481" s="23" t="s">
        <v>25</v>
      </c>
      <c r="C3481" s="23" t="s">
        <v>46</v>
      </c>
      <c r="D3481" s="23" t="s">
        <v>46</v>
      </c>
      <c r="E3481" s="23" t="s">
        <v>101</v>
      </c>
      <c r="F3481" s="15" t="s">
        <v>104</v>
      </c>
      <c r="G3481" s="15" t="s">
        <v>5173</v>
      </c>
      <c r="H3481" s="23" t="s">
        <v>58</v>
      </c>
    </row>
    <row r="3482" spans="1:8" ht="54.95" customHeight="1" x14ac:dyDescent="0.2">
      <c r="A3482" s="23" t="s">
        <v>494</v>
      </c>
      <c r="B3482" s="23" t="s">
        <v>23</v>
      </c>
      <c r="C3482" s="23" t="s">
        <v>46</v>
      </c>
      <c r="D3482" s="23" t="s">
        <v>46</v>
      </c>
      <c r="E3482" s="23" t="s">
        <v>101</v>
      </c>
      <c r="F3482" s="15" t="s">
        <v>104</v>
      </c>
      <c r="G3482" s="15" t="s">
        <v>5173</v>
      </c>
      <c r="H3482" s="23" t="s">
        <v>58</v>
      </c>
    </row>
    <row r="3483" spans="1:8" ht="54.95" customHeight="1" x14ac:dyDescent="0.2">
      <c r="A3483" s="23" t="s">
        <v>494</v>
      </c>
      <c r="B3483" s="23" t="s">
        <v>24</v>
      </c>
      <c r="C3483" s="23" t="s">
        <v>46</v>
      </c>
      <c r="D3483" s="23" t="s">
        <v>46</v>
      </c>
      <c r="E3483" s="23" t="s">
        <v>101</v>
      </c>
      <c r="F3483" s="15" t="s">
        <v>104</v>
      </c>
      <c r="G3483" s="15" t="s">
        <v>5173</v>
      </c>
      <c r="H3483" s="23" t="s">
        <v>58</v>
      </c>
    </row>
    <row r="3484" spans="1:8" ht="54.95" customHeight="1" x14ac:dyDescent="0.2">
      <c r="A3484" s="23" t="s">
        <v>494</v>
      </c>
      <c r="B3484" s="23" t="s">
        <v>25</v>
      </c>
      <c r="C3484" s="23" t="s">
        <v>46</v>
      </c>
      <c r="D3484" s="23" t="s">
        <v>46</v>
      </c>
      <c r="E3484" s="23" t="s">
        <v>101</v>
      </c>
      <c r="F3484" s="15" t="s">
        <v>104</v>
      </c>
      <c r="G3484" s="15" t="s">
        <v>5173</v>
      </c>
      <c r="H3484" s="23" t="s">
        <v>58</v>
      </c>
    </row>
    <row r="3485" spans="1:8" ht="54.95" customHeight="1" x14ac:dyDescent="0.2">
      <c r="A3485" s="23" t="s">
        <v>500</v>
      </c>
      <c r="B3485" s="23" t="s">
        <v>23</v>
      </c>
      <c r="C3485" s="23" t="s">
        <v>46</v>
      </c>
      <c r="D3485" s="23" t="s">
        <v>46</v>
      </c>
      <c r="E3485" s="23" t="s">
        <v>101</v>
      </c>
      <c r="F3485" s="15" t="s">
        <v>104</v>
      </c>
      <c r="G3485" s="15" t="s">
        <v>5173</v>
      </c>
      <c r="H3485" s="23" t="s">
        <v>58</v>
      </c>
    </row>
    <row r="3486" spans="1:8" ht="54.95" customHeight="1" x14ac:dyDescent="0.2">
      <c r="A3486" s="23" t="s">
        <v>500</v>
      </c>
      <c r="B3486" s="23" t="s">
        <v>24</v>
      </c>
      <c r="C3486" s="23" t="s">
        <v>46</v>
      </c>
      <c r="D3486" s="23" t="s">
        <v>46</v>
      </c>
      <c r="E3486" s="23" t="s">
        <v>101</v>
      </c>
      <c r="F3486" s="15" t="s">
        <v>104</v>
      </c>
      <c r="G3486" s="15" t="s">
        <v>5173</v>
      </c>
      <c r="H3486" s="23" t="s">
        <v>58</v>
      </c>
    </row>
    <row r="3487" spans="1:8" ht="54.95" customHeight="1" x14ac:dyDescent="0.2">
      <c r="A3487" s="23" t="s">
        <v>500</v>
      </c>
      <c r="B3487" s="23" t="s">
        <v>25</v>
      </c>
      <c r="C3487" s="23" t="s">
        <v>46</v>
      </c>
      <c r="D3487" s="23" t="s">
        <v>46</v>
      </c>
      <c r="E3487" s="23" t="s">
        <v>101</v>
      </c>
      <c r="F3487" s="15" t="s">
        <v>104</v>
      </c>
      <c r="G3487" s="15" t="s">
        <v>5173</v>
      </c>
      <c r="H3487" s="23" t="s">
        <v>58</v>
      </c>
    </row>
    <row r="3488" spans="1:8" ht="54.95" customHeight="1" x14ac:dyDescent="0.2">
      <c r="A3488" s="23" t="s">
        <v>506</v>
      </c>
      <c r="B3488" s="23" t="s">
        <v>23</v>
      </c>
      <c r="C3488" s="23" t="s">
        <v>46</v>
      </c>
      <c r="D3488" s="23" t="s">
        <v>46</v>
      </c>
      <c r="E3488" s="23" t="s">
        <v>101</v>
      </c>
      <c r="F3488" s="15" t="s">
        <v>104</v>
      </c>
      <c r="G3488" s="15" t="s">
        <v>5173</v>
      </c>
      <c r="H3488" s="23" t="s">
        <v>58</v>
      </c>
    </row>
    <row r="3489" spans="1:8" ht="54.95" customHeight="1" x14ac:dyDescent="0.2">
      <c r="A3489" s="23" t="s">
        <v>506</v>
      </c>
      <c r="B3489" s="23" t="s">
        <v>25</v>
      </c>
      <c r="C3489" s="23" t="s">
        <v>46</v>
      </c>
      <c r="D3489" s="23" t="s">
        <v>46</v>
      </c>
      <c r="E3489" s="23" t="s">
        <v>101</v>
      </c>
      <c r="F3489" s="15" t="s">
        <v>104</v>
      </c>
      <c r="G3489" s="15" t="s">
        <v>5173</v>
      </c>
      <c r="H3489" s="23" t="s">
        <v>58</v>
      </c>
    </row>
    <row r="3490" spans="1:8" ht="54.95" customHeight="1" x14ac:dyDescent="0.2">
      <c r="A3490" s="23" t="s">
        <v>512</v>
      </c>
      <c r="B3490" s="23" t="s">
        <v>23</v>
      </c>
      <c r="C3490" s="23" t="s">
        <v>46</v>
      </c>
      <c r="D3490" s="23" t="s">
        <v>46</v>
      </c>
      <c r="E3490" s="23" t="s">
        <v>101</v>
      </c>
      <c r="F3490" s="15" t="s">
        <v>104</v>
      </c>
      <c r="G3490" s="15" t="s">
        <v>5173</v>
      </c>
      <c r="H3490" s="23" t="s">
        <v>58</v>
      </c>
    </row>
    <row r="3491" spans="1:8" ht="54.95" customHeight="1" x14ac:dyDescent="0.2">
      <c r="A3491" s="23" t="s">
        <v>512</v>
      </c>
      <c r="B3491" s="23" t="s">
        <v>24</v>
      </c>
      <c r="C3491" s="23" t="s">
        <v>46</v>
      </c>
      <c r="D3491" s="23" t="s">
        <v>46</v>
      </c>
      <c r="E3491" s="23" t="s">
        <v>101</v>
      </c>
      <c r="F3491" s="15" t="s">
        <v>104</v>
      </c>
      <c r="G3491" s="15" t="s">
        <v>5173</v>
      </c>
      <c r="H3491" s="23" t="s">
        <v>58</v>
      </c>
    </row>
    <row r="3492" spans="1:8" ht="54.95" customHeight="1" x14ac:dyDescent="0.2">
      <c r="A3492" s="23" t="s">
        <v>512</v>
      </c>
      <c r="B3492" s="23" t="s">
        <v>25</v>
      </c>
      <c r="C3492" s="23" t="s">
        <v>46</v>
      </c>
      <c r="D3492" s="23" t="s">
        <v>46</v>
      </c>
      <c r="E3492" s="23" t="s">
        <v>101</v>
      </c>
      <c r="F3492" s="15" t="s">
        <v>104</v>
      </c>
      <c r="G3492" s="15" t="s">
        <v>5173</v>
      </c>
      <c r="H3492" s="23" t="s">
        <v>58</v>
      </c>
    </row>
    <row r="3493" spans="1:8" ht="54.95" customHeight="1" x14ac:dyDescent="0.2">
      <c r="A3493" s="23" t="s">
        <v>518</v>
      </c>
      <c r="B3493" s="23" t="s">
        <v>23</v>
      </c>
      <c r="C3493" s="23" t="s">
        <v>46</v>
      </c>
      <c r="D3493" s="23" t="s">
        <v>46</v>
      </c>
      <c r="E3493" s="23" t="s">
        <v>101</v>
      </c>
      <c r="F3493" s="15" t="s">
        <v>104</v>
      </c>
      <c r="G3493" s="15" t="s">
        <v>5173</v>
      </c>
      <c r="H3493" s="23" t="s">
        <v>58</v>
      </c>
    </row>
    <row r="3494" spans="1:8" ht="54.95" customHeight="1" x14ac:dyDescent="0.2">
      <c r="A3494" s="23" t="s">
        <v>518</v>
      </c>
      <c r="B3494" s="23" t="s">
        <v>24</v>
      </c>
      <c r="C3494" s="23" t="s">
        <v>46</v>
      </c>
      <c r="D3494" s="23" t="s">
        <v>46</v>
      </c>
      <c r="E3494" s="23" t="s">
        <v>101</v>
      </c>
      <c r="F3494" s="15" t="s">
        <v>104</v>
      </c>
      <c r="G3494" s="15" t="s">
        <v>5173</v>
      </c>
      <c r="H3494" s="23" t="s">
        <v>58</v>
      </c>
    </row>
    <row r="3495" spans="1:8" ht="54.95" customHeight="1" x14ac:dyDescent="0.2">
      <c r="A3495" s="23" t="s">
        <v>518</v>
      </c>
      <c r="B3495" s="23" t="s">
        <v>25</v>
      </c>
      <c r="C3495" s="23" t="s">
        <v>46</v>
      </c>
      <c r="D3495" s="23" t="s">
        <v>46</v>
      </c>
      <c r="E3495" s="23" t="s">
        <v>101</v>
      </c>
      <c r="F3495" s="15" t="s">
        <v>104</v>
      </c>
      <c r="G3495" s="15" t="s">
        <v>5173</v>
      </c>
      <c r="H3495" s="23" t="s">
        <v>58</v>
      </c>
    </row>
    <row r="3496" spans="1:8" ht="54.95" customHeight="1" x14ac:dyDescent="0.2">
      <c r="A3496" s="23" t="s">
        <v>524</v>
      </c>
      <c r="B3496" s="23" t="s">
        <v>23</v>
      </c>
      <c r="C3496" s="23" t="s">
        <v>46</v>
      </c>
      <c r="D3496" s="23" t="s">
        <v>46</v>
      </c>
      <c r="E3496" s="23" t="s">
        <v>101</v>
      </c>
      <c r="F3496" s="15" t="s">
        <v>104</v>
      </c>
      <c r="G3496" s="15" t="s">
        <v>5173</v>
      </c>
      <c r="H3496" s="23" t="s">
        <v>58</v>
      </c>
    </row>
    <row r="3497" spans="1:8" ht="54.95" customHeight="1" x14ac:dyDescent="0.2">
      <c r="A3497" s="23" t="s">
        <v>524</v>
      </c>
      <c r="B3497" s="23" t="s">
        <v>24</v>
      </c>
      <c r="C3497" s="23" t="s">
        <v>46</v>
      </c>
      <c r="D3497" s="23" t="s">
        <v>46</v>
      </c>
      <c r="E3497" s="23" t="s">
        <v>101</v>
      </c>
      <c r="F3497" s="15" t="s">
        <v>104</v>
      </c>
      <c r="G3497" s="15" t="s">
        <v>5173</v>
      </c>
      <c r="H3497" s="23" t="s">
        <v>58</v>
      </c>
    </row>
    <row r="3498" spans="1:8" ht="54.95" customHeight="1" x14ac:dyDescent="0.2">
      <c r="A3498" s="23" t="s">
        <v>524</v>
      </c>
      <c r="B3498" s="23" t="s">
        <v>25</v>
      </c>
      <c r="C3498" s="23" t="s">
        <v>46</v>
      </c>
      <c r="D3498" s="23" t="s">
        <v>46</v>
      </c>
      <c r="E3498" s="23" t="s">
        <v>101</v>
      </c>
      <c r="F3498" s="15" t="s">
        <v>104</v>
      </c>
      <c r="G3498" s="15" t="s">
        <v>5173</v>
      </c>
      <c r="H3498" s="23" t="s">
        <v>58</v>
      </c>
    </row>
    <row r="3499" spans="1:8" ht="54.95" customHeight="1" x14ac:dyDescent="0.2">
      <c r="A3499" s="23" t="s">
        <v>530</v>
      </c>
      <c r="B3499" s="23" t="s">
        <v>23</v>
      </c>
      <c r="C3499" s="23" t="s">
        <v>46</v>
      </c>
      <c r="D3499" s="23" t="s">
        <v>46</v>
      </c>
      <c r="E3499" s="23" t="s">
        <v>101</v>
      </c>
      <c r="F3499" s="15" t="s">
        <v>104</v>
      </c>
      <c r="G3499" s="15" t="s">
        <v>5173</v>
      </c>
      <c r="H3499" s="23" t="s">
        <v>58</v>
      </c>
    </row>
    <row r="3500" spans="1:8" ht="54.95" customHeight="1" x14ac:dyDescent="0.2">
      <c r="A3500" s="23" t="s">
        <v>530</v>
      </c>
      <c r="B3500" s="23" t="s">
        <v>25</v>
      </c>
      <c r="C3500" s="23" t="s">
        <v>46</v>
      </c>
      <c r="D3500" s="23" t="s">
        <v>46</v>
      </c>
      <c r="E3500" s="23" t="s">
        <v>101</v>
      </c>
      <c r="F3500" s="15" t="s">
        <v>104</v>
      </c>
      <c r="G3500" s="15" t="s">
        <v>5173</v>
      </c>
      <c r="H3500" s="23" t="s">
        <v>58</v>
      </c>
    </row>
    <row r="3501" spans="1:8" ht="54.95" customHeight="1" x14ac:dyDescent="0.2">
      <c r="A3501" s="23" t="s">
        <v>537</v>
      </c>
      <c r="B3501" s="23" t="s">
        <v>23</v>
      </c>
      <c r="C3501" s="23" t="s">
        <v>46</v>
      </c>
      <c r="D3501" s="23" t="s">
        <v>46</v>
      </c>
      <c r="E3501" s="23" t="s">
        <v>101</v>
      </c>
      <c r="F3501" s="15" t="s">
        <v>104</v>
      </c>
      <c r="G3501" s="15" t="s">
        <v>5173</v>
      </c>
      <c r="H3501" s="23" t="s">
        <v>58</v>
      </c>
    </row>
    <row r="3502" spans="1:8" ht="54.95" customHeight="1" x14ac:dyDescent="0.2">
      <c r="A3502" s="23" t="s">
        <v>537</v>
      </c>
      <c r="B3502" s="23" t="s">
        <v>25</v>
      </c>
      <c r="C3502" s="23" t="s">
        <v>46</v>
      </c>
      <c r="D3502" s="23" t="s">
        <v>46</v>
      </c>
      <c r="E3502" s="23" t="s">
        <v>101</v>
      </c>
      <c r="F3502" s="15" t="s">
        <v>104</v>
      </c>
      <c r="G3502" s="15" t="s">
        <v>5173</v>
      </c>
      <c r="H3502" s="23" t="s">
        <v>58</v>
      </c>
    </row>
    <row r="3503" spans="1:8" ht="54.95" customHeight="1" x14ac:dyDescent="0.2">
      <c r="A3503" s="23" t="s">
        <v>543</v>
      </c>
      <c r="B3503" s="23" t="s">
        <v>23</v>
      </c>
      <c r="C3503" s="23" t="s">
        <v>46</v>
      </c>
      <c r="D3503" s="23" t="s">
        <v>46</v>
      </c>
      <c r="E3503" s="23" t="s">
        <v>101</v>
      </c>
      <c r="F3503" s="15" t="s">
        <v>104</v>
      </c>
      <c r="G3503" s="15" t="s">
        <v>5173</v>
      </c>
      <c r="H3503" s="23" t="s">
        <v>58</v>
      </c>
    </row>
    <row r="3504" spans="1:8" ht="54.95" customHeight="1" x14ac:dyDescent="0.2">
      <c r="A3504" s="23" t="s">
        <v>543</v>
      </c>
      <c r="B3504" s="23" t="s">
        <v>25</v>
      </c>
      <c r="C3504" s="23" t="s">
        <v>46</v>
      </c>
      <c r="D3504" s="23" t="s">
        <v>46</v>
      </c>
      <c r="E3504" s="23" t="s">
        <v>101</v>
      </c>
      <c r="F3504" s="15" t="s">
        <v>104</v>
      </c>
      <c r="G3504" s="15" t="s">
        <v>5173</v>
      </c>
      <c r="H3504" s="23" t="s">
        <v>58</v>
      </c>
    </row>
    <row r="3505" spans="1:8" ht="54.95" customHeight="1" x14ac:dyDescent="0.2">
      <c r="A3505" s="23" t="s">
        <v>549</v>
      </c>
      <c r="B3505" s="23" t="s">
        <v>23</v>
      </c>
      <c r="C3505" s="23" t="s">
        <v>46</v>
      </c>
      <c r="D3505" s="23" t="s">
        <v>46</v>
      </c>
      <c r="E3505" s="23" t="s">
        <v>101</v>
      </c>
      <c r="F3505" s="15" t="s">
        <v>104</v>
      </c>
      <c r="G3505" s="15" t="s">
        <v>5173</v>
      </c>
      <c r="H3505" s="23" t="s">
        <v>58</v>
      </c>
    </row>
    <row r="3506" spans="1:8" ht="54.95" customHeight="1" x14ac:dyDescent="0.2">
      <c r="A3506" s="23" t="s">
        <v>549</v>
      </c>
      <c r="B3506" s="23" t="s">
        <v>25</v>
      </c>
      <c r="C3506" s="23" t="s">
        <v>46</v>
      </c>
      <c r="D3506" s="23" t="s">
        <v>46</v>
      </c>
      <c r="E3506" s="23" t="s">
        <v>101</v>
      </c>
      <c r="F3506" s="15" t="s">
        <v>104</v>
      </c>
      <c r="G3506" s="15" t="s">
        <v>5173</v>
      </c>
      <c r="H3506" s="23" t="s">
        <v>58</v>
      </c>
    </row>
    <row r="3507" spans="1:8" ht="54.95" customHeight="1" x14ac:dyDescent="0.2">
      <c r="A3507" s="23" t="s">
        <v>555</v>
      </c>
      <c r="B3507" s="23" t="s">
        <v>23</v>
      </c>
      <c r="C3507" s="23" t="s">
        <v>46</v>
      </c>
      <c r="D3507" s="23" t="s">
        <v>46</v>
      </c>
      <c r="E3507" s="23" t="s">
        <v>101</v>
      </c>
      <c r="F3507" s="15" t="s">
        <v>104</v>
      </c>
      <c r="G3507" s="15" t="s">
        <v>5173</v>
      </c>
      <c r="H3507" s="23" t="s">
        <v>58</v>
      </c>
    </row>
    <row r="3508" spans="1:8" ht="54.95" customHeight="1" x14ac:dyDescent="0.2">
      <c r="A3508" s="23" t="s">
        <v>555</v>
      </c>
      <c r="B3508" s="23" t="s">
        <v>24</v>
      </c>
      <c r="C3508" s="23" t="s">
        <v>46</v>
      </c>
      <c r="D3508" s="23" t="s">
        <v>46</v>
      </c>
      <c r="E3508" s="23" t="s">
        <v>101</v>
      </c>
      <c r="F3508" s="15" t="s">
        <v>104</v>
      </c>
      <c r="G3508" s="15" t="s">
        <v>5173</v>
      </c>
      <c r="H3508" s="23" t="s">
        <v>58</v>
      </c>
    </row>
    <row r="3509" spans="1:8" ht="54.95" customHeight="1" x14ac:dyDescent="0.2">
      <c r="A3509" s="23" t="s">
        <v>555</v>
      </c>
      <c r="B3509" s="23" t="s">
        <v>25</v>
      </c>
      <c r="C3509" s="23" t="s">
        <v>46</v>
      </c>
      <c r="D3509" s="23" t="s">
        <v>46</v>
      </c>
      <c r="E3509" s="23" t="s">
        <v>101</v>
      </c>
      <c r="F3509" s="15" t="s">
        <v>104</v>
      </c>
      <c r="G3509" s="15" t="s">
        <v>5173</v>
      </c>
      <c r="H3509" s="23" t="s">
        <v>58</v>
      </c>
    </row>
    <row r="3510" spans="1:8" ht="54.95" customHeight="1" x14ac:dyDescent="0.2">
      <c r="A3510" s="23" t="s">
        <v>561</v>
      </c>
      <c r="B3510" s="23" t="s">
        <v>23</v>
      </c>
      <c r="C3510" s="23" t="s">
        <v>46</v>
      </c>
      <c r="D3510" s="23" t="s">
        <v>46</v>
      </c>
      <c r="E3510" s="23" t="s">
        <v>101</v>
      </c>
      <c r="F3510" s="15" t="s">
        <v>104</v>
      </c>
      <c r="G3510" s="15" t="s">
        <v>5173</v>
      </c>
      <c r="H3510" s="23" t="s">
        <v>58</v>
      </c>
    </row>
    <row r="3511" spans="1:8" ht="54.95" customHeight="1" x14ac:dyDescent="0.2">
      <c r="A3511" s="23" t="s">
        <v>561</v>
      </c>
      <c r="B3511" s="23" t="s">
        <v>25</v>
      </c>
      <c r="C3511" s="23" t="s">
        <v>46</v>
      </c>
      <c r="D3511" s="23" t="s">
        <v>46</v>
      </c>
      <c r="E3511" s="23" t="s">
        <v>101</v>
      </c>
      <c r="F3511" s="15" t="s">
        <v>104</v>
      </c>
      <c r="G3511" s="15" t="s">
        <v>5173</v>
      </c>
      <c r="H3511" s="23" t="s">
        <v>58</v>
      </c>
    </row>
    <row r="3512" spans="1:8" ht="54.95" customHeight="1" x14ac:dyDescent="0.2">
      <c r="A3512" s="23" t="s">
        <v>567</v>
      </c>
      <c r="B3512" s="23" t="s">
        <v>23</v>
      </c>
      <c r="C3512" s="23" t="s">
        <v>46</v>
      </c>
      <c r="D3512" s="23" t="s">
        <v>46</v>
      </c>
      <c r="E3512" s="23" t="s">
        <v>101</v>
      </c>
      <c r="F3512" s="15" t="s">
        <v>104</v>
      </c>
      <c r="G3512" s="15" t="s">
        <v>5173</v>
      </c>
      <c r="H3512" s="23" t="s">
        <v>58</v>
      </c>
    </row>
    <row r="3513" spans="1:8" ht="54.95" customHeight="1" x14ac:dyDescent="0.2">
      <c r="A3513" s="23" t="s">
        <v>567</v>
      </c>
      <c r="B3513" s="23" t="s">
        <v>25</v>
      </c>
      <c r="C3513" s="23" t="s">
        <v>46</v>
      </c>
      <c r="D3513" s="23" t="s">
        <v>46</v>
      </c>
      <c r="E3513" s="23" t="s">
        <v>101</v>
      </c>
      <c r="F3513" s="15" t="s">
        <v>104</v>
      </c>
      <c r="G3513" s="15" t="s">
        <v>5173</v>
      </c>
      <c r="H3513" s="23" t="s">
        <v>58</v>
      </c>
    </row>
    <row r="3514" spans="1:8" ht="54.95" customHeight="1" x14ac:dyDescent="0.2">
      <c r="A3514" s="23" t="s">
        <v>573</v>
      </c>
      <c r="B3514" s="23" t="s">
        <v>23</v>
      </c>
      <c r="C3514" s="23" t="s">
        <v>46</v>
      </c>
      <c r="D3514" s="23" t="s">
        <v>46</v>
      </c>
      <c r="E3514" s="23" t="s">
        <v>101</v>
      </c>
      <c r="F3514" s="15" t="s">
        <v>104</v>
      </c>
      <c r="G3514" s="15" t="s">
        <v>5173</v>
      </c>
      <c r="H3514" s="23" t="s">
        <v>58</v>
      </c>
    </row>
    <row r="3515" spans="1:8" ht="54.95" customHeight="1" x14ac:dyDescent="0.2">
      <c r="A3515" s="23" t="s">
        <v>573</v>
      </c>
      <c r="B3515" s="23" t="s">
        <v>24</v>
      </c>
      <c r="C3515" s="23" t="s">
        <v>46</v>
      </c>
      <c r="D3515" s="23" t="s">
        <v>46</v>
      </c>
      <c r="E3515" s="23" t="s">
        <v>101</v>
      </c>
      <c r="F3515" s="15" t="s">
        <v>104</v>
      </c>
      <c r="G3515" s="15" t="s">
        <v>5173</v>
      </c>
      <c r="H3515" s="23" t="s">
        <v>58</v>
      </c>
    </row>
    <row r="3516" spans="1:8" ht="54.95" customHeight="1" x14ac:dyDescent="0.2">
      <c r="A3516" s="23" t="s">
        <v>573</v>
      </c>
      <c r="B3516" s="23" t="s">
        <v>25</v>
      </c>
      <c r="C3516" s="23" t="s">
        <v>46</v>
      </c>
      <c r="D3516" s="23" t="s">
        <v>46</v>
      </c>
      <c r="E3516" s="23" t="s">
        <v>101</v>
      </c>
      <c r="F3516" s="15" t="s">
        <v>104</v>
      </c>
      <c r="G3516" s="15" t="s">
        <v>5173</v>
      </c>
      <c r="H3516" s="23" t="s">
        <v>58</v>
      </c>
    </row>
    <row r="3517" spans="1:8" ht="54.95" customHeight="1" x14ac:dyDescent="0.2">
      <c r="A3517" s="23" t="s">
        <v>579</v>
      </c>
      <c r="B3517" s="23" t="s">
        <v>23</v>
      </c>
      <c r="C3517" s="23" t="s">
        <v>46</v>
      </c>
      <c r="D3517" s="23" t="s">
        <v>46</v>
      </c>
      <c r="E3517" s="23" t="s">
        <v>101</v>
      </c>
      <c r="F3517" s="15" t="s">
        <v>104</v>
      </c>
      <c r="G3517" s="15" t="s">
        <v>5173</v>
      </c>
      <c r="H3517" s="23" t="s">
        <v>58</v>
      </c>
    </row>
    <row r="3518" spans="1:8" ht="54.95" customHeight="1" x14ac:dyDescent="0.2">
      <c r="A3518" s="23" t="s">
        <v>579</v>
      </c>
      <c r="B3518" s="23" t="s">
        <v>24</v>
      </c>
      <c r="C3518" s="23" t="s">
        <v>46</v>
      </c>
      <c r="D3518" s="23" t="s">
        <v>46</v>
      </c>
      <c r="E3518" s="23" t="s">
        <v>101</v>
      </c>
      <c r="F3518" s="15" t="s">
        <v>104</v>
      </c>
      <c r="G3518" s="15" t="s">
        <v>5173</v>
      </c>
      <c r="H3518" s="23" t="s">
        <v>58</v>
      </c>
    </row>
    <row r="3519" spans="1:8" ht="54.95" customHeight="1" x14ac:dyDescent="0.2">
      <c r="A3519" s="23" t="s">
        <v>579</v>
      </c>
      <c r="B3519" s="23" t="s">
        <v>25</v>
      </c>
      <c r="C3519" s="23" t="s">
        <v>46</v>
      </c>
      <c r="D3519" s="23" t="s">
        <v>46</v>
      </c>
      <c r="E3519" s="23" t="s">
        <v>101</v>
      </c>
      <c r="F3519" s="15" t="s">
        <v>104</v>
      </c>
      <c r="G3519" s="15" t="s">
        <v>5173</v>
      </c>
      <c r="H3519" s="23" t="s">
        <v>58</v>
      </c>
    </row>
    <row r="3520" spans="1:8" ht="54.95" customHeight="1" x14ac:dyDescent="0.2">
      <c r="A3520" s="23" t="s">
        <v>585</v>
      </c>
      <c r="B3520" s="23" t="s">
        <v>23</v>
      </c>
      <c r="C3520" s="23" t="s">
        <v>46</v>
      </c>
      <c r="D3520" s="23" t="s">
        <v>46</v>
      </c>
      <c r="E3520" s="23" t="s">
        <v>101</v>
      </c>
      <c r="F3520" s="15" t="s">
        <v>104</v>
      </c>
      <c r="G3520" s="15" t="s">
        <v>5173</v>
      </c>
      <c r="H3520" s="23" t="s">
        <v>58</v>
      </c>
    </row>
    <row r="3521" spans="1:8" ht="54.95" customHeight="1" x14ac:dyDescent="0.2">
      <c r="A3521" s="23" t="s">
        <v>585</v>
      </c>
      <c r="B3521" s="23" t="s">
        <v>24</v>
      </c>
      <c r="C3521" s="23" t="s">
        <v>46</v>
      </c>
      <c r="D3521" s="23" t="s">
        <v>46</v>
      </c>
      <c r="E3521" s="23" t="s">
        <v>101</v>
      </c>
      <c r="F3521" s="15" t="s">
        <v>104</v>
      </c>
      <c r="G3521" s="15" t="s">
        <v>5173</v>
      </c>
      <c r="H3521" s="23" t="s">
        <v>58</v>
      </c>
    </row>
    <row r="3522" spans="1:8" ht="54.95" customHeight="1" x14ac:dyDescent="0.2">
      <c r="A3522" s="23" t="s">
        <v>585</v>
      </c>
      <c r="B3522" s="23" t="s">
        <v>25</v>
      </c>
      <c r="C3522" s="23" t="s">
        <v>46</v>
      </c>
      <c r="D3522" s="23" t="s">
        <v>46</v>
      </c>
      <c r="E3522" s="23" t="s">
        <v>101</v>
      </c>
      <c r="F3522" s="15" t="s">
        <v>104</v>
      </c>
      <c r="G3522" s="15" t="s">
        <v>5173</v>
      </c>
      <c r="H3522" s="23" t="s">
        <v>58</v>
      </c>
    </row>
    <row r="3523" spans="1:8" ht="54.95" customHeight="1" x14ac:dyDescent="0.2">
      <c r="A3523" s="23" t="s">
        <v>591</v>
      </c>
      <c r="B3523" s="23" t="s">
        <v>23</v>
      </c>
      <c r="C3523" s="23" t="s">
        <v>46</v>
      </c>
      <c r="D3523" s="23" t="s">
        <v>46</v>
      </c>
      <c r="E3523" s="23" t="s">
        <v>101</v>
      </c>
      <c r="F3523" s="15" t="s">
        <v>104</v>
      </c>
      <c r="G3523" s="15" t="s">
        <v>5173</v>
      </c>
      <c r="H3523" s="23" t="s">
        <v>58</v>
      </c>
    </row>
    <row r="3524" spans="1:8" ht="54.95" customHeight="1" x14ac:dyDescent="0.2">
      <c r="A3524" s="23" t="s">
        <v>591</v>
      </c>
      <c r="B3524" s="23" t="s">
        <v>24</v>
      </c>
      <c r="C3524" s="23" t="s">
        <v>46</v>
      </c>
      <c r="D3524" s="23" t="s">
        <v>46</v>
      </c>
      <c r="E3524" s="23" t="s">
        <v>101</v>
      </c>
      <c r="F3524" s="15" t="s">
        <v>104</v>
      </c>
      <c r="G3524" s="15" t="s">
        <v>5173</v>
      </c>
      <c r="H3524" s="23" t="s">
        <v>58</v>
      </c>
    </row>
    <row r="3525" spans="1:8" ht="54.95" customHeight="1" x14ac:dyDescent="0.2">
      <c r="A3525" s="23" t="s">
        <v>591</v>
      </c>
      <c r="B3525" s="23" t="s">
        <v>25</v>
      </c>
      <c r="C3525" s="23" t="s">
        <v>46</v>
      </c>
      <c r="D3525" s="23" t="s">
        <v>46</v>
      </c>
      <c r="E3525" s="23" t="s">
        <v>101</v>
      </c>
      <c r="F3525" s="15" t="s">
        <v>104</v>
      </c>
      <c r="G3525" s="15" t="s">
        <v>5173</v>
      </c>
      <c r="H3525" s="23" t="s">
        <v>58</v>
      </c>
    </row>
    <row r="3526" spans="1:8" ht="54.95" customHeight="1" x14ac:dyDescent="0.2">
      <c r="A3526" s="23" t="s">
        <v>597</v>
      </c>
      <c r="B3526" s="23" t="s">
        <v>23</v>
      </c>
      <c r="C3526" s="23" t="s">
        <v>46</v>
      </c>
      <c r="D3526" s="23" t="s">
        <v>46</v>
      </c>
      <c r="E3526" s="23" t="s">
        <v>101</v>
      </c>
      <c r="F3526" s="15" t="s">
        <v>104</v>
      </c>
      <c r="G3526" s="15" t="s">
        <v>5173</v>
      </c>
      <c r="H3526" s="23" t="s">
        <v>58</v>
      </c>
    </row>
    <row r="3527" spans="1:8" ht="54.95" customHeight="1" x14ac:dyDescent="0.2">
      <c r="A3527" s="23" t="s">
        <v>597</v>
      </c>
      <c r="B3527" s="23" t="s">
        <v>24</v>
      </c>
      <c r="C3527" s="23" t="s">
        <v>46</v>
      </c>
      <c r="D3527" s="23" t="s">
        <v>46</v>
      </c>
      <c r="E3527" s="23" t="s">
        <v>101</v>
      </c>
      <c r="F3527" s="15" t="s">
        <v>104</v>
      </c>
      <c r="G3527" s="15" t="s">
        <v>5173</v>
      </c>
      <c r="H3527" s="23" t="s">
        <v>58</v>
      </c>
    </row>
    <row r="3528" spans="1:8" ht="54.95" customHeight="1" x14ac:dyDescent="0.2">
      <c r="A3528" s="23" t="s">
        <v>597</v>
      </c>
      <c r="B3528" s="23" t="s">
        <v>25</v>
      </c>
      <c r="C3528" s="23" t="s">
        <v>46</v>
      </c>
      <c r="D3528" s="23" t="s">
        <v>46</v>
      </c>
      <c r="E3528" s="23" t="s">
        <v>101</v>
      </c>
      <c r="F3528" s="15" t="s">
        <v>104</v>
      </c>
      <c r="G3528" s="15" t="s">
        <v>5173</v>
      </c>
      <c r="H3528" s="23" t="s">
        <v>58</v>
      </c>
    </row>
    <row r="3529" spans="1:8" ht="54.95" customHeight="1" x14ac:dyDescent="0.2">
      <c r="A3529" s="23" t="s">
        <v>603</v>
      </c>
      <c r="B3529" s="23" t="s">
        <v>19</v>
      </c>
      <c r="C3529" s="23" t="s">
        <v>46</v>
      </c>
      <c r="D3529" s="23" t="s">
        <v>46</v>
      </c>
      <c r="E3529" s="23" t="s">
        <v>46</v>
      </c>
      <c r="F3529" s="15" t="s">
        <v>103</v>
      </c>
      <c r="G3529" s="15" t="s">
        <v>5173</v>
      </c>
      <c r="H3529" s="23" t="s">
        <v>58</v>
      </c>
    </row>
    <row r="3530" spans="1:8" ht="54.95" customHeight="1" x14ac:dyDescent="0.2">
      <c r="A3530" s="23" t="s">
        <v>603</v>
      </c>
      <c r="B3530" s="23" t="s">
        <v>23</v>
      </c>
      <c r="C3530" s="23" t="s">
        <v>46</v>
      </c>
      <c r="D3530" s="23" t="s">
        <v>46</v>
      </c>
      <c r="E3530" s="23" t="s">
        <v>101</v>
      </c>
      <c r="F3530" s="15" t="s">
        <v>104</v>
      </c>
      <c r="G3530" s="15" t="s">
        <v>5173</v>
      </c>
      <c r="H3530" s="23" t="s">
        <v>58</v>
      </c>
    </row>
    <row r="3531" spans="1:8" ht="54.95" customHeight="1" x14ac:dyDescent="0.2">
      <c r="A3531" s="23" t="s">
        <v>603</v>
      </c>
      <c r="B3531" s="23" t="s">
        <v>24</v>
      </c>
      <c r="C3531" s="23" t="s">
        <v>46</v>
      </c>
      <c r="D3531" s="23" t="s">
        <v>46</v>
      </c>
      <c r="E3531" s="23" t="s">
        <v>101</v>
      </c>
      <c r="F3531" s="15" t="s">
        <v>104</v>
      </c>
      <c r="G3531" s="15" t="s">
        <v>5173</v>
      </c>
      <c r="H3531" s="23" t="s">
        <v>58</v>
      </c>
    </row>
    <row r="3532" spans="1:8" ht="54.95" customHeight="1" x14ac:dyDescent="0.2">
      <c r="A3532" s="23" t="s">
        <v>603</v>
      </c>
      <c r="B3532" s="23" t="s">
        <v>25</v>
      </c>
      <c r="C3532" s="23" t="s">
        <v>46</v>
      </c>
      <c r="D3532" s="23" t="s">
        <v>46</v>
      </c>
      <c r="E3532" s="23" t="s">
        <v>101</v>
      </c>
      <c r="F3532" s="15" t="s">
        <v>104</v>
      </c>
      <c r="G3532" s="15" t="s">
        <v>5173</v>
      </c>
      <c r="H3532" s="23" t="s">
        <v>58</v>
      </c>
    </row>
    <row r="3533" spans="1:8" ht="54.95" customHeight="1" x14ac:dyDescent="0.2">
      <c r="A3533" s="23" t="s">
        <v>610</v>
      </c>
      <c r="B3533" s="23" t="s">
        <v>21</v>
      </c>
      <c r="C3533" s="23" t="s">
        <v>46</v>
      </c>
      <c r="D3533" s="23" t="s">
        <v>46</v>
      </c>
      <c r="E3533" s="23" t="s">
        <v>101</v>
      </c>
      <c r="F3533" s="15" t="s">
        <v>104</v>
      </c>
      <c r="G3533" s="15" t="s">
        <v>5173</v>
      </c>
      <c r="H3533" s="23" t="s">
        <v>58</v>
      </c>
    </row>
    <row r="3534" spans="1:8" ht="54.95" customHeight="1" x14ac:dyDescent="0.2">
      <c r="A3534" s="23" t="s">
        <v>610</v>
      </c>
      <c r="B3534" s="23" t="s">
        <v>22</v>
      </c>
      <c r="C3534" s="23" t="s">
        <v>46</v>
      </c>
      <c r="D3534" s="23" t="s">
        <v>46</v>
      </c>
      <c r="E3534" s="23" t="s">
        <v>101</v>
      </c>
      <c r="F3534" s="15" t="s">
        <v>104</v>
      </c>
      <c r="G3534" s="15" t="s">
        <v>5173</v>
      </c>
      <c r="H3534" s="23" t="s">
        <v>58</v>
      </c>
    </row>
    <row r="3535" spans="1:8" ht="54.95" customHeight="1" x14ac:dyDescent="0.2">
      <c r="A3535" s="23" t="s">
        <v>610</v>
      </c>
      <c r="B3535" s="23" t="s">
        <v>23</v>
      </c>
      <c r="C3535" s="23" t="s">
        <v>46</v>
      </c>
      <c r="D3535" s="23" t="s">
        <v>46</v>
      </c>
      <c r="E3535" s="23" t="s">
        <v>101</v>
      </c>
      <c r="F3535" s="15" t="s">
        <v>104</v>
      </c>
      <c r="G3535" s="15" t="s">
        <v>5173</v>
      </c>
      <c r="H3535" s="23" t="s">
        <v>58</v>
      </c>
    </row>
    <row r="3536" spans="1:8" ht="54.95" customHeight="1" x14ac:dyDescent="0.2">
      <c r="A3536" s="23" t="s">
        <v>610</v>
      </c>
      <c r="B3536" s="23" t="s">
        <v>24</v>
      </c>
      <c r="C3536" s="23" t="s">
        <v>46</v>
      </c>
      <c r="D3536" s="23" t="s">
        <v>46</v>
      </c>
      <c r="E3536" s="23" t="s">
        <v>101</v>
      </c>
      <c r="F3536" s="15" t="s">
        <v>104</v>
      </c>
      <c r="G3536" s="15" t="s">
        <v>5173</v>
      </c>
      <c r="H3536" s="23" t="s">
        <v>58</v>
      </c>
    </row>
    <row r="3537" spans="1:8" ht="54.95" customHeight="1" x14ac:dyDescent="0.2">
      <c r="A3537" s="23" t="s">
        <v>610</v>
      </c>
      <c r="B3537" s="23" t="s">
        <v>25</v>
      </c>
      <c r="C3537" s="23" t="s">
        <v>46</v>
      </c>
      <c r="D3537" s="23" t="s">
        <v>46</v>
      </c>
      <c r="E3537" s="23" t="s">
        <v>101</v>
      </c>
      <c r="F3537" s="15" t="s">
        <v>104</v>
      </c>
      <c r="G3537" s="15" t="s">
        <v>5173</v>
      </c>
      <c r="H3537" s="23" t="s">
        <v>58</v>
      </c>
    </row>
    <row r="3538" spans="1:8" ht="54.95" customHeight="1" x14ac:dyDescent="0.2">
      <c r="A3538" s="23" t="s">
        <v>615</v>
      </c>
      <c r="B3538" s="23" t="s">
        <v>15</v>
      </c>
      <c r="C3538" s="23" t="s">
        <v>46</v>
      </c>
      <c r="D3538" s="23" t="s">
        <v>46</v>
      </c>
      <c r="E3538" s="23" t="s">
        <v>46</v>
      </c>
      <c r="F3538" s="15" t="s">
        <v>103</v>
      </c>
      <c r="G3538" s="15" t="s">
        <v>5173</v>
      </c>
      <c r="H3538" s="23" t="s">
        <v>58</v>
      </c>
    </row>
    <row r="3539" spans="1:8" ht="54.95" customHeight="1" x14ac:dyDescent="0.2">
      <c r="A3539" s="23" t="s">
        <v>615</v>
      </c>
      <c r="B3539" s="23" t="s">
        <v>17</v>
      </c>
      <c r="C3539" s="23" t="s">
        <v>46</v>
      </c>
      <c r="D3539" s="23" t="s">
        <v>46</v>
      </c>
      <c r="E3539" s="23" t="s">
        <v>46</v>
      </c>
      <c r="F3539" s="15" t="s">
        <v>103</v>
      </c>
      <c r="G3539" s="15" t="s">
        <v>5173</v>
      </c>
      <c r="H3539" s="23" t="s">
        <v>58</v>
      </c>
    </row>
    <row r="3540" spans="1:8" ht="54.95" customHeight="1" x14ac:dyDescent="0.2">
      <c r="A3540" s="23" t="s">
        <v>615</v>
      </c>
      <c r="B3540" s="23" t="s">
        <v>19</v>
      </c>
      <c r="C3540" s="23" t="s">
        <v>46</v>
      </c>
      <c r="D3540" s="23" t="s">
        <v>46</v>
      </c>
      <c r="E3540" s="23" t="s">
        <v>46</v>
      </c>
      <c r="F3540" s="15" t="s">
        <v>103</v>
      </c>
      <c r="G3540" s="15" t="s">
        <v>5173</v>
      </c>
      <c r="H3540" s="23" t="s">
        <v>58</v>
      </c>
    </row>
    <row r="3541" spans="1:8" ht="54.95" customHeight="1" x14ac:dyDescent="0.2">
      <c r="A3541" s="23" t="s">
        <v>615</v>
      </c>
      <c r="B3541" s="23" t="s">
        <v>21</v>
      </c>
      <c r="C3541" s="23" t="s">
        <v>46</v>
      </c>
      <c r="D3541" s="23" t="s">
        <v>46</v>
      </c>
      <c r="E3541" s="23" t="s">
        <v>101</v>
      </c>
      <c r="F3541" s="15" t="s">
        <v>104</v>
      </c>
      <c r="G3541" s="15" t="s">
        <v>5173</v>
      </c>
      <c r="H3541" s="23" t="s">
        <v>58</v>
      </c>
    </row>
    <row r="3542" spans="1:8" ht="54.95" customHeight="1" x14ac:dyDescent="0.2">
      <c r="A3542" s="23" t="s">
        <v>615</v>
      </c>
      <c r="B3542" s="23" t="s">
        <v>22</v>
      </c>
      <c r="C3542" s="23" t="s">
        <v>46</v>
      </c>
      <c r="D3542" s="23" t="s">
        <v>46</v>
      </c>
      <c r="E3542" s="23" t="s">
        <v>101</v>
      </c>
      <c r="F3542" s="15" t="s">
        <v>104</v>
      </c>
      <c r="G3542" s="15" t="s">
        <v>5173</v>
      </c>
      <c r="H3542" s="23" t="s">
        <v>58</v>
      </c>
    </row>
    <row r="3543" spans="1:8" ht="54.95" customHeight="1" x14ac:dyDescent="0.2">
      <c r="A3543" s="23" t="s">
        <v>615</v>
      </c>
      <c r="B3543" s="23" t="s">
        <v>23</v>
      </c>
      <c r="C3543" s="23" t="s">
        <v>46</v>
      </c>
      <c r="D3543" s="23" t="s">
        <v>46</v>
      </c>
      <c r="E3543" s="23" t="s">
        <v>101</v>
      </c>
      <c r="F3543" s="15" t="s">
        <v>104</v>
      </c>
      <c r="G3543" s="15" t="s">
        <v>5173</v>
      </c>
      <c r="H3543" s="23" t="s">
        <v>58</v>
      </c>
    </row>
    <row r="3544" spans="1:8" ht="54.95" customHeight="1" x14ac:dyDescent="0.2">
      <c r="A3544" s="23" t="s">
        <v>615</v>
      </c>
      <c r="B3544" s="23" t="s">
        <v>24</v>
      </c>
      <c r="C3544" s="23" t="s">
        <v>46</v>
      </c>
      <c r="D3544" s="23" t="s">
        <v>46</v>
      </c>
      <c r="E3544" s="23" t="s">
        <v>101</v>
      </c>
      <c r="F3544" s="15" t="s">
        <v>104</v>
      </c>
      <c r="G3544" s="15" t="s">
        <v>5173</v>
      </c>
      <c r="H3544" s="23" t="s">
        <v>58</v>
      </c>
    </row>
    <row r="3545" spans="1:8" ht="54.95" customHeight="1" x14ac:dyDescent="0.2">
      <c r="A3545" s="23" t="s">
        <v>615</v>
      </c>
      <c r="B3545" s="23" t="s">
        <v>25</v>
      </c>
      <c r="C3545" s="23" t="s">
        <v>46</v>
      </c>
      <c r="D3545" s="23" t="s">
        <v>46</v>
      </c>
      <c r="E3545" s="23" t="s">
        <v>101</v>
      </c>
      <c r="F3545" s="15" t="s">
        <v>104</v>
      </c>
      <c r="G3545" s="15" t="s">
        <v>5173</v>
      </c>
      <c r="H3545" s="23" t="s">
        <v>58</v>
      </c>
    </row>
    <row r="3546" spans="1:8" ht="54.95" customHeight="1" x14ac:dyDescent="0.2">
      <c r="A3546" s="23" t="s">
        <v>619</v>
      </c>
      <c r="B3546" s="23" t="s">
        <v>23</v>
      </c>
      <c r="C3546" s="23" t="s">
        <v>46</v>
      </c>
      <c r="D3546" s="23" t="s">
        <v>46</v>
      </c>
      <c r="E3546" s="23" t="s">
        <v>101</v>
      </c>
      <c r="F3546" s="15" t="s">
        <v>104</v>
      </c>
      <c r="G3546" s="15" t="s">
        <v>5173</v>
      </c>
      <c r="H3546" s="23" t="s">
        <v>58</v>
      </c>
    </row>
    <row r="3547" spans="1:8" ht="54.95" customHeight="1" x14ac:dyDescent="0.2">
      <c r="A3547" s="23" t="s">
        <v>619</v>
      </c>
      <c r="B3547" s="23" t="s">
        <v>24</v>
      </c>
      <c r="C3547" s="23" t="s">
        <v>46</v>
      </c>
      <c r="D3547" s="23" t="s">
        <v>46</v>
      </c>
      <c r="E3547" s="23" t="s">
        <v>101</v>
      </c>
      <c r="F3547" s="15" t="s">
        <v>104</v>
      </c>
      <c r="G3547" s="15" t="s">
        <v>5173</v>
      </c>
      <c r="H3547" s="23" t="s">
        <v>58</v>
      </c>
    </row>
    <row r="3548" spans="1:8" ht="54.95" customHeight="1" x14ac:dyDescent="0.2">
      <c r="A3548" s="23" t="s">
        <v>619</v>
      </c>
      <c r="B3548" s="23" t="s">
        <v>25</v>
      </c>
      <c r="C3548" s="23" t="s">
        <v>46</v>
      </c>
      <c r="D3548" s="23" t="s">
        <v>46</v>
      </c>
      <c r="E3548" s="23" t="s">
        <v>101</v>
      </c>
      <c r="F3548" s="15" t="s">
        <v>104</v>
      </c>
      <c r="G3548" s="15" t="s">
        <v>5173</v>
      </c>
      <c r="H3548" s="23" t="s">
        <v>58</v>
      </c>
    </row>
    <row r="3549" spans="1:8" ht="54.95" customHeight="1" x14ac:dyDescent="0.2">
      <c r="A3549" s="23" t="s">
        <v>626</v>
      </c>
      <c r="B3549" s="23" t="s">
        <v>22</v>
      </c>
      <c r="C3549" s="23" t="s">
        <v>46</v>
      </c>
      <c r="D3549" s="23" t="s">
        <v>46</v>
      </c>
      <c r="E3549" s="23" t="s">
        <v>101</v>
      </c>
      <c r="F3549" s="15" t="s">
        <v>104</v>
      </c>
      <c r="G3549" s="15" t="s">
        <v>5173</v>
      </c>
      <c r="H3549" s="23" t="s">
        <v>58</v>
      </c>
    </row>
    <row r="3550" spans="1:8" ht="54.95" customHeight="1" x14ac:dyDescent="0.2">
      <c r="A3550" s="23" t="s">
        <v>626</v>
      </c>
      <c r="B3550" s="23" t="s">
        <v>23</v>
      </c>
      <c r="C3550" s="23" t="s">
        <v>46</v>
      </c>
      <c r="D3550" s="23" t="s">
        <v>46</v>
      </c>
      <c r="E3550" s="23" t="s">
        <v>101</v>
      </c>
      <c r="F3550" s="15" t="s">
        <v>104</v>
      </c>
      <c r="G3550" s="15" t="s">
        <v>5173</v>
      </c>
      <c r="H3550" s="23" t="s">
        <v>58</v>
      </c>
    </row>
    <row r="3551" spans="1:8" ht="54.95" customHeight="1" x14ac:dyDescent="0.2">
      <c r="A3551" s="23" t="s">
        <v>626</v>
      </c>
      <c r="B3551" s="23" t="s">
        <v>24</v>
      </c>
      <c r="C3551" s="23" t="s">
        <v>46</v>
      </c>
      <c r="D3551" s="23" t="s">
        <v>46</v>
      </c>
      <c r="E3551" s="23" t="s">
        <v>101</v>
      </c>
      <c r="F3551" s="15" t="s">
        <v>104</v>
      </c>
      <c r="G3551" s="15" t="s">
        <v>5173</v>
      </c>
      <c r="H3551" s="23" t="s">
        <v>58</v>
      </c>
    </row>
    <row r="3552" spans="1:8" ht="54.95" customHeight="1" x14ac:dyDescent="0.2">
      <c r="A3552" s="23" t="s">
        <v>626</v>
      </c>
      <c r="B3552" s="23" t="s">
        <v>25</v>
      </c>
      <c r="C3552" s="23" t="s">
        <v>46</v>
      </c>
      <c r="D3552" s="23" t="s">
        <v>46</v>
      </c>
      <c r="E3552" s="23" t="s">
        <v>101</v>
      </c>
      <c r="F3552" s="15" t="s">
        <v>104</v>
      </c>
      <c r="G3552" s="15" t="s">
        <v>5173</v>
      </c>
      <c r="H3552" s="23" t="s">
        <v>58</v>
      </c>
    </row>
    <row r="3553" spans="1:8" ht="54.95" customHeight="1" x14ac:dyDescent="0.2">
      <c r="A3553" s="23" t="s">
        <v>634</v>
      </c>
      <c r="B3553" s="23" t="s">
        <v>23</v>
      </c>
      <c r="C3553" s="23" t="s">
        <v>46</v>
      </c>
      <c r="D3553" s="23" t="s">
        <v>46</v>
      </c>
      <c r="E3553" s="23" t="s">
        <v>101</v>
      </c>
      <c r="F3553" s="15" t="s">
        <v>104</v>
      </c>
      <c r="G3553" s="15" t="s">
        <v>5173</v>
      </c>
      <c r="H3553" s="23" t="s">
        <v>58</v>
      </c>
    </row>
    <row r="3554" spans="1:8" ht="54.95" customHeight="1" x14ac:dyDescent="0.2">
      <c r="A3554" s="23" t="s">
        <v>634</v>
      </c>
      <c r="B3554" s="23" t="s">
        <v>25</v>
      </c>
      <c r="C3554" s="23" t="s">
        <v>46</v>
      </c>
      <c r="D3554" s="23" t="s">
        <v>46</v>
      </c>
      <c r="E3554" s="23" t="s">
        <v>101</v>
      </c>
      <c r="F3554" s="15" t="s">
        <v>104</v>
      </c>
      <c r="G3554" s="15" t="s">
        <v>5173</v>
      </c>
      <c r="H3554" s="23" t="s">
        <v>58</v>
      </c>
    </row>
    <row r="3555" spans="1:8" ht="54.95" customHeight="1" x14ac:dyDescent="0.2">
      <c r="A3555" s="23" t="s">
        <v>641</v>
      </c>
      <c r="B3555" s="23" t="s">
        <v>23</v>
      </c>
      <c r="C3555" s="23" t="s">
        <v>46</v>
      </c>
      <c r="D3555" s="23" t="s">
        <v>46</v>
      </c>
      <c r="E3555" s="23" t="s">
        <v>101</v>
      </c>
      <c r="F3555" s="15" t="s">
        <v>104</v>
      </c>
      <c r="G3555" s="15" t="s">
        <v>5173</v>
      </c>
      <c r="H3555" s="23" t="s">
        <v>58</v>
      </c>
    </row>
    <row r="3556" spans="1:8" ht="54.95" customHeight="1" x14ac:dyDescent="0.2">
      <c r="A3556" s="23" t="s">
        <v>641</v>
      </c>
      <c r="B3556" s="23" t="s">
        <v>25</v>
      </c>
      <c r="C3556" s="23" t="s">
        <v>46</v>
      </c>
      <c r="D3556" s="23" t="s">
        <v>46</v>
      </c>
      <c r="E3556" s="23" t="s">
        <v>101</v>
      </c>
      <c r="F3556" s="15" t="s">
        <v>104</v>
      </c>
      <c r="G3556" s="15" t="s">
        <v>5173</v>
      </c>
      <c r="H3556" s="23" t="s">
        <v>58</v>
      </c>
    </row>
    <row r="3557" spans="1:8" ht="54.95" customHeight="1" x14ac:dyDescent="0.2">
      <c r="A3557" s="23" t="s">
        <v>647</v>
      </c>
      <c r="B3557" s="23" t="s">
        <v>23</v>
      </c>
      <c r="C3557" s="23" t="s">
        <v>46</v>
      </c>
      <c r="D3557" s="23" t="s">
        <v>46</v>
      </c>
      <c r="E3557" s="23" t="s">
        <v>101</v>
      </c>
      <c r="F3557" s="15" t="s">
        <v>104</v>
      </c>
      <c r="G3557" s="15" t="s">
        <v>5173</v>
      </c>
      <c r="H3557" s="23" t="s">
        <v>58</v>
      </c>
    </row>
    <row r="3558" spans="1:8" ht="54.95" customHeight="1" x14ac:dyDescent="0.2">
      <c r="A3558" s="23" t="s">
        <v>647</v>
      </c>
      <c r="B3558" s="23" t="s">
        <v>24</v>
      </c>
      <c r="C3558" s="23" t="s">
        <v>46</v>
      </c>
      <c r="D3558" s="23" t="s">
        <v>46</v>
      </c>
      <c r="E3558" s="23" t="s">
        <v>101</v>
      </c>
      <c r="F3558" s="15" t="s">
        <v>104</v>
      </c>
      <c r="G3558" s="15" t="s">
        <v>5173</v>
      </c>
      <c r="H3558" s="23" t="s">
        <v>58</v>
      </c>
    </row>
    <row r="3559" spans="1:8" ht="54.95" customHeight="1" x14ac:dyDescent="0.2">
      <c r="A3559" s="23" t="s">
        <v>647</v>
      </c>
      <c r="B3559" s="23" t="s">
        <v>25</v>
      </c>
      <c r="C3559" s="23" t="s">
        <v>46</v>
      </c>
      <c r="D3559" s="23" t="s">
        <v>46</v>
      </c>
      <c r="E3559" s="23" t="s">
        <v>101</v>
      </c>
      <c r="F3559" s="15" t="s">
        <v>104</v>
      </c>
      <c r="G3559" s="15" t="s">
        <v>5173</v>
      </c>
      <c r="H3559" s="23" t="s">
        <v>58</v>
      </c>
    </row>
    <row r="3560" spans="1:8" ht="54.95" customHeight="1" x14ac:dyDescent="0.2">
      <c r="A3560" s="23" t="s">
        <v>653</v>
      </c>
      <c r="B3560" s="23" t="s">
        <v>23</v>
      </c>
      <c r="C3560" s="23" t="s">
        <v>46</v>
      </c>
      <c r="D3560" s="23" t="s">
        <v>46</v>
      </c>
      <c r="E3560" s="23" t="s">
        <v>101</v>
      </c>
      <c r="F3560" s="15" t="s">
        <v>104</v>
      </c>
      <c r="G3560" s="15" t="s">
        <v>5173</v>
      </c>
      <c r="H3560" s="23" t="s">
        <v>58</v>
      </c>
    </row>
    <row r="3561" spans="1:8" ht="54.95" customHeight="1" x14ac:dyDescent="0.2">
      <c r="A3561" s="23" t="s">
        <v>653</v>
      </c>
      <c r="B3561" s="23" t="s">
        <v>25</v>
      </c>
      <c r="C3561" s="23" t="s">
        <v>46</v>
      </c>
      <c r="D3561" s="23" t="s">
        <v>46</v>
      </c>
      <c r="E3561" s="23" t="s">
        <v>101</v>
      </c>
      <c r="F3561" s="15" t="s">
        <v>104</v>
      </c>
      <c r="G3561" s="15" t="s">
        <v>5173</v>
      </c>
      <c r="H3561" s="23" t="s">
        <v>58</v>
      </c>
    </row>
    <row r="3562" spans="1:8" ht="54.95" customHeight="1" x14ac:dyDescent="0.2">
      <c r="A3562" s="23" t="s">
        <v>660</v>
      </c>
      <c r="B3562" s="23" t="s">
        <v>3</v>
      </c>
      <c r="C3562" s="23" t="s">
        <v>46</v>
      </c>
      <c r="D3562" s="23" t="s">
        <v>46</v>
      </c>
      <c r="E3562" s="23" t="s">
        <v>46</v>
      </c>
      <c r="F3562" s="15" t="s">
        <v>198</v>
      </c>
      <c r="G3562" s="15" t="s">
        <v>5173</v>
      </c>
      <c r="H3562" s="23" t="s">
        <v>58</v>
      </c>
    </row>
    <row r="3563" spans="1:8" ht="54.95" customHeight="1" x14ac:dyDescent="0.2">
      <c r="A3563" s="23" t="s">
        <v>660</v>
      </c>
      <c r="B3563" s="23" t="s">
        <v>6</v>
      </c>
      <c r="C3563" s="23" t="s">
        <v>46</v>
      </c>
      <c r="D3563" s="23" t="s">
        <v>46</v>
      </c>
      <c r="E3563" s="23" t="s">
        <v>46</v>
      </c>
      <c r="F3563" s="15" t="s">
        <v>198</v>
      </c>
      <c r="G3563" s="15" t="s">
        <v>5173</v>
      </c>
      <c r="H3563" s="23" t="s">
        <v>58</v>
      </c>
    </row>
    <row r="3564" spans="1:8" ht="54.95" customHeight="1" x14ac:dyDescent="0.2">
      <c r="A3564" s="23" t="s">
        <v>660</v>
      </c>
      <c r="B3564" s="23" t="s">
        <v>7</v>
      </c>
      <c r="C3564" s="23" t="s">
        <v>46</v>
      </c>
      <c r="D3564" s="23" t="s">
        <v>46</v>
      </c>
      <c r="E3564" s="23" t="s">
        <v>46</v>
      </c>
      <c r="F3564" s="15" t="s">
        <v>198</v>
      </c>
      <c r="G3564" s="15" t="s">
        <v>5173</v>
      </c>
      <c r="H3564" s="23" t="s">
        <v>58</v>
      </c>
    </row>
    <row r="3565" spans="1:8" ht="54.95" customHeight="1" x14ac:dyDescent="0.2">
      <c r="A3565" s="23" t="s">
        <v>660</v>
      </c>
      <c r="B3565" s="23" t="s">
        <v>8</v>
      </c>
      <c r="C3565" s="23" t="s">
        <v>46</v>
      </c>
      <c r="D3565" s="23" t="s">
        <v>46</v>
      </c>
      <c r="E3565" s="23" t="s">
        <v>46</v>
      </c>
      <c r="F3565" s="15" t="s">
        <v>198</v>
      </c>
      <c r="G3565" s="15" t="s">
        <v>5173</v>
      </c>
      <c r="H3565" s="23" t="s">
        <v>58</v>
      </c>
    </row>
    <row r="3566" spans="1:8" ht="54.95" customHeight="1" x14ac:dyDescent="0.2">
      <c r="A3566" s="23" t="s">
        <v>660</v>
      </c>
      <c r="B3566" s="23" t="s">
        <v>9</v>
      </c>
      <c r="C3566" s="23" t="s">
        <v>46</v>
      </c>
      <c r="D3566" s="23" t="s">
        <v>46</v>
      </c>
      <c r="E3566" s="23" t="s">
        <v>46</v>
      </c>
      <c r="F3566" s="15" t="s">
        <v>198</v>
      </c>
      <c r="G3566" s="15" t="s">
        <v>5173</v>
      </c>
      <c r="H3566" s="23" t="s">
        <v>58</v>
      </c>
    </row>
    <row r="3567" spans="1:8" ht="54.95" customHeight="1" x14ac:dyDescent="0.2">
      <c r="A3567" s="23" t="s">
        <v>660</v>
      </c>
      <c r="B3567" s="23" t="s">
        <v>10</v>
      </c>
      <c r="C3567" s="23" t="s">
        <v>46</v>
      </c>
      <c r="D3567" s="23" t="s">
        <v>46</v>
      </c>
      <c r="E3567" s="23" t="s">
        <v>46</v>
      </c>
      <c r="F3567" s="15" t="s">
        <v>198</v>
      </c>
      <c r="G3567" s="15" t="s">
        <v>5173</v>
      </c>
      <c r="H3567" s="23" t="s">
        <v>58</v>
      </c>
    </row>
    <row r="3568" spans="1:8" ht="54.95" customHeight="1" x14ac:dyDescent="0.2">
      <c r="A3568" s="23" t="s">
        <v>660</v>
      </c>
      <c r="B3568" s="23" t="s">
        <v>11</v>
      </c>
      <c r="C3568" s="23" t="s">
        <v>46</v>
      </c>
      <c r="D3568" s="23" t="s">
        <v>46</v>
      </c>
      <c r="E3568" s="23" t="s">
        <v>46</v>
      </c>
      <c r="F3568" s="15" t="s">
        <v>198</v>
      </c>
      <c r="G3568" s="15" t="s">
        <v>5173</v>
      </c>
      <c r="H3568" s="23" t="s">
        <v>58</v>
      </c>
    </row>
    <row r="3569" spans="1:8" ht="54.95" customHeight="1" x14ac:dyDescent="0.2">
      <c r="A3569" s="23" t="s">
        <v>660</v>
      </c>
      <c r="B3569" s="23" t="s">
        <v>13</v>
      </c>
      <c r="C3569" s="23" t="s">
        <v>46</v>
      </c>
      <c r="D3569" s="23" t="s">
        <v>46</v>
      </c>
      <c r="E3569" s="23" t="s">
        <v>46</v>
      </c>
      <c r="F3569" s="15" t="s">
        <v>198</v>
      </c>
      <c r="G3569" s="15" t="s">
        <v>5173</v>
      </c>
      <c r="H3569" s="23" t="s">
        <v>58</v>
      </c>
    </row>
    <row r="3570" spans="1:8" ht="54.95" customHeight="1" x14ac:dyDescent="0.2">
      <c r="A3570" s="23" t="s">
        <v>660</v>
      </c>
      <c r="B3570" s="23" t="s">
        <v>14</v>
      </c>
      <c r="C3570" s="23" t="s">
        <v>46</v>
      </c>
      <c r="D3570" s="23" t="s">
        <v>46</v>
      </c>
      <c r="E3570" s="23" t="s">
        <v>46</v>
      </c>
      <c r="F3570" s="15" t="s">
        <v>198</v>
      </c>
      <c r="G3570" s="15" t="s">
        <v>5173</v>
      </c>
      <c r="H3570" s="23" t="s">
        <v>58</v>
      </c>
    </row>
    <row r="3571" spans="1:8" ht="54.95" customHeight="1" x14ac:dyDescent="0.2">
      <c r="A3571" s="23" t="s">
        <v>660</v>
      </c>
      <c r="B3571" s="23" t="s">
        <v>17</v>
      </c>
      <c r="C3571" s="23" t="s">
        <v>46</v>
      </c>
      <c r="D3571" s="23" t="s">
        <v>46</v>
      </c>
      <c r="E3571" s="23" t="s">
        <v>46</v>
      </c>
      <c r="F3571" s="15" t="s">
        <v>103</v>
      </c>
      <c r="G3571" s="15" t="s">
        <v>5173</v>
      </c>
      <c r="H3571" s="23" t="s">
        <v>58</v>
      </c>
    </row>
    <row r="3572" spans="1:8" ht="54.95" customHeight="1" x14ac:dyDescent="0.2">
      <c r="A3572" s="23" t="s">
        <v>660</v>
      </c>
      <c r="B3572" s="23" t="s">
        <v>19</v>
      </c>
      <c r="C3572" s="23" t="s">
        <v>46</v>
      </c>
      <c r="D3572" s="23" t="s">
        <v>46</v>
      </c>
      <c r="E3572" s="23" t="s">
        <v>46</v>
      </c>
      <c r="F3572" s="15" t="s">
        <v>103</v>
      </c>
      <c r="G3572" s="15" t="s">
        <v>5173</v>
      </c>
      <c r="H3572" s="23" t="s">
        <v>58</v>
      </c>
    </row>
    <row r="3573" spans="1:8" ht="54.95" customHeight="1" x14ac:dyDescent="0.2">
      <c r="A3573" s="23" t="s">
        <v>660</v>
      </c>
      <c r="B3573" s="23" t="s">
        <v>23</v>
      </c>
      <c r="C3573" s="23" t="s">
        <v>46</v>
      </c>
      <c r="D3573" s="23" t="s">
        <v>46</v>
      </c>
      <c r="E3573" s="23" t="s">
        <v>101</v>
      </c>
      <c r="F3573" s="15" t="s">
        <v>104</v>
      </c>
      <c r="G3573" s="15" t="s">
        <v>5173</v>
      </c>
      <c r="H3573" s="23" t="s">
        <v>58</v>
      </c>
    </row>
    <row r="3574" spans="1:8" ht="54.95" customHeight="1" x14ac:dyDescent="0.2">
      <c r="A3574" s="23" t="s">
        <v>660</v>
      </c>
      <c r="B3574" s="23" t="s">
        <v>24</v>
      </c>
      <c r="C3574" s="23" t="s">
        <v>46</v>
      </c>
      <c r="D3574" s="23" t="s">
        <v>46</v>
      </c>
      <c r="E3574" s="23" t="s">
        <v>101</v>
      </c>
      <c r="F3574" s="15" t="s">
        <v>104</v>
      </c>
      <c r="G3574" s="15" t="s">
        <v>5173</v>
      </c>
      <c r="H3574" s="23" t="s">
        <v>58</v>
      </c>
    </row>
    <row r="3575" spans="1:8" ht="54.95" customHeight="1" x14ac:dyDescent="0.2">
      <c r="A3575" s="23" t="s">
        <v>660</v>
      </c>
      <c r="B3575" s="23" t="s">
        <v>25</v>
      </c>
      <c r="C3575" s="23" t="s">
        <v>46</v>
      </c>
      <c r="D3575" s="23" t="s">
        <v>46</v>
      </c>
      <c r="E3575" s="23" t="s">
        <v>101</v>
      </c>
      <c r="F3575" s="15" t="s">
        <v>104</v>
      </c>
      <c r="G3575" s="15" t="s">
        <v>5173</v>
      </c>
      <c r="H3575" s="23" t="s">
        <v>58</v>
      </c>
    </row>
    <row r="3576" spans="1:8" ht="54.95" customHeight="1" x14ac:dyDescent="0.2">
      <c r="A3576" s="23" t="s">
        <v>666</v>
      </c>
      <c r="B3576" s="23" t="s">
        <v>23</v>
      </c>
      <c r="C3576" s="23" t="s">
        <v>46</v>
      </c>
      <c r="D3576" s="23" t="s">
        <v>46</v>
      </c>
      <c r="E3576" s="23" t="s">
        <v>101</v>
      </c>
      <c r="F3576" s="15" t="s">
        <v>104</v>
      </c>
      <c r="G3576" s="15" t="s">
        <v>5173</v>
      </c>
      <c r="H3576" s="23" t="s">
        <v>58</v>
      </c>
    </row>
    <row r="3577" spans="1:8" ht="54.95" customHeight="1" x14ac:dyDescent="0.2">
      <c r="A3577" s="23" t="s">
        <v>666</v>
      </c>
      <c r="B3577" s="23" t="s">
        <v>24</v>
      </c>
      <c r="C3577" s="23" t="s">
        <v>46</v>
      </c>
      <c r="D3577" s="23" t="s">
        <v>46</v>
      </c>
      <c r="E3577" s="23" t="s">
        <v>101</v>
      </c>
      <c r="F3577" s="15" t="s">
        <v>104</v>
      </c>
      <c r="G3577" s="15" t="s">
        <v>5173</v>
      </c>
      <c r="H3577" s="23" t="s">
        <v>58</v>
      </c>
    </row>
    <row r="3578" spans="1:8" ht="54.95" customHeight="1" x14ac:dyDescent="0.2">
      <c r="A3578" s="23" t="s">
        <v>666</v>
      </c>
      <c r="B3578" s="23" t="s">
        <v>25</v>
      </c>
      <c r="C3578" s="23" t="s">
        <v>46</v>
      </c>
      <c r="D3578" s="23" t="s">
        <v>46</v>
      </c>
      <c r="E3578" s="23" t="s">
        <v>101</v>
      </c>
      <c r="F3578" s="15" t="s">
        <v>104</v>
      </c>
      <c r="G3578" s="15" t="s">
        <v>5173</v>
      </c>
      <c r="H3578" s="23" t="s">
        <v>58</v>
      </c>
    </row>
    <row r="3579" spans="1:8" ht="54.95" customHeight="1" x14ac:dyDescent="0.2">
      <c r="A3579" s="23" t="s">
        <v>672</v>
      </c>
      <c r="B3579" s="23" t="s">
        <v>23</v>
      </c>
      <c r="C3579" s="23" t="s">
        <v>46</v>
      </c>
      <c r="D3579" s="23" t="s">
        <v>46</v>
      </c>
      <c r="E3579" s="23" t="s">
        <v>101</v>
      </c>
      <c r="F3579" s="15" t="s">
        <v>104</v>
      </c>
      <c r="G3579" s="15" t="s">
        <v>5173</v>
      </c>
      <c r="H3579" s="23" t="s">
        <v>58</v>
      </c>
    </row>
    <row r="3580" spans="1:8" ht="54.95" customHeight="1" x14ac:dyDescent="0.2">
      <c r="A3580" s="23" t="s">
        <v>672</v>
      </c>
      <c r="B3580" s="23" t="s">
        <v>25</v>
      </c>
      <c r="C3580" s="23" t="s">
        <v>46</v>
      </c>
      <c r="D3580" s="23" t="s">
        <v>46</v>
      </c>
      <c r="E3580" s="23" t="s">
        <v>101</v>
      </c>
      <c r="F3580" s="15" t="s">
        <v>104</v>
      </c>
      <c r="G3580" s="15" t="s">
        <v>5173</v>
      </c>
      <c r="H3580" s="23" t="s">
        <v>58</v>
      </c>
    </row>
    <row r="3581" spans="1:8" ht="54.95" customHeight="1" x14ac:dyDescent="0.2">
      <c r="A3581" s="23" t="s">
        <v>678</v>
      </c>
      <c r="B3581" s="23" t="s">
        <v>23</v>
      </c>
      <c r="C3581" s="23" t="s">
        <v>46</v>
      </c>
      <c r="D3581" s="23" t="s">
        <v>46</v>
      </c>
      <c r="E3581" s="23" t="s">
        <v>101</v>
      </c>
      <c r="F3581" s="15" t="s">
        <v>104</v>
      </c>
      <c r="G3581" s="15" t="s">
        <v>5173</v>
      </c>
      <c r="H3581" s="23" t="s">
        <v>58</v>
      </c>
    </row>
    <row r="3582" spans="1:8" ht="54.95" customHeight="1" x14ac:dyDescent="0.2">
      <c r="A3582" s="23" t="s">
        <v>678</v>
      </c>
      <c r="B3582" s="23" t="s">
        <v>24</v>
      </c>
      <c r="C3582" s="23" t="s">
        <v>46</v>
      </c>
      <c r="D3582" s="23" t="s">
        <v>46</v>
      </c>
      <c r="E3582" s="23" t="s">
        <v>101</v>
      </c>
      <c r="F3582" s="15" t="s">
        <v>104</v>
      </c>
      <c r="G3582" s="15" t="s">
        <v>5173</v>
      </c>
      <c r="H3582" s="23" t="s">
        <v>58</v>
      </c>
    </row>
    <row r="3583" spans="1:8" ht="54.95" customHeight="1" x14ac:dyDescent="0.2">
      <c r="A3583" s="23" t="s">
        <v>678</v>
      </c>
      <c r="B3583" s="23" t="s">
        <v>25</v>
      </c>
      <c r="C3583" s="23" t="s">
        <v>46</v>
      </c>
      <c r="D3583" s="23" t="s">
        <v>46</v>
      </c>
      <c r="E3583" s="23" t="s">
        <v>101</v>
      </c>
      <c r="F3583" s="15" t="s">
        <v>104</v>
      </c>
      <c r="G3583" s="15" t="s">
        <v>5173</v>
      </c>
      <c r="H3583" s="23" t="s">
        <v>58</v>
      </c>
    </row>
    <row r="3584" spans="1:8" ht="54.95" customHeight="1" x14ac:dyDescent="0.2">
      <c r="A3584" s="23" t="s">
        <v>684</v>
      </c>
      <c r="B3584" s="23" t="s">
        <v>23</v>
      </c>
      <c r="C3584" s="23" t="s">
        <v>46</v>
      </c>
      <c r="D3584" s="23" t="s">
        <v>46</v>
      </c>
      <c r="E3584" s="23" t="s">
        <v>101</v>
      </c>
      <c r="F3584" s="15" t="s">
        <v>104</v>
      </c>
      <c r="G3584" s="15" t="s">
        <v>5173</v>
      </c>
      <c r="H3584" s="23" t="s">
        <v>58</v>
      </c>
    </row>
    <row r="3585" spans="1:8" ht="54.95" customHeight="1" x14ac:dyDescent="0.2">
      <c r="A3585" s="23" t="s">
        <v>684</v>
      </c>
      <c r="B3585" s="23" t="s">
        <v>24</v>
      </c>
      <c r="C3585" s="23" t="s">
        <v>46</v>
      </c>
      <c r="D3585" s="23" t="s">
        <v>46</v>
      </c>
      <c r="E3585" s="23" t="s">
        <v>101</v>
      </c>
      <c r="F3585" s="15" t="s">
        <v>104</v>
      </c>
      <c r="G3585" s="15" t="s">
        <v>5173</v>
      </c>
      <c r="H3585" s="23" t="s">
        <v>58</v>
      </c>
    </row>
    <row r="3586" spans="1:8" ht="54.95" customHeight="1" x14ac:dyDescent="0.2">
      <c r="A3586" s="23" t="s">
        <v>684</v>
      </c>
      <c r="B3586" s="23" t="s">
        <v>25</v>
      </c>
      <c r="C3586" s="23" t="s">
        <v>46</v>
      </c>
      <c r="D3586" s="23" t="s">
        <v>46</v>
      </c>
      <c r="E3586" s="23" t="s">
        <v>101</v>
      </c>
      <c r="F3586" s="15" t="s">
        <v>104</v>
      </c>
      <c r="G3586" s="15" t="s">
        <v>5173</v>
      </c>
      <c r="H3586" s="23" t="s">
        <v>58</v>
      </c>
    </row>
    <row r="3587" spans="1:8" ht="54.95" customHeight="1" x14ac:dyDescent="0.2">
      <c r="A3587" s="23" t="s">
        <v>690</v>
      </c>
      <c r="B3587" s="23" t="s">
        <v>23</v>
      </c>
      <c r="C3587" s="23" t="s">
        <v>46</v>
      </c>
      <c r="D3587" s="23" t="s">
        <v>46</v>
      </c>
      <c r="E3587" s="23" t="s">
        <v>101</v>
      </c>
      <c r="F3587" s="15" t="s">
        <v>104</v>
      </c>
      <c r="G3587" s="15" t="s">
        <v>5173</v>
      </c>
      <c r="H3587" s="23" t="s">
        <v>58</v>
      </c>
    </row>
    <row r="3588" spans="1:8" ht="54.95" customHeight="1" x14ac:dyDescent="0.2">
      <c r="A3588" s="23" t="s">
        <v>690</v>
      </c>
      <c r="B3588" s="23" t="s">
        <v>25</v>
      </c>
      <c r="C3588" s="23" t="s">
        <v>46</v>
      </c>
      <c r="D3588" s="23" t="s">
        <v>46</v>
      </c>
      <c r="E3588" s="23" t="s">
        <v>101</v>
      </c>
      <c r="F3588" s="15" t="s">
        <v>104</v>
      </c>
      <c r="G3588" s="15" t="s">
        <v>5173</v>
      </c>
      <c r="H3588" s="23" t="s">
        <v>58</v>
      </c>
    </row>
    <row r="3589" spans="1:8" ht="54.95" customHeight="1" x14ac:dyDescent="0.2">
      <c r="A3589" s="23" t="s">
        <v>696</v>
      </c>
      <c r="B3589" s="23" t="s">
        <v>23</v>
      </c>
      <c r="C3589" s="23" t="s">
        <v>46</v>
      </c>
      <c r="D3589" s="23" t="s">
        <v>46</v>
      </c>
      <c r="E3589" s="23" t="s">
        <v>101</v>
      </c>
      <c r="F3589" s="15" t="s">
        <v>104</v>
      </c>
      <c r="G3589" s="15" t="s">
        <v>5173</v>
      </c>
      <c r="H3589" s="23" t="s">
        <v>58</v>
      </c>
    </row>
    <row r="3590" spans="1:8" ht="54.95" customHeight="1" x14ac:dyDescent="0.2">
      <c r="A3590" s="23" t="s">
        <v>696</v>
      </c>
      <c r="B3590" s="23" t="s">
        <v>24</v>
      </c>
      <c r="C3590" s="23" t="s">
        <v>46</v>
      </c>
      <c r="D3590" s="23" t="s">
        <v>46</v>
      </c>
      <c r="E3590" s="23" t="s">
        <v>101</v>
      </c>
      <c r="F3590" s="15" t="s">
        <v>104</v>
      </c>
      <c r="G3590" s="15" t="s">
        <v>5173</v>
      </c>
      <c r="H3590" s="23" t="s">
        <v>58</v>
      </c>
    </row>
    <row r="3591" spans="1:8" ht="54.95" customHeight="1" x14ac:dyDescent="0.2">
      <c r="A3591" s="23" t="s">
        <v>696</v>
      </c>
      <c r="B3591" s="23" t="s">
        <v>25</v>
      </c>
      <c r="C3591" s="23" t="s">
        <v>46</v>
      </c>
      <c r="D3591" s="23" t="s">
        <v>46</v>
      </c>
      <c r="E3591" s="23" t="s">
        <v>101</v>
      </c>
      <c r="F3591" s="15" t="s">
        <v>104</v>
      </c>
      <c r="G3591" s="15" t="s">
        <v>5173</v>
      </c>
      <c r="H3591" s="23" t="s">
        <v>58</v>
      </c>
    </row>
    <row r="3592" spans="1:8" ht="54.95" customHeight="1" x14ac:dyDescent="0.2">
      <c r="A3592" s="23" t="s">
        <v>702</v>
      </c>
      <c r="B3592" s="23" t="s">
        <v>23</v>
      </c>
      <c r="C3592" s="23" t="s">
        <v>46</v>
      </c>
      <c r="D3592" s="23" t="s">
        <v>46</v>
      </c>
      <c r="E3592" s="23" t="s">
        <v>101</v>
      </c>
      <c r="F3592" s="15" t="s">
        <v>104</v>
      </c>
      <c r="G3592" s="15" t="s">
        <v>5173</v>
      </c>
      <c r="H3592" s="23" t="s">
        <v>58</v>
      </c>
    </row>
    <row r="3593" spans="1:8" ht="54.95" customHeight="1" x14ac:dyDescent="0.2">
      <c r="A3593" s="23" t="s">
        <v>702</v>
      </c>
      <c r="B3593" s="23" t="s">
        <v>25</v>
      </c>
      <c r="C3593" s="23" t="s">
        <v>46</v>
      </c>
      <c r="D3593" s="23" t="s">
        <v>46</v>
      </c>
      <c r="E3593" s="23" t="s">
        <v>101</v>
      </c>
      <c r="F3593" s="15" t="s">
        <v>104</v>
      </c>
      <c r="G3593" s="15" t="s">
        <v>5173</v>
      </c>
      <c r="H3593" s="23" t="s">
        <v>58</v>
      </c>
    </row>
    <row r="3594" spans="1:8" ht="54.95" customHeight="1" x14ac:dyDescent="0.2">
      <c r="A3594" s="23" t="s">
        <v>708</v>
      </c>
      <c r="B3594" s="23" t="s">
        <v>23</v>
      </c>
      <c r="C3594" s="23" t="s">
        <v>46</v>
      </c>
      <c r="D3594" s="23" t="s">
        <v>46</v>
      </c>
      <c r="E3594" s="23" t="s">
        <v>101</v>
      </c>
      <c r="F3594" s="15" t="s">
        <v>104</v>
      </c>
      <c r="G3594" s="15" t="s">
        <v>5173</v>
      </c>
      <c r="H3594" s="23" t="s">
        <v>58</v>
      </c>
    </row>
    <row r="3595" spans="1:8" ht="54.95" customHeight="1" x14ac:dyDescent="0.2">
      <c r="A3595" s="23" t="s">
        <v>708</v>
      </c>
      <c r="B3595" s="23" t="s">
        <v>25</v>
      </c>
      <c r="C3595" s="23" t="s">
        <v>46</v>
      </c>
      <c r="D3595" s="23" t="s">
        <v>46</v>
      </c>
      <c r="E3595" s="23" t="s">
        <v>101</v>
      </c>
      <c r="F3595" s="15" t="s">
        <v>104</v>
      </c>
      <c r="G3595" s="15" t="s">
        <v>5173</v>
      </c>
      <c r="H3595" s="23" t="s">
        <v>58</v>
      </c>
    </row>
    <row r="3596" spans="1:8" ht="54.95" customHeight="1" x14ac:dyDescent="0.2">
      <c r="A3596" s="23" t="s">
        <v>714</v>
      </c>
      <c r="B3596" s="23" t="s">
        <v>23</v>
      </c>
      <c r="C3596" s="23" t="s">
        <v>46</v>
      </c>
      <c r="D3596" s="23" t="s">
        <v>46</v>
      </c>
      <c r="E3596" s="23" t="s">
        <v>101</v>
      </c>
      <c r="F3596" s="15" t="s">
        <v>104</v>
      </c>
      <c r="G3596" s="15" t="s">
        <v>5173</v>
      </c>
      <c r="H3596" s="23" t="s">
        <v>58</v>
      </c>
    </row>
    <row r="3597" spans="1:8" ht="54.95" customHeight="1" x14ac:dyDescent="0.2">
      <c r="A3597" s="23" t="s">
        <v>714</v>
      </c>
      <c r="B3597" s="23" t="s">
        <v>25</v>
      </c>
      <c r="C3597" s="23" t="s">
        <v>46</v>
      </c>
      <c r="D3597" s="23" t="s">
        <v>46</v>
      </c>
      <c r="E3597" s="23" t="s">
        <v>101</v>
      </c>
      <c r="F3597" s="15" t="s">
        <v>104</v>
      </c>
      <c r="G3597" s="15" t="s">
        <v>5173</v>
      </c>
      <c r="H3597" s="23" t="s">
        <v>58</v>
      </c>
    </row>
    <row r="3598" spans="1:8" ht="54.95" customHeight="1" x14ac:dyDescent="0.2">
      <c r="A3598" s="23" t="s">
        <v>720</v>
      </c>
      <c r="B3598" s="23" t="s">
        <v>23</v>
      </c>
      <c r="C3598" s="23" t="s">
        <v>46</v>
      </c>
      <c r="D3598" s="23" t="s">
        <v>46</v>
      </c>
      <c r="E3598" s="23" t="s">
        <v>101</v>
      </c>
      <c r="F3598" s="15" t="s">
        <v>104</v>
      </c>
      <c r="G3598" s="15" t="s">
        <v>5173</v>
      </c>
      <c r="H3598" s="23" t="s">
        <v>58</v>
      </c>
    </row>
    <row r="3599" spans="1:8" ht="54.95" customHeight="1" x14ac:dyDescent="0.2">
      <c r="A3599" s="23" t="s">
        <v>720</v>
      </c>
      <c r="B3599" s="23" t="s">
        <v>24</v>
      </c>
      <c r="C3599" s="23" t="s">
        <v>46</v>
      </c>
      <c r="D3599" s="23" t="s">
        <v>46</v>
      </c>
      <c r="E3599" s="23" t="s">
        <v>101</v>
      </c>
      <c r="F3599" s="15" t="s">
        <v>104</v>
      </c>
      <c r="G3599" s="15" t="s">
        <v>5173</v>
      </c>
      <c r="H3599" s="23" t="s">
        <v>58</v>
      </c>
    </row>
    <row r="3600" spans="1:8" ht="54.95" customHeight="1" x14ac:dyDescent="0.2">
      <c r="A3600" s="23" t="s">
        <v>720</v>
      </c>
      <c r="B3600" s="23" t="s">
        <v>25</v>
      </c>
      <c r="C3600" s="23" t="s">
        <v>46</v>
      </c>
      <c r="D3600" s="23" t="s">
        <v>46</v>
      </c>
      <c r="E3600" s="23" t="s">
        <v>101</v>
      </c>
      <c r="F3600" s="15" t="s">
        <v>104</v>
      </c>
      <c r="G3600" s="15" t="s">
        <v>5173</v>
      </c>
      <c r="H3600" s="23" t="s">
        <v>58</v>
      </c>
    </row>
    <row r="3601" spans="1:8" ht="54.95" customHeight="1" x14ac:dyDescent="0.2">
      <c r="A3601" s="23" t="s">
        <v>726</v>
      </c>
      <c r="B3601" s="23" t="s">
        <v>23</v>
      </c>
      <c r="C3601" s="23" t="s">
        <v>46</v>
      </c>
      <c r="D3601" s="23" t="s">
        <v>46</v>
      </c>
      <c r="E3601" s="23" t="s">
        <v>101</v>
      </c>
      <c r="F3601" s="15" t="s">
        <v>104</v>
      </c>
      <c r="G3601" s="15" t="s">
        <v>5173</v>
      </c>
      <c r="H3601" s="23" t="s">
        <v>58</v>
      </c>
    </row>
    <row r="3602" spans="1:8" ht="54.95" customHeight="1" x14ac:dyDescent="0.2">
      <c r="A3602" s="23" t="s">
        <v>726</v>
      </c>
      <c r="B3602" s="23" t="s">
        <v>25</v>
      </c>
      <c r="C3602" s="23" t="s">
        <v>46</v>
      </c>
      <c r="D3602" s="23" t="s">
        <v>46</v>
      </c>
      <c r="E3602" s="23" t="s">
        <v>101</v>
      </c>
      <c r="F3602" s="15" t="s">
        <v>104</v>
      </c>
      <c r="G3602" s="15" t="s">
        <v>5173</v>
      </c>
      <c r="H3602" s="23" t="s">
        <v>58</v>
      </c>
    </row>
    <row r="3603" spans="1:8" ht="54.95" customHeight="1" x14ac:dyDescent="0.2">
      <c r="A3603" s="23" t="s">
        <v>732</v>
      </c>
      <c r="B3603" s="23" t="s">
        <v>23</v>
      </c>
      <c r="C3603" s="23" t="s">
        <v>46</v>
      </c>
      <c r="D3603" s="23" t="s">
        <v>46</v>
      </c>
      <c r="E3603" s="23" t="s">
        <v>101</v>
      </c>
      <c r="F3603" s="15" t="s">
        <v>104</v>
      </c>
      <c r="G3603" s="15" t="s">
        <v>5173</v>
      </c>
      <c r="H3603" s="23" t="s">
        <v>58</v>
      </c>
    </row>
    <row r="3604" spans="1:8" ht="54.95" customHeight="1" x14ac:dyDescent="0.2">
      <c r="A3604" s="23" t="s">
        <v>732</v>
      </c>
      <c r="B3604" s="23" t="s">
        <v>24</v>
      </c>
      <c r="C3604" s="23" t="s">
        <v>46</v>
      </c>
      <c r="D3604" s="23" t="s">
        <v>46</v>
      </c>
      <c r="E3604" s="23" t="s">
        <v>101</v>
      </c>
      <c r="F3604" s="15" t="s">
        <v>104</v>
      </c>
      <c r="G3604" s="15" t="s">
        <v>5173</v>
      </c>
      <c r="H3604" s="23" t="s">
        <v>58</v>
      </c>
    </row>
    <row r="3605" spans="1:8" ht="54.95" customHeight="1" x14ac:dyDescent="0.2">
      <c r="A3605" s="23" t="s">
        <v>732</v>
      </c>
      <c r="B3605" s="23" t="s">
        <v>25</v>
      </c>
      <c r="C3605" s="23" t="s">
        <v>46</v>
      </c>
      <c r="D3605" s="23" t="s">
        <v>46</v>
      </c>
      <c r="E3605" s="23" t="s">
        <v>101</v>
      </c>
      <c r="F3605" s="15" t="s">
        <v>104</v>
      </c>
      <c r="G3605" s="15" t="s">
        <v>5173</v>
      </c>
      <c r="H3605" s="23" t="s">
        <v>58</v>
      </c>
    </row>
    <row r="3606" spans="1:8" ht="54.95" customHeight="1" x14ac:dyDescent="0.2">
      <c r="A3606" s="23" t="s">
        <v>738</v>
      </c>
      <c r="B3606" s="23" t="s">
        <v>19</v>
      </c>
      <c r="C3606" s="23" t="s">
        <v>46</v>
      </c>
      <c r="D3606" s="23" t="s">
        <v>46</v>
      </c>
      <c r="E3606" s="23" t="s">
        <v>46</v>
      </c>
      <c r="F3606" s="15" t="s">
        <v>103</v>
      </c>
      <c r="G3606" s="15" t="s">
        <v>5173</v>
      </c>
      <c r="H3606" s="23" t="s">
        <v>58</v>
      </c>
    </row>
    <row r="3607" spans="1:8" ht="54.95" customHeight="1" x14ac:dyDescent="0.2">
      <c r="A3607" s="23" t="s">
        <v>738</v>
      </c>
      <c r="B3607" s="23" t="s">
        <v>23</v>
      </c>
      <c r="C3607" s="23" t="s">
        <v>46</v>
      </c>
      <c r="D3607" s="23" t="s">
        <v>46</v>
      </c>
      <c r="E3607" s="23" t="s">
        <v>101</v>
      </c>
      <c r="F3607" s="15" t="s">
        <v>104</v>
      </c>
      <c r="G3607" s="15" t="s">
        <v>5173</v>
      </c>
      <c r="H3607" s="23" t="s">
        <v>58</v>
      </c>
    </row>
    <row r="3608" spans="1:8" ht="54.95" customHeight="1" x14ac:dyDescent="0.2">
      <c r="A3608" s="23" t="s">
        <v>738</v>
      </c>
      <c r="B3608" s="23" t="s">
        <v>24</v>
      </c>
      <c r="C3608" s="23" t="s">
        <v>46</v>
      </c>
      <c r="D3608" s="23" t="s">
        <v>46</v>
      </c>
      <c r="E3608" s="23" t="s">
        <v>101</v>
      </c>
      <c r="F3608" s="15" t="s">
        <v>104</v>
      </c>
      <c r="G3608" s="15" t="s">
        <v>5173</v>
      </c>
      <c r="H3608" s="23" t="s">
        <v>58</v>
      </c>
    </row>
    <row r="3609" spans="1:8" ht="54.95" customHeight="1" x14ac:dyDescent="0.2">
      <c r="A3609" s="23" t="s">
        <v>738</v>
      </c>
      <c r="B3609" s="23" t="s">
        <v>25</v>
      </c>
      <c r="C3609" s="23" t="s">
        <v>46</v>
      </c>
      <c r="D3609" s="23" t="s">
        <v>46</v>
      </c>
      <c r="E3609" s="23" t="s">
        <v>101</v>
      </c>
      <c r="F3609" s="15" t="s">
        <v>104</v>
      </c>
      <c r="G3609" s="15" t="s">
        <v>5173</v>
      </c>
      <c r="H3609" s="23" t="s">
        <v>58</v>
      </c>
    </row>
    <row r="3610" spans="1:8" ht="54.95" customHeight="1" x14ac:dyDescent="0.2">
      <c r="A3610" s="23" t="s">
        <v>744</v>
      </c>
      <c r="B3610" s="23" t="s">
        <v>23</v>
      </c>
      <c r="C3610" s="23" t="s">
        <v>46</v>
      </c>
      <c r="D3610" s="23" t="s">
        <v>46</v>
      </c>
      <c r="E3610" s="23" t="s">
        <v>101</v>
      </c>
      <c r="F3610" s="15" t="s">
        <v>104</v>
      </c>
      <c r="G3610" s="15" t="s">
        <v>5173</v>
      </c>
      <c r="H3610" s="23" t="s">
        <v>58</v>
      </c>
    </row>
    <row r="3611" spans="1:8" ht="54.95" customHeight="1" x14ac:dyDescent="0.2">
      <c r="A3611" s="23" t="s">
        <v>744</v>
      </c>
      <c r="B3611" s="23" t="s">
        <v>24</v>
      </c>
      <c r="C3611" s="23" t="s">
        <v>46</v>
      </c>
      <c r="D3611" s="23" t="s">
        <v>46</v>
      </c>
      <c r="E3611" s="23" t="s">
        <v>101</v>
      </c>
      <c r="F3611" s="15" t="s">
        <v>104</v>
      </c>
      <c r="G3611" s="15" t="s">
        <v>5173</v>
      </c>
      <c r="H3611" s="23" t="s">
        <v>58</v>
      </c>
    </row>
    <row r="3612" spans="1:8" ht="54.95" customHeight="1" x14ac:dyDescent="0.2">
      <c r="A3612" s="23" t="s">
        <v>744</v>
      </c>
      <c r="B3612" s="23" t="s">
        <v>25</v>
      </c>
      <c r="C3612" s="23" t="s">
        <v>46</v>
      </c>
      <c r="D3612" s="23" t="s">
        <v>46</v>
      </c>
      <c r="E3612" s="23" t="s">
        <v>101</v>
      </c>
      <c r="F3612" s="15" t="s">
        <v>104</v>
      </c>
      <c r="G3612" s="15" t="s">
        <v>5173</v>
      </c>
      <c r="H3612" s="23" t="s">
        <v>58</v>
      </c>
    </row>
    <row r="3613" spans="1:8" ht="54.95" customHeight="1" x14ac:dyDescent="0.2">
      <c r="A3613" s="23" t="s">
        <v>750</v>
      </c>
      <c r="B3613" s="23" t="s">
        <v>23</v>
      </c>
      <c r="C3613" s="23" t="s">
        <v>46</v>
      </c>
      <c r="D3613" s="23" t="s">
        <v>46</v>
      </c>
      <c r="E3613" s="23" t="s">
        <v>101</v>
      </c>
      <c r="F3613" s="15" t="s">
        <v>104</v>
      </c>
      <c r="G3613" s="15" t="s">
        <v>5173</v>
      </c>
      <c r="H3613" s="23" t="s">
        <v>58</v>
      </c>
    </row>
    <row r="3614" spans="1:8" ht="54.95" customHeight="1" x14ac:dyDescent="0.2">
      <c r="A3614" s="23" t="s">
        <v>750</v>
      </c>
      <c r="B3614" s="23" t="s">
        <v>25</v>
      </c>
      <c r="C3614" s="23" t="s">
        <v>46</v>
      </c>
      <c r="D3614" s="23" t="s">
        <v>46</v>
      </c>
      <c r="E3614" s="23" t="s">
        <v>101</v>
      </c>
      <c r="F3614" s="15" t="s">
        <v>104</v>
      </c>
      <c r="G3614" s="15" t="s">
        <v>5173</v>
      </c>
      <c r="H3614" s="23" t="s">
        <v>58</v>
      </c>
    </row>
    <row r="3615" spans="1:8" ht="54.95" customHeight="1" x14ac:dyDescent="0.2">
      <c r="A3615" s="23" t="s">
        <v>756</v>
      </c>
      <c r="B3615" s="23" t="s">
        <v>23</v>
      </c>
      <c r="C3615" s="23" t="s">
        <v>46</v>
      </c>
      <c r="D3615" s="23" t="s">
        <v>46</v>
      </c>
      <c r="E3615" s="23" t="s">
        <v>101</v>
      </c>
      <c r="F3615" s="15" t="s">
        <v>104</v>
      </c>
      <c r="G3615" s="15" t="s">
        <v>5173</v>
      </c>
      <c r="H3615" s="23" t="s">
        <v>58</v>
      </c>
    </row>
    <row r="3616" spans="1:8" ht="54.95" customHeight="1" x14ac:dyDescent="0.2">
      <c r="A3616" s="23" t="s">
        <v>756</v>
      </c>
      <c r="B3616" s="23" t="s">
        <v>24</v>
      </c>
      <c r="C3616" s="23" t="s">
        <v>46</v>
      </c>
      <c r="D3616" s="23" t="s">
        <v>46</v>
      </c>
      <c r="E3616" s="23" t="s">
        <v>101</v>
      </c>
      <c r="F3616" s="15" t="s">
        <v>104</v>
      </c>
      <c r="G3616" s="15" t="s">
        <v>5173</v>
      </c>
      <c r="H3616" s="23" t="s">
        <v>58</v>
      </c>
    </row>
    <row r="3617" spans="1:8" ht="54.95" customHeight="1" x14ac:dyDescent="0.2">
      <c r="A3617" s="23" t="s">
        <v>756</v>
      </c>
      <c r="B3617" s="23" t="s">
        <v>25</v>
      </c>
      <c r="C3617" s="23" t="s">
        <v>46</v>
      </c>
      <c r="D3617" s="23" t="s">
        <v>46</v>
      </c>
      <c r="E3617" s="23" t="s">
        <v>101</v>
      </c>
      <c r="F3617" s="15" t="s">
        <v>104</v>
      </c>
      <c r="G3617" s="15" t="s">
        <v>5173</v>
      </c>
      <c r="H3617" s="23" t="s">
        <v>58</v>
      </c>
    </row>
    <row r="3618" spans="1:8" ht="54.95" customHeight="1" x14ac:dyDescent="0.2">
      <c r="A3618" s="23" t="s">
        <v>762</v>
      </c>
      <c r="B3618" s="23" t="s">
        <v>3</v>
      </c>
      <c r="C3618" s="23" t="s">
        <v>46</v>
      </c>
      <c r="D3618" s="23" t="s">
        <v>46</v>
      </c>
      <c r="E3618" s="23" t="s">
        <v>46</v>
      </c>
      <c r="F3618" s="15" t="s">
        <v>198</v>
      </c>
      <c r="G3618" s="15" t="s">
        <v>5173</v>
      </c>
      <c r="H3618" s="23" t="s">
        <v>58</v>
      </c>
    </row>
    <row r="3619" spans="1:8" ht="54.95" customHeight="1" x14ac:dyDescent="0.2">
      <c r="A3619" s="23" t="s">
        <v>762</v>
      </c>
      <c r="B3619" s="23" t="s">
        <v>6</v>
      </c>
      <c r="C3619" s="23" t="s">
        <v>46</v>
      </c>
      <c r="D3619" s="23" t="s">
        <v>46</v>
      </c>
      <c r="E3619" s="23" t="s">
        <v>46</v>
      </c>
      <c r="F3619" s="15" t="s">
        <v>198</v>
      </c>
      <c r="G3619" s="15" t="s">
        <v>5173</v>
      </c>
      <c r="H3619" s="23" t="s">
        <v>58</v>
      </c>
    </row>
    <row r="3620" spans="1:8" ht="54.95" customHeight="1" x14ac:dyDescent="0.2">
      <c r="A3620" s="23" t="s">
        <v>762</v>
      </c>
      <c r="B3620" s="23" t="s">
        <v>7</v>
      </c>
      <c r="C3620" s="23" t="s">
        <v>46</v>
      </c>
      <c r="D3620" s="23" t="s">
        <v>46</v>
      </c>
      <c r="E3620" s="23" t="s">
        <v>46</v>
      </c>
      <c r="F3620" s="15" t="s">
        <v>198</v>
      </c>
      <c r="G3620" s="15" t="s">
        <v>5173</v>
      </c>
      <c r="H3620" s="23" t="s">
        <v>58</v>
      </c>
    </row>
    <row r="3621" spans="1:8" ht="54.95" customHeight="1" x14ac:dyDescent="0.2">
      <c r="A3621" s="23" t="s">
        <v>762</v>
      </c>
      <c r="B3621" s="23" t="s">
        <v>8</v>
      </c>
      <c r="C3621" s="23" t="s">
        <v>46</v>
      </c>
      <c r="D3621" s="23" t="s">
        <v>46</v>
      </c>
      <c r="E3621" s="23" t="s">
        <v>46</v>
      </c>
      <c r="F3621" s="15" t="s">
        <v>198</v>
      </c>
      <c r="G3621" s="15" t="s">
        <v>5173</v>
      </c>
      <c r="H3621" s="23" t="s">
        <v>58</v>
      </c>
    </row>
    <row r="3622" spans="1:8" ht="54.95" customHeight="1" x14ac:dyDescent="0.2">
      <c r="A3622" s="23" t="s">
        <v>762</v>
      </c>
      <c r="B3622" s="23" t="s">
        <v>9</v>
      </c>
      <c r="C3622" s="23" t="s">
        <v>46</v>
      </c>
      <c r="D3622" s="23" t="s">
        <v>46</v>
      </c>
      <c r="E3622" s="23" t="s">
        <v>46</v>
      </c>
      <c r="F3622" s="15" t="s">
        <v>198</v>
      </c>
      <c r="G3622" s="15" t="s">
        <v>5173</v>
      </c>
      <c r="H3622" s="23" t="s">
        <v>58</v>
      </c>
    </row>
    <row r="3623" spans="1:8" ht="54.95" customHeight="1" x14ac:dyDescent="0.2">
      <c r="A3623" s="23" t="s">
        <v>762</v>
      </c>
      <c r="B3623" s="23" t="s">
        <v>10</v>
      </c>
      <c r="C3623" s="23" t="s">
        <v>46</v>
      </c>
      <c r="D3623" s="23" t="s">
        <v>46</v>
      </c>
      <c r="E3623" s="23" t="s">
        <v>46</v>
      </c>
      <c r="F3623" s="15" t="s">
        <v>198</v>
      </c>
      <c r="G3623" s="15" t="s">
        <v>5173</v>
      </c>
      <c r="H3623" s="23" t="s">
        <v>58</v>
      </c>
    </row>
    <row r="3624" spans="1:8" ht="54.95" customHeight="1" x14ac:dyDescent="0.2">
      <c r="A3624" s="23" t="s">
        <v>762</v>
      </c>
      <c r="B3624" s="23" t="s">
        <v>11</v>
      </c>
      <c r="C3624" s="23" t="s">
        <v>46</v>
      </c>
      <c r="D3624" s="23" t="s">
        <v>46</v>
      </c>
      <c r="E3624" s="23" t="s">
        <v>46</v>
      </c>
      <c r="F3624" s="15" t="s">
        <v>198</v>
      </c>
      <c r="G3624" s="15" t="s">
        <v>5173</v>
      </c>
      <c r="H3624" s="23" t="s">
        <v>58</v>
      </c>
    </row>
    <row r="3625" spans="1:8" ht="54.95" customHeight="1" x14ac:dyDescent="0.2">
      <c r="A3625" s="23" t="s">
        <v>762</v>
      </c>
      <c r="B3625" s="23" t="s">
        <v>13</v>
      </c>
      <c r="C3625" s="23" t="s">
        <v>46</v>
      </c>
      <c r="D3625" s="23" t="s">
        <v>46</v>
      </c>
      <c r="E3625" s="23" t="s">
        <v>46</v>
      </c>
      <c r="F3625" s="15" t="s">
        <v>198</v>
      </c>
      <c r="G3625" s="15" t="s">
        <v>5173</v>
      </c>
      <c r="H3625" s="23" t="s">
        <v>58</v>
      </c>
    </row>
    <row r="3626" spans="1:8" ht="54.95" customHeight="1" x14ac:dyDescent="0.2">
      <c r="A3626" s="23" t="s">
        <v>762</v>
      </c>
      <c r="B3626" s="23" t="s">
        <v>14</v>
      </c>
      <c r="C3626" s="23" t="s">
        <v>46</v>
      </c>
      <c r="D3626" s="23" t="s">
        <v>46</v>
      </c>
      <c r="E3626" s="23" t="s">
        <v>46</v>
      </c>
      <c r="F3626" s="15" t="s">
        <v>198</v>
      </c>
      <c r="G3626" s="15" t="s">
        <v>5173</v>
      </c>
      <c r="H3626" s="23" t="s">
        <v>58</v>
      </c>
    </row>
    <row r="3627" spans="1:8" ht="54.95" customHeight="1" x14ac:dyDescent="0.2">
      <c r="A3627" s="23" t="s">
        <v>762</v>
      </c>
      <c r="B3627" s="23" t="s">
        <v>15</v>
      </c>
      <c r="C3627" s="23" t="s">
        <v>46</v>
      </c>
      <c r="D3627" s="23" t="s">
        <v>46</v>
      </c>
      <c r="E3627" s="23" t="s">
        <v>46</v>
      </c>
      <c r="F3627" s="15" t="s">
        <v>103</v>
      </c>
      <c r="G3627" s="15" t="s">
        <v>5173</v>
      </c>
      <c r="H3627" s="23" t="s">
        <v>58</v>
      </c>
    </row>
    <row r="3628" spans="1:8" ht="54.95" customHeight="1" x14ac:dyDescent="0.2">
      <c r="A3628" s="23" t="s">
        <v>762</v>
      </c>
      <c r="B3628" s="23" t="s">
        <v>17</v>
      </c>
      <c r="C3628" s="23" t="s">
        <v>46</v>
      </c>
      <c r="D3628" s="23" t="s">
        <v>46</v>
      </c>
      <c r="E3628" s="23" t="s">
        <v>46</v>
      </c>
      <c r="F3628" s="15" t="s">
        <v>103</v>
      </c>
      <c r="G3628" s="15" t="s">
        <v>5173</v>
      </c>
      <c r="H3628" s="23" t="s">
        <v>58</v>
      </c>
    </row>
    <row r="3629" spans="1:8" ht="54.95" customHeight="1" x14ac:dyDescent="0.2">
      <c r="A3629" s="23" t="s">
        <v>762</v>
      </c>
      <c r="B3629" s="23" t="s">
        <v>23</v>
      </c>
      <c r="C3629" s="23" t="s">
        <v>46</v>
      </c>
      <c r="D3629" s="23" t="s">
        <v>46</v>
      </c>
      <c r="E3629" s="23" t="s">
        <v>101</v>
      </c>
      <c r="F3629" s="15" t="s">
        <v>104</v>
      </c>
      <c r="G3629" s="15" t="s">
        <v>5173</v>
      </c>
      <c r="H3629" s="23" t="s">
        <v>58</v>
      </c>
    </row>
    <row r="3630" spans="1:8" ht="54.95" customHeight="1" x14ac:dyDescent="0.2">
      <c r="A3630" s="23" t="s">
        <v>762</v>
      </c>
      <c r="B3630" s="23" t="s">
        <v>25</v>
      </c>
      <c r="C3630" s="23" t="s">
        <v>46</v>
      </c>
      <c r="D3630" s="23" t="s">
        <v>46</v>
      </c>
      <c r="E3630" s="23" t="s">
        <v>101</v>
      </c>
      <c r="F3630" s="15" t="s">
        <v>104</v>
      </c>
      <c r="G3630" s="15" t="s">
        <v>5173</v>
      </c>
      <c r="H3630" s="23" t="s">
        <v>58</v>
      </c>
    </row>
    <row r="3631" spans="1:8" ht="54.95" customHeight="1" x14ac:dyDescent="0.2">
      <c r="A3631" s="23" t="s">
        <v>768</v>
      </c>
      <c r="B3631" s="23" t="s">
        <v>23</v>
      </c>
      <c r="C3631" s="23" t="s">
        <v>46</v>
      </c>
      <c r="D3631" s="23" t="s">
        <v>46</v>
      </c>
      <c r="E3631" s="23" t="s">
        <v>101</v>
      </c>
      <c r="F3631" s="15" t="s">
        <v>104</v>
      </c>
      <c r="G3631" s="15" t="s">
        <v>5173</v>
      </c>
      <c r="H3631" s="23" t="s">
        <v>58</v>
      </c>
    </row>
    <row r="3632" spans="1:8" ht="54.95" customHeight="1" x14ac:dyDescent="0.2">
      <c r="A3632" s="23" t="s">
        <v>768</v>
      </c>
      <c r="B3632" s="23" t="s">
        <v>24</v>
      </c>
      <c r="C3632" s="23" t="s">
        <v>46</v>
      </c>
      <c r="D3632" s="23" t="s">
        <v>46</v>
      </c>
      <c r="E3632" s="23" t="s">
        <v>101</v>
      </c>
      <c r="F3632" s="15" t="s">
        <v>104</v>
      </c>
      <c r="G3632" s="15" t="s">
        <v>5173</v>
      </c>
      <c r="H3632" s="23" t="s">
        <v>58</v>
      </c>
    </row>
    <row r="3633" spans="1:8" ht="54.95" customHeight="1" x14ac:dyDescent="0.2">
      <c r="A3633" s="23" t="s">
        <v>768</v>
      </c>
      <c r="B3633" s="23" t="s">
        <v>25</v>
      </c>
      <c r="C3633" s="23" t="s">
        <v>46</v>
      </c>
      <c r="D3633" s="23" t="s">
        <v>46</v>
      </c>
      <c r="E3633" s="23" t="s">
        <v>101</v>
      </c>
      <c r="F3633" s="15" t="s">
        <v>104</v>
      </c>
      <c r="G3633" s="15" t="s">
        <v>5173</v>
      </c>
      <c r="H3633" s="23" t="s">
        <v>58</v>
      </c>
    </row>
    <row r="3634" spans="1:8" ht="54.95" customHeight="1" x14ac:dyDescent="0.2">
      <c r="A3634" s="23" t="s">
        <v>774</v>
      </c>
      <c r="B3634" s="23" t="s">
        <v>23</v>
      </c>
      <c r="C3634" s="23" t="s">
        <v>46</v>
      </c>
      <c r="D3634" s="23" t="s">
        <v>46</v>
      </c>
      <c r="E3634" s="23" t="s">
        <v>101</v>
      </c>
      <c r="F3634" s="15" t="s">
        <v>104</v>
      </c>
      <c r="G3634" s="15" t="s">
        <v>5173</v>
      </c>
      <c r="H3634" s="23" t="s">
        <v>58</v>
      </c>
    </row>
    <row r="3635" spans="1:8" ht="54.95" customHeight="1" x14ac:dyDescent="0.2">
      <c r="A3635" s="23" t="s">
        <v>774</v>
      </c>
      <c r="B3635" s="23" t="s">
        <v>25</v>
      </c>
      <c r="C3635" s="23" t="s">
        <v>46</v>
      </c>
      <c r="D3635" s="23" t="s">
        <v>46</v>
      </c>
      <c r="E3635" s="23" t="s">
        <v>101</v>
      </c>
      <c r="F3635" s="15" t="s">
        <v>104</v>
      </c>
      <c r="G3635" s="15" t="s">
        <v>5173</v>
      </c>
      <c r="H3635" s="23" t="s">
        <v>58</v>
      </c>
    </row>
    <row r="3636" spans="1:8" ht="54.95" customHeight="1" x14ac:dyDescent="0.2">
      <c r="A3636" s="23" t="s">
        <v>780</v>
      </c>
      <c r="B3636" s="23" t="s">
        <v>21</v>
      </c>
      <c r="C3636" s="23" t="s">
        <v>46</v>
      </c>
      <c r="D3636" s="23" t="s">
        <v>46</v>
      </c>
      <c r="E3636" s="23" t="s">
        <v>101</v>
      </c>
      <c r="F3636" s="15" t="s">
        <v>104</v>
      </c>
      <c r="G3636" s="15" t="s">
        <v>5173</v>
      </c>
      <c r="H3636" s="23" t="s">
        <v>58</v>
      </c>
    </row>
    <row r="3637" spans="1:8" ht="54.95" customHeight="1" x14ac:dyDescent="0.2">
      <c r="A3637" s="23" t="s">
        <v>780</v>
      </c>
      <c r="B3637" s="23" t="s">
        <v>22</v>
      </c>
      <c r="C3637" s="23" t="s">
        <v>46</v>
      </c>
      <c r="D3637" s="23" t="s">
        <v>46</v>
      </c>
      <c r="E3637" s="23" t="s">
        <v>101</v>
      </c>
      <c r="F3637" s="15" t="s">
        <v>104</v>
      </c>
      <c r="G3637" s="15" t="s">
        <v>5173</v>
      </c>
      <c r="H3637" s="23" t="s">
        <v>58</v>
      </c>
    </row>
    <row r="3638" spans="1:8" ht="54.95" customHeight="1" x14ac:dyDescent="0.2">
      <c r="A3638" s="23" t="s">
        <v>780</v>
      </c>
      <c r="B3638" s="23" t="s">
        <v>23</v>
      </c>
      <c r="C3638" s="23" t="s">
        <v>46</v>
      </c>
      <c r="D3638" s="23" t="s">
        <v>46</v>
      </c>
      <c r="E3638" s="23" t="s">
        <v>101</v>
      </c>
      <c r="F3638" s="15" t="s">
        <v>104</v>
      </c>
      <c r="G3638" s="15" t="s">
        <v>5173</v>
      </c>
      <c r="H3638" s="23" t="s">
        <v>58</v>
      </c>
    </row>
    <row r="3639" spans="1:8" ht="54.95" customHeight="1" x14ac:dyDescent="0.2">
      <c r="A3639" s="23" t="s">
        <v>780</v>
      </c>
      <c r="B3639" s="23" t="s">
        <v>24</v>
      </c>
      <c r="C3639" s="23" t="s">
        <v>46</v>
      </c>
      <c r="D3639" s="23" t="s">
        <v>46</v>
      </c>
      <c r="E3639" s="23" t="s">
        <v>101</v>
      </c>
      <c r="F3639" s="15" t="s">
        <v>104</v>
      </c>
      <c r="G3639" s="15" t="s">
        <v>5173</v>
      </c>
      <c r="H3639" s="23" t="s">
        <v>58</v>
      </c>
    </row>
    <row r="3640" spans="1:8" ht="54.95" customHeight="1" x14ac:dyDescent="0.2">
      <c r="A3640" s="23" t="s">
        <v>780</v>
      </c>
      <c r="B3640" s="23" t="s">
        <v>25</v>
      </c>
      <c r="C3640" s="23" t="s">
        <v>46</v>
      </c>
      <c r="D3640" s="23" t="s">
        <v>46</v>
      </c>
      <c r="E3640" s="23" t="s">
        <v>101</v>
      </c>
      <c r="F3640" s="15" t="s">
        <v>104</v>
      </c>
      <c r="G3640" s="15" t="s">
        <v>5173</v>
      </c>
      <c r="H3640" s="23" t="s">
        <v>58</v>
      </c>
    </row>
    <row r="3641" spans="1:8" ht="54.95" customHeight="1" x14ac:dyDescent="0.2">
      <c r="A3641" s="23" t="s">
        <v>785</v>
      </c>
      <c r="B3641" s="23" t="s">
        <v>23</v>
      </c>
      <c r="C3641" s="23" t="s">
        <v>46</v>
      </c>
      <c r="D3641" s="23" t="s">
        <v>46</v>
      </c>
      <c r="E3641" s="23" t="s">
        <v>101</v>
      </c>
      <c r="F3641" s="15" t="s">
        <v>104</v>
      </c>
      <c r="G3641" s="15" t="s">
        <v>5173</v>
      </c>
      <c r="H3641" s="23" t="s">
        <v>58</v>
      </c>
    </row>
    <row r="3642" spans="1:8" ht="54.95" customHeight="1" x14ac:dyDescent="0.2">
      <c r="A3642" s="23" t="s">
        <v>785</v>
      </c>
      <c r="B3642" s="23" t="s">
        <v>24</v>
      </c>
      <c r="C3642" s="23" t="s">
        <v>46</v>
      </c>
      <c r="D3642" s="23" t="s">
        <v>46</v>
      </c>
      <c r="E3642" s="23" t="s">
        <v>101</v>
      </c>
      <c r="F3642" s="15" t="s">
        <v>104</v>
      </c>
      <c r="G3642" s="15" t="s">
        <v>5173</v>
      </c>
      <c r="H3642" s="23" t="s">
        <v>58</v>
      </c>
    </row>
    <row r="3643" spans="1:8" ht="54.95" customHeight="1" x14ac:dyDescent="0.2">
      <c r="A3643" s="23" t="s">
        <v>785</v>
      </c>
      <c r="B3643" s="23" t="s">
        <v>25</v>
      </c>
      <c r="C3643" s="23" t="s">
        <v>46</v>
      </c>
      <c r="D3643" s="23" t="s">
        <v>46</v>
      </c>
      <c r="E3643" s="23" t="s">
        <v>101</v>
      </c>
      <c r="F3643" s="15" t="s">
        <v>104</v>
      </c>
      <c r="G3643" s="15" t="s">
        <v>5173</v>
      </c>
      <c r="H3643" s="23" t="s">
        <v>58</v>
      </c>
    </row>
    <row r="3644" spans="1:8" ht="54.95" customHeight="1" x14ac:dyDescent="0.2">
      <c r="A3644" s="23" t="s">
        <v>791</v>
      </c>
      <c r="B3644" s="23" t="s">
        <v>23</v>
      </c>
      <c r="C3644" s="23" t="s">
        <v>46</v>
      </c>
      <c r="D3644" s="23" t="s">
        <v>46</v>
      </c>
      <c r="E3644" s="23" t="s">
        <v>101</v>
      </c>
      <c r="F3644" s="15" t="s">
        <v>104</v>
      </c>
      <c r="G3644" s="15" t="s">
        <v>5173</v>
      </c>
      <c r="H3644" s="23" t="s">
        <v>58</v>
      </c>
    </row>
    <row r="3645" spans="1:8" ht="54.95" customHeight="1" x14ac:dyDescent="0.2">
      <c r="A3645" s="23" t="s">
        <v>791</v>
      </c>
      <c r="B3645" s="23" t="s">
        <v>24</v>
      </c>
      <c r="C3645" s="23" t="s">
        <v>46</v>
      </c>
      <c r="D3645" s="23" t="s">
        <v>46</v>
      </c>
      <c r="E3645" s="23" t="s">
        <v>101</v>
      </c>
      <c r="F3645" s="15" t="s">
        <v>104</v>
      </c>
      <c r="G3645" s="15" t="s">
        <v>5173</v>
      </c>
      <c r="H3645" s="23" t="s">
        <v>58</v>
      </c>
    </row>
    <row r="3646" spans="1:8" ht="54.95" customHeight="1" x14ac:dyDescent="0.2">
      <c r="A3646" s="23" t="s">
        <v>791</v>
      </c>
      <c r="B3646" s="23" t="s">
        <v>25</v>
      </c>
      <c r="C3646" s="23" t="s">
        <v>46</v>
      </c>
      <c r="D3646" s="23" t="s">
        <v>46</v>
      </c>
      <c r="E3646" s="23" t="s">
        <v>101</v>
      </c>
      <c r="F3646" s="15" t="s">
        <v>104</v>
      </c>
      <c r="G3646" s="15" t="s">
        <v>5173</v>
      </c>
      <c r="H3646" s="23" t="s">
        <v>58</v>
      </c>
    </row>
    <row r="3647" spans="1:8" ht="54.95" customHeight="1" x14ac:dyDescent="0.2">
      <c r="A3647" s="23" t="s">
        <v>797</v>
      </c>
      <c r="B3647" s="23" t="s">
        <v>23</v>
      </c>
      <c r="C3647" s="23" t="s">
        <v>46</v>
      </c>
      <c r="D3647" s="23" t="s">
        <v>46</v>
      </c>
      <c r="E3647" s="23" t="s">
        <v>101</v>
      </c>
      <c r="F3647" s="15" t="s">
        <v>104</v>
      </c>
      <c r="G3647" s="15" t="s">
        <v>5173</v>
      </c>
      <c r="H3647" s="23" t="s">
        <v>58</v>
      </c>
    </row>
    <row r="3648" spans="1:8" ht="54.95" customHeight="1" x14ac:dyDescent="0.2">
      <c r="A3648" s="23" t="s">
        <v>797</v>
      </c>
      <c r="B3648" s="23" t="s">
        <v>24</v>
      </c>
      <c r="C3648" s="23" t="s">
        <v>46</v>
      </c>
      <c r="D3648" s="23" t="s">
        <v>46</v>
      </c>
      <c r="E3648" s="23" t="s">
        <v>101</v>
      </c>
      <c r="F3648" s="15" t="s">
        <v>104</v>
      </c>
      <c r="G3648" s="15" t="s">
        <v>5173</v>
      </c>
      <c r="H3648" s="23" t="s">
        <v>58</v>
      </c>
    </row>
    <row r="3649" spans="1:8" ht="54.95" customHeight="1" x14ac:dyDescent="0.2">
      <c r="A3649" s="23" t="s">
        <v>797</v>
      </c>
      <c r="B3649" s="23" t="s">
        <v>25</v>
      </c>
      <c r="C3649" s="23" t="s">
        <v>46</v>
      </c>
      <c r="D3649" s="23" t="s">
        <v>46</v>
      </c>
      <c r="E3649" s="23" t="s">
        <v>101</v>
      </c>
      <c r="F3649" s="15" t="s">
        <v>104</v>
      </c>
      <c r="G3649" s="15" t="s">
        <v>5173</v>
      </c>
      <c r="H3649" s="23" t="s">
        <v>58</v>
      </c>
    </row>
    <row r="3650" spans="1:8" ht="54.95" customHeight="1" x14ac:dyDescent="0.2">
      <c r="A3650" s="23" t="s">
        <v>803</v>
      </c>
      <c r="B3650" s="23" t="s">
        <v>21</v>
      </c>
      <c r="C3650" s="23" t="s">
        <v>46</v>
      </c>
      <c r="D3650" s="23" t="s">
        <v>46</v>
      </c>
      <c r="E3650" s="23" t="s">
        <v>101</v>
      </c>
      <c r="F3650" s="15" t="s">
        <v>104</v>
      </c>
      <c r="G3650" s="15" t="s">
        <v>5173</v>
      </c>
      <c r="H3650" s="23" t="s">
        <v>58</v>
      </c>
    </row>
    <row r="3651" spans="1:8" ht="54.95" customHeight="1" x14ac:dyDescent="0.2">
      <c r="A3651" s="23" t="s">
        <v>803</v>
      </c>
      <c r="B3651" s="23" t="s">
        <v>22</v>
      </c>
      <c r="C3651" s="23" t="s">
        <v>46</v>
      </c>
      <c r="D3651" s="23" t="s">
        <v>46</v>
      </c>
      <c r="E3651" s="23" t="s">
        <v>101</v>
      </c>
      <c r="F3651" s="15" t="s">
        <v>104</v>
      </c>
      <c r="G3651" s="15" t="s">
        <v>5173</v>
      </c>
      <c r="H3651" s="23" t="s">
        <v>58</v>
      </c>
    </row>
    <row r="3652" spans="1:8" ht="54.95" customHeight="1" x14ac:dyDescent="0.2">
      <c r="A3652" s="23" t="s">
        <v>803</v>
      </c>
      <c r="B3652" s="23" t="s">
        <v>23</v>
      </c>
      <c r="C3652" s="23" t="s">
        <v>46</v>
      </c>
      <c r="D3652" s="23" t="s">
        <v>46</v>
      </c>
      <c r="E3652" s="23" t="s">
        <v>101</v>
      </c>
      <c r="F3652" s="15" t="s">
        <v>104</v>
      </c>
      <c r="G3652" s="15" t="s">
        <v>5173</v>
      </c>
      <c r="H3652" s="23" t="s">
        <v>58</v>
      </c>
    </row>
    <row r="3653" spans="1:8" ht="54.95" customHeight="1" x14ac:dyDescent="0.2">
      <c r="A3653" s="23" t="s">
        <v>803</v>
      </c>
      <c r="B3653" s="23" t="s">
        <v>24</v>
      </c>
      <c r="C3653" s="23" t="s">
        <v>46</v>
      </c>
      <c r="D3653" s="23" t="s">
        <v>46</v>
      </c>
      <c r="E3653" s="23" t="s">
        <v>101</v>
      </c>
      <c r="F3653" s="15" t="s">
        <v>104</v>
      </c>
      <c r="G3653" s="15" t="s">
        <v>5173</v>
      </c>
      <c r="H3653" s="23" t="s">
        <v>58</v>
      </c>
    </row>
    <row r="3654" spans="1:8" ht="54.95" customHeight="1" x14ac:dyDescent="0.2">
      <c r="A3654" s="23" t="s">
        <v>803</v>
      </c>
      <c r="B3654" s="23" t="s">
        <v>25</v>
      </c>
      <c r="C3654" s="23" t="s">
        <v>46</v>
      </c>
      <c r="D3654" s="23" t="s">
        <v>46</v>
      </c>
      <c r="E3654" s="23" t="s">
        <v>101</v>
      </c>
      <c r="F3654" s="15" t="s">
        <v>104</v>
      </c>
      <c r="G3654" s="15" t="s">
        <v>5173</v>
      </c>
      <c r="H3654" s="23" t="s">
        <v>58</v>
      </c>
    </row>
    <row r="3655" spans="1:8" ht="54.95" customHeight="1" x14ac:dyDescent="0.2">
      <c r="A3655" s="23" t="s">
        <v>808</v>
      </c>
      <c r="B3655" s="23" t="s">
        <v>21</v>
      </c>
      <c r="C3655" s="23" t="s">
        <v>46</v>
      </c>
      <c r="D3655" s="23" t="s">
        <v>46</v>
      </c>
      <c r="E3655" s="23" t="s">
        <v>101</v>
      </c>
      <c r="F3655" s="15" t="s">
        <v>104</v>
      </c>
      <c r="G3655" s="15" t="s">
        <v>5173</v>
      </c>
      <c r="H3655" s="23" t="s">
        <v>58</v>
      </c>
    </row>
    <row r="3656" spans="1:8" ht="54.95" customHeight="1" x14ac:dyDescent="0.2">
      <c r="A3656" s="23" t="s">
        <v>808</v>
      </c>
      <c r="B3656" s="23" t="s">
        <v>22</v>
      </c>
      <c r="C3656" s="23" t="s">
        <v>46</v>
      </c>
      <c r="D3656" s="23" t="s">
        <v>46</v>
      </c>
      <c r="E3656" s="23" t="s">
        <v>101</v>
      </c>
      <c r="F3656" s="15" t="s">
        <v>104</v>
      </c>
      <c r="G3656" s="15" t="s">
        <v>5173</v>
      </c>
      <c r="H3656" s="23" t="s">
        <v>58</v>
      </c>
    </row>
    <row r="3657" spans="1:8" ht="54.95" customHeight="1" x14ac:dyDescent="0.2">
      <c r="A3657" s="23" t="s">
        <v>808</v>
      </c>
      <c r="B3657" s="23" t="s">
        <v>23</v>
      </c>
      <c r="C3657" s="23" t="s">
        <v>46</v>
      </c>
      <c r="D3657" s="23" t="s">
        <v>46</v>
      </c>
      <c r="E3657" s="23" t="s">
        <v>101</v>
      </c>
      <c r="F3657" s="15" t="s">
        <v>104</v>
      </c>
      <c r="G3657" s="15" t="s">
        <v>5173</v>
      </c>
      <c r="H3657" s="23" t="s">
        <v>58</v>
      </c>
    </row>
    <row r="3658" spans="1:8" ht="54.95" customHeight="1" x14ac:dyDescent="0.2">
      <c r="A3658" s="23" t="s">
        <v>808</v>
      </c>
      <c r="B3658" s="23" t="s">
        <v>24</v>
      </c>
      <c r="C3658" s="23" t="s">
        <v>46</v>
      </c>
      <c r="D3658" s="23" t="s">
        <v>46</v>
      </c>
      <c r="E3658" s="23" t="s">
        <v>101</v>
      </c>
      <c r="F3658" s="15" t="s">
        <v>104</v>
      </c>
      <c r="G3658" s="15" t="s">
        <v>5173</v>
      </c>
      <c r="H3658" s="23" t="s">
        <v>58</v>
      </c>
    </row>
    <row r="3659" spans="1:8" ht="54.95" customHeight="1" x14ac:dyDescent="0.2">
      <c r="A3659" s="23" t="s">
        <v>808</v>
      </c>
      <c r="B3659" s="23" t="s">
        <v>25</v>
      </c>
      <c r="C3659" s="23" t="s">
        <v>46</v>
      </c>
      <c r="D3659" s="23" t="s">
        <v>46</v>
      </c>
      <c r="E3659" s="23" t="s">
        <v>101</v>
      </c>
      <c r="F3659" s="15" t="s">
        <v>104</v>
      </c>
      <c r="G3659" s="15" t="s">
        <v>5173</v>
      </c>
      <c r="H3659" s="23" t="s">
        <v>58</v>
      </c>
    </row>
    <row r="3660" spans="1:8" ht="54.95" customHeight="1" x14ac:dyDescent="0.2">
      <c r="A3660" s="23" t="s">
        <v>813</v>
      </c>
      <c r="B3660" s="23" t="s">
        <v>3</v>
      </c>
      <c r="C3660" s="23" t="s">
        <v>46</v>
      </c>
      <c r="D3660" s="23" t="s">
        <v>46</v>
      </c>
      <c r="E3660" s="23" t="s">
        <v>46</v>
      </c>
      <c r="F3660" s="15" t="s">
        <v>198</v>
      </c>
      <c r="G3660" s="15" t="s">
        <v>5173</v>
      </c>
      <c r="H3660" s="23" t="s">
        <v>58</v>
      </c>
    </row>
    <row r="3661" spans="1:8" ht="54.95" customHeight="1" x14ac:dyDescent="0.2">
      <c r="A3661" s="23" t="s">
        <v>813</v>
      </c>
      <c r="B3661" s="23" t="s">
        <v>6</v>
      </c>
      <c r="C3661" s="23" t="s">
        <v>46</v>
      </c>
      <c r="D3661" s="23" t="s">
        <v>46</v>
      </c>
      <c r="E3661" s="23" t="s">
        <v>46</v>
      </c>
      <c r="F3661" s="15" t="s">
        <v>198</v>
      </c>
      <c r="G3661" s="15" t="s">
        <v>5173</v>
      </c>
      <c r="H3661" s="23" t="s">
        <v>58</v>
      </c>
    </row>
    <row r="3662" spans="1:8" ht="54.95" customHeight="1" x14ac:dyDescent="0.2">
      <c r="A3662" s="23" t="s">
        <v>813</v>
      </c>
      <c r="B3662" s="23" t="s">
        <v>7</v>
      </c>
      <c r="C3662" s="23" t="s">
        <v>46</v>
      </c>
      <c r="D3662" s="23" t="s">
        <v>46</v>
      </c>
      <c r="E3662" s="23" t="s">
        <v>46</v>
      </c>
      <c r="F3662" s="15" t="s">
        <v>198</v>
      </c>
      <c r="G3662" s="15" t="s">
        <v>5173</v>
      </c>
      <c r="H3662" s="23" t="s">
        <v>58</v>
      </c>
    </row>
    <row r="3663" spans="1:8" ht="54.95" customHeight="1" x14ac:dyDescent="0.2">
      <c r="A3663" s="23" t="s">
        <v>813</v>
      </c>
      <c r="B3663" s="23" t="s">
        <v>8</v>
      </c>
      <c r="C3663" s="23" t="s">
        <v>46</v>
      </c>
      <c r="D3663" s="23" t="s">
        <v>46</v>
      </c>
      <c r="E3663" s="23" t="s">
        <v>46</v>
      </c>
      <c r="F3663" s="15" t="s">
        <v>198</v>
      </c>
      <c r="G3663" s="15" t="s">
        <v>5173</v>
      </c>
      <c r="H3663" s="23" t="s">
        <v>58</v>
      </c>
    </row>
    <row r="3664" spans="1:8" ht="54.95" customHeight="1" x14ac:dyDescent="0.2">
      <c r="A3664" s="23" t="s">
        <v>813</v>
      </c>
      <c r="B3664" s="23" t="s">
        <v>9</v>
      </c>
      <c r="C3664" s="23" t="s">
        <v>46</v>
      </c>
      <c r="D3664" s="23" t="s">
        <v>46</v>
      </c>
      <c r="E3664" s="23" t="s">
        <v>46</v>
      </c>
      <c r="F3664" s="15" t="s">
        <v>198</v>
      </c>
      <c r="G3664" s="15" t="s">
        <v>5173</v>
      </c>
      <c r="H3664" s="23" t="s">
        <v>58</v>
      </c>
    </row>
    <row r="3665" spans="1:8" ht="54.95" customHeight="1" x14ac:dyDescent="0.2">
      <c r="A3665" s="23" t="s">
        <v>813</v>
      </c>
      <c r="B3665" s="23" t="s">
        <v>10</v>
      </c>
      <c r="C3665" s="23" t="s">
        <v>46</v>
      </c>
      <c r="D3665" s="23" t="s">
        <v>46</v>
      </c>
      <c r="E3665" s="23" t="s">
        <v>46</v>
      </c>
      <c r="F3665" s="15" t="s">
        <v>198</v>
      </c>
      <c r="G3665" s="15" t="s">
        <v>5173</v>
      </c>
      <c r="H3665" s="23" t="s">
        <v>58</v>
      </c>
    </row>
    <row r="3666" spans="1:8" ht="54.95" customHeight="1" x14ac:dyDescent="0.2">
      <c r="A3666" s="23" t="s">
        <v>813</v>
      </c>
      <c r="B3666" s="23" t="s">
        <v>11</v>
      </c>
      <c r="C3666" s="23" t="s">
        <v>46</v>
      </c>
      <c r="D3666" s="23" t="s">
        <v>46</v>
      </c>
      <c r="E3666" s="23" t="s">
        <v>46</v>
      </c>
      <c r="F3666" s="15" t="s">
        <v>198</v>
      </c>
      <c r="G3666" s="15" t="s">
        <v>5173</v>
      </c>
      <c r="H3666" s="23" t="s">
        <v>58</v>
      </c>
    </row>
    <row r="3667" spans="1:8" ht="54.95" customHeight="1" x14ac:dyDescent="0.2">
      <c r="A3667" s="23" t="s">
        <v>813</v>
      </c>
      <c r="B3667" s="23" t="s">
        <v>13</v>
      </c>
      <c r="C3667" s="23" t="s">
        <v>46</v>
      </c>
      <c r="D3667" s="23" t="s">
        <v>46</v>
      </c>
      <c r="E3667" s="23" t="s">
        <v>46</v>
      </c>
      <c r="F3667" s="15" t="s">
        <v>198</v>
      </c>
      <c r="G3667" s="15" t="s">
        <v>5173</v>
      </c>
      <c r="H3667" s="23" t="s">
        <v>58</v>
      </c>
    </row>
    <row r="3668" spans="1:8" ht="54.95" customHeight="1" x14ac:dyDescent="0.2">
      <c r="A3668" s="23" t="s">
        <v>813</v>
      </c>
      <c r="B3668" s="23" t="s">
        <v>14</v>
      </c>
      <c r="C3668" s="23" t="s">
        <v>46</v>
      </c>
      <c r="D3668" s="23" t="s">
        <v>46</v>
      </c>
      <c r="E3668" s="23" t="s">
        <v>46</v>
      </c>
      <c r="F3668" s="15" t="s">
        <v>198</v>
      </c>
      <c r="G3668" s="15" t="s">
        <v>5173</v>
      </c>
      <c r="H3668" s="23" t="s">
        <v>58</v>
      </c>
    </row>
    <row r="3669" spans="1:8" ht="54.95" customHeight="1" x14ac:dyDescent="0.2">
      <c r="A3669" s="23" t="s">
        <v>813</v>
      </c>
      <c r="B3669" s="23" t="s">
        <v>19</v>
      </c>
      <c r="C3669" s="23" t="s">
        <v>46</v>
      </c>
      <c r="D3669" s="23" t="s">
        <v>46</v>
      </c>
      <c r="E3669" s="23" t="s">
        <v>46</v>
      </c>
      <c r="F3669" s="15" t="s">
        <v>103</v>
      </c>
      <c r="G3669" s="15" t="s">
        <v>5173</v>
      </c>
      <c r="H3669" s="23" t="s">
        <v>58</v>
      </c>
    </row>
    <row r="3670" spans="1:8" ht="54.95" customHeight="1" x14ac:dyDescent="0.2">
      <c r="A3670" s="23" t="s">
        <v>813</v>
      </c>
      <c r="B3670" s="23" t="s">
        <v>23</v>
      </c>
      <c r="C3670" s="23" t="s">
        <v>46</v>
      </c>
      <c r="D3670" s="23" t="s">
        <v>46</v>
      </c>
      <c r="E3670" s="23" t="s">
        <v>101</v>
      </c>
      <c r="F3670" s="15" t="s">
        <v>104</v>
      </c>
      <c r="G3670" s="15" t="s">
        <v>5173</v>
      </c>
      <c r="H3670" s="23" t="s">
        <v>58</v>
      </c>
    </row>
    <row r="3671" spans="1:8" ht="54.95" customHeight="1" x14ac:dyDescent="0.2">
      <c r="A3671" s="23" t="s">
        <v>813</v>
      </c>
      <c r="B3671" s="23" t="s">
        <v>24</v>
      </c>
      <c r="C3671" s="23" t="s">
        <v>46</v>
      </c>
      <c r="D3671" s="23" t="s">
        <v>46</v>
      </c>
      <c r="E3671" s="23" t="s">
        <v>101</v>
      </c>
      <c r="F3671" s="15" t="s">
        <v>104</v>
      </c>
      <c r="G3671" s="15" t="s">
        <v>5173</v>
      </c>
      <c r="H3671" s="23" t="s">
        <v>58</v>
      </c>
    </row>
    <row r="3672" spans="1:8" ht="54.95" customHeight="1" x14ac:dyDescent="0.2">
      <c r="A3672" s="23" t="s">
        <v>813</v>
      </c>
      <c r="B3672" s="23" t="s">
        <v>25</v>
      </c>
      <c r="C3672" s="23" t="s">
        <v>46</v>
      </c>
      <c r="D3672" s="23" t="s">
        <v>46</v>
      </c>
      <c r="E3672" s="23" t="s">
        <v>101</v>
      </c>
      <c r="F3672" s="15" t="s">
        <v>104</v>
      </c>
      <c r="G3672" s="15" t="s">
        <v>5173</v>
      </c>
      <c r="H3672" s="23" t="s">
        <v>58</v>
      </c>
    </row>
    <row r="3673" spans="1:8" ht="54.95" customHeight="1" x14ac:dyDescent="0.2">
      <c r="A3673" s="23" t="s">
        <v>819</v>
      </c>
      <c r="B3673" s="23" t="s">
        <v>23</v>
      </c>
      <c r="C3673" s="23" t="s">
        <v>46</v>
      </c>
      <c r="D3673" s="23" t="s">
        <v>46</v>
      </c>
      <c r="E3673" s="23" t="s">
        <v>101</v>
      </c>
      <c r="F3673" s="15" t="s">
        <v>104</v>
      </c>
      <c r="G3673" s="15" t="s">
        <v>5173</v>
      </c>
      <c r="H3673" s="23" t="s">
        <v>58</v>
      </c>
    </row>
    <row r="3674" spans="1:8" ht="54.95" customHeight="1" x14ac:dyDescent="0.2">
      <c r="A3674" s="23" t="s">
        <v>819</v>
      </c>
      <c r="B3674" s="23" t="s">
        <v>25</v>
      </c>
      <c r="C3674" s="23" t="s">
        <v>46</v>
      </c>
      <c r="D3674" s="23" t="s">
        <v>46</v>
      </c>
      <c r="E3674" s="23" t="s">
        <v>101</v>
      </c>
      <c r="F3674" s="15" t="s">
        <v>104</v>
      </c>
      <c r="G3674" s="15" t="s">
        <v>5173</v>
      </c>
      <c r="H3674" s="23" t="s">
        <v>58</v>
      </c>
    </row>
    <row r="3675" spans="1:8" ht="54.95" customHeight="1" x14ac:dyDescent="0.2">
      <c r="A3675" s="23" t="s">
        <v>825</v>
      </c>
      <c r="B3675" s="23" t="s">
        <v>23</v>
      </c>
      <c r="C3675" s="23" t="s">
        <v>46</v>
      </c>
      <c r="D3675" s="23" t="s">
        <v>46</v>
      </c>
      <c r="E3675" s="23" t="s">
        <v>101</v>
      </c>
      <c r="F3675" s="15" t="s">
        <v>104</v>
      </c>
      <c r="G3675" s="15" t="s">
        <v>5173</v>
      </c>
      <c r="H3675" s="23" t="s">
        <v>58</v>
      </c>
    </row>
    <row r="3676" spans="1:8" ht="54.95" customHeight="1" x14ac:dyDescent="0.2">
      <c r="A3676" s="23" t="s">
        <v>825</v>
      </c>
      <c r="B3676" s="23" t="s">
        <v>24</v>
      </c>
      <c r="C3676" s="23" t="s">
        <v>46</v>
      </c>
      <c r="D3676" s="23" t="s">
        <v>46</v>
      </c>
      <c r="E3676" s="23" t="s">
        <v>101</v>
      </c>
      <c r="F3676" s="15" t="s">
        <v>104</v>
      </c>
      <c r="G3676" s="15" t="s">
        <v>5173</v>
      </c>
      <c r="H3676" s="23" t="s">
        <v>58</v>
      </c>
    </row>
    <row r="3677" spans="1:8" ht="54.95" customHeight="1" x14ac:dyDescent="0.2">
      <c r="A3677" s="23" t="s">
        <v>825</v>
      </c>
      <c r="B3677" s="23" t="s">
        <v>25</v>
      </c>
      <c r="C3677" s="23" t="s">
        <v>46</v>
      </c>
      <c r="D3677" s="23" t="s">
        <v>46</v>
      </c>
      <c r="E3677" s="23" t="s">
        <v>101</v>
      </c>
      <c r="F3677" s="15" t="s">
        <v>104</v>
      </c>
      <c r="G3677" s="15" t="s">
        <v>5173</v>
      </c>
      <c r="H3677" s="23" t="s">
        <v>58</v>
      </c>
    </row>
    <row r="3678" spans="1:8" ht="54.95" customHeight="1" x14ac:dyDescent="0.2">
      <c r="A3678" s="23" t="s">
        <v>831</v>
      </c>
      <c r="B3678" s="23" t="s">
        <v>19</v>
      </c>
      <c r="C3678" s="23" t="s">
        <v>46</v>
      </c>
      <c r="D3678" s="23" t="s">
        <v>46</v>
      </c>
      <c r="E3678" s="23" t="s">
        <v>46</v>
      </c>
      <c r="F3678" s="15" t="s">
        <v>103</v>
      </c>
      <c r="G3678" s="15" t="s">
        <v>5173</v>
      </c>
      <c r="H3678" s="23" t="s">
        <v>58</v>
      </c>
    </row>
    <row r="3679" spans="1:8" ht="54.95" customHeight="1" x14ac:dyDescent="0.2">
      <c r="A3679" s="23" t="s">
        <v>831</v>
      </c>
      <c r="B3679" s="23" t="s">
        <v>23</v>
      </c>
      <c r="C3679" s="23" t="s">
        <v>46</v>
      </c>
      <c r="D3679" s="23" t="s">
        <v>46</v>
      </c>
      <c r="E3679" s="23" t="s">
        <v>101</v>
      </c>
      <c r="F3679" s="15" t="s">
        <v>104</v>
      </c>
      <c r="G3679" s="15" t="s">
        <v>5173</v>
      </c>
      <c r="H3679" s="23" t="s">
        <v>58</v>
      </c>
    </row>
    <row r="3680" spans="1:8" ht="54.95" customHeight="1" x14ac:dyDescent="0.2">
      <c r="A3680" s="23" t="s">
        <v>831</v>
      </c>
      <c r="B3680" s="23" t="s">
        <v>24</v>
      </c>
      <c r="C3680" s="23" t="s">
        <v>46</v>
      </c>
      <c r="D3680" s="23" t="s">
        <v>46</v>
      </c>
      <c r="E3680" s="23" t="s">
        <v>101</v>
      </c>
      <c r="F3680" s="15" t="s">
        <v>104</v>
      </c>
      <c r="G3680" s="15" t="s">
        <v>5173</v>
      </c>
      <c r="H3680" s="23" t="s">
        <v>58</v>
      </c>
    </row>
    <row r="3681" spans="1:8" ht="54.95" customHeight="1" x14ac:dyDescent="0.2">
      <c r="A3681" s="23" t="s">
        <v>831</v>
      </c>
      <c r="B3681" s="23" t="s">
        <v>25</v>
      </c>
      <c r="C3681" s="23" t="s">
        <v>46</v>
      </c>
      <c r="D3681" s="23" t="s">
        <v>46</v>
      </c>
      <c r="E3681" s="23" t="s">
        <v>101</v>
      </c>
      <c r="F3681" s="15" t="s">
        <v>104</v>
      </c>
      <c r="G3681" s="15" t="s">
        <v>5173</v>
      </c>
      <c r="H3681" s="23" t="s">
        <v>58</v>
      </c>
    </row>
    <row r="3682" spans="1:8" ht="54.95" customHeight="1" x14ac:dyDescent="0.2">
      <c r="A3682" s="23" t="s">
        <v>837</v>
      </c>
      <c r="B3682" s="23" t="s">
        <v>23</v>
      </c>
      <c r="C3682" s="23" t="s">
        <v>46</v>
      </c>
      <c r="D3682" s="23" t="s">
        <v>46</v>
      </c>
      <c r="E3682" s="23" t="s">
        <v>101</v>
      </c>
      <c r="F3682" s="15" t="s">
        <v>104</v>
      </c>
      <c r="G3682" s="15" t="s">
        <v>5173</v>
      </c>
      <c r="H3682" s="23" t="s">
        <v>58</v>
      </c>
    </row>
    <row r="3683" spans="1:8" ht="54.95" customHeight="1" x14ac:dyDescent="0.2">
      <c r="A3683" s="23" t="s">
        <v>837</v>
      </c>
      <c r="B3683" s="23" t="s">
        <v>24</v>
      </c>
      <c r="C3683" s="23" t="s">
        <v>46</v>
      </c>
      <c r="D3683" s="23" t="s">
        <v>46</v>
      </c>
      <c r="E3683" s="23" t="s">
        <v>101</v>
      </c>
      <c r="F3683" s="15" t="s">
        <v>104</v>
      </c>
      <c r="G3683" s="15" t="s">
        <v>5173</v>
      </c>
      <c r="H3683" s="23" t="s">
        <v>58</v>
      </c>
    </row>
    <row r="3684" spans="1:8" ht="54.95" customHeight="1" x14ac:dyDescent="0.2">
      <c r="A3684" s="23" t="s">
        <v>837</v>
      </c>
      <c r="B3684" s="23" t="s">
        <v>25</v>
      </c>
      <c r="C3684" s="23" t="s">
        <v>46</v>
      </c>
      <c r="D3684" s="23" t="s">
        <v>46</v>
      </c>
      <c r="E3684" s="23" t="s">
        <v>101</v>
      </c>
      <c r="F3684" s="15" t="s">
        <v>104</v>
      </c>
      <c r="G3684" s="15" t="s">
        <v>5173</v>
      </c>
      <c r="H3684" s="23" t="s">
        <v>58</v>
      </c>
    </row>
    <row r="3685" spans="1:8" ht="54.95" customHeight="1" x14ac:dyDescent="0.2">
      <c r="A3685" s="23" t="s">
        <v>843</v>
      </c>
      <c r="B3685" s="23" t="s">
        <v>23</v>
      </c>
      <c r="C3685" s="23" t="s">
        <v>46</v>
      </c>
      <c r="D3685" s="23" t="s">
        <v>46</v>
      </c>
      <c r="E3685" s="23" t="s">
        <v>101</v>
      </c>
      <c r="F3685" s="15" t="s">
        <v>104</v>
      </c>
      <c r="G3685" s="15" t="s">
        <v>5173</v>
      </c>
      <c r="H3685" s="23" t="s">
        <v>58</v>
      </c>
    </row>
    <row r="3686" spans="1:8" ht="54.95" customHeight="1" x14ac:dyDescent="0.2">
      <c r="A3686" s="23" t="s">
        <v>843</v>
      </c>
      <c r="B3686" s="23" t="s">
        <v>24</v>
      </c>
      <c r="C3686" s="23" t="s">
        <v>46</v>
      </c>
      <c r="D3686" s="23" t="s">
        <v>46</v>
      </c>
      <c r="E3686" s="23" t="s">
        <v>101</v>
      </c>
      <c r="F3686" s="15" t="s">
        <v>104</v>
      </c>
      <c r="G3686" s="15" t="s">
        <v>5173</v>
      </c>
      <c r="H3686" s="23" t="s">
        <v>58</v>
      </c>
    </row>
    <row r="3687" spans="1:8" ht="54.95" customHeight="1" x14ac:dyDescent="0.2">
      <c r="A3687" s="23" t="s">
        <v>843</v>
      </c>
      <c r="B3687" s="23" t="s">
        <v>25</v>
      </c>
      <c r="C3687" s="23" t="s">
        <v>46</v>
      </c>
      <c r="D3687" s="23" t="s">
        <v>46</v>
      </c>
      <c r="E3687" s="23" t="s">
        <v>101</v>
      </c>
      <c r="F3687" s="15" t="s">
        <v>104</v>
      </c>
      <c r="G3687" s="15" t="s">
        <v>5173</v>
      </c>
      <c r="H3687" s="23" t="s">
        <v>58</v>
      </c>
    </row>
    <row r="3688" spans="1:8" ht="54.95" customHeight="1" x14ac:dyDescent="0.2">
      <c r="A3688" s="23" t="s">
        <v>849</v>
      </c>
      <c r="B3688" s="23" t="s">
        <v>19</v>
      </c>
      <c r="C3688" s="23" t="s">
        <v>46</v>
      </c>
      <c r="D3688" s="23" t="s">
        <v>46</v>
      </c>
      <c r="E3688" s="23" t="s">
        <v>46</v>
      </c>
      <c r="F3688" s="15" t="s">
        <v>103</v>
      </c>
      <c r="G3688" s="15" t="s">
        <v>5173</v>
      </c>
      <c r="H3688" s="23" t="s">
        <v>58</v>
      </c>
    </row>
    <row r="3689" spans="1:8" ht="54.95" customHeight="1" x14ac:dyDescent="0.2">
      <c r="A3689" s="23" t="s">
        <v>849</v>
      </c>
      <c r="B3689" s="23" t="s">
        <v>23</v>
      </c>
      <c r="C3689" s="23" t="s">
        <v>46</v>
      </c>
      <c r="D3689" s="23" t="s">
        <v>46</v>
      </c>
      <c r="E3689" s="23" t="s">
        <v>101</v>
      </c>
      <c r="F3689" s="15" t="s">
        <v>104</v>
      </c>
      <c r="G3689" s="15" t="s">
        <v>5173</v>
      </c>
      <c r="H3689" s="23" t="s">
        <v>58</v>
      </c>
    </row>
    <row r="3690" spans="1:8" ht="54.95" customHeight="1" x14ac:dyDescent="0.2">
      <c r="A3690" s="23" t="s">
        <v>849</v>
      </c>
      <c r="B3690" s="23" t="s">
        <v>24</v>
      </c>
      <c r="C3690" s="23" t="s">
        <v>46</v>
      </c>
      <c r="D3690" s="23" t="s">
        <v>46</v>
      </c>
      <c r="E3690" s="23" t="s">
        <v>101</v>
      </c>
      <c r="F3690" s="15" t="s">
        <v>104</v>
      </c>
      <c r="G3690" s="15" t="s">
        <v>5173</v>
      </c>
      <c r="H3690" s="23" t="s">
        <v>58</v>
      </c>
    </row>
    <row r="3691" spans="1:8" ht="54.95" customHeight="1" x14ac:dyDescent="0.2">
      <c r="A3691" s="23" t="s">
        <v>849</v>
      </c>
      <c r="B3691" s="23" t="s">
        <v>25</v>
      </c>
      <c r="C3691" s="23" t="s">
        <v>46</v>
      </c>
      <c r="D3691" s="23" t="s">
        <v>46</v>
      </c>
      <c r="E3691" s="23" t="s">
        <v>101</v>
      </c>
      <c r="F3691" s="15" t="s">
        <v>104</v>
      </c>
      <c r="G3691" s="15" t="s">
        <v>5173</v>
      </c>
      <c r="H3691" s="23" t="s">
        <v>58</v>
      </c>
    </row>
    <row r="3692" spans="1:8" ht="54.95" customHeight="1" x14ac:dyDescent="0.2">
      <c r="A3692" s="23" t="s">
        <v>855</v>
      </c>
      <c r="B3692" s="23" t="s">
        <v>23</v>
      </c>
      <c r="C3692" s="23" t="s">
        <v>46</v>
      </c>
      <c r="D3692" s="23" t="s">
        <v>46</v>
      </c>
      <c r="E3692" s="23" t="s">
        <v>101</v>
      </c>
      <c r="F3692" s="15" t="s">
        <v>104</v>
      </c>
      <c r="G3692" s="15" t="s">
        <v>5173</v>
      </c>
      <c r="H3692" s="23" t="s">
        <v>58</v>
      </c>
    </row>
    <row r="3693" spans="1:8" ht="54.95" customHeight="1" x14ac:dyDescent="0.2">
      <c r="A3693" s="23" t="s">
        <v>855</v>
      </c>
      <c r="B3693" s="23" t="s">
        <v>24</v>
      </c>
      <c r="C3693" s="23" t="s">
        <v>46</v>
      </c>
      <c r="D3693" s="23" t="s">
        <v>46</v>
      </c>
      <c r="E3693" s="23" t="s">
        <v>101</v>
      </c>
      <c r="F3693" s="15" t="s">
        <v>104</v>
      </c>
      <c r="G3693" s="15" t="s">
        <v>5173</v>
      </c>
      <c r="H3693" s="23" t="s">
        <v>58</v>
      </c>
    </row>
    <row r="3694" spans="1:8" ht="54.95" customHeight="1" x14ac:dyDescent="0.2">
      <c r="A3694" s="23" t="s">
        <v>855</v>
      </c>
      <c r="B3694" s="23" t="s">
        <v>25</v>
      </c>
      <c r="C3694" s="23" t="s">
        <v>46</v>
      </c>
      <c r="D3694" s="23" t="s">
        <v>46</v>
      </c>
      <c r="E3694" s="23" t="s">
        <v>101</v>
      </c>
      <c r="F3694" s="15" t="s">
        <v>104</v>
      </c>
      <c r="G3694" s="15" t="s">
        <v>5173</v>
      </c>
      <c r="H3694" s="23" t="s">
        <v>58</v>
      </c>
    </row>
    <row r="3695" spans="1:8" ht="54.95" customHeight="1" x14ac:dyDescent="0.2">
      <c r="A3695" s="23" t="s">
        <v>861</v>
      </c>
      <c r="B3695" s="23" t="s">
        <v>3</v>
      </c>
      <c r="C3695" s="23" t="s">
        <v>46</v>
      </c>
      <c r="D3695" s="23" t="s">
        <v>46</v>
      </c>
      <c r="E3695" s="23" t="s">
        <v>46</v>
      </c>
      <c r="F3695" s="15" t="s">
        <v>198</v>
      </c>
      <c r="G3695" s="15" t="s">
        <v>5173</v>
      </c>
      <c r="H3695" s="23" t="s">
        <v>58</v>
      </c>
    </row>
    <row r="3696" spans="1:8" ht="54.95" customHeight="1" x14ac:dyDescent="0.2">
      <c r="A3696" s="23" t="s">
        <v>861</v>
      </c>
      <c r="B3696" s="23" t="s">
        <v>6</v>
      </c>
      <c r="C3696" s="23" t="s">
        <v>46</v>
      </c>
      <c r="D3696" s="23" t="s">
        <v>46</v>
      </c>
      <c r="E3696" s="23" t="s">
        <v>46</v>
      </c>
      <c r="F3696" s="15" t="s">
        <v>198</v>
      </c>
      <c r="G3696" s="15" t="s">
        <v>5173</v>
      </c>
      <c r="H3696" s="23" t="s">
        <v>58</v>
      </c>
    </row>
    <row r="3697" spans="1:8" ht="54.95" customHeight="1" x14ac:dyDescent="0.2">
      <c r="A3697" s="23" t="s">
        <v>861</v>
      </c>
      <c r="B3697" s="23" t="s">
        <v>7</v>
      </c>
      <c r="C3697" s="23" t="s">
        <v>46</v>
      </c>
      <c r="D3697" s="23" t="s">
        <v>46</v>
      </c>
      <c r="E3697" s="23" t="s">
        <v>46</v>
      </c>
      <c r="F3697" s="15" t="s">
        <v>198</v>
      </c>
      <c r="G3697" s="15" t="s">
        <v>5173</v>
      </c>
      <c r="H3697" s="23" t="s">
        <v>58</v>
      </c>
    </row>
    <row r="3698" spans="1:8" ht="54.95" customHeight="1" x14ac:dyDescent="0.2">
      <c r="A3698" s="23" t="s">
        <v>861</v>
      </c>
      <c r="B3698" s="23" t="s">
        <v>8</v>
      </c>
      <c r="C3698" s="23" t="s">
        <v>46</v>
      </c>
      <c r="D3698" s="23" t="s">
        <v>46</v>
      </c>
      <c r="E3698" s="23" t="s">
        <v>46</v>
      </c>
      <c r="F3698" s="15" t="s">
        <v>198</v>
      </c>
      <c r="G3698" s="15" t="s">
        <v>5173</v>
      </c>
      <c r="H3698" s="23" t="s">
        <v>58</v>
      </c>
    </row>
    <row r="3699" spans="1:8" ht="54.95" customHeight="1" x14ac:dyDescent="0.2">
      <c r="A3699" s="23" t="s">
        <v>861</v>
      </c>
      <c r="B3699" s="23" t="s">
        <v>9</v>
      </c>
      <c r="C3699" s="23" t="s">
        <v>46</v>
      </c>
      <c r="D3699" s="23" t="s">
        <v>46</v>
      </c>
      <c r="E3699" s="23" t="s">
        <v>46</v>
      </c>
      <c r="F3699" s="15" t="s">
        <v>198</v>
      </c>
      <c r="G3699" s="15" t="s">
        <v>5173</v>
      </c>
      <c r="H3699" s="23" t="s">
        <v>58</v>
      </c>
    </row>
    <row r="3700" spans="1:8" ht="54.95" customHeight="1" x14ac:dyDescent="0.2">
      <c r="A3700" s="23" t="s">
        <v>861</v>
      </c>
      <c r="B3700" s="23" t="s">
        <v>10</v>
      </c>
      <c r="C3700" s="23" t="s">
        <v>46</v>
      </c>
      <c r="D3700" s="23" t="s">
        <v>46</v>
      </c>
      <c r="E3700" s="23" t="s">
        <v>46</v>
      </c>
      <c r="F3700" s="15" t="s">
        <v>198</v>
      </c>
      <c r="G3700" s="15" t="s">
        <v>5173</v>
      </c>
      <c r="H3700" s="23" t="s">
        <v>58</v>
      </c>
    </row>
    <row r="3701" spans="1:8" ht="54.95" customHeight="1" x14ac:dyDescent="0.2">
      <c r="A3701" s="23" t="s">
        <v>861</v>
      </c>
      <c r="B3701" s="23" t="s">
        <v>11</v>
      </c>
      <c r="C3701" s="23" t="s">
        <v>46</v>
      </c>
      <c r="D3701" s="23" t="s">
        <v>46</v>
      </c>
      <c r="E3701" s="23" t="s">
        <v>46</v>
      </c>
      <c r="F3701" s="15" t="s">
        <v>198</v>
      </c>
      <c r="G3701" s="15" t="s">
        <v>5173</v>
      </c>
      <c r="H3701" s="23" t="s">
        <v>58</v>
      </c>
    </row>
    <row r="3702" spans="1:8" ht="54.95" customHeight="1" x14ac:dyDescent="0.2">
      <c r="A3702" s="23" t="s">
        <v>861</v>
      </c>
      <c r="B3702" s="23" t="s">
        <v>13</v>
      </c>
      <c r="C3702" s="23" t="s">
        <v>46</v>
      </c>
      <c r="D3702" s="23" t="s">
        <v>46</v>
      </c>
      <c r="E3702" s="23" t="s">
        <v>46</v>
      </c>
      <c r="F3702" s="15" t="s">
        <v>198</v>
      </c>
      <c r="G3702" s="15" t="s">
        <v>5173</v>
      </c>
      <c r="H3702" s="23" t="s">
        <v>58</v>
      </c>
    </row>
    <row r="3703" spans="1:8" ht="54.95" customHeight="1" x14ac:dyDescent="0.2">
      <c r="A3703" s="23" t="s">
        <v>861</v>
      </c>
      <c r="B3703" s="23" t="s">
        <v>14</v>
      </c>
      <c r="C3703" s="23" t="s">
        <v>46</v>
      </c>
      <c r="D3703" s="23" t="s">
        <v>46</v>
      </c>
      <c r="E3703" s="23" t="s">
        <v>46</v>
      </c>
      <c r="F3703" s="15" t="s">
        <v>198</v>
      </c>
      <c r="G3703" s="15" t="s">
        <v>5173</v>
      </c>
      <c r="H3703" s="23" t="s">
        <v>58</v>
      </c>
    </row>
    <row r="3704" spans="1:8" ht="54.95" customHeight="1" x14ac:dyDescent="0.2">
      <c r="A3704" s="23" t="s">
        <v>861</v>
      </c>
      <c r="B3704" s="23" t="s">
        <v>19</v>
      </c>
      <c r="C3704" s="23" t="s">
        <v>46</v>
      </c>
      <c r="D3704" s="23" t="s">
        <v>46</v>
      </c>
      <c r="E3704" s="23" t="s">
        <v>46</v>
      </c>
      <c r="F3704" s="15" t="s">
        <v>103</v>
      </c>
      <c r="G3704" s="15" t="s">
        <v>5173</v>
      </c>
      <c r="H3704" s="23" t="s">
        <v>58</v>
      </c>
    </row>
    <row r="3705" spans="1:8" ht="54.95" customHeight="1" x14ac:dyDescent="0.2">
      <c r="A3705" s="23" t="s">
        <v>861</v>
      </c>
      <c r="B3705" s="23" t="s">
        <v>23</v>
      </c>
      <c r="C3705" s="23" t="s">
        <v>46</v>
      </c>
      <c r="D3705" s="23" t="s">
        <v>46</v>
      </c>
      <c r="E3705" s="23" t="s">
        <v>101</v>
      </c>
      <c r="F3705" s="15" t="s">
        <v>104</v>
      </c>
      <c r="G3705" s="15" t="s">
        <v>5173</v>
      </c>
      <c r="H3705" s="23" t="s">
        <v>58</v>
      </c>
    </row>
    <row r="3706" spans="1:8" ht="54.95" customHeight="1" x14ac:dyDescent="0.2">
      <c r="A3706" s="23" t="s">
        <v>861</v>
      </c>
      <c r="B3706" s="23" t="s">
        <v>25</v>
      </c>
      <c r="C3706" s="23" t="s">
        <v>46</v>
      </c>
      <c r="D3706" s="23" t="s">
        <v>46</v>
      </c>
      <c r="E3706" s="23" t="s">
        <v>101</v>
      </c>
      <c r="F3706" s="15" t="s">
        <v>104</v>
      </c>
      <c r="G3706" s="15" t="s">
        <v>5173</v>
      </c>
      <c r="H3706" s="23" t="s">
        <v>58</v>
      </c>
    </row>
    <row r="3707" spans="1:8" ht="54.95" customHeight="1" x14ac:dyDescent="0.2">
      <c r="A3707" s="23" t="s">
        <v>867</v>
      </c>
      <c r="B3707" s="23" t="s">
        <v>23</v>
      </c>
      <c r="C3707" s="23" t="s">
        <v>46</v>
      </c>
      <c r="D3707" s="23" t="s">
        <v>46</v>
      </c>
      <c r="E3707" s="23" t="s">
        <v>101</v>
      </c>
      <c r="F3707" s="15" t="s">
        <v>104</v>
      </c>
      <c r="G3707" s="15" t="s">
        <v>5173</v>
      </c>
      <c r="H3707" s="23" t="s">
        <v>58</v>
      </c>
    </row>
    <row r="3708" spans="1:8" ht="54.95" customHeight="1" x14ac:dyDescent="0.2">
      <c r="A3708" s="23" t="s">
        <v>867</v>
      </c>
      <c r="B3708" s="23" t="s">
        <v>25</v>
      </c>
      <c r="C3708" s="23" t="s">
        <v>46</v>
      </c>
      <c r="D3708" s="23" t="s">
        <v>46</v>
      </c>
      <c r="E3708" s="23" t="s">
        <v>101</v>
      </c>
      <c r="F3708" s="15" t="s">
        <v>104</v>
      </c>
      <c r="G3708" s="15" t="s">
        <v>5173</v>
      </c>
      <c r="H3708" s="23" t="s">
        <v>58</v>
      </c>
    </row>
    <row r="3709" spans="1:8" ht="54.95" customHeight="1" x14ac:dyDescent="0.2">
      <c r="A3709" s="23" t="s">
        <v>873</v>
      </c>
      <c r="B3709" s="23" t="s">
        <v>23</v>
      </c>
      <c r="C3709" s="23" t="s">
        <v>46</v>
      </c>
      <c r="D3709" s="23" t="s">
        <v>46</v>
      </c>
      <c r="E3709" s="23" t="s">
        <v>101</v>
      </c>
      <c r="F3709" s="15" t="s">
        <v>104</v>
      </c>
      <c r="G3709" s="15" t="s">
        <v>5173</v>
      </c>
      <c r="H3709" s="23" t="s">
        <v>58</v>
      </c>
    </row>
    <row r="3710" spans="1:8" ht="54.95" customHeight="1" x14ac:dyDescent="0.2">
      <c r="A3710" s="23" t="s">
        <v>873</v>
      </c>
      <c r="B3710" s="23" t="s">
        <v>24</v>
      </c>
      <c r="C3710" s="23" t="s">
        <v>46</v>
      </c>
      <c r="D3710" s="23" t="s">
        <v>46</v>
      </c>
      <c r="E3710" s="23" t="s">
        <v>101</v>
      </c>
      <c r="F3710" s="15" t="s">
        <v>104</v>
      </c>
      <c r="G3710" s="15" t="s">
        <v>5173</v>
      </c>
      <c r="H3710" s="23" t="s">
        <v>58</v>
      </c>
    </row>
    <row r="3711" spans="1:8" ht="54.95" customHeight="1" x14ac:dyDescent="0.2">
      <c r="A3711" s="23" t="s">
        <v>873</v>
      </c>
      <c r="B3711" s="23" t="s">
        <v>25</v>
      </c>
      <c r="C3711" s="23" t="s">
        <v>46</v>
      </c>
      <c r="D3711" s="23" t="s">
        <v>46</v>
      </c>
      <c r="E3711" s="23" t="s">
        <v>101</v>
      </c>
      <c r="F3711" s="15" t="s">
        <v>104</v>
      </c>
      <c r="G3711" s="15" t="s">
        <v>5173</v>
      </c>
      <c r="H3711" s="23" t="s">
        <v>58</v>
      </c>
    </row>
    <row r="3712" spans="1:8" ht="54.95" customHeight="1" x14ac:dyDescent="0.2">
      <c r="A3712" s="23" t="s">
        <v>879</v>
      </c>
      <c r="B3712" s="23" t="s">
        <v>19</v>
      </c>
      <c r="C3712" s="23" t="s">
        <v>46</v>
      </c>
      <c r="D3712" s="23" t="s">
        <v>46</v>
      </c>
      <c r="E3712" s="23" t="s">
        <v>46</v>
      </c>
      <c r="F3712" s="15" t="s">
        <v>103</v>
      </c>
      <c r="G3712" s="15" t="s">
        <v>5173</v>
      </c>
      <c r="H3712" s="23" t="s">
        <v>58</v>
      </c>
    </row>
    <row r="3713" spans="1:8" ht="54.95" customHeight="1" x14ac:dyDescent="0.2">
      <c r="A3713" s="23" t="s">
        <v>879</v>
      </c>
      <c r="B3713" s="23" t="s">
        <v>23</v>
      </c>
      <c r="C3713" s="23" t="s">
        <v>46</v>
      </c>
      <c r="D3713" s="23" t="s">
        <v>46</v>
      </c>
      <c r="E3713" s="23" t="s">
        <v>101</v>
      </c>
      <c r="F3713" s="15" t="s">
        <v>104</v>
      </c>
      <c r="G3713" s="15" t="s">
        <v>5173</v>
      </c>
      <c r="H3713" s="23" t="s">
        <v>58</v>
      </c>
    </row>
    <row r="3714" spans="1:8" ht="54.95" customHeight="1" x14ac:dyDescent="0.2">
      <c r="A3714" s="23" t="s">
        <v>879</v>
      </c>
      <c r="B3714" s="23" t="s">
        <v>25</v>
      </c>
      <c r="C3714" s="23" t="s">
        <v>46</v>
      </c>
      <c r="D3714" s="23" t="s">
        <v>46</v>
      </c>
      <c r="E3714" s="23" t="s">
        <v>101</v>
      </c>
      <c r="F3714" s="15" t="s">
        <v>104</v>
      </c>
      <c r="G3714" s="15" t="s">
        <v>5173</v>
      </c>
      <c r="H3714" s="23" t="s">
        <v>58</v>
      </c>
    </row>
    <row r="3715" spans="1:8" ht="54.95" customHeight="1" x14ac:dyDescent="0.2">
      <c r="A3715" s="23" t="s">
        <v>885</v>
      </c>
      <c r="B3715" s="23" t="s">
        <v>23</v>
      </c>
      <c r="C3715" s="23" t="s">
        <v>46</v>
      </c>
      <c r="D3715" s="23" t="s">
        <v>46</v>
      </c>
      <c r="E3715" s="23" t="s">
        <v>101</v>
      </c>
      <c r="F3715" s="15" t="s">
        <v>104</v>
      </c>
      <c r="G3715" s="15" t="s">
        <v>5173</v>
      </c>
      <c r="H3715" s="23" t="s">
        <v>58</v>
      </c>
    </row>
    <row r="3716" spans="1:8" ht="54.95" customHeight="1" x14ac:dyDescent="0.2">
      <c r="A3716" s="23" t="s">
        <v>885</v>
      </c>
      <c r="B3716" s="23" t="s">
        <v>24</v>
      </c>
      <c r="C3716" s="23" t="s">
        <v>46</v>
      </c>
      <c r="D3716" s="23" t="s">
        <v>46</v>
      </c>
      <c r="E3716" s="23" t="s">
        <v>101</v>
      </c>
      <c r="F3716" s="15" t="s">
        <v>104</v>
      </c>
      <c r="G3716" s="15" t="s">
        <v>5173</v>
      </c>
      <c r="H3716" s="23" t="s">
        <v>58</v>
      </c>
    </row>
    <row r="3717" spans="1:8" ht="54.95" customHeight="1" x14ac:dyDescent="0.2">
      <c r="A3717" s="23" t="s">
        <v>885</v>
      </c>
      <c r="B3717" s="23" t="s">
        <v>25</v>
      </c>
      <c r="C3717" s="23" t="s">
        <v>46</v>
      </c>
      <c r="D3717" s="23" t="s">
        <v>46</v>
      </c>
      <c r="E3717" s="23" t="s">
        <v>101</v>
      </c>
      <c r="F3717" s="15" t="s">
        <v>104</v>
      </c>
      <c r="G3717" s="15" t="s">
        <v>5173</v>
      </c>
      <c r="H3717" s="23" t="s">
        <v>58</v>
      </c>
    </row>
    <row r="3718" spans="1:8" ht="54.95" customHeight="1" x14ac:dyDescent="0.2">
      <c r="A3718" s="23" t="s">
        <v>891</v>
      </c>
      <c r="B3718" s="23" t="s">
        <v>3</v>
      </c>
      <c r="C3718" s="23" t="s">
        <v>46</v>
      </c>
      <c r="D3718" s="23" t="s">
        <v>46</v>
      </c>
      <c r="E3718" s="23" t="s">
        <v>46</v>
      </c>
      <c r="F3718" s="15" t="s">
        <v>198</v>
      </c>
      <c r="G3718" s="15" t="s">
        <v>5173</v>
      </c>
      <c r="H3718" s="23" t="s">
        <v>58</v>
      </c>
    </row>
    <row r="3719" spans="1:8" ht="54.95" customHeight="1" x14ac:dyDescent="0.2">
      <c r="A3719" s="23" t="s">
        <v>891</v>
      </c>
      <c r="B3719" s="23" t="s">
        <v>6</v>
      </c>
      <c r="C3719" s="23" t="s">
        <v>46</v>
      </c>
      <c r="D3719" s="23" t="s">
        <v>46</v>
      </c>
      <c r="E3719" s="23" t="s">
        <v>46</v>
      </c>
      <c r="F3719" s="15" t="s">
        <v>198</v>
      </c>
      <c r="G3719" s="15" t="s">
        <v>5173</v>
      </c>
      <c r="H3719" s="23" t="s">
        <v>58</v>
      </c>
    </row>
    <row r="3720" spans="1:8" ht="54.95" customHeight="1" x14ac:dyDescent="0.2">
      <c r="A3720" s="23" t="s">
        <v>891</v>
      </c>
      <c r="B3720" s="23" t="s">
        <v>7</v>
      </c>
      <c r="C3720" s="23" t="s">
        <v>46</v>
      </c>
      <c r="D3720" s="23" t="s">
        <v>46</v>
      </c>
      <c r="E3720" s="23" t="s">
        <v>46</v>
      </c>
      <c r="F3720" s="15" t="s">
        <v>198</v>
      </c>
      <c r="G3720" s="15" t="s">
        <v>5173</v>
      </c>
      <c r="H3720" s="23" t="s">
        <v>58</v>
      </c>
    </row>
    <row r="3721" spans="1:8" ht="54.95" customHeight="1" x14ac:dyDescent="0.2">
      <c r="A3721" s="23" t="s">
        <v>891</v>
      </c>
      <c r="B3721" s="23" t="s">
        <v>8</v>
      </c>
      <c r="C3721" s="23" t="s">
        <v>46</v>
      </c>
      <c r="D3721" s="23" t="s">
        <v>46</v>
      </c>
      <c r="E3721" s="23" t="s">
        <v>46</v>
      </c>
      <c r="F3721" s="15" t="s">
        <v>198</v>
      </c>
      <c r="G3721" s="15" t="s">
        <v>5173</v>
      </c>
      <c r="H3721" s="23" t="s">
        <v>58</v>
      </c>
    </row>
    <row r="3722" spans="1:8" ht="54.95" customHeight="1" x14ac:dyDescent="0.2">
      <c r="A3722" s="23" t="s">
        <v>891</v>
      </c>
      <c r="B3722" s="23" t="s">
        <v>9</v>
      </c>
      <c r="C3722" s="23" t="s">
        <v>46</v>
      </c>
      <c r="D3722" s="23" t="s">
        <v>46</v>
      </c>
      <c r="E3722" s="23" t="s">
        <v>46</v>
      </c>
      <c r="F3722" s="15" t="s">
        <v>198</v>
      </c>
      <c r="G3722" s="15" t="s">
        <v>5173</v>
      </c>
      <c r="H3722" s="23" t="s">
        <v>58</v>
      </c>
    </row>
    <row r="3723" spans="1:8" ht="54.95" customHeight="1" x14ac:dyDescent="0.2">
      <c r="A3723" s="23" t="s">
        <v>891</v>
      </c>
      <c r="B3723" s="23" t="s">
        <v>10</v>
      </c>
      <c r="C3723" s="23" t="s">
        <v>46</v>
      </c>
      <c r="D3723" s="23" t="s">
        <v>46</v>
      </c>
      <c r="E3723" s="23" t="s">
        <v>46</v>
      </c>
      <c r="F3723" s="15" t="s">
        <v>198</v>
      </c>
      <c r="G3723" s="15" t="s">
        <v>5173</v>
      </c>
      <c r="H3723" s="23" t="s">
        <v>58</v>
      </c>
    </row>
    <row r="3724" spans="1:8" ht="54.95" customHeight="1" x14ac:dyDescent="0.2">
      <c r="A3724" s="23" t="s">
        <v>891</v>
      </c>
      <c r="B3724" s="23" t="s">
        <v>11</v>
      </c>
      <c r="C3724" s="23" t="s">
        <v>46</v>
      </c>
      <c r="D3724" s="23" t="s">
        <v>46</v>
      </c>
      <c r="E3724" s="23" t="s">
        <v>46</v>
      </c>
      <c r="F3724" s="15" t="s">
        <v>198</v>
      </c>
      <c r="G3724" s="15" t="s">
        <v>5173</v>
      </c>
      <c r="H3724" s="23" t="s">
        <v>58</v>
      </c>
    </row>
    <row r="3725" spans="1:8" ht="54.95" customHeight="1" x14ac:dyDescent="0.2">
      <c r="A3725" s="23" t="s">
        <v>891</v>
      </c>
      <c r="B3725" s="23" t="s">
        <v>13</v>
      </c>
      <c r="C3725" s="23" t="s">
        <v>46</v>
      </c>
      <c r="D3725" s="23" t="s">
        <v>46</v>
      </c>
      <c r="E3725" s="23" t="s">
        <v>46</v>
      </c>
      <c r="F3725" s="15" t="s">
        <v>198</v>
      </c>
      <c r="G3725" s="15" t="s">
        <v>5173</v>
      </c>
      <c r="H3725" s="23" t="s">
        <v>58</v>
      </c>
    </row>
    <row r="3726" spans="1:8" ht="54.95" customHeight="1" x14ac:dyDescent="0.2">
      <c r="A3726" s="23" t="s">
        <v>891</v>
      </c>
      <c r="B3726" s="23" t="s">
        <v>14</v>
      </c>
      <c r="C3726" s="23" t="s">
        <v>46</v>
      </c>
      <c r="D3726" s="23" t="s">
        <v>46</v>
      </c>
      <c r="E3726" s="23" t="s">
        <v>46</v>
      </c>
      <c r="F3726" s="15" t="s">
        <v>198</v>
      </c>
      <c r="G3726" s="15" t="s">
        <v>5173</v>
      </c>
      <c r="H3726" s="23" t="s">
        <v>58</v>
      </c>
    </row>
    <row r="3727" spans="1:8" ht="54.95" customHeight="1" x14ac:dyDescent="0.2">
      <c r="A3727" s="23" t="s">
        <v>891</v>
      </c>
      <c r="B3727" s="23" t="s">
        <v>15</v>
      </c>
      <c r="C3727" s="23" t="s">
        <v>46</v>
      </c>
      <c r="D3727" s="23" t="s">
        <v>46</v>
      </c>
      <c r="E3727" s="23" t="s">
        <v>46</v>
      </c>
      <c r="F3727" s="15" t="s">
        <v>103</v>
      </c>
      <c r="G3727" s="15" t="s">
        <v>5173</v>
      </c>
      <c r="H3727" s="23" t="s">
        <v>58</v>
      </c>
    </row>
    <row r="3728" spans="1:8" ht="54.95" customHeight="1" x14ac:dyDescent="0.2">
      <c r="A3728" s="23" t="s">
        <v>891</v>
      </c>
      <c r="B3728" s="23" t="s">
        <v>17</v>
      </c>
      <c r="C3728" s="23" t="s">
        <v>46</v>
      </c>
      <c r="D3728" s="23" t="s">
        <v>46</v>
      </c>
      <c r="E3728" s="23" t="s">
        <v>46</v>
      </c>
      <c r="F3728" s="15" t="s">
        <v>103</v>
      </c>
      <c r="G3728" s="15" t="s">
        <v>5173</v>
      </c>
      <c r="H3728" s="23" t="s">
        <v>58</v>
      </c>
    </row>
    <row r="3729" spans="1:8" ht="54.95" customHeight="1" x14ac:dyDescent="0.2">
      <c r="A3729" s="23" t="s">
        <v>891</v>
      </c>
      <c r="B3729" s="23" t="s">
        <v>19</v>
      </c>
      <c r="C3729" s="23" t="s">
        <v>46</v>
      </c>
      <c r="D3729" s="23" t="s">
        <v>46</v>
      </c>
      <c r="E3729" s="23" t="s">
        <v>46</v>
      </c>
      <c r="F3729" s="15" t="s">
        <v>103</v>
      </c>
      <c r="G3729" s="15" t="s">
        <v>5173</v>
      </c>
      <c r="H3729" s="23" t="s">
        <v>58</v>
      </c>
    </row>
    <row r="3730" spans="1:8" ht="54.95" customHeight="1" x14ac:dyDescent="0.2">
      <c r="A3730" s="23" t="s">
        <v>891</v>
      </c>
      <c r="B3730" s="23" t="s">
        <v>21</v>
      </c>
      <c r="C3730" s="23" t="s">
        <v>46</v>
      </c>
      <c r="D3730" s="23" t="s">
        <v>46</v>
      </c>
      <c r="E3730" s="23" t="s">
        <v>101</v>
      </c>
      <c r="F3730" s="15" t="s">
        <v>104</v>
      </c>
      <c r="G3730" s="15" t="s">
        <v>5173</v>
      </c>
      <c r="H3730" s="23" t="s">
        <v>58</v>
      </c>
    </row>
    <row r="3731" spans="1:8" ht="54.95" customHeight="1" x14ac:dyDescent="0.2">
      <c r="A3731" s="23" t="s">
        <v>891</v>
      </c>
      <c r="B3731" s="23" t="s">
        <v>22</v>
      </c>
      <c r="C3731" s="23" t="s">
        <v>46</v>
      </c>
      <c r="D3731" s="23" t="s">
        <v>46</v>
      </c>
      <c r="E3731" s="23" t="s">
        <v>101</v>
      </c>
      <c r="F3731" s="15" t="s">
        <v>104</v>
      </c>
      <c r="G3731" s="15" t="s">
        <v>5173</v>
      </c>
      <c r="H3731" s="23" t="s">
        <v>58</v>
      </c>
    </row>
    <row r="3732" spans="1:8" ht="54.95" customHeight="1" x14ac:dyDescent="0.2">
      <c r="A3732" s="23" t="s">
        <v>891</v>
      </c>
      <c r="B3732" s="23" t="s">
        <v>23</v>
      </c>
      <c r="C3732" s="23" t="s">
        <v>46</v>
      </c>
      <c r="D3732" s="23" t="s">
        <v>46</v>
      </c>
      <c r="E3732" s="23" t="s">
        <v>101</v>
      </c>
      <c r="F3732" s="15" t="s">
        <v>104</v>
      </c>
      <c r="G3732" s="15" t="s">
        <v>5173</v>
      </c>
      <c r="H3732" s="23" t="s">
        <v>58</v>
      </c>
    </row>
    <row r="3733" spans="1:8" ht="54.95" customHeight="1" x14ac:dyDescent="0.2">
      <c r="A3733" s="23" t="s">
        <v>891</v>
      </c>
      <c r="B3733" s="23" t="s">
        <v>24</v>
      </c>
      <c r="C3733" s="23" t="s">
        <v>46</v>
      </c>
      <c r="D3733" s="23" t="s">
        <v>46</v>
      </c>
      <c r="E3733" s="23" t="s">
        <v>101</v>
      </c>
      <c r="F3733" s="15" t="s">
        <v>104</v>
      </c>
      <c r="G3733" s="15" t="s">
        <v>5173</v>
      </c>
      <c r="H3733" s="23" t="s">
        <v>58</v>
      </c>
    </row>
    <row r="3734" spans="1:8" ht="54.95" customHeight="1" x14ac:dyDescent="0.2">
      <c r="A3734" s="23" t="s">
        <v>891</v>
      </c>
      <c r="B3734" s="23" t="s">
        <v>25</v>
      </c>
      <c r="C3734" s="23" t="s">
        <v>46</v>
      </c>
      <c r="D3734" s="23" t="s">
        <v>46</v>
      </c>
      <c r="E3734" s="23" t="s">
        <v>101</v>
      </c>
      <c r="F3734" s="15" t="s">
        <v>104</v>
      </c>
      <c r="G3734" s="15" t="s">
        <v>5173</v>
      </c>
      <c r="H3734" s="23" t="s">
        <v>58</v>
      </c>
    </row>
    <row r="3735" spans="1:8" ht="54.95" customHeight="1" x14ac:dyDescent="0.2">
      <c r="A3735" s="23" t="s">
        <v>893</v>
      </c>
      <c r="B3735" s="23" t="s">
        <v>15</v>
      </c>
      <c r="C3735" s="23" t="s">
        <v>46</v>
      </c>
      <c r="D3735" s="23" t="s">
        <v>46</v>
      </c>
      <c r="E3735" s="23" t="s">
        <v>46</v>
      </c>
      <c r="F3735" s="15" t="s">
        <v>103</v>
      </c>
      <c r="G3735" s="15" t="s">
        <v>5173</v>
      </c>
      <c r="H3735" s="23" t="s">
        <v>58</v>
      </c>
    </row>
    <row r="3736" spans="1:8" ht="54.95" customHeight="1" x14ac:dyDescent="0.2">
      <c r="A3736" s="23" t="s">
        <v>893</v>
      </c>
      <c r="B3736" s="23" t="s">
        <v>19</v>
      </c>
      <c r="C3736" s="23" t="s">
        <v>46</v>
      </c>
      <c r="D3736" s="23" t="s">
        <v>46</v>
      </c>
      <c r="E3736" s="23" t="s">
        <v>46</v>
      </c>
      <c r="F3736" s="15" t="s">
        <v>103</v>
      </c>
      <c r="G3736" s="15" t="s">
        <v>5173</v>
      </c>
      <c r="H3736" s="23" t="s">
        <v>58</v>
      </c>
    </row>
    <row r="3737" spans="1:8" ht="54.95" customHeight="1" x14ac:dyDescent="0.2">
      <c r="A3737" s="23" t="s">
        <v>893</v>
      </c>
      <c r="B3737" s="23" t="s">
        <v>23</v>
      </c>
      <c r="C3737" s="23" t="s">
        <v>46</v>
      </c>
      <c r="D3737" s="23" t="s">
        <v>46</v>
      </c>
      <c r="E3737" s="23" t="s">
        <v>101</v>
      </c>
      <c r="F3737" s="15" t="s">
        <v>104</v>
      </c>
      <c r="G3737" s="15" t="s">
        <v>5173</v>
      </c>
      <c r="H3737" s="23" t="s">
        <v>58</v>
      </c>
    </row>
    <row r="3738" spans="1:8" ht="54.95" customHeight="1" x14ac:dyDescent="0.2">
      <c r="A3738" s="23" t="s">
        <v>893</v>
      </c>
      <c r="B3738" s="23" t="s">
        <v>24</v>
      </c>
      <c r="C3738" s="23" t="s">
        <v>46</v>
      </c>
      <c r="D3738" s="23" t="s">
        <v>46</v>
      </c>
      <c r="E3738" s="23" t="s">
        <v>101</v>
      </c>
      <c r="F3738" s="15" t="s">
        <v>104</v>
      </c>
      <c r="G3738" s="15" t="s">
        <v>5173</v>
      </c>
      <c r="H3738" s="23" t="s">
        <v>58</v>
      </c>
    </row>
    <row r="3739" spans="1:8" ht="54.95" customHeight="1" x14ac:dyDescent="0.2">
      <c r="A3739" s="23" t="s">
        <v>893</v>
      </c>
      <c r="B3739" s="23" t="s">
        <v>25</v>
      </c>
      <c r="C3739" s="23" t="s">
        <v>46</v>
      </c>
      <c r="D3739" s="23" t="s">
        <v>46</v>
      </c>
      <c r="E3739" s="23" t="s">
        <v>101</v>
      </c>
      <c r="F3739" s="15" t="s">
        <v>104</v>
      </c>
      <c r="G3739" s="15" t="s">
        <v>5173</v>
      </c>
      <c r="H3739" s="23" t="s">
        <v>58</v>
      </c>
    </row>
    <row r="3740" spans="1:8" ht="54.95" customHeight="1" x14ac:dyDescent="0.2">
      <c r="A3740" s="23" t="s">
        <v>899</v>
      </c>
      <c r="B3740" s="23" t="s">
        <v>23</v>
      </c>
      <c r="C3740" s="23" t="s">
        <v>46</v>
      </c>
      <c r="D3740" s="23" t="s">
        <v>46</v>
      </c>
      <c r="E3740" s="23" t="s">
        <v>101</v>
      </c>
      <c r="F3740" s="15" t="s">
        <v>104</v>
      </c>
      <c r="G3740" s="15" t="s">
        <v>5173</v>
      </c>
      <c r="H3740" s="23" t="s">
        <v>58</v>
      </c>
    </row>
    <row r="3741" spans="1:8" ht="54.95" customHeight="1" x14ac:dyDescent="0.2">
      <c r="A3741" s="23" t="s">
        <v>899</v>
      </c>
      <c r="B3741" s="23" t="s">
        <v>25</v>
      </c>
      <c r="C3741" s="23" t="s">
        <v>46</v>
      </c>
      <c r="D3741" s="23" t="s">
        <v>46</v>
      </c>
      <c r="E3741" s="23" t="s">
        <v>101</v>
      </c>
      <c r="F3741" s="15" t="s">
        <v>104</v>
      </c>
      <c r="G3741" s="15" t="s">
        <v>5173</v>
      </c>
      <c r="H3741" s="23" t="s">
        <v>58</v>
      </c>
    </row>
    <row r="3742" spans="1:8" ht="54.95" customHeight="1" x14ac:dyDescent="0.2">
      <c r="A3742" s="23" t="s">
        <v>905</v>
      </c>
      <c r="B3742" s="23" t="s">
        <v>23</v>
      </c>
      <c r="C3742" s="23" t="s">
        <v>46</v>
      </c>
      <c r="D3742" s="23" t="s">
        <v>46</v>
      </c>
      <c r="E3742" s="23" t="s">
        <v>101</v>
      </c>
      <c r="F3742" s="15" t="s">
        <v>104</v>
      </c>
      <c r="G3742" s="15" t="s">
        <v>5173</v>
      </c>
      <c r="H3742" s="23" t="s">
        <v>58</v>
      </c>
    </row>
    <row r="3743" spans="1:8" ht="54.95" customHeight="1" x14ac:dyDescent="0.2">
      <c r="A3743" s="23" t="s">
        <v>905</v>
      </c>
      <c r="B3743" s="23" t="s">
        <v>24</v>
      </c>
      <c r="C3743" s="23" t="s">
        <v>46</v>
      </c>
      <c r="D3743" s="23" t="s">
        <v>46</v>
      </c>
      <c r="E3743" s="23" t="s">
        <v>101</v>
      </c>
      <c r="F3743" s="15" t="s">
        <v>104</v>
      </c>
      <c r="G3743" s="15" t="s">
        <v>5173</v>
      </c>
      <c r="H3743" s="23" t="s">
        <v>58</v>
      </c>
    </row>
    <row r="3744" spans="1:8" ht="54.95" customHeight="1" x14ac:dyDescent="0.2">
      <c r="A3744" s="23" t="s">
        <v>905</v>
      </c>
      <c r="B3744" s="23" t="s">
        <v>25</v>
      </c>
      <c r="C3744" s="23" t="s">
        <v>46</v>
      </c>
      <c r="D3744" s="23" t="s">
        <v>46</v>
      </c>
      <c r="E3744" s="23" t="s">
        <v>101</v>
      </c>
      <c r="F3744" s="15" t="s">
        <v>104</v>
      </c>
      <c r="G3744" s="15" t="s">
        <v>5173</v>
      </c>
      <c r="H3744" s="23" t="s">
        <v>58</v>
      </c>
    </row>
    <row r="3745" spans="1:8" ht="54.95" customHeight="1" x14ac:dyDescent="0.2">
      <c r="A3745" s="23" t="s">
        <v>911</v>
      </c>
      <c r="B3745" s="23" t="s">
        <v>23</v>
      </c>
      <c r="C3745" s="23" t="s">
        <v>46</v>
      </c>
      <c r="D3745" s="23" t="s">
        <v>46</v>
      </c>
      <c r="E3745" s="23" t="s">
        <v>101</v>
      </c>
      <c r="F3745" s="15" t="s">
        <v>104</v>
      </c>
      <c r="G3745" s="15" t="s">
        <v>5173</v>
      </c>
      <c r="H3745" s="23" t="s">
        <v>58</v>
      </c>
    </row>
    <row r="3746" spans="1:8" ht="54.95" customHeight="1" x14ac:dyDescent="0.2">
      <c r="A3746" s="23" t="s">
        <v>911</v>
      </c>
      <c r="B3746" s="23" t="s">
        <v>24</v>
      </c>
      <c r="C3746" s="23" t="s">
        <v>46</v>
      </c>
      <c r="D3746" s="23" t="s">
        <v>46</v>
      </c>
      <c r="E3746" s="23" t="s">
        <v>101</v>
      </c>
      <c r="F3746" s="15" t="s">
        <v>104</v>
      </c>
      <c r="G3746" s="15" t="s">
        <v>5173</v>
      </c>
      <c r="H3746" s="23" t="s">
        <v>58</v>
      </c>
    </row>
    <row r="3747" spans="1:8" ht="54.95" customHeight="1" x14ac:dyDescent="0.2">
      <c r="A3747" s="23" t="s">
        <v>911</v>
      </c>
      <c r="B3747" s="23" t="s">
        <v>25</v>
      </c>
      <c r="C3747" s="23" t="s">
        <v>46</v>
      </c>
      <c r="D3747" s="23" t="s">
        <v>46</v>
      </c>
      <c r="E3747" s="23" t="s">
        <v>101</v>
      </c>
      <c r="F3747" s="15" t="s">
        <v>104</v>
      </c>
      <c r="G3747" s="15" t="s">
        <v>5173</v>
      </c>
      <c r="H3747" s="23" t="s">
        <v>58</v>
      </c>
    </row>
    <row r="3748" spans="1:8" ht="54.95" customHeight="1" x14ac:dyDescent="0.2">
      <c r="A3748" s="23" t="s">
        <v>917</v>
      </c>
      <c r="B3748" s="23" t="s">
        <v>23</v>
      </c>
      <c r="C3748" s="23" t="s">
        <v>46</v>
      </c>
      <c r="D3748" s="23" t="s">
        <v>46</v>
      </c>
      <c r="E3748" s="23" t="s">
        <v>101</v>
      </c>
      <c r="F3748" s="15" t="s">
        <v>104</v>
      </c>
      <c r="G3748" s="15" t="s">
        <v>5173</v>
      </c>
      <c r="H3748" s="23" t="s">
        <v>58</v>
      </c>
    </row>
    <row r="3749" spans="1:8" ht="54.95" customHeight="1" x14ac:dyDescent="0.2">
      <c r="A3749" s="23" t="s">
        <v>917</v>
      </c>
      <c r="B3749" s="23" t="s">
        <v>25</v>
      </c>
      <c r="C3749" s="23" t="s">
        <v>46</v>
      </c>
      <c r="D3749" s="23" t="s">
        <v>46</v>
      </c>
      <c r="E3749" s="23" t="s">
        <v>101</v>
      </c>
      <c r="F3749" s="15" t="s">
        <v>104</v>
      </c>
      <c r="G3749" s="15" t="s">
        <v>5173</v>
      </c>
      <c r="H3749" s="23" t="s">
        <v>58</v>
      </c>
    </row>
    <row r="3750" spans="1:8" ht="54.95" customHeight="1" x14ac:dyDescent="0.2">
      <c r="A3750" s="23" t="s">
        <v>923</v>
      </c>
      <c r="B3750" s="23" t="s">
        <v>3</v>
      </c>
      <c r="C3750" s="23" t="s">
        <v>46</v>
      </c>
      <c r="D3750" s="23" t="s">
        <v>46</v>
      </c>
      <c r="E3750" s="23" t="s">
        <v>46</v>
      </c>
      <c r="F3750" s="15" t="s">
        <v>198</v>
      </c>
      <c r="G3750" s="15" t="s">
        <v>5173</v>
      </c>
      <c r="H3750" s="23" t="s">
        <v>58</v>
      </c>
    </row>
    <row r="3751" spans="1:8" ht="54.95" customHeight="1" x14ac:dyDescent="0.2">
      <c r="A3751" s="23" t="s">
        <v>923</v>
      </c>
      <c r="B3751" s="23" t="s">
        <v>6</v>
      </c>
      <c r="C3751" s="23" t="s">
        <v>46</v>
      </c>
      <c r="D3751" s="23" t="s">
        <v>46</v>
      </c>
      <c r="E3751" s="23" t="s">
        <v>46</v>
      </c>
      <c r="F3751" s="15" t="s">
        <v>198</v>
      </c>
      <c r="G3751" s="15" t="s">
        <v>5173</v>
      </c>
      <c r="H3751" s="23" t="s">
        <v>58</v>
      </c>
    </row>
    <row r="3752" spans="1:8" ht="54.95" customHeight="1" x14ac:dyDescent="0.2">
      <c r="A3752" s="23" t="s">
        <v>923</v>
      </c>
      <c r="B3752" s="23" t="s">
        <v>7</v>
      </c>
      <c r="C3752" s="23" t="s">
        <v>46</v>
      </c>
      <c r="D3752" s="23" t="s">
        <v>46</v>
      </c>
      <c r="E3752" s="23" t="s">
        <v>46</v>
      </c>
      <c r="F3752" s="15" t="s">
        <v>198</v>
      </c>
      <c r="G3752" s="15" t="s">
        <v>5173</v>
      </c>
      <c r="H3752" s="23" t="s">
        <v>58</v>
      </c>
    </row>
    <row r="3753" spans="1:8" ht="54.95" customHeight="1" x14ac:dyDescent="0.2">
      <c r="A3753" s="23" t="s">
        <v>923</v>
      </c>
      <c r="B3753" s="23" t="s">
        <v>8</v>
      </c>
      <c r="C3753" s="23" t="s">
        <v>46</v>
      </c>
      <c r="D3753" s="23" t="s">
        <v>46</v>
      </c>
      <c r="E3753" s="23" t="s">
        <v>46</v>
      </c>
      <c r="F3753" s="15" t="s">
        <v>198</v>
      </c>
      <c r="G3753" s="15" t="s">
        <v>5173</v>
      </c>
      <c r="H3753" s="23" t="s">
        <v>58</v>
      </c>
    </row>
    <row r="3754" spans="1:8" ht="54.95" customHeight="1" x14ac:dyDescent="0.2">
      <c r="A3754" s="23" t="s">
        <v>923</v>
      </c>
      <c r="B3754" s="23" t="s">
        <v>9</v>
      </c>
      <c r="C3754" s="23" t="s">
        <v>46</v>
      </c>
      <c r="D3754" s="23" t="s">
        <v>46</v>
      </c>
      <c r="E3754" s="23" t="s">
        <v>46</v>
      </c>
      <c r="F3754" s="15" t="s">
        <v>198</v>
      </c>
      <c r="G3754" s="15" t="s">
        <v>5173</v>
      </c>
      <c r="H3754" s="23" t="s">
        <v>58</v>
      </c>
    </row>
    <row r="3755" spans="1:8" ht="54.95" customHeight="1" x14ac:dyDescent="0.2">
      <c r="A3755" s="23" t="s">
        <v>923</v>
      </c>
      <c r="B3755" s="23" t="s">
        <v>10</v>
      </c>
      <c r="C3755" s="23" t="s">
        <v>46</v>
      </c>
      <c r="D3755" s="23" t="s">
        <v>46</v>
      </c>
      <c r="E3755" s="23" t="s">
        <v>46</v>
      </c>
      <c r="F3755" s="15" t="s">
        <v>198</v>
      </c>
      <c r="G3755" s="15" t="s">
        <v>5173</v>
      </c>
      <c r="H3755" s="23" t="s">
        <v>58</v>
      </c>
    </row>
    <row r="3756" spans="1:8" ht="54.95" customHeight="1" x14ac:dyDescent="0.2">
      <c r="A3756" s="23" t="s">
        <v>923</v>
      </c>
      <c r="B3756" s="23" t="s">
        <v>11</v>
      </c>
      <c r="C3756" s="23" t="s">
        <v>46</v>
      </c>
      <c r="D3756" s="23" t="s">
        <v>46</v>
      </c>
      <c r="E3756" s="23" t="s">
        <v>46</v>
      </c>
      <c r="F3756" s="15" t="s">
        <v>198</v>
      </c>
      <c r="G3756" s="15" t="s">
        <v>5173</v>
      </c>
      <c r="H3756" s="23" t="s">
        <v>58</v>
      </c>
    </row>
    <row r="3757" spans="1:8" ht="54.95" customHeight="1" x14ac:dyDescent="0.2">
      <c r="A3757" s="23" t="s">
        <v>923</v>
      </c>
      <c r="B3757" s="23" t="s">
        <v>13</v>
      </c>
      <c r="C3757" s="23" t="s">
        <v>46</v>
      </c>
      <c r="D3757" s="23" t="s">
        <v>46</v>
      </c>
      <c r="E3757" s="23" t="s">
        <v>46</v>
      </c>
      <c r="F3757" s="15" t="s">
        <v>198</v>
      </c>
      <c r="G3757" s="15" t="s">
        <v>5173</v>
      </c>
      <c r="H3757" s="23" t="s">
        <v>58</v>
      </c>
    </row>
    <row r="3758" spans="1:8" ht="54.95" customHeight="1" x14ac:dyDescent="0.2">
      <c r="A3758" s="23" t="s">
        <v>923</v>
      </c>
      <c r="B3758" s="23" t="s">
        <v>14</v>
      </c>
      <c r="C3758" s="23" t="s">
        <v>46</v>
      </c>
      <c r="D3758" s="23" t="s">
        <v>46</v>
      </c>
      <c r="E3758" s="23" t="s">
        <v>46</v>
      </c>
      <c r="F3758" s="15" t="s">
        <v>198</v>
      </c>
      <c r="G3758" s="15" t="s">
        <v>5173</v>
      </c>
      <c r="H3758" s="23" t="s">
        <v>58</v>
      </c>
    </row>
    <row r="3759" spans="1:8" ht="54.95" customHeight="1" x14ac:dyDescent="0.2">
      <c r="A3759" s="23" t="s">
        <v>923</v>
      </c>
      <c r="B3759" s="23" t="s">
        <v>21</v>
      </c>
      <c r="C3759" s="23" t="s">
        <v>46</v>
      </c>
      <c r="D3759" s="23" t="s">
        <v>46</v>
      </c>
      <c r="E3759" s="23" t="s">
        <v>101</v>
      </c>
      <c r="F3759" s="15" t="s">
        <v>104</v>
      </c>
      <c r="G3759" s="15" t="s">
        <v>5173</v>
      </c>
      <c r="H3759" s="23" t="s">
        <v>58</v>
      </c>
    </row>
    <row r="3760" spans="1:8" ht="54.95" customHeight="1" x14ac:dyDescent="0.2">
      <c r="A3760" s="23" t="s">
        <v>923</v>
      </c>
      <c r="B3760" s="23" t="s">
        <v>22</v>
      </c>
      <c r="C3760" s="23" t="s">
        <v>46</v>
      </c>
      <c r="D3760" s="23" t="s">
        <v>46</v>
      </c>
      <c r="E3760" s="23" t="s">
        <v>101</v>
      </c>
      <c r="F3760" s="15" t="s">
        <v>104</v>
      </c>
      <c r="G3760" s="15" t="s">
        <v>5173</v>
      </c>
      <c r="H3760" s="23" t="s">
        <v>58</v>
      </c>
    </row>
    <row r="3761" spans="1:8" ht="54.95" customHeight="1" x14ac:dyDescent="0.2">
      <c r="A3761" s="23" t="s">
        <v>923</v>
      </c>
      <c r="B3761" s="23" t="s">
        <v>23</v>
      </c>
      <c r="C3761" s="23" t="s">
        <v>46</v>
      </c>
      <c r="D3761" s="23" t="s">
        <v>46</v>
      </c>
      <c r="E3761" s="23" t="s">
        <v>101</v>
      </c>
      <c r="F3761" s="15" t="s">
        <v>104</v>
      </c>
      <c r="G3761" s="15" t="s">
        <v>5173</v>
      </c>
      <c r="H3761" s="23" t="s">
        <v>58</v>
      </c>
    </row>
    <row r="3762" spans="1:8" ht="54.95" customHeight="1" x14ac:dyDescent="0.2">
      <c r="A3762" s="23" t="s">
        <v>923</v>
      </c>
      <c r="B3762" s="23" t="s">
        <v>24</v>
      </c>
      <c r="C3762" s="23" t="s">
        <v>46</v>
      </c>
      <c r="D3762" s="23" t="s">
        <v>46</v>
      </c>
      <c r="E3762" s="23" t="s">
        <v>101</v>
      </c>
      <c r="F3762" s="15" t="s">
        <v>104</v>
      </c>
      <c r="G3762" s="15" t="s">
        <v>5173</v>
      </c>
      <c r="H3762" s="23" t="s">
        <v>58</v>
      </c>
    </row>
    <row r="3763" spans="1:8" ht="54.95" customHeight="1" x14ac:dyDescent="0.2">
      <c r="A3763" s="23" t="s">
        <v>923</v>
      </c>
      <c r="B3763" s="23" t="s">
        <v>25</v>
      </c>
      <c r="C3763" s="23" t="s">
        <v>46</v>
      </c>
      <c r="D3763" s="23" t="s">
        <v>46</v>
      </c>
      <c r="E3763" s="23" t="s">
        <v>101</v>
      </c>
      <c r="F3763" s="15" t="s">
        <v>104</v>
      </c>
      <c r="G3763" s="15" t="s">
        <v>5173</v>
      </c>
      <c r="H3763" s="23" t="s">
        <v>58</v>
      </c>
    </row>
    <row r="3764" spans="1:8" ht="54.95" customHeight="1" x14ac:dyDescent="0.2">
      <c r="A3764" s="23" t="s">
        <v>925</v>
      </c>
      <c r="B3764" s="23" t="s">
        <v>23</v>
      </c>
      <c r="C3764" s="23" t="s">
        <v>46</v>
      </c>
      <c r="D3764" s="23" t="s">
        <v>46</v>
      </c>
      <c r="E3764" s="23" t="s">
        <v>101</v>
      </c>
      <c r="F3764" s="15" t="s">
        <v>104</v>
      </c>
      <c r="G3764" s="15" t="s">
        <v>5173</v>
      </c>
      <c r="H3764" s="23" t="s">
        <v>58</v>
      </c>
    </row>
    <row r="3765" spans="1:8" ht="54.95" customHeight="1" x14ac:dyDescent="0.2">
      <c r="A3765" s="23" t="s">
        <v>925</v>
      </c>
      <c r="B3765" s="23" t="s">
        <v>25</v>
      </c>
      <c r="C3765" s="23" t="s">
        <v>46</v>
      </c>
      <c r="D3765" s="23" t="s">
        <v>46</v>
      </c>
      <c r="E3765" s="23" t="s">
        <v>101</v>
      </c>
      <c r="F3765" s="15" t="s">
        <v>104</v>
      </c>
      <c r="G3765" s="15" t="s">
        <v>5173</v>
      </c>
      <c r="H3765" s="23" t="s">
        <v>58</v>
      </c>
    </row>
    <row r="3766" spans="1:8" ht="54.95" customHeight="1" x14ac:dyDescent="0.2">
      <c r="A3766" s="23" t="s">
        <v>931</v>
      </c>
      <c r="B3766" s="23" t="s">
        <v>23</v>
      </c>
      <c r="C3766" s="23" t="s">
        <v>46</v>
      </c>
      <c r="D3766" s="23" t="s">
        <v>46</v>
      </c>
      <c r="E3766" s="23" t="s">
        <v>101</v>
      </c>
      <c r="F3766" s="15" t="s">
        <v>104</v>
      </c>
      <c r="G3766" s="15" t="s">
        <v>5173</v>
      </c>
      <c r="H3766" s="23" t="s">
        <v>58</v>
      </c>
    </row>
    <row r="3767" spans="1:8" ht="54.95" customHeight="1" x14ac:dyDescent="0.2">
      <c r="A3767" s="23" t="s">
        <v>931</v>
      </c>
      <c r="B3767" s="23" t="s">
        <v>25</v>
      </c>
      <c r="C3767" s="23" t="s">
        <v>46</v>
      </c>
      <c r="D3767" s="23" t="s">
        <v>46</v>
      </c>
      <c r="E3767" s="23" t="s">
        <v>101</v>
      </c>
      <c r="F3767" s="15" t="s">
        <v>104</v>
      </c>
      <c r="G3767" s="15" t="s">
        <v>5173</v>
      </c>
      <c r="H3767" s="23" t="s">
        <v>58</v>
      </c>
    </row>
    <row r="3768" spans="1:8" ht="54.95" customHeight="1" x14ac:dyDescent="0.2">
      <c r="A3768" s="23" t="s">
        <v>937</v>
      </c>
      <c r="B3768" s="23" t="s">
        <v>19</v>
      </c>
      <c r="C3768" s="23" t="s">
        <v>46</v>
      </c>
      <c r="D3768" s="23" t="s">
        <v>46</v>
      </c>
      <c r="E3768" s="23" t="s">
        <v>46</v>
      </c>
      <c r="F3768" s="15" t="s">
        <v>103</v>
      </c>
      <c r="G3768" s="15" t="s">
        <v>5173</v>
      </c>
      <c r="H3768" s="23" t="s">
        <v>58</v>
      </c>
    </row>
    <row r="3769" spans="1:8" ht="54.95" customHeight="1" x14ac:dyDescent="0.2">
      <c r="A3769" s="23" t="s">
        <v>937</v>
      </c>
      <c r="B3769" s="23" t="s">
        <v>23</v>
      </c>
      <c r="C3769" s="23" t="s">
        <v>46</v>
      </c>
      <c r="D3769" s="23" t="s">
        <v>46</v>
      </c>
      <c r="E3769" s="23" t="s">
        <v>101</v>
      </c>
      <c r="F3769" s="15" t="s">
        <v>104</v>
      </c>
      <c r="G3769" s="15" t="s">
        <v>5173</v>
      </c>
      <c r="H3769" s="23" t="s">
        <v>58</v>
      </c>
    </row>
    <row r="3770" spans="1:8" ht="54.95" customHeight="1" x14ac:dyDescent="0.2">
      <c r="A3770" s="23" t="s">
        <v>937</v>
      </c>
      <c r="B3770" s="23" t="s">
        <v>24</v>
      </c>
      <c r="C3770" s="23" t="s">
        <v>46</v>
      </c>
      <c r="D3770" s="23" t="s">
        <v>46</v>
      </c>
      <c r="E3770" s="23" t="s">
        <v>101</v>
      </c>
      <c r="F3770" s="15" t="s">
        <v>104</v>
      </c>
      <c r="G3770" s="15" t="s">
        <v>5173</v>
      </c>
      <c r="H3770" s="23" t="s">
        <v>58</v>
      </c>
    </row>
    <row r="3771" spans="1:8" ht="54.95" customHeight="1" x14ac:dyDescent="0.2">
      <c r="A3771" s="23" t="s">
        <v>937</v>
      </c>
      <c r="B3771" s="23" t="s">
        <v>25</v>
      </c>
      <c r="C3771" s="23" t="s">
        <v>46</v>
      </c>
      <c r="D3771" s="23" t="s">
        <v>46</v>
      </c>
      <c r="E3771" s="23" t="s">
        <v>101</v>
      </c>
      <c r="F3771" s="15" t="s">
        <v>104</v>
      </c>
      <c r="G3771" s="15" t="s">
        <v>5173</v>
      </c>
      <c r="H3771" s="23" t="s">
        <v>58</v>
      </c>
    </row>
    <row r="3772" spans="1:8" ht="54.95" customHeight="1" x14ac:dyDescent="0.2">
      <c r="A3772" s="23" t="s">
        <v>943</v>
      </c>
      <c r="B3772" s="23" t="s">
        <v>23</v>
      </c>
      <c r="C3772" s="23" t="s">
        <v>46</v>
      </c>
      <c r="D3772" s="23" t="s">
        <v>46</v>
      </c>
      <c r="E3772" s="23" t="s">
        <v>101</v>
      </c>
      <c r="F3772" s="15" t="s">
        <v>104</v>
      </c>
      <c r="G3772" s="15" t="s">
        <v>5173</v>
      </c>
      <c r="H3772" s="23" t="s">
        <v>58</v>
      </c>
    </row>
    <row r="3773" spans="1:8" ht="54.95" customHeight="1" x14ac:dyDescent="0.2">
      <c r="A3773" s="23" t="s">
        <v>943</v>
      </c>
      <c r="B3773" s="23" t="s">
        <v>24</v>
      </c>
      <c r="C3773" s="23" t="s">
        <v>46</v>
      </c>
      <c r="D3773" s="23" t="s">
        <v>46</v>
      </c>
      <c r="E3773" s="23" t="s">
        <v>101</v>
      </c>
      <c r="F3773" s="15" t="s">
        <v>104</v>
      </c>
      <c r="G3773" s="15" t="s">
        <v>5173</v>
      </c>
      <c r="H3773" s="23" t="s">
        <v>58</v>
      </c>
    </row>
    <row r="3774" spans="1:8" ht="54.95" customHeight="1" x14ac:dyDescent="0.2">
      <c r="A3774" s="23" t="s">
        <v>943</v>
      </c>
      <c r="B3774" s="23" t="s">
        <v>25</v>
      </c>
      <c r="C3774" s="23" t="s">
        <v>46</v>
      </c>
      <c r="D3774" s="23" t="s">
        <v>46</v>
      </c>
      <c r="E3774" s="23" t="s">
        <v>101</v>
      </c>
      <c r="F3774" s="15" t="s">
        <v>104</v>
      </c>
      <c r="G3774" s="15" t="s">
        <v>5173</v>
      </c>
      <c r="H3774" s="23" t="s">
        <v>58</v>
      </c>
    </row>
    <row r="3775" spans="1:8" ht="54.95" customHeight="1" x14ac:dyDescent="0.2">
      <c r="A3775" s="23" t="s">
        <v>949</v>
      </c>
      <c r="B3775" s="23" t="s">
        <v>23</v>
      </c>
      <c r="C3775" s="23" t="s">
        <v>46</v>
      </c>
      <c r="D3775" s="23" t="s">
        <v>46</v>
      </c>
      <c r="E3775" s="23" t="s">
        <v>101</v>
      </c>
      <c r="F3775" s="15" t="s">
        <v>104</v>
      </c>
      <c r="G3775" s="15" t="s">
        <v>5173</v>
      </c>
      <c r="H3775" s="23" t="s">
        <v>58</v>
      </c>
    </row>
    <row r="3776" spans="1:8" ht="54.95" customHeight="1" x14ac:dyDescent="0.2">
      <c r="A3776" s="23" t="s">
        <v>949</v>
      </c>
      <c r="B3776" s="23" t="s">
        <v>24</v>
      </c>
      <c r="C3776" s="23" t="s">
        <v>46</v>
      </c>
      <c r="D3776" s="23" t="s">
        <v>46</v>
      </c>
      <c r="E3776" s="23" t="s">
        <v>101</v>
      </c>
      <c r="F3776" s="15" t="s">
        <v>104</v>
      </c>
      <c r="G3776" s="15" t="s">
        <v>5173</v>
      </c>
      <c r="H3776" s="23" t="s">
        <v>58</v>
      </c>
    </row>
    <row r="3777" spans="1:8" ht="54.95" customHeight="1" x14ac:dyDescent="0.2">
      <c r="A3777" s="23" t="s">
        <v>949</v>
      </c>
      <c r="B3777" s="23" t="s">
        <v>25</v>
      </c>
      <c r="C3777" s="23" t="s">
        <v>46</v>
      </c>
      <c r="D3777" s="23" t="s">
        <v>46</v>
      </c>
      <c r="E3777" s="23" t="s">
        <v>101</v>
      </c>
      <c r="F3777" s="15" t="s">
        <v>104</v>
      </c>
      <c r="G3777" s="15" t="s">
        <v>5173</v>
      </c>
      <c r="H3777" s="23" t="s">
        <v>58</v>
      </c>
    </row>
    <row r="3778" spans="1:8" ht="54.95" customHeight="1" x14ac:dyDescent="0.2">
      <c r="A3778" s="23" t="s">
        <v>955</v>
      </c>
      <c r="B3778" s="23" t="s">
        <v>23</v>
      </c>
      <c r="C3778" s="23" t="s">
        <v>46</v>
      </c>
      <c r="D3778" s="23" t="s">
        <v>46</v>
      </c>
      <c r="E3778" s="23" t="s">
        <v>101</v>
      </c>
      <c r="F3778" s="15" t="s">
        <v>104</v>
      </c>
      <c r="G3778" s="15" t="s">
        <v>5173</v>
      </c>
      <c r="H3778" s="23" t="s">
        <v>58</v>
      </c>
    </row>
    <row r="3779" spans="1:8" ht="54.95" customHeight="1" x14ac:dyDescent="0.2">
      <c r="A3779" s="23" t="s">
        <v>955</v>
      </c>
      <c r="B3779" s="23" t="s">
        <v>24</v>
      </c>
      <c r="C3779" s="23" t="s">
        <v>46</v>
      </c>
      <c r="D3779" s="23" t="s">
        <v>46</v>
      </c>
      <c r="E3779" s="23" t="s">
        <v>101</v>
      </c>
      <c r="F3779" s="15" t="s">
        <v>104</v>
      </c>
      <c r="G3779" s="15" t="s">
        <v>5173</v>
      </c>
      <c r="H3779" s="23" t="s">
        <v>58</v>
      </c>
    </row>
    <row r="3780" spans="1:8" ht="54.95" customHeight="1" x14ac:dyDescent="0.2">
      <c r="A3780" s="23" t="s">
        <v>955</v>
      </c>
      <c r="B3780" s="23" t="s">
        <v>25</v>
      </c>
      <c r="C3780" s="23" t="s">
        <v>46</v>
      </c>
      <c r="D3780" s="23" t="s">
        <v>46</v>
      </c>
      <c r="E3780" s="23" t="s">
        <v>101</v>
      </c>
      <c r="F3780" s="15" t="s">
        <v>104</v>
      </c>
      <c r="G3780" s="15" t="s">
        <v>5173</v>
      </c>
      <c r="H3780" s="23" t="s">
        <v>58</v>
      </c>
    </row>
    <row r="3781" spans="1:8" ht="54.95" customHeight="1" x14ac:dyDescent="0.2">
      <c r="A3781" s="23" t="s">
        <v>961</v>
      </c>
      <c r="B3781" s="23" t="s">
        <v>23</v>
      </c>
      <c r="C3781" s="23" t="s">
        <v>46</v>
      </c>
      <c r="D3781" s="23" t="s">
        <v>46</v>
      </c>
      <c r="E3781" s="23" t="s">
        <v>101</v>
      </c>
      <c r="F3781" s="15" t="s">
        <v>104</v>
      </c>
      <c r="G3781" s="15" t="s">
        <v>5173</v>
      </c>
      <c r="H3781" s="23" t="s">
        <v>58</v>
      </c>
    </row>
    <row r="3782" spans="1:8" ht="54.95" customHeight="1" x14ac:dyDescent="0.2">
      <c r="A3782" s="23" t="s">
        <v>961</v>
      </c>
      <c r="B3782" s="23" t="s">
        <v>24</v>
      </c>
      <c r="C3782" s="23" t="s">
        <v>46</v>
      </c>
      <c r="D3782" s="23" t="s">
        <v>46</v>
      </c>
      <c r="E3782" s="23" t="s">
        <v>101</v>
      </c>
      <c r="F3782" s="15" t="s">
        <v>104</v>
      </c>
      <c r="G3782" s="15" t="s">
        <v>5173</v>
      </c>
      <c r="H3782" s="23" t="s">
        <v>58</v>
      </c>
    </row>
    <row r="3783" spans="1:8" ht="54.95" customHeight="1" x14ac:dyDescent="0.2">
      <c r="A3783" s="23" t="s">
        <v>961</v>
      </c>
      <c r="B3783" s="23" t="s">
        <v>25</v>
      </c>
      <c r="C3783" s="23" t="s">
        <v>46</v>
      </c>
      <c r="D3783" s="23" t="s">
        <v>46</v>
      </c>
      <c r="E3783" s="23" t="s">
        <v>101</v>
      </c>
      <c r="F3783" s="15" t="s">
        <v>104</v>
      </c>
      <c r="G3783" s="15" t="s">
        <v>5173</v>
      </c>
      <c r="H3783" s="23" t="s">
        <v>58</v>
      </c>
    </row>
    <row r="3784" spans="1:8" ht="54.95" customHeight="1" x14ac:dyDescent="0.2">
      <c r="A3784" s="23" t="s">
        <v>967</v>
      </c>
      <c r="B3784" s="23" t="s">
        <v>23</v>
      </c>
      <c r="C3784" s="23" t="s">
        <v>46</v>
      </c>
      <c r="D3784" s="23" t="s">
        <v>46</v>
      </c>
      <c r="E3784" s="23" t="s">
        <v>101</v>
      </c>
      <c r="F3784" s="15" t="s">
        <v>104</v>
      </c>
      <c r="G3784" s="15" t="s">
        <v>5173</v>
      </c>
      <c r="H3784" s="23" t="s">
        <v>58</v>
      </c>
    </row>
    <row r="3785" spans="1:8" ht="54.95" customHeight="1" x14ac:dyDescent="0.2">
      <c r="A3785" s="23" t="s">
        <v>967</v>
      </c>
      <c r="B3785" s="23" t="s">
        <v>24</v>
      </c>
      <c r="C3785" s="23" t="s">
        <v>46</v>
      </c>
      <c r="D3785" s="23" t="s">
        <v>46</v>
      </c>
      <c r="E3785" s="23" t="s">
        <v>101</v>
      </c>
      <c r="F3785" s="15" t="s">
        <v>104</v>
      </c>
      <c r="G3785" s="15" t="s">
        <v>5173</v>
      </c>
      <c r="H3785" s="23" t="s">
        <v>58</v>
      </c>
    </row>
    <row r="3786" spans="1:8" ht="54.95" customHeight="1" x14ac:dyDescent="0.2">
      <c r="A3786" s="23" t="s">
        <v>967</v>
      </c>
      <c r="B3786" s="23" t="s">
        <v>25</v>
      </c>
      <c r="C3786" s="23" t="s">
        <v>46</v>
      </c>
      <c r="D3786" s="23" t="s">
        <v>46</v>
      </c>
      <c r="E3786" s="23" t="s">
        <v>101</v>
      </c>
      <c r="F3786" s="15" t="s">
        <v>104</v>
      </c>
      <c r="G3786" s="15" t="s">
        <v>5173</v>
      </c>
      <c r="H3786" s="23" t="s">
        <v>58</v>
      </c>
    </row>
    <row r="3787" spans="1:8" ht="54.95" customHeight="1" x14ac:dyDescent="0.2">
      <c r="A3787" s="23" t="s">
        <v>974</v>
      </c>
      <c r="B3787" s="23" t="s">
        <v>23</v>
      </c>
      <c r="C3787" s="23" t="s">
        <v>46</v>
      </c>
      <c r="D3787" s="23" t="s">
        <v>46</v>
      </c>
      <c r="E3787" s="23" t="s">
        <v>101</v>
      </c>
      <c r="F3787" s="15" t="s">
        <v>104</v>
      </c>
      <c r="G3787" s="15" t="s">
        <v>5173</v>
      </c>
      <c r="H3787" s="23" t="s">
        <v>58</v>
      </c>
    </row>
    <row r="3788" spans="1:8" ht="54.95" customHeight="1" x14ac:dyDescent="0.2">
      <c r="A3788" s="23" t="s">
        <v>974</v>
      </c>
      <c r="B3788" s="23" t="s">
        <v>24</v>
      </c>
      <c r="C3788" s="23" t="s">
        <v>46</v>
      </c>
      <c r="D3788" s="23" t="s">
        <v>46</v>
      </c>
      <c r="E3788" s="23" t="s">
        <v>101</v>
      </c>
      <c r="F3788" s="15" t="s">
        <v>104</v>
      </c>
      <c r="G3788" s="15" t="s">
        <v>5173</v>
      </c>
      <c r="H3788" s="23" t="s">
        <v>58</v>
      </c>
    </row>
    <row r="3789" spans="1:8" ht="54.95" customHeight="1" x14ac:dyDescent="0.2">
      <c r="A3789" s="23" t="s">
        <v>974</v>
      </c>
      <c r="B3789" s="23" t="s">
        <v>25</v>
      </c>
      <c r="C3789" s="23" t="s">
        <v>46</v>
      </c>
      <c r="D3789" s="23" t="s">
        <v>46</v>
      </c>
      <c r="E3789" s="23" t="s">
        <v>101</v>
      </c>
      <c r="F3789" s="15" t="s">
        <v>104</v>
      </c>
      <c r="G3789" s="15" t="s">
        <v>5173</v>
      </c>
      <c r="H3789" s="23" t="s">
        <v>58</v>
      </c>
    </row>
    <row r="3790" spans="1:8" ht="54.95" customHeight="1" x14ac:dyDescent="0.2">
      <c r="A3790" s="23" t="s">
        <v>980</v>
      </c>
      <c r="B3790" s="23" t="s">
        <v>23</v>
      </c>
      <c r="C3790" s="23" t="s">
        <v>46</v>
      </c>
      <c r="D3790" s="23" t="s">
        <v>46</v>
      </c>
      <c r="E3790" s="23" t="s">
        <v>101</v>
      </c>
      <c r="F3790" s="15" t="s">
        <v>104</v>
      </c>
      <c r="G3790" s="15" t="s">
        <v>5173</v>
      </c>
      <c r="H3790" s="23" t="s">
        <v>58</v>
      </c>
    </row>
    <row r="3791" spans="1:8" ht="54.95" customHeight="1" x14ac:dyDescent="0.2">
      <c r="A3791" s="23" t="s">
        <v>980</v>
      </c>
      <c r="B3791" s="23" t="s">
        <v>24</v>
      </c>
      <c r="C3791" s="23" t="s">
        <v>46</v>
      </c>
      <c r="D3791" s="23" t="s">
        <v>46</v>
      </c>
      <c r="E3791" s="23" t="s">
        <v>101</v>
      </c>
      <c r="F3791" s="15" t="s">
        <v>104</v>
      </c>
      <c r="G3791" s="15" t="s">
        <v>5173</v>
      </c>
      <c r="H3791" s="23" t="s">
        <v>58</v>
      </c>
    </row>
    <row r="3792" spans="1:8" ht="54.95" customHeight="1" x14ac:dyDescent="0.2">
      <c r="A3792" s="23" t="s">
        <v>980</v>
      </c>
      <c r="B3792" s="23" t="s">
        <v>25</v>
      </c>
      <c r="C3792" s="23" t="s">
        <v>46</v>
      </c>
      <c r="D3792" s="23" t="s">
        <v>46</v>
      </c>
      <c r="E3792" s="23" t="s">
        <v>101</v>
      </c>
      <c r="F3792" s="15" t="s">
        <v>104</v>
      </c>
      <c r="G3792" s="15" t="s">
        <v>5173</v>
      </c>
      <c r="H3792" s="23" t="s">
        <v>58</v>
      </c>
    </row>
    <row r="3793" spans="1:8" ht="54.95" customHeight="1" x14ac:dyDescent="0.2">
      <c r="A3793" s="23" t="s">
        <v>986</v>
      </c>
      <c r="B3793" s="23" t="s">
        <v>23</v>
      </c>
      <c r="C3793" s="23" t="s">
        <v>46</v>
      </c>
      <c r="D3793" s="23" t="s">
        <v>46</v>
      </c>
      <c r="E3793" s="23" t="s">
        <v>101</v>
      </c>
      <c r="F3793" s="15" t="s">
        <v>104</v>
      </c>
      <c r="G3793" s="15" t="s">
        <v>5173</v>
      </c>
      <c r="H3793" s="23" t="s">
        <v>58</v>
      </c>
    </row>
    <row r="3794" spans="1:8" ht="54.95" customHeight="1" x14ac:dyDescent="0.2">
      <c r="A3794" s="23" t="s">
        <v>986</v>
      </c>
      <c r="B3794" s="23" t="s">
        <v>24</v>
      </c>
      <c r="C3794" s="23" t="s">
        <v>46</v>
      </c>
      <c r="D3794" s="23" t="s">
        <v>46</v>
      </c>
      <c r="E3794" s="23" t="s">
        <v>101</v>
      </c>
      <c r="F3794" s="15" t="s">
        <v>104</v>
      </c>
      <c r="G3794" s="15" t="s">
        <v>5173</v>
      </c>
      <c r="H3794" s="23" t="s">
        <v>58</v>
      </c>
    </row>
    <row r="3795" spans="1:8" ht="54.95" customHeight="1" x14ac:dyDescent="0.2">
      <c r="A3795" s="23" t="s">
        <v>986</v>
      </c>
      <c r="B3795" s="23" t="s">
        <v>25</v>
      </c>
      <c r="C3795" s="23" t="s">
        <v>46</v>
      </c>
      <c r="D3795" s="23" t="s">
        <v>46</v>
      </c>
      <c r="E3795" s="23" t="s">
        <v>101</v>
      </c>
      <c r="F3795" s="15" t="s">
        <v>104</v>
      </c>
      <c r="G3795" s="15" t="s">
        <v>5173</v>
      </c>
      <c r="H3795" s="23" t="s">
        <v>58</v>
      </c>
    </row>
    <row r="3796" spans="1:8" ht="54.95" customHeight="1" x14ac:dyDescent="0.2">
      <c r="A3796" s="23" t="s">
        <v>992</v>
      </c>
      <c r="B3796" s="23" t="s">
        <v>23</v>
      </c>
      <c r="C3796" s="23" t="s">
        <v>46</v>
      </c>
      <c r="D3796" s="23" t="s">
        <v>46</v>
      </c>
      <c r="E3796" s="23" t="s">
        <v>101</v>
      </c>
      <c r="F3796" s="15" t="s">
        <v>104</v>
      </c>
      <c r="G3796" s="15" t="s">
        <v>5173</v>
      </c>
      <c r="H3796" s="23" t="s">
        <v>58</v>
      </c>
    </row>
    <row r="3797" spans="1:8" ht="54.95" customHeight="1" x14ac:dyDescent="0.2">
      <c r="A3797" s="23" t="s">
        <v>992</v>
      </c>
      <c r="B3797" s="23" t="s">
        <v>24</v>
      </c>
      <c r="C3797" s="23" t="s">
        <v>46</v>
      </c>
      <c r="D3797" s="23" t="s">
        <v>46</v>
      </c>
      <c r="E3797" s="23" t="s">
        <v>101</v>
      </c>
      <c r="F3797" s="15" t="s">
        <v>104</v>
      </c>
      <c r="G3797" s="15" t="s">
        <v>5173</v>
      </c>
      <c r="H3797" s="23" t="s">
        <v>58</v>
      </c>
    </row>
    <row r="3798" spans="1:8" ht="54.95" customHeight="1" x14ac:dyDescent="0.2">
      <c r="A3798" s="23" t="s">
        <v>992</v>
      </c>
      <c r="B3798" s="23" t="s">
        <v>25</v>
      </c>
      <c r="C3798" s="23" t="s">
        <v>46</v>
      </c>
      <c r="D3798" s="23" t="s">
        <v>46</v>
      </c>
      <c r="E3798" s="23" t="s">
        <v>101</v>
      </c>
      <c r="F3798" s="15" t="s">
        <v>104</v>
      </c>
      <c r="G3798" s="15" t="s">
        <v>5173</v>
      </c>
      <c r="H3798" s="23" t="s">
        <v>58</v>
      </c>
    </row>
    <row r="3799" spans="1:8" ht="54.95" customHeight="1" x14ac:dyDescent="0.2">
      <c r="A3799" s="23" t="s">
        <v>998</v>
      </c>
      <c r="B3799" s="23" t="s">
        <v>21</v>
      </c>
      <c r="C3799" s="23" t="s">
        <v>46</v>
      </c>
      <c r="D3799" s="23" t="s">
        <v>46</v>
      </c>
      <c r="E3799" s="23" t="s">
        <v>101</v>
      </c>
      <c r="F3799" s="15" t="s">
        <v>104</v>
      </c>
      <c r="G3799" s="15" t="s">
        <v>5173</v>
      </c>
      <c r="H3799" s="23" t="s">
        <v>58</v>
      </c>
    </row>
    <row r="3800" spans="1:8" ht="54.95" customHeight="1" x14ac:dyDescent="0.2">
      <c r="A3800" s="23" t="s">
        <v>998</v>
      </c>
      <c r="B3800" s="23" t="s">
        <v>22</v>
      </c>
      <c r="C3800" s="23" t="s">
        <v>46</v>
      </c>
      <c r="D3800" s="23" t="s">
        <v>46</v>
      </c>
      <c r="E3800" s="23" t="s">
        <v>101</v>
      </c>
      <c r="F3800" s="15" t="s">
        <v>104</v>
      </c>
      <c r="G3800" s="15" t="s">
        <v>5173</v>
      </c>
      <c r="H3800" s="23" t="s">
        <v>58</v>
      </c>
    </row>
    <row r="3801" spans="1:8" ht="54.95" customHeight="1" x14ac:dyDescent="0.2">
      <c r="A3801" s="23" t="s">
        <v>998</v>
      </c>
      <c r="B3801" s="23" t="s">
        <v>23</v>
      </c>
      <c r="C3801" s="23" t="s">
        <v>46</v>
      </c>
      <c r="D3801" s="23" t="s">
        <v>46</v>
      </c>
      <c r="E3801" s="23" t="s">
        <v>101</v>
      </c>
      <c r="F3801" s="15" t="s">
        <v>104</v>
      </c>
      <c r="G3801" s="15" t="s">
        <v>5173</v>
      </c>
      <c r="H3801" s="23" t="s">
        <v>58</v>
      </c>
    </row>
    <row r="3802" spans="1:8" ht="54.95" customHeight="1" x14ac:dyDescent="0.2">
      <c r="A3802" s="23" t="s">
        <v>998</v>
      </c>
      <c r="B3802" s="23" t="s">
        <v>24</v>
      </c>
      <c r="C3802" s="23" t="s">
        <v>46</v>
      </c>
      <c r="D3802" s="23" t="s">
        <v>46</v>
      </c>
      <c r="E3802" s="23" t="s">
        <v>101</v>
      </c>
      <c r="F3802" s="15" t="s">
        <v>104</v>
      </c>
      <c r="G3802" s="15" t="s">
        <v>5173</v>
      </c>
      <c r="H3802" s="23" t="s">
        <v>58</v>
      </c>
    </row>
    <row r="3803" spans="1:8" ht="54.95" customHeight="1" x14ac:dyDescent="0.2">
      <c r="A3803" s="23" t="s">
        <v>998</v>
      </c>
      <c r="B3803" s="23" t="s">
        <v>25</v>
      </c>
      <c r="C3803" s="23" t="s">
        <v>46</v>
      </c>
      <c r="D3803" s="23" t="s">
        <v>46</v>
      </c>
      <c r="E3803" s="23" t="s">
        <v>101</v>
      </c>
      <c r="F3803" s="15" t="s">
        <v>104</v>
      </c>
      <c r="G3803" s="15" t="s">
        <v>5173</v>
      </c>
      <c r="H3803" s="23" t="s">
        <v>58</v>
      </c>
    </row>
    <row r="3804" spans="1:8" ht="54.95" customHeight="1" x14ac:dyDescent="0.2">
      <c r="A3804" s="23" t="s">
        <v>1003</v>
      </c>
      <c r="B3804" s="23" t="s">
        <v>15</v>
      </c>
      <c r="C3804" s="23" t="s">
        <v>46</v>
      </c>
      <c r="D3804" s="23" t="s">
        <v>46</v>
      </c>
      <c r="E3804" s="23" t="s">
        <v>46</v>
      </c>
      <c r="F3804" s="15" t="s">
        <v>103</v>
      </c>
      <c r="G3804" s="15" t="s">
        <v>5173</v>
      </c>
      <c r="H3804" s="23" t="s">
        <v>58</v>
      </c>
    </row>
    <row r="3805" spans="1:8" ht="54.95" customHeight="1" x14ac:dyDescent="0.2">
      <c r="A3805" s="23" t="s">
        <v>1003</v>
      </c>
      <c r="B3805" s="23" t="s">
        <v>17</v>
      </c>
      <c r="C3805" s="23" t="s">
        <v>46</v>
      </c>
      <c r="D3805" s="23" t="s">
        <v>46</v>
      </c>
      <c r="E3805" s="23" t="s">
        <v>46</v>
      </c>
      <c r="F3805" s="15" t="s">
        <v>103</v>
      </c>
      <c r="G3805" s="15" t="s">
        <v>5173</v>
      </c>
      <c r="H3805" s="23" t="s">
        <v>58</v>
      </c>
    </row>
    <row r="3806" spans="1:8" ht="54.95" customHeight="1" x14ac:dyDescent="0.2">
      <c r="A3806" s="23" t="s">
        <v>1003</v>
      </c>
      <c r="B3806" s="23" t="s">
        <v>19</v>
      </c>
      <c r="C3806" s="23" t="s">
        <v>46</v>
      </c>
      <c r="D3806" s="23" t="s">
        <v>46</v>
      </c>
      <c r="E3806" s="23" t="s">
        <v>46</v>
      </c>
      <c r="F3806" s="15" t="s">
        <v>103</v>
      </c>
      <c r="G3806" s="15" t="s">
        <v>5173</v>
      </c>
      <c r="H3806" s="23" t="s">
        <v>58</v>
      </c>
    </row>
    <row r="3807" spans="1:8" ht="54.95" customHeight="1" x14ac:dyDescent="0.2">
      <c r="A3807" s="23" t="s">
        <v>1003</v>
      </c>
      <c r="B3807" s="23" t="s">
        <v>21</v>
      </c>
      <c r="C3807" s="23" t="s">
        <v>46</v>
      </c>
      <c r="D3807" s="23" t="s">
        <v>46</v>
      </c>
      <c r="E3807" s="23" t="s">
        <v>101</v>
      </c>
      <c r="F3807" s="15" t="s">
        <v>104</v>
      </c>
      <c r="G3807" s="15" t="s">
        <v>5173</v>
      </c>
      <c r="H3807" s="23" t="s">
        <v>58</v>
      </c>
    </row>
    <row r="3808" spans="1:8" ht="54.95" customHeight="1" x14ac:dyDescent="0.2">
      <c r="A3808" s="23" t="s">
        <v>1003</v>
      </c>
      <c r="B3808" s="23" t="s">
        <v>22</v>
      </c>
      <c r="C3808" s="23" t="s">
        <v>46</v>
      </c>
      <c r="D3808" s="23" t="s">
        <v>46</v>
      </c>
      <c r="E3808" s="23" t="s">
        <v>101</v>
      </c>
      <c r="F3808" s="15" t="s">
        <v>104</v>
      </c>
      <c r="G3808" s="15" t="s">
        <v>5173</v>
      </c>
      <c r="H3808" s="23" t="s">
        <v>58</v>
      </c>
    </row>
    <row r="3809" spans="1:8" ht="54.95" customHeight="1" x14ac:dyDescent="0.2">
      <c r="A3809" s="23" t="s">
        <v>1003</v>
      </c>
      <c r="B3809" s="23" t="s">
        <v>23</v>
      </c>
      <c r="C3809" s="23" t="s">
        <v>46</v>
      </c>
      <c r="D3809" s="23" t="s">
        <v>46</v>
      </c>
      <c r="E3809" s="23" t="s">
        <v>101</v>
      </c>
      <c r="F3809" s="15" t="s">
        <v>104</v>
      </c>
      <c r="G3809" s="15" t="s">
        <v>5173</v>
      </c>
      <c r="H3809" s="23" t="s">
        <v>58</v>
      </c>
    </row>
    <row r="3810" spans="1:8" ht="54.95" customHeight="1" x14ac:dyDescent="0.2">
      <c r="A3810" s="23" t="s">
        <v>1003</v>
      </c>
      <c r="B3810" s="23" t="s">
        <v>24</v>
      </c>
      <c r="C3810" s="23" t="s">
        <v>46</v>
      </c>
      <c r="D3810" s="23" t="s">
        <v>46</v>
      </c>
      <c r="E3810" s="23" t="s">
        <v>101</v>
      </c>
      <c r="F3810" s="15" t="s">
        <v>104</v>
      </c>
      <c r="G3810" s="15" t="s">
        <v>5173</v>
      </c>
      <c r="H3810" s="23" t="s">
        <v>58</v>
      </c>
    </row>
    <row r="3811" spans="1:8" ht="54.95" customHeight="1" x14ac:dyDescent="0.2">
      <c r="A3811" s="23" t="s">
        <v>1003</v>
      </c>
      <c r="B3811" s="23" t="s">
        <v>25</v>
      </c>
      <c r="C3811" s="23" t="s">
        <v>46</v>
      </c>
      <c r="D3811" s="23" t="s">
        <v>46</v>
      </c>
      <c r="E3811" s="23" t="s">
        <v>101</v>
      </c>
      <c r="F3811" s="15" t="s">
        <v>104</v>
      </c>
      <c r="G3811" s="15" t="s">
        <v>5173</v>
      </c>
      <c r="H3811" s="23" t="s">
        <v>58</v>
      </c>
    </row>
    <row r="3812" spans="1:8" ht="54.95" customHeight="1" x14ac:dyDescent="0.2">
      <c r="A3812" s="23" t="s">
        <v>1007</v>
      </c>
      <c r="B3812" s="23" t="s">
        <v>23</v>
      </c>
      <c r="C3812" s="23" t="s">
        <v>46</v>
      </c>
      <c r="D3812" s="23" t="s">
        <v>46</v>
      </c>
      <c r="E3812" s="23" t="s">
        <v>101</v>
      </c>
      <c r="F3812" s="15" t="s">
        <v>104</v>
      </c>
      <c r="G3812" s="15" t="s">
        <v>5173</v>
      </c>
      <c r="H3812" s="23" t="s">
        <v>58</v>
      </c>
    </row>
    <row r="3813" spans="1:8" ht="54.95" customHeight="1" x14ac:dyDescent="0.2">
      <c r="A3813" s="23" t="s">
        <v>1007</v>
      </c>
      <c r="B3813" s="23" t="s">
        <v>24</v>
      </c>
      <c r="C3813" s="23" t="s">
        <v>46</v>
      </c>
      <c r="D3813" s="23" t="s">
        <v>46</v>
      </c>
      <c r="E3813" s="23" t="s">
        <v>101</v>
      </c>
      <c r="F3813" s="15" t="s">
        <v>104</v>
      </c>
      <c r="G3813" s="15" t="s">
        <v>5173</v>
      </c>
      <c r="H3813" s="23" t="s">
        <v>58</v>
      </c>
    </row>
    <row r="3814" spans="1:8" ht="54.95" customHeight="1" x14ac:dyDescent="0.2">
      <c r="A3814" s="23" t="s">
        <v>1007</v>
      </c>
      <c r="B3814" s="23" t="s">
        <v>25</v>
      </c>
      <c r="C3814" s="23" t="s">
        <v>46</v>
      </c>
      <c r="D3814" s="23" t="s">
        <v>46</v>
      </c>
      <c r="E3814" s="23" t="s">
        <v>101</v>
      </c>
      <c r="F3814" s="15" t="s">
        <v>104</v>
      </c>
      <c r="G3814" s="15" t="s">
        <v>5173</v>
      </c>
      <c r="H3814" s="23" t="s">
        <v>58</v>
      </c>
    </row>
    <row r="3815" spans="1:8" ht="54.95" customHeight="1" x14ac:dyDescent="0.2">
      <c r="A3815" s="23" t="s">
        <v>1013</v>
      </c>
      <c r="B3815" s="23" t="s">
        <v>23</v>
      </c>
      <c r="C3815" s="23" t="s">
        <v>46</v>
      </c>
      <c r="D3815" s="23" t="s">
        <v>46</v>
      </c>
      <c r="E3815" s="23" t="s">
        <v>101</v>
      </c>
      <c r="F3815" s="15" t="s">
        <v>104</v>
      </c>
      <c r="G3815" s="15" t="s">
        <v>5173</v>
      </c>
      <c r="H3815" s="23" t="s">
        <v>58</v>
      </c>
    </row>
    <row r="3816" spans="1:8" ht="54.95" customHeight="1" x14ac:dyDescent="0.2">
      <c r="A3816" s="23" t="s">
        <v>1013</v>
      </c>
      <c r="B3816" s="23" t="s">
        <v>25</v>
      </c>
      <c r="C3816" s="23" t="s">
        <v>46</v>
      </c>
      <c r="D3816" s="23" t="s">
        <v>46</v>
      </c>
      <c r="E3816" s="23" t="s">
        <v>101</v>
      </c>
      <c r="F3816" s="15" t="s">
        <v>104</v>
      </c>
      <c r="G3816" s="15" t="s">
        <v>5173</v>
      </c>
      <c r="H3816" s="23" t="s">
        <v>58</v>
      </c>
    </row>
    <row r="3817" spans="1:8" ht="54.95" customHeight="1" x14ac:dyDescent="0.2">
      <c r="A3817" s="23" t="s">
        <v>1019</v>
      </c>
      <c r="B3817" s="23" t="s">
        <v>23</v>
      </c>
      <c r="C3817" s="23" t="s">
        <v>46</v>
      </c>
      <c r="D3817" s="23" t="s">
        <v>46</v>
      </c>
      <c r="E3817" s="23" t="s">
        <v>101</v>
      </c>
      <c r="F3817" s="15" t="s">
        <v>104</v>
      </c>
      <c r="G3817" s="15" t="s">
        <v>5173</v>
      </c>
      <c r="H3817" s="23" t="s">
        <v>58</v>
      </c>
    </row>
    <row r="3818" spans="1:8" ht="54.95" customHeight="1" x14ac:dyDescent="0.2">
      <c r="A3818" s="23" t="s">
        <v>1019</v>
      </c>
      <c r="B3818" s="23" t="s">
        <v>24</v>
      </c>
      <c r="C3818" s="23" t="s">
        <v>46</v>
      </c>
      <c r="D3818" s="23" t="s">
        <v>46</v>
      </c>
      <c r="E3818" s="23" t="s">
        <v>101</v>
      </c>
      <c r="F3818" s="15" t="s">
        <v>104</v>
      </c>
      <c r="G3818" s="15" t="s">
        <v>5173</v>
      </c>
      <c r="H3818" s="23" t="s">
        <v>58</v>
      </c>
    </row>
    <row r="3819" spans="1:8" ht="54.95" customHeight="1" x14ac:dyDescent="0.2">
      <c r="A3819" s="23" t="s">
        <v>1019</v>
      </c>
      <c r="B3819" s="23" t="s">
        <v>25</v>
      </c>
      <c r="C3819" s="23" t="s">
        <v>46</v>
      </c>
      <c r="D3819" s="23" t="s">
        <v>46</v>
      </c>
      <c r="E3819" s="23" t="s">
        <v>101</v>
      </c>
      <c r="F3819" s="15" t="s">
        <v>104</v>
      </c>
      <c r="G3819" s="15" t="s">
        <v>5173</v>
      </c>
      <c r="H3819" s="23" t="s">
        <v>58</v>
      </c>
    </row>
    <row r="3820" spans="1:8" ht="54.95" customHeight="1" x14ac:dyDescent="0.2">
      <c r="A3820" s="23" t="s">
        <v>1025</v>
      </c>
      <c r="B3820" s="23" t="s">
        <v>23</v>
      </c>
      <c r="C3820" s="23" t="s">
        <v>46</v>
      </c>
      <c r="D3820" s="23" t="s">
        <v>46</v>
      </c>
      <c r="E3820" s="23" t="s">
        <v>101</v>
      </c>
      <c r="F3820" s="15" t="s">
        <v>104</v>
      </c>
      <c r="G3820" s="15" t="s">
        <v>5173</v>
      </c>
      <c r="H3820" s="23" t="s">
        <v>58</v>
      </c>
    </row>
    <row r="3821" spans="1:8" ht="54.95" customHeight="1" x14ac:dyDescent="0.2">
      <c r="A3821" s="23" t="s">
        <v>1025</v>
      </c>
      <c r="B3821" s="23" t="s">
        <v>24</v>
      </c>
      <c r="C3821" s="23" t="s">
        <v>46</v>
      </c>
      <c r="D3821" s="23" t="s">
        <v>46</v>
      </c>
      <c r="E3821" s="23" t="s">
        <v>101</v>
      </c>
      <c r="F3821" s="15" t="s">
        <v>104</v>
      </c>
      <c r="G3821" s="15" t="s">
        <v>5173</v>
      </c>
      <c r="H3821" s="23" t="s">
        <v>58</v>
      </c>
    </row>
    <row r="3822" spans="1:8" ht="54.95" customHeight="1" x14ac:dyDescent="0.2">
      <c r="A3822" s="23" t="s">
        <v>1025</v>
      </c>
      <c r="B3822" s="23" t="s">
        <v>25</v>
      </c>
      <c r="C3822" s="23" t="s">
        <v>46</v>
      </c>
      <c r="D3822" s="23" t="s">
        <v>46</v>
      </c>
      <c r="E3822" s="23" t="s">
        <v>101</v>
      </c>
      <c r="F3822" s="15" t="s">
        <v>104</v>
      </c>
      <c r="G3822" s="15" t="s">
        <v>5173</v>
      </c>
      <c r="H3822" s="23" t="s">
        <v>58</v>
      </c>
    </row>
    <row r="3823" spans="1:8" ht="54.95" customHeight="1" x14ac:dyDescent="0.2">
      <c r="A3823" s="23" t="s">
        <v>1031</v>
      </c>
      <c r="B3823" s="23" t="s">
        <v>23</v>
      </c>
      <c r="C3823" s="23" t="s">
        <v>46</v>
      </c>
      <c r="D3823" s="23" t="s">
        <v>46</v>
      </c>
      <c r="E3823" s="23" t="s">
        <v>101</v>
      </c>
      <c r="F3823" s="15" t="s">
        <v>104</v>
      </c>
      <c r="G3823" s="15" t="s">
        <v>5173</v>
      </c>
      <c r="H3823" s="23" t="s">
        <v>58</v>
      </c>
    </row>
    <row r="3824" spans="1:8" ht="54.95" customHeight="1" x14ac:dyDescent="0.2">
      <c r="A3824" s="23" t="s">
        <v>1031</v>
      </c>
      <c r="B3824" s="23" t="s">
        <v>24</v>
      </c>
      <c r="C3824" s="23" t="s">
        <v>46</v>
      </c>
      <c r="D3824" s="23" t="s">
        <v>46</v>
      </c>
      <c r="E3824" s="23" t="s">
        <v>101</v>
      </c>
      <c r="F3824" s="15" t="s">
        <v>104</v>
      </c>
      <c r="G3824" s="15" t="s">
        <v>5173</v>
      </c>
      <c r="H3824" s="23" t="s">
        <v>58</v>
      </c>
    </row>
    <row r="3825" spans="1:8" ht="54.95" customHeight="1" x14ac:dyDescent="0.2">
      <c r="A3825" s="23" t="s">
        <v>1031</v>
      </c>
      <c r="B3825" s="23" t="s">
        <v>25</v>
      </c>
      <c r="C3825" s="23" t="s">
        <v>46</v>
      </c>
      <c r="D3825" s="23" t="s">
        <v>46</v>
      </c>
      <c r="E3825" s="23" t="s">
        <v>101</v>
      </c>
      <c r="F3825" s="15" t="s">
        <v>104</v>
      </c>
      <c r="G3825" s="15" t="s">
        <v>5173</v>
      </c>
      <c r="H3825" s="23" t="s">
        <v>58</v>
      </c>
    </row>
    <row r="3826" spans="1:8" ht="54.95" customHeight="1" x14ac:dyDescent="0.2">
      <c r="A3826" s="23" t="s">
        <v>1037</v>
      </c>
      <c r="B3826" s="23" t="s">
        <v>19</v>
      </c>
      <c r="C3826" s="23" t="s">
        <v>46</v>
      </c>
      <c r="D3826" s="23" t="s">
        <v>46</v>
      </c>
      <c r="E3826" s="23" t="s">
        <v>46</v>
      </c>
      <c r="F3826" s="15" t="s">
        <v>103</v>
      </c>
      <c r="G3826" s="15" t="s">
        <v>5173</v>
      </c>
      <c r="H3826" s="23" t="s">
        <v>58</v>
      </c>
    </row>
    <row r="3827" spans="1:8" ht="54.95" customHeight="1" x14ac:dyDescent="0.2">
      <c r="A3827" s="23" t="s">
        <v>1037</v>
      </c>
      <c r="B3827" s="23" t="s">
        <v>23</v>
      </c>
      <c r="C3827" s="23" t="s">
        <v>46</v>
      </c>
      <c r="D3827" s="23" t="s">
        <v>46</v>
      </c>
      <c r="E3827" s="23" t="s">
        <v>101</v>
      </c>
      <c r="F3827" s="15" t="s">
        <v>104</v>
      </c>
      <c r="G3827" s="15" t="s">
        <v>5173</v>
      </c>
      <c r="H3827" s="23" t="s">
        <v>58</v>
      </c>
    </row>
    <row r="3828" spans="1:8" ht="54.95" customHeight="1" x14ac:dyDescent="0.2">
      <c r="A3828" s="23" t="s">
        <v>1037</v>
      </c>
      <c r="B3828" s="23" t="s">
        <v>24</v>
      </c>
      <c r="C3828" s="23" t="s">
        <v>46</v>
      </c>
      <c r="D3828" s="23" t="s">
        <v>46</v>
      </c>
      <c r="E3828" s="23" t="s">
        <v>101</v>
      </c>
      <c r="F3828" s="15" t="s">
        <v>104</v>
      </c>
      <c r="G3828" s="15" t="s">
        <v>5173</v>
      </c>
      <c r="H3828" s="23" t="s">
        <v>58</v>
      </c>
    </row>
    <row r="3829" spans="1:8" ht="54.95" customHeight="1" x14ac:dyDescent="0.2">
      <c r="A3829" s="23" t="s">
        <v>1037</v>
      </c>
      <c r="B3829" s="23" t="s">
        <v>25</v>
      </c>
      <c r="C3829" s="23" t="s">
        <v>46</v>
      </c>
      <c r="D3829" s="23" t="s">
        <v>46</v>
      </c>
      <c r="E3829" s="23" t="s">
        <v>101</v>
      </c>
      <c r="F3829" s="15" t="s">
        <v>104</v>
      </c>
      <c r="G3829" s="15" t="s">
        <v>5173</v>
      </c>
      <c r="H3829" s="23" t="s">
        <v>58</v>
      </c>
    </row>
    <row r="3830" spans="1:8" ht="54.95" customHeight="1" x14ac:dyDescent="0.2">
      <c r="A3830" s="23" t="s">
        <v>1043</v>
      </c>
      <c r="B3830" s="23" t="s">
        <v>21</v>
      </c>
      <c r="C3830" s="23" t="s">
        <v>46</v>
      </c>
      <c r="D3830" s="23" t="s">
        <v>46</v>
      </c>
      <c r="E3830" s="23" t="s">
        <v>101</v>
      </c>
      <c r="F3830" s="15" t="s">
        <v>104</v>
      </c>
      <c r="G3830" s="15" t="s">
        <v>5173</v>
      </c>
      <c r="H3830" s="23" t="s">
        <v>58</v>
      </c>
    </row>
    <row r="3831" spans="1:8" ht="54.95" customHeight="1" x14ac:dyDescent="0.2">
      <c r="A3831" s="23" t="s">
        <v>1043</v>
      </c>
      <c r="B3831" s="23" t="s">
        <v>22</v>
      </c>
      <c r="C3831" s="23" t="s">
        <v>46</v>
      </c>
      <c r="D3831" s="23" t="s">
        <v>46</v>
      </c>
      <c r="E3831" s="23" t="s">
        <v>101</v>
      </c>
      <c r="F3831" s="15" t="s">
        <v>104</v>
      </c>
      <c r="G3831" s="15" t="s">
        <v>5173</v>
      </c>
      <c r="H3831" s="23" t="s">
        <v>58</v>
      </c>
    </row>
    <row r="3832" spans="1:8" ht="54.95" customHeight="1" x14ac:dyDescent="0.2">
      <c r="A3832" s="23" t="s">
        <v>1043</v>
      </c>
      <c r="B3832" s="23" t="s">
        <v>23</v>
      </c>
      <c r="C3832" s="23" t="s">
        <v>46</v>
      </c>
      <c r="D3832" s="23" t="s">
        <v>46</v>
      </c>
      <c r="E3832" s="23" t="s">
        <v>101</v>
      </c>
      <c r="F3832" s="15" t="s">
        <v>104</v>
      </c>
      <c r="G3832" s="15" t="s">
        <v>5173</v>
      </c>
      <c r="H3832" s="23" t="s">
        <v>58</v>
      </c>
    </row>
    <row r="3833" spans="1:8" ht="54.95" customHeight="1" x14ac:dyDescent="0.2">
      <c r="A3833" s="23" t="s">
        <v>1043</v>
      </c>
      <c r="B3833" s="23" t="s">
        <v>24</v>
      </c>
      <c r="C3833" s="23" t="s">
        <v>46</v>
      </c>
      <c r="D3833" s="23" t="s">
        <v>46</v>
      </c>
      <c r="E3833" s="23" t="s">
        <v>101</v>
      </c>
      <c r="F3833" s="15" t="s">
        <v>104</v>
      </c>
      <c r="G3833" s="15" t="s">
        <v>5173</v>
      </c>
      <c r="H3833" s="23" t="s">
        <v>58</v>
      </c>
    </row>
    <row r="3834" spans="1:8" ht="54.95" customHeight="1" x14ac:dyDescent="0.2">
      <c r="A3834" s="23" t="s">
        <v>1043</v>
      </c>
      <c r="B3834" s="23" t="s">
        <v>25</v>
      </c>
      <c r="C3834" s="23" t="s">
        <v>46</v>
      </c>
      <c r="D3834" s="23" t="s">
        <v>46</v>
      </c>
      <c r="E3834" s="23" t="s">
        <v>101</v>
      </c>
      <c r="F3834" s="15" t="s">
        <v>104</v>
      </c>
      <c r="G3834" s="15" t="s">
        <v>5173</v>
      </c>
      <c r="H3834" s="23" t="s">
        <v>58</v>
      </c>
    </row>
    <row r="3835" spans="1:8" ht="54.95" customHeight="1" x14ac:dyDescent="0.2">
      <c r="A3835" s="23" t="s">
        <v>1048</v>
      </c>
      <c r="B3835" s="23" t="s">
        <v>23</v>
      </c>
      <c r="C3835" s="23" t="s">
        <v>46</v>
      </c>
      <c r="D3835" s="23" t="s">
        <v>46</v>
      </c>
      <c r="E3835" s="23" t="s">
        <v>101</v>
      </c>
      <c r="F3835" s="15" t="s">
        <v>104</v>
      </c>
      <c r="G3835" s="15" t="s">
        <v>5173</v>
      </c>
      <c r="H3835" s="23" t="s">
        <v>58</v>
      </c>
    </row>
    <row r="3836" spans="1:8" ht="54.95" customHeight="1" x14ac:dyDescent="0.2">
      <c r="A3836" s="23" t="s">
        <v>1048</v>
      </c>
      <c r="B3836" s="23" t="s">
        <v>24</v>
      </c>
      <c r="C3836" s="23" t="s">
        <v>46</v>
      </c>
      <c r="D3836" s="23" t="s">
        <v>46</v>
      </c>
      <c r="E3836" s="23" t="s">
        <v>101</v>
      </c>
      <c r="F3836" s="15" t="s">
        <v>104</v>
      </c>
      <c r="G3836" s="15" t="s">
        <v>5173</v>
      </c>
      <c r="H3836" s="23" t="s">
        <v>58</v>
      </c>
    </row>
    <row r="3837" spans="1:8" ht="54.95" customHeight="1" x14ac:dyDescent="0.2">
      <c r="A3837" s="23" t="s">
        <v>1048</v>
      </c>
      <c r="B3837" s="23" t="s">
        <v>25</v>
      </c>
      <c r="C3837" s="23" t="s">
        <v>46</v>
      </c>
      <c r="D3837" s="23" t="s">
        <v>46</v>
      </c>
      <c r="E3837" s="23" t="s">
        <v>101</v>
      </c>
      <c r="F3837" s="15" t="s">
        <v>104</v>
      </c>
      <c r="G3837" s="15" t="s">
        <v>5173</v>
      </c>
      <c r="H3837" s="23" t="s">
        <v>58</v>
      </c>
    </row>
    <row r="3838" spans="1:8" ht="54.95" customHeight="1" x14ac:dyDescent="0.2">
      <c r="A3838" s="23" t="s">
        <v>1055</v>
      </c>
      <c r="B3838" s="23" t="s">
        <v>15</v>
      </c>
      <c r="C3838" s="23" t="s">
        <v>46</v>
      </c>
      <c r="D3838" s="23" t="s">
        <v>46</v>
      </c>
      <c r="E3838" s="23" t="s">
        <v>46</v>
      </c>
      <c r="F3838" s="15" t="s">
        <v>103</v>
      </c>
      <c r="G3838" s="15" t="s">
        <v>5173</v>
      </c>
      <c r="H3838" s="23" t="s">
        <v>58</v>
      </c>
    </row>
    <row r="3839" spans="1:8" ht="54.95" customHeight="1" x14ac:dyDescent="0.2">
      <c r="A3839" s="23" t="s">
        <v>1055</v>
      </c>
      <c r="B3839" s="23" t="s">
        <v>17</v>
      </c>
      <c r="C3839" s="23" t="s">
        <v>46</v>
      </c>
      <c r="D3839" s="23" t="s">
        <v>46</v>
      </c>
      <c r="E3839" s="23" t="s">
        <v>46</v>
      </c>
      <c r="F3839" s="15" t="s">
        <v>103</v>
      </c>
      <c r="G3839" s="15" t="s">
        <v>5173</v>
      </c>
      <c r="H3839" s="23" t="s">
        <v>58</v>
      </c>
    </row>
    <row r="3840" spans="1:8" ht="54.95" customHeight="1" x14ac:dyDescent="0.2">
      <c r="A3840" s="23" t="s">
        <v>1055</v>
      </c>
      <c r="B3840" s="23" t="s">
        <v>19</v>
      </c>
      <c r="C3840" s="23" t="s">
        <v>46</v>
      </c>
      <c r="D3840" s="23" t="s">
        <v>46</v>
      </c>
      <c r="E3840" s="23" t="s">
        <v>46</v>
      </c>
      <c r="F3840" s="15" t="s">
        <v>103</v>
      </c>
      <c r="G3840" s="15" t="s">
        <v>5173</v>
      </c>
      <c r="H3840" s="23" t="s">
        <v>58</v>
      </c>
    </row>
    <row r="3841" spans="1:8" ht="54.95" customHeight="1" x14ac:dyDescent="0.2">
      <c r="A3841" s="23" t="s">
        <v>1055</v>
      </c>
      <c r="B3841" s="23" t="s">
        <v>21</v>
      </c>
      <c r="C3841" s="23" t="s">
        <v>46</v>
      </c>
      <c r="D3841" s="23" t="s">
        <v>46</v>
      </c>
      <c r="E3841" s="23" t="s">
        <v>101</v>
      </c>
      <c r="F3841" s="15" t="s">
        <v>104</v>
      </c>
      <c r="G3841" s="15" t="s">
        <v>5173</v>
      </c>
      <c r="H3841" s="23" t="s">
        <v>58</v>
      </c>
    </row>
    <row r="3842" spans="1:8" ht="54.95" customHeight="1" x14ac:dyDescent="0.2">
      <c r="A3842" s="23" t="s">
        <v>1055</v>
      </c>
      <c r="B3842" s="23" t="s">
        <v>22</v>
      </c>
      <c r="C3842" s="23" t="s">
        <v>46</v>
      </c>
      <c r="D3842" s="23" t="s">
        <v>46</v>
      </c>
      <c r="E3842" s="23" t="s">
        <v>101</v>
      </c>
      <c r="F3842" s="15" t="s">
        <v>104</v>
      </c>
      <c r="G3842" s="15" t="s">
        <v>5173</v>
      </c>
      <c r="H3842" s="23" t="s">
        <v>58</v>
      </c>
    </row>
    <row r="3843" spans="1:8" ht="54.95" customHeight="1" x14ac:dyDescent="0.2">
      <c r="A3843" s="23" t="s">
        <v>1055</v>
      </c>
      <c r="B3843" s="23" t="s">
        <v>23</v>
      </c>
      <c r="C3843" s="23" t="s">
        <v>46</v>
      </c>
      <c r="D3843" s="23" t="s">
        <v>46</v>
      </c>
      <c r="E3843" s="23" t="s">
        <v>101</v>
      </c>
      <c r="F3843" s="15" t="s">
        <v>104</v>
      </c>
      <c r="G3843" s="15" t="s">
        <v>5173</v>
      </c>
      <c r="H3843" s="23" t="s">
        <v>58</v>
      </c>
    </row>
    <row r="3844" spans="1:8" ht="54.95" customHeight="1" x14ac:dyDescent="0.2">
      <c r="A3844" s="23" t="s">
        <v>1055</v>
      </c>
      <c r="B3844" s="23" t="s">
        <v>24</v>
      </c>
      <c r="C3844" s="23" t="s">
        <v>46</v>
      </c>
      <c r="D3844" s="23" t="s">
        <v>46</v>
      </c>
      <c r="E3844" s="23" t="s">
        <v>101</v>
      </c>
      <c r="F3844" s="15" t="s">
        <v>104</v>
      </c>
      <c r="G3844" s="15" t="s">
        <v>5173</v>
      </c>
      <c r="H3844" s="23" t="s">
        <v>58</v>
      </c>
    </row>
    <row r="3845" spans="1:8" ht="54.95" customHeight="1" x14ac:dyDescent="0.2">
      <c r="A3845" s="23" t="s">
        <v>1055</v>
      </c>
      <c r="B3845" s="23" t="s">
        <v>25</v>
      </c>
      <c r="C3845" s="23" t="s">
        <v>46</v>
      </c>
      <c r="D3845" s="23" t="s">
        <v>46</v>
      </c>
      <c r="E3845" s="23" t="s">
        <v>101</v>
      </c>
      <c r="F3845" s="15" t="s">
        <v>104</v>
      </c>
      <c r="G3845" s="15" t="s">
        <v>5173</v>
      </c>
      <c r="H3845" s="23" t="s">
        <v>58</v>
      </c>
    </row>
    <row r="3846" spans="1:8" ht="54.95" customHeight="1" x14ac:dyDescent="0.2">
      <c r="A3846" s="23" t="s">
        <v>1060</v>
      </c>
      <c r="B3846" s="23" t="s">
        <v>21</v>
      </c>
      <c r="C3846" s="23" t="s">
        <v>46</v>
      </c>
      <c r="D3846" s="23" t="s">
        <v>46</v>
      </c>
      <c r="E3846" s="23" t="s">
        <v>101</v>
      </c>
      <c r="F3846" s="15" t="s">
        <v>104</v>
      </c>
      <c r="G3846" s="15" t="s">
        <v>5173</v>
      </c>
      <c r="H3846" s="23" t="s">
        <v>58</v>
      </c>
    </row>
    <row r="3847" spans="1:8" ht="54.95" customHeight="1" x14ac:dyDescent="0.2">
      <c r="A3847" s="23" t="s">
        <v>1060</v>
      </c>
      <c r="B3847" s="23" t="s">
        <v>22</v>
      </c>
      <c r="C3847" s="23" t="s">
        <v>46</v>
      </c>
      <c r="D3847" s="23" t="s">
        <v>46</v>
      </c>
      <c r="E3847" s="23" t="s">
        <v>101</v>
      </c>
      <c r="F3847" s="15" t="s">
        <v>104</v>
      </c>
      <c r="G3847" s="15" t="s">
        <v>5173</v>
      </c>
      <c r="H3847" s="23" t="s">
        <v>58</v>
      </c>
    </row>
    <row r="3848" spans="1:8" ht="54.95" customHeight="1" x14ac:dyDescent="0.2">
      <c r="A3848" s="23" t="s">
        <v>1060</v>
      </c>
      <c r="B3848" s="23" t="s">
        <v>23</v>
      </c>
      <c r="C3848" s="23" t="s">
        <v>46</v>
      </c>
      <c r="D3848" s="23" t="s">
        <v>46</v>
      </c>
      <c r="E3848" s="23" t="s">
        <v>101</v>
      </c>
      <c r="F3848" s="15" t="s">
        <v>104</v>
      </c>
      <c r="G3848" s="15" t="s">
        <v>5173</v>
      </c>
      <c r="H3848" s="23" t="s">
        <v>58</v>
      </c>
    </row>
    <row r="3849" spans="1:8" ht="54.95" customHeight="1" x14ac:dyDescent="0.2">
      <c r="A3849" s="23" t="s">
        <v>1060</v>
      </c>
      <c r="B3849" s="23" t="s">
        <v>24</v>
      </c>
      <c r="C3849" s="23" t="s">
        <v>46</v>
      </c>
      <c r="D3849" s="23" t="s">
        <v>46</v>
      </c>
      <c r="E3849" s="23" t="s">
        <v>101</v>
      </c>
      <c r="F3849" s="15" t="s">
        <v>104</v>
      </c>
      <c r="G3849" s="15" t="s">
        <v>5173</v>
      </c>
      <c r="H3849" s="23" t="s">
        <v>58</v>
      </c>
    </row>
    <row r="3850" spans="1:8" ht="54.95" customHeight="1" x14ac:dyDescent="0.2">
      <c r="A3850" s="23" t="s">
        <v>1060</v>
      </c>
      <c r="B3850" s="23" t="s">
        <v>25</v>
      </c>
      <c r="C3850" s="23" t="s">
        <v>46</v>
      </c>
      <c r="D3850" s="23" t="s">
        <v>46</v>
      </c>
      <c r="E3850" s="23" t="s">
        <v>101</v>
      </c>
      <c r="F3850" s="15" t="s">
        <v>104</v>
      </c>
      <c r="G3850" s="15" t="s">
        <v>5173</v>
      </c>
      <c r="H3850" s="23" t="s">
        <v>58</v>
      </c>
    </row>
    <row r="3851" spans="1:8" ht="54.95" customHeight="1" x14ac:dyDescent="0.2">
      <c r="A3851" s="23" t="s">
        <v>1066</v>
      </c>
      <c r="B3851" s="23" t="s">
        <v>21</v>
      </c>
      <c r="C3851" s="23" t="s">
        <v>46</v>
      </c>
      <c r="D3851" s="23" t="s">
        <v>46</v>
      </c>
      <c r="E3851" s="23" t="s">
        <v>101</v>
      </c>
      <c r="F3851" s="15" t="s">
        <v>104</v>
      </c>
      <c r="G3851" s="15" t="s">
        <v>5173</v>
      </c>
      <c r="H3851" s="23" t="s">
        <v>58</v>
      </c>
    </row>
    <row r="3852" spans="1:8" ht="54.95" customHeight="1" x14ac:dyDescent="0.2">
      <c r="A3852" s="23" t="s">
        <v>1066</v>
      </c>
      <c r="B3852" s="23" t="s">
        <v>22</v>
      </c>
      <c r="C3852" s="23" t="s">
        <v>46</v>
      </c>
      <c r="D3852" s="23" t="s">
        <v>46</v>
      </c>
      <c r="E3852" s="23" t="s">
        <v>101</v>
      </c>
      <c r="F3852" s="15" t="s">
        <v>104</v>
      </c>
      <c r="G3852" s="15" t="s">
        <v>5173</v>
      </c>
      <c r="H3852" s="23" t="s">
        <v>58</v>
      </c>
    </row>
    <row r="3853" spans="1:8" ht="54.95" customHeight="1" x14ac:dyDescent="0.2">
      <c r="A3853" s="23" t="s">
        <v>1066</v>
      </c>
      <c r="B3853" s="23" t="s">
        <v>23</v>
      </c>
      <c r="C3853" s="23" t="s">
        <v>46</v>
      </c>
      <c r="D3853" s="23" t="s">
        <v>46</v>
      </c>
      <c r="E3853" s="23" t="s">
        <v>101</v>
      </c>
      <c r="F3853" s="15" t="s">
        <v>104</v>
      </c>
      <c r="G3853" s="15" t="s">
        <v>5173</v>
      </c>
      <c r="H3853" s="23" t="s">
        <v>58</v>
      </c>
    </row>
    <row r="3854" spans="1:8" ht="54.95" customHeight="1" x14ac:dyDescent="0.2">
      <c r="A3854" s="23" t="s">
        <v>1066</v>
      </c>
      <c r="B3854" s="23" t="s">
        <v>24</v>
      </c>
      <c r="C3854" s="23" t="s">
        <v>46</v>
      </c>
      <c r="D3854" s="23" t="s">
        <v>46</v>
      </c>
      <c r="E3854" s="23" t="s">
        <v>101</v>
      </c>
      <c r="F3854" s="15" t="s">
        <v>104</v>
      </c>
      <c r="G3854" s="15" t="s">
        <v>5173</v>
      </c>
      <c r="H3854" s="23" t="s">
        <v>58</v>
      </c>
    </row>
    <row r="3855" spans="1:8" ht="54.95" customHeight="1" x14ac:dyDescent="0.2">
      <c r="A3855" s="23" t="s">
        <v>1066</v>
      </c>
      <c r="B3855" s="23" t="s">
        <v>25</v>
      </c>
      <c r="C3855" s="23" t="s">
        <v>46</v>
      </c>
      <c r="D3855" s="23" t="s">
        <v>46</v>
      </c>
      <c r="E3855" s="23" t="s">
        <v>101</v>
      </c>
      <c r="F3855" s="15" t="s">
        <v>104</v>
      </c>
      <c r="G3855" s="15" t="s">
        <v>5173</v>
      </c>
      <c r="H3855" s="23" t="s">
        <v>58</v>
      </c>
    </row>
    <row r="3856" spans="1:8" ht="54.95" customHeight="1" x14ac:dyDescent="0.2">
      <c r="A3856" s="23" t="s">
        <v>1072</v>
      </c>
      <c r="B3856" s="23" t="s">
        <v>21</v>
      </c>
      <c r="C3856" s="23" t="s">
        <v>46</v>
      </c>
      <c r="D3856" s="23" t="s">
        <v>46</v>
      </c>
      <c r="E3856" s="23" t="s">
        <v>101</v>
      </c>
      <c r="F3856" s="15" t="s">
        <v>104</v>
      </c>
      <c r="G3856" s="15" t="s">
        <v>5173</v>
      </c>
      <c r="H3856" s="23" t="s">
        <v>58</v>
      </c>
    </row>
    <row r="3857" spans="1:8" ht="54.95" customHeight="1" x14ac:dyDescent="0.2">
      <c r="A3857" s="23" t="s">
        <v>1072</v>
      </c>
      <c r="B3857" s="23" t="s">
        <v>22</v>
      </c>
      <c r="C3857" s="23" t="s">
        <v>46</v>
      </c>
      <c r="D3857" s="23" t="s">
        <v>46</v>
      </c>
      <c r="E3857" s="23" t="s">
        <v>101</v>
      </c>
      <c r="F3857" s="15" t="s">
        <v>104</v>
      </c>
      <c r="G3857" s="15" t="s">
        <v>5173</v>
      </c>
      <c r="H3857" s="23" t="s">
        <v>58</v>
      </c>
    </row>
    <row r="3858" spans="1:8" ht="54.95" customHeight="1" x14ac:dyDescent="0.2">
      <c r="A3858" s="23" t="s">
        <v>1072</v>
      </c>
      <c r="B3858" s="23" t="s">
        <v>23</v>
      </c>
      <c r="C3858" s="23" t="s">
        <v>46</v>
      </c>
      <c r="D3858" s="23" t="s">
        <v>46</v>
      </c>
      <c r="E3858" s="23" t="s">
        <v>101</v>
      </c>
      <c r="F3858" s="15" t="s">
        <v>104</v>
      </c>
      <c r="G3858" s="15" t="s">
        <v>5173</v>
      </c>
      <c r="H3858" s="23" t="s">
        <v>58</v>
      </c>
    </row>
    <row r="3859" spans="1:8" ht="54.95" customHeight="1" x14ac:dyDescent="0.2">
      <c r="A3859" s="23" t="s">
        <v>1072</v>
      </c>
      <c r="B3859" s="23" t="s">
        <v>24</v>
      </c>
      <c r="C3859" s="23" t="s">
        <v>46</v>
      </c>
      <c r="D3859" s="23" t="s">
        <v>46</v>
      </c>
      <c r="E3859" s="23" t="s">
        <v>101</v>
      </c>
      <c r="F3859" s="15" t="s">
        <v>104</v>
      </c>
      <c r="G3859" s="15" t="s">
        <v>5173</v>
      </c>
      <c r="H3859" s="23" t="s">
        <v>58</v>
      </c>
    </row>
    <row r="3860" spans="1:8" ht="54.95" customHeight="1" x14ac:dyDescent="0.2">
      <c r="A3860" s="23" t="s">
        <v>1072</v>
      </c>
      <c r="B3860" s="23" t="s">
        <v>25</v>
      </c>
      <c r="C3860" s="23" t="s">
        <v>46</v>
      </c>
      <c r="D3860" s="23" t="s">
        <v>46</v>
      </c>
      <c r="E3860" s="23" t="s">
        <v>101</v>
      </c>
      <c r="F3860" s="15" t="s">
        <v>104</v>
      </c>
      <c r="G3860" s="15" t="s">
        <v>5173</v>
      </c>
      <c r="H3860" s="23" t="s">
        <v>58</v>
      </c>
    </row>
    <row r="3861" spans="1:8" ht="54.95" customHeight="1" x14ac:dyDescent="0.2">
      <c r="A3861" s="23" t="s">
        <v>1078</v>
      </c>
      <c r="B3861" s="23" t="s">
        <v>23</v>
      </c>
      <c r="C3861" s="23" t="s">
        <v>46</v>
      </c>
      <c r="D3861" s="23" t="s">
        <v>46</v>
      </c>
      <c r="E3861" s="23" t="s">
        <v>101</v>
      </c>
      <c r="F3861" s="15" t="s">
        <v>104</v>
      </c>
      <c r="G3861" s="15" t="s">
        <v>5173</v>
      </c>
      <c r="H3861" s="23" t="s">
        <v>58</v>
      </c>
    </row>
    <row r="3862" spans="1:8" ht="54.95" customHeight="1" x14ac:dyDescent="0.2">
      <c r="A3862" s="23" t="s">
        <v>1078</v>
      </c>
      <c r="B3862" s="23" t="s">
        <v>24</v>
      </c>
      <c r="C3862" s="23" t="s">
        <v>46</v>
      </c>
      <c r="D3862" s="23" t="s">
        <v>46</v>
      </c>
      <c r="E3862" s="23" t="s">
        <v>101</v>
      </c>
      <c r="F3862" s="15" t="s">
        <v>104</v>
      </c>
      <c r="G3862" s="15" t="s">
        <v>5173</v>
      </c>
      <c r="H3862" s="23" t="s">
        <v>58</v>
      </c>
    </row>
    <row r="3863" spans="1:8" ht="54.95" customHeight="1" x14ac:dyDescent="0.2">
      <c r="A3863" s="23" t="s">
        <v>1078</v>
      </c>
      <c r="B3863" s="23" t="s">
        <v>25</v>
      </c>
      <c r="C3863" s="23" t="s">
        <v>46</v>
      </c>
      <c r="D3863" s="23" t="s">
        <v>46</v>
      </c>
      <c r="E3863" s="23" t="s">
        <v>101</v>
      </c>
      <c r="F3863" s="15" t="s">
        <v>104</v>
      </c>
      <c r="G3863" s="15" t="s">
        <v>5173</v>
      </c>
      <c r="H3863" s="23" t="s">
        <v>58</v>
      </c>
    </row>
    <row r="3864" spans="1:8" ht="54.95" customHeight="1" x14ac:dyDescent="0.2">
      <c r="A3864" s="23" t="s">
        <v>1085</v>
      </c>
      <c r="B3864" s="23" t="s">
        <v>3</v>
      </c>
      <c r="C3864" s="23" t="s">
        <v>46</v>
      </c>
      <c r="D3864" s="23" t="s">
        <v>46</v>
      </c>
      <c r="E3864" s="23" t="s">
        <v>46</v>
      </c>
      <c r="F3864" s="15" t="s">
        <v>198</v>
      </c>
      <c r="G3864" s="15" t="s">
        <v>5173</v>
      </c>
      <c r="H3864" s="23" t="s">
        <v>58</v>
      </c>
    </row>
    <row r="3865" spans="1:8" ht="54.95" customHeight="1" x14ac:dyDescent="0.2">
      <c r="A3865" s="23" t="s">
        <v>1085</v>
      </c>
      <c r="B3865" s="23" t="s">
        <v>6</v>
      </c>
      <c r="C3865" s="23" t="s">
        <v>46</v>
      </c>
      <c r="D3865" s="23" t="s">
        <v>46</v>
      </c>
      <c r="E3865" s="23" t="s">
        <v>46</v>
      </c>
      <c r="F3865" s="15" t="s">
        <v>198</v>
      </c>
      <c r="G3865" s="15" t="s">
        <v>5173</v>
      </c>
      <c r="H3865" s="23" t="s">
        <v>58</v>
      </c>
    </row>
    <row r="3866" spans="1:8" ht="54.95" customHeight="1" x14ac:dyDescent="0.2">
      <c r="A3866" s="23" t="s">
        <v>1085</v>
      </c>
      <c r="B3866" s="23" t="s">
        <v>7</v>
      </c>
      <c r="C3866" s="23" t="s">
        <v>46</v>
      </c>
      <c r="D3866" s="23" t="s">
        <v>46</v>
      </c>
      <c r="E3866" s="23" t="s">
        <v>46</v>
      </c>
      <c r="F3866" s="15" t="s">
        <v>198</v>
      </c>
      <c r="G3866" s="15" t="s">
        <v>5173</v>
      </c>
      <c r="H3866" s="23" t="s">
        <v>58</v>
      </c>
    </row>
    <row r="3867" spans="1:8" ht="54.95" customHeight="1" x14ac:dyDescent="0.2">
      <c r="A3867" s="23" t="s">
        <v>1085</v>
      </c>
      <c r="B3867" s="23" t="s">
        <v>8</v>
      </c>
      <c r="C3867" s="23" t="s">
        <v>46</v>
      </c>
      <c r="D3867" s="23" t="s">
        <v>46</v>
      </c>
      <c r="E3867" s="23" t="s">
        <v>46</v>
      </c>
      <c r="F3867" s="15" t="s">
        <v>198</v>
      </c>
      <c r="G3867" s="15" t="s">
        <v>5173</v>
      </c>
      <c r="H3867" s="23" t="s">
        <v>58</v>
      </c>
    </row>
    <row r="3868" spans="1:8" ht="54.95" customHeight="1" x14ac:dyDescent="0.2">
      <c r="A3868" s="23" t="s">
        <v>1085</v>
      </c>
      <c r="B3868" s="23" t="s">
        <v>9</v>
      </c>
      <c r="C3868" s="23" t="s">
        <v>46</v>
      </c>
      <c r="D3868" s="23" t="s">
        <v>46</v>
      </c>
      <c r="E3868" s="23" t="s">
        <v>46</v>
      </c>
      <c r="F3868" s="15" t="s">
        <v>198</v>
      </c>
      <c r="G3868" s="15" t="s">
        <v>5173</v>
      </c>
      <c r="H3868" s="23" t="s">
        <v>58</v>
      </c>
    </row>
    <row r="3869" spans="1:8" ht="54.95" customHeight="1" x14ac:dyDescent="0.2">
      <c r="A3869" s="23" t="s">
        <v>1085</v>
      </c>
      <c r="B3869" s="23" t="s">
        <v>10</v>
      </c>
      <c r="C3869" s="23" t="s">
        <v>46</v>
      </c>
      <c r="D3869" s="23" t="s">
        <v>46</v>
      </c>
      <c r="E3869" s="23" t="s">
        <v>46</v>
      </c>
      <c r="F3869" s="15" t="s">
        <v>198</v>
      </c>
      <c r="G3869" s="15" t="s">
        <v>5173</v>
      </c>
      <c r="H3869" s="23" t="s">
        <v>58</v>
      </c>
    </row>
    <row r="3870" spans="1:8" ht="54.95" customHeight="1" x14ac:dyDescent="0.2">
      <c r="A3870" s="23" t="s">
        <v>1085</v>
      </c>
      <c r="B3870" s="23" t="s">
        <v>11</v>
      </c>
      <c r="C3870" s="23" t="s">
        <v>46</v>
      </c>
      <c r="D3870" s="23" t="s">
        <v>46</v>
      </c>
      <c r="E3870" s="23" t="s">
        <v>46</v>
      </c>
      <c r="F3870" s="15" t="s">
        <v>198</v>
      </c>
      <c r="G3870" s="15" t="s">
        <v>5173</v>
      </c>
      <c r="H3870" s="23" t="s">
        <v>58</v>
      </c>
    </row>
    <row r="3871" spans="1:8" ht="54.95" customHeight="1" x14ac:dyDescent="0.2">
      <c r="A3871" s="23" t="s">
        <v>1085</v>
      </c>
      <c r="B3871" s="23" t="s">
        <v>13</v>
      </c>
      <c r="C3871" s="23" t="s">
        <v>46</v>
      </c>
      <c r="D3871" s="23" t="s">
        <v>46</v>
      </c>
      <c r="E3871" s="23" t="s">
        <v>46</v>
      </c>
      <c r="F3871" s="15" t="s">
        <v>198</v>
      </c>
      <c r="G3871" s="15" t="s">
        <v>5173</v>
      </c>
      <c r="H3871" s="23" t="s">
        <v>58</v>
      </c>
    </row>
    <row r="3872" spans="1:8" ht="54.95" customHeight="1" x14ac:dyDescent="0.2">
      <c r="A3872" s="23" t="s">
        <v>1085</v>
      </c>
      <c r="B3872" s="23" t="s">
        <v>14</v>
      </c>
      <c r="C3872" s="23" t="s">
        <v>46</v>
      </c>
      <c r="D3872" s="23" t="s">
        <v>46</v>
      </c>
      <c r="E3872" s="23" t="s">
        <v>46</v>
      </c>
      <c r="F3872" s="15" t="s">
        <v>198</v>
      </c>
      <c r="G3872" s="15" t="s">
        <v>5173</v>
      </c>
      <c r="H3872" s="23" t="s">
        <v>58</v>
      </c>
    </row>
    <row r="3873" spans="1:8" ht="54.95" customHeight="1" x14ac:dyDescent="0.2">
      <c r="A3873" s="23" t="s">
        <v>1085</v>
      </c>
      <c r="B3873" s="23" t="s">
        <v>15</v>
      </c>
      <c r="C3873" s="23" t="s">
        <v>46</v>
      </c>
      <c r="D3873" s="23" t="s">
        <v>46</v>
      </c>
      <c r="E3873" s="23" t="s">
        <v>46</v>
      </c>
      <c r="F3873" s="15" t="s">
        <v>103</v>
      </c>
      <c r="G3873" s="15" t="s">
        <v>5173</v>
      </c>
      <c r="H3873" s="23" t="s">
        <v>58</v>
      </c>
    </row>
    <row r="3874" spans="1:8" ht="54.95" customHeight="1" x14ac:dyDescent="0.2">
      <c r="A3874" s="23" t="s">
        <v>1085</v>
      </c>
      <c r="B3874" s="23" t="s">
        <v>17</v>
      </c>
      <c r="C3874" s="23" t="s">
        <v>46</v>
      </c>
      <c r="D3874" s="23" t="s">
        <v>46</v>
      </c>
      <c r="E3874" s="23" t="s">
        <v>46</v>
      </c>
      <c r="F3874" s="15" t="s">
        <v>103</v>
      </c>
      <c r="G3874" s="15" t="s">
        <v>5173</v>
      </c>
      <c r="H3874" s="23" t="s">
        <v>58</v>
      </c>
    </row>
    <row r="3875" spans="1:8" ht="54.95" customHeight="1" x14ac:dyDescent="0.2">
      <c r="A3875" s="23" t="s">
        <v>1085</v>
      </c>
      <c r="B3875" s="23" t="s">
        <v>19</v>
      </c>
      <c r="C3875" s="23" t="s">
        <v>46</v>
      </c>
      <c r="D3875" s="23" t="s">
        <v>46</v>
      </c>
      <c r="E3875" s="23" t="s">
        <v>46</v>
      </c>
      <c r="F3875" s="15" t="s">
        <v>103</v>
      </c>
      <c r="G3875" s="15" t="s">
        <v>5173</v>
      </c>
      <c r="H3875" s="23" t="s">
        <v>58</v>
      </c>
    </row>
    <row r="3876" spans="1:8" ht="54.95" customHeight="1" x14ac:dyDescent="0.2">
      <c r="A3876" s="23" t="s">
        <v>1085</v>
      </c>
      <c r="B3876" s="23" t="s">
        <v>21</v>
      </c>
      <c r="C3876" s="23" t="s">
        <v>46</v>
      </c>
      <c r="D3876" s="23" t="s">
        <v>46</v>
      </c>
      <c r="E3876" s="23" t="s">
        <v>101</v>
      </c>
      <c r="F3876" s="15" t="s">
        <v>104</v>
      </c>
      <c r="G3876" s="15" t="s">
        <v>5173</v>
      </c>
      <c r="H3876" s="23" t="s">
        <v>58</v>
      </c>
    </row>
    <row r="3877" spans="1:8" ht="54.95" customHeight="1" x14ac:dyDescent="0.2">
      <c r="A3877" s="23" t="s">
        <v>1085</v>
      </c>
      <c r="B3877" s="23" t="s">
        <v>22</v>
      </c>
      <c r="C3877" s="23" t="s">
        <v>46</v>
      </c>
      <c r="D3877" s="23" t="s">
        <v>46</v>
      </c>
      <c r="E3877" s="23" t="s">
        <v>101</v>
      </c>
      <c r="F3877" s="15" t="s">
        <v>104</v>
      </c>
      <c r="G3877" s="15" t="s">
        <v>5173</v>
      </c>
      <c r="H3877" s="23" t="s">
        <v>58</v>
      </c>
    </row>
    <row r="3878" spans="1:8" ht="54.95" customHeight="1" x14ac:dyDescent="0.2">
      <c r="A3878" s="23" t="s">
        <v>1085</v>
      </c>
      <c r="B3878" s="23" t="s">
        <v>23</v>
      </c>
      <c r="C3878" s="23" t="s">
        <v>46</v>
      </c>
      <c r="D3878" s="23" t="s">
        <v>46</v>
      </c>
      <c r="E3878" s="23" t="s">
        <v>101</v>
      </c>
      <c r="F3878" s="15" t="s">
        <v>104</v>
      </c>
      <c r="G3878" s="15" t="s">
        <v>5173</v>
      </c>
      <c r="H3878" s="23" t="s">
        <v>58</v>
      </c>
    </row>
    <row r="3879" spans="1:8" ht="54.95" customHeight="1" x14ac:dyDescent="0.2">
      <c r="A3879" s="23" t="s">
        <v>1085</v>
      </c>
      <c r="B3879" s="23" t="s">
        <v>24</v>
      </c>
      <c r="C3879" s="23" t="s">
        <v>46</v>
      </c>
      <c r="D3879" s="23" t="s">
        <v>46</v>
      </c>
      <c r="E3879" s="23" t="s">
        <v>101</v>
      </c>
      <c r="F3879" s="15" t="s">
        <v>104</v>
      </c>
      <c r="G3879" s="15" t="s">
        <v>5173</v>
      </c>
      <c r="H3879" s="23" t="s">
        <v>58</v>
      </c>
    </row>
    <row r="3880" spans="1:8" ht="54.95" customHeight="1" x14ac:dyDescent="0.2">
      <c r="A3880" s="23" t="s">
        <v>1085</v>
      </c>
      <c r="B3880" s="23" t="s">
        <v>25</v>
      </c>
      <c r="C3880" s="23" t="s">
        <v>46</v>
      </c>
      <c r="D3880" s="23" t="s">
        <v>46</v>
      </c>
      <c r="E3880" s="23" t="s">
        <v>101</v>
      </c>
      <c r="F3880" s="15" t="s">
        <v>104</v>
      </c>
      <c r="G3880" s="15" t="s">
        <v>5173</v>
      </c>
      <c r="H3880" s="23" t="s">
        <v>58</v>
      </c>
    </row>
    <row r="3881" spans="1:8" ht="54.95" customHeight="1" x14ac:dyDescent="0.2">
      <c r="A3881" s="23" t="s">
        <v>1089</v>
      </c>
      <c r="B3881" s="23" t="s">
        <v>3</v>
      </c>
      <c r="C3881" s="23" t="s">
        <v>46</v>
      </c>
      <c r="D3881" s="23" t="s">
        <v>46</v>
      </c>
      <c r="E3881" s="23" t="s">
        <v>46</v>
      </c>
      <c r="F3881" s="15" t="s">
        <v>198</v>
      </c>
      <c r="G3881" s="15" t="s">
        <v>5173</v>
      </c>
      <c r="H3881" s="23" t="s">
        <v>58</v>
      </c>
    </row>
    <row r="3882" spans="1:8" ht="54.95" customHeight="1" x14ac:dyDescent="0.2">
      <c r="A3882" s="23" t="s">
        <v>1089</v>
      </c>
      <c r="B3882" s="23" t="s">
        <v>6</v>
      </c>
      <c r="C3882" s="23" t="s">
        <v>46</v>
      </c>
      <c r="D3882" s="23" t="s">
        <v>46</v>
      </c>
      <c r="E3882" s="23" t="s">
        <v>46</v>
      </c>
      <c r="F3882" s="15" t="s">
        <v>198</v>
      </c>
      <c r="G3882" s="15" t="s">
        <v>5173</v>
      </c>
      <c r="H3882" s="23" t="s">
        <v>58</v>
      </c>
    </row>
    <row r="3883" spans="1:8" ht="54.95" customHeight="1" x14ac:dyDescent="0.2">
      <c r="A3883" s="23" t="s">
        <v>1089</v>
      </c>
      <c r="B3883" s="23" t="s">
        <v>7</v>
      </c>
      <c r="C3883" s="23" t="s">
        <v>46</v>
      </c>
      <c r="D3883" s="23" t="s">
        <v>46</v>
      </c>
      <c r="E3883" s="23" t="s">
        <v>46</v>
      </c>
      <c r="F3883" s="15" t="s">
        <v>198</v>
      </c>
      <c r="G3883" s="15" t="s">
        <v>5173</v>
      </c>
      <c r="H3883" s="23" t="s">
        <v>58</v>
      </c>
    </row>
    <row r="3884" spans="1:8" ht="54.95" customHeight="1" x14ac:dyDescent="0.2">
      <c r="A3884" s="23" t="s">
        <v>1089</v>
      </c>
      <c r="B3884" s="23" t="s">
        <v>8</v>
      </c>
      <c r="C3884" s="23" t="s">
        <v>46</v>
      </c>
      <c r="D3884" s="23" t="s">
        <v>46</v>
      </c>
      <c r="E3884" s="23" t="s">
        <v>46</v>
      </c>
      <c r="F3884" s="15" t="s">
        <v>198</v>
      </c>
      <c r="G3884" s="15" t="s">
        <v>5173</v>
      </c>
      <c r="H3884" s="23" t="s">
        <v>58</v>
      </c>
    </row>
    <row r="3885" spans="1:8" ht="54.95" customHeight="1" x14ac:dyDescent="0.2">
      <c r="A3885" s="23" t="s">
        <v>1089</v>
      </c>
      <c r="B3885" s="23" t="s">
        <v>9</v>
      </c>
      <c r="C3885" s="23" t="s">
        <v>46</v>
      </c>
      <c r="D3885" s="23" t="s">
        <v>46</v>
      </c>
      <c r="E3885" s="23" t="s">
        <v>46</v>
      </c>
      <c r="F3885" s="15" t="s">
        <v>198</v>
      </c>
      <c r="G3885" s="15" t="s">
        <v>5173</v>
      </c>
      <c r="H3885" s="23" t="s">
        <v>58</v>
      </c>
    </row>
    <row r="3886" spans="1:8" ht="54.95" customHeight="1" x14ac:dyDescent="0.2">
      <c r="A3886" s="23" t="s">
        <v>1089</v>
      </c>
      <c r="B3886" s="23" t="s">
        <v>10</v>
      </c>
      <c r="C3886" s="23" t="s">
        <v>46</v>
      </c>
      <c r="D3886" s="23" t="s">
        <v>46</v>
      </c>
      <c r="E3886" s="23" t="s">
        <v>46</v>
      </c>
      <c r="F3886" s="15" t="s">
        <v>198</v>
      </c>
      <c r="G3886" s="15" t="s">
        <v>5173</v>
      </c>
      <c r="H3886" s="23" t="s">
        <v>58</v>
      </c>
    </row>
    <row r="3887" spans="1:8" ht="54.95" customHeight="1" x14ac:dyDescent="0.2">
      <c r="A3887" s="23" t="s">
        <v>1089</v>
      </c>
      <c r="B3887" s="23" t="s">
        <v>11</v>
      </c>
      <c r="C3887" s="23" t="s">
        <v>46</v>
      </c>
      <c r="D3887" s="23" t="s">
        <v>46</v>
      </c>
      <c r="E3887" s="23" t="s">
        <v>46</v>
      </c>
      <c r="F3887" s="15" t="s">
        <v>198</v>
      </c>
      <c r="G3887" s="15" t="s">
        <v>5173</v>
      </c>
      <c r="H3887" s="23" t="s">
        <v>58</v>
      </c>
    </row>
    <row r="3888" spans="1:8" ht="54.95" customHeight="1" x14ac:dyDescent="0.2">
      <c r="A3888" s="23" t="s">
        <v>1089</v>
      </c>
      <c r="B3888" s="23" t="s">
        <v>13</v>
      </c>
      <c r="C3888" s="23" t="s">
        <v>46</v>
      </c>
      <c r="D3888" s="23" t="s">
        <v>46</v>
      </c>
      <c r="E3888" s="23" t="s">
        <v>46</v>
      </c>
      <c r="F3888" s="15" t="s">
        <v>198</v>
      </c>
      <c r="G3888" s="15" t="s">
        <v>5173</v>
      </c>
      <c r="H3888" s="23" t="s">
        <v>58</v>
      </c>
    </row>
    <row r="3889" spans="1:8" ht="54.95" customHeight="1" x14ac:dyDescent="0.2">
      <c r="A3889" s="23" t="s">
        <v>1089</v>
      </c>
      <c r="B3889" s="23" t="s">
        <v>14</v>
      </c>
      <c r="C3889" s="23" t="s">
        <v>46</v>
      </c>
      <c r="D3889" s="23" t="s">
        <v>46</v>
      </c>
      <c r="E3889" s="23" t="s">
        <v>46</v>
      </c>
      <c r="F3889" s="15" t="s">
        <v>198</v>
      </c>
      <c r="G3889" s="15" t="s">
        <v>5173</v>
      </c>
      <c r="H3889" s="23" t="s">
        <v>58</v>
      </c>
    </row>
    <row r="3890" spans="1:8" ht="54.95" customHeight="1" x14ac:dyDescent="0.2">
      <c r="A3890" s="23" t="s">
        <v>1089</v>
      </c>
      <c r="B3890" s="23" t="s">
        <v>15</v>
      </c>
      <c r="C3890" s="23" t="s">
        <v>46</v>
      </c>
      <c r="D3890" s="23" t="s">
        <v>46</v>
      </c>
      <c r="E3890" s="23" t="s">
        <v>46</v>
      </c>
      <c r="F3890" s="15" t="s">
        <v>103</v>
      </c>
      <c r="G3890" s="15" t="s">
        <v>5173</v>
      </c>
      <c r="H3890" s="23" t="s">
        <v>58</v>
      </c>
    </row>
    <row r="3891" spans="1:8" ht="54.95" customHeight="1" x14ac:dyDescent="0.2">
      <c r="A3891" s="23" t="s">
        <v>1089</v>
      </c>
      <c r="B3891" s="23" t="s">
        <v>17</v>
      </c>
      <c r="C3891" s="23" t="s">
        <v>46</v>
      </c>
      <c r="D3891" s="23" t="s">
        <v>46</v>
      </c>
      <c r="E3891" s="23" t="s">
        <v>46</v>
      </c>
      <c r="F3891" s="15" t="s">
        <v>103</v>
      </c>
      <c r="G3891" s="15" t="s">
        <v>5173</v>
      </c>
      <c r="H3891" s="23" t="s">
        <v>58</v>
      </c>
    </row>
    <row r="3892" spans="1:8" ht="54.95" customHeight="1" x14ac:dyDescent="0.2">
      <c r="A3892" s="23" t="s">
        <v>1089</v>
      </c>
      <c r="B3892" s="23" t="s">
        <v>19</v>
      </c>
      <c r="C3892" s="23" t="s">
        <v>46</v>
      </c>
      <c r="D3892" s="23" t="s">
        <v>46</v>
      </c>
      <c r="E3892" s="23" t="s">
        <v>46</v>
      </c>
      <c r="F3892" s="15" t="s">
        <v>103</v>
      </c>
      <c r="G3892" s="15" t="s">
        <v>5173</v>
      </c>
      <c r="H3892" s="23" t="s">
        <v>58</v>
      </c>
    </row>
    <row r="3893" spans="1:8" ht="54.95" customHeight="1" x14ac:dyDescent="0.2">
      <c r="A3893" s="23" t="s">
        <v>1089</v>
      </c>
      <c r="B3893" s="23" t="s">
        <v>21</v>
      </c>
      <c r="C3893" s="23" t="s">
        <v>46</v>
      </c>
      <c r="D3893" s="23" t="s">
        <v>46</v>
      </c>
      <c r="E3893" s="23" t="s">
        <v>101</v>
      </c>
      <c r="F3893" s="15" t="s">
        <v>104</v>
      </c>
      <c r="G3893" s="15" t="s">
        <v>5173</v>
      </c>
      <c r="H3893" s="23" t="s">
        <v>58</v>
      </c>
    </row>
    <row r="3894" spans="1:8" ht="54.95" customHeight="1" x14ac:dyDescent="0.2">
      <c r="A3894" s="23" t="s">
        <v>1089</v>
      </c>
      <c r="B3894" s="23" t="s">
        <v>22</v>
      </c>
      <c r="C3894" s="23" t="s">
        <v>46</v>
      </c>
      <c r="D3894" s="23" t="s">
        <v>46</v>
      </c>
      <c r="E3894" s="23" t="s">
        <v>101</v>
      </c>
      <c r="F3894" s="15" t="s">
        <v>104</v>
      </c>
      <c r="G3894" s="15" t="s">
        <v>5173</v>
      </c>
      <c r="H3894" s="23" t="s">
        <v>58</v>
      </c>
    </row>
    <row r="3895" spans="1:8" ht="54.95" customHeight="1" x14ac:dyDescent="0.2">
      <c r="A3895" s="23" t="s">
        <v>1089</v>
      </c>
      <c r="B3895" s="23" t="s">
        <v>23</v>
      </c>
      <c r="C3895" s="23" t="s">
        <v>46</v>
      </c>
      <c r="D3895" s="23" t="s">
        <v>46</v>
      </c>
      <c r="E3895" s="23" t="s">
        <v>101</v>
      </c>
      <c r="F3895" s="15" t="s">
        <v>104</v>
      </c>
      <c r="G3895" s="15" t="s">
        <v>5173</v>
      </c>
      <c r="H3895" s="23" t="s">
        <v>58</v>
      </c>
    </row>
    <row r="3896" spans="1:8" ht="54.95" customHeight="1" x14ac:dyDescent="0.2">
      <c r="A3896" s="23" t="s">
        <v>1089</v>
      </c>
      <c r="B3896" s="23" t="s">
        <v>24</v>
      </c>
      <c r="C3896" s="23" t="s">
        <v>46</v>
      </c>
      <c r="D3896" s="23" t="s">
        <v>46</v>
      </c>
      <c r="E3896" s="23" t="s">
        <v>101</v>
      </c>
      <c r="F3896" s="15" t="s">
        <v>104</v>
      </c>
      <c r="G3896" s="15" t="s">
        <v>5173</v>
      </c>
      <c r="H3896" s="23" t="s">
        <v>58</v>
      </c>
    </row>
    <row r="3897" spans="1:8" ht="54.95" customHeight="1" x14ac:dyDescent="0.2">
      <c r="A3897" s="23" t="s">
        <v>1089</v>
      </c>
      <c r="B3897" s="23" t="s">
        <v>25</v>
      </c>
      <c r="C3897" s="23" t="s">
        <v>46</v>
      </c>
      <c r="D3897" s="23" t="s">
        <v>46</v>
      </c>
      <c r="E3897" s="23" t="s">
        <v>101</v>
      </c>
      <c r="F3897" s="15" t="s">
        <v>104</v>
      </c>
      <c r="G3897" s="15" t="s">
        <v>5173</v>
      </c>
      <c r="H3897" s="23" t="s">
        <v>58</v>
      </c>
    </row>
    <row r="3898" spans="1:8" ht="54.95" customHeight="1" x14ac:dyDescent="0.2">
      <c r="A3898" s="23" t="s">
        <v>1091</v>
      </c>
      <c r="B3898" s="23" t="s">
        <v>3</v>
      </c>
      <c r="C3898" s="23" t="s">
        <v>46</v>
      </c>
      <c r="D3898" s="23" t="s">
        <v>46</v>
      </c>
      <c r="E3898" s="23" t="s">
        <v>46</v>
      </c>
      <c r="F3898" s="15" t="s">
        <v>198</v>
      </c>
      <c r="G3898" s="15" t="s">
        <v>5173</v>
      </c>
      <c r="H3898" s="23" t="s">
        <v>58</v>
      </c>
    </row>
    <row r="3899" spans="1:8" ht="54.95" customHeight="1" x14ac:dyDescent="0.2">
      <c r="A3899" s="23" t="s">
        <v>1091</v>
      </c>
      <c r="B3899" s="23" t="s">
        <v>6</v>
      </c>
      <c r="C3899" s="23" t="s">
        <v>46</v>
      </c>
      <c r="D3899" s="23" t="s">
        <v>46</v>
      </c>
      <c r="E3899" s="23" t="s">
        <v>46</v>
      </c>
      <c r="F3899" s="15" t="s">
        <v>198</v>
      </c>
      <c r="G3899" s="15" t="s">
        <v>5173</v>
      </c>
      <c r="H3899" s="23" t="s">
        <v>58</v>
      </c>
    </row>
    <row r="3900" spans="1:8" ht="54.95" customHeight="1" x14ac:dyDescent="0.2">
      <c r="A3900" s="23" t="s">
        <v>1091</v>
      </c>
      <c r="B3900" s="23" t="s">
        <v>7</v>
      </c>
      <c r="C3900" s="23" t="s">
        <v>46</v>
      </c>
      <c r="D3900" s="23" t="s">
        <v>46</v>
      </c>
      <c r="E3900" s="23" t="s">
        <v>46</v>
      </c>
      <c r="F3900" s="15" t="s">
        <v>198</v>
      </c>
      <c r="G3900" s="15" t="s">
        <v>5173</v>
      </c>
      <c r="H3900" s="23" t="s">
        <v>58</v>
      </c>
    </row>
    <row r="3901" spans="1:8" ht="54.95" customHeight="1" x14ac:dyDescent="0.2">
      <c r="A3901" s="23" t="s">
        <v>1091</v>
      </c>
      <c r="B3901" s="23" t="s">
        <v>8</v>
      </c>
      <c r="C3901" s="23" t="s">
        <v>46</v>
      </c>
      <c r="D3901" s="23" t="s">
        <v>46</v>
      </c>
      <c r="E3901" s="23" t="s">
        <v>46</v>
      </c>
      <c r="F3901" s="15" t="s">
        <v>198</v>
      </c>
      <c r="G3901" s="15" t="s">
        <v>5173</v>
      </c>
      <c r="H3901" s="23" t="s">
        <v>58</v>
      </c>
    </row>
    <row r="3902" spans="1:8" ht="54.95" customHeight="1" x14ac:dyDescent="0.2">
      <c r="A3902" s="23" t="s">
        <v>1091</v>
      </c>
      <c r="B3902" s="23" t="s">
        <v>9</v>
      </c>
      <c r="C3902" s="23" t="s">
        <v>46</v>
      </c>
      <c r="D3902" s="23" t="s">
        <v>46</v>
      </c>
      <c r="E3902" s="23" t="s">
        <v>46</v>
      </c>
      <c r="F3902" s="15" t="s">
        <v>198</v>
      </c>
      <c r="G3902" s="15" t="s">
        <v>5173</v>
      </c>
      <c r="H3902" s="23" t="s">
        <v>58</v>
      </c>
    </row>
    <row r="3903" spans="1:8" ht="54.95" customHeight="1" x14ac:dyDescent="0.2">
      <c r="A3903" s="23" t="s">
        <v>1091</v>
      </c>
      <c r="B3903" s="23" t="s">
        <v>10</v>
      </c>
      <c r="C3903" s="23" t="s">
        <v>46</v>
      </c>
      <c r="D3903" s="23" t="s">
        <v>46</v>
      </c>
      <c r="E3903" s="23" t="s">
        <v>46</v>
      </c>
      <c r="F3903" s="15" t="s">
        <v>198</v>
      </c>
      <c r="G3903" s="15" t="s">
        <v>5173</v>
      </c>
      <c r="H3903" s="23" t="s">
        <v>58</v>
      </c>
    </row>
    <row r="3904" spans="1:8" ht="54.95" customHeight="1" x14ac:dyDescent="0.2">
      <c r="A3904" s="23" t="s">
        <v>1091</v>
      </c>
      <c r="B3904" s="23" t="s">
        <v>11</v>
      </c>
      <c r="C3904" s="23" t="s">
        <v>46</v>
      </c>
      <c r="D3904" s="23" t="s">
        <v>46</v>
      </c>
      <c r="E3904" s="23" t="s">
        <v>46</v>
      </c>
      <c r="F3904" s="15" t="s">
        <v>198</v>
      </c>
      <c r="G3904" s="15" t="s">
        <v>5173</v>
      </c>
      <c r="H3904" s="23" t="s">
        <v>58</v>
      </c>
    </row>
    <row r="3905" spans="1:8" ht="54.95" customHeight="1" x14ac:dyDescent="0.2">
      <c r="A3905" s="23" t="s">
        <v>1091</v>
      </c>
      <c r="B3905" s="23" t="s">
        <v>13</v>
      </c>
      <c r="C3905" s="23" t="s">
        <v>46</v>
      </c>
      <c r="D3905" s="23" t="s">
        <v>46</v>
      </c>
      <c r="E3905" s="23" t="s">
        <v>46</v>
      </c>
      <c r="F3905" s="15" t="s">
        <v>198</v>
      </c>
      <c r="G3905" s="15" t="s">
        <v>5173</v>
      </c>
      <c r="H3905" s="23" t="s">
        <v>58</v>
      </c>
    </row>
    <row r="3906" spans="1:8" ht="54.95" customHeight="1" x14ac:dyDescent="0.2">
      <c r="A3906" s="23" t="s">
        <v>1091</v>
      </c>
      <c r="B3906" s="23" t="s">
        <v>14</v>
      </c>
      <c r="C3906" s="23" t="s">
        <v>46</v>
      </c>
      <c r="D3906" s="23" t="s">
        <v>46</v>
      </c>
      <c r="E3906" s="23" t="s">
        <v>46</v>
      </c>
      <c r="F3906" s="15" t="s">
        <v>198</v>
      </c>
      <c r="G3906" s="15" t="s">
        <v>5173</v>
      </c>
      <c r="H3906" s="23" t="s">
        <v>58</v>
      </c>
    </row>
    <row r="3907" spans="1:8" ht="54.95" customHeight="1" x14ac:dyDescent="0.2">
      <c r="A3907" s="23" t="s">
        <v>1091</v>
      </c>
      <c r="B3907" s="23" t="s">
        <v>15</v>
      </c>
      <c r="C3907" s="23" t="s">
        <v>46</v>
      </c>
      <c r="D3907" s="23" t="s">
        <v>46</v>
      </c>
      <c r="E3907" s="23" t="s">
        <v>46</v>
      </c>
      <c r="F3907" s="15" t="s">
        <v>103</v>
      </c>
      <c r="G3907" s="15" t="s">
        <v>5173</v>
      </c>
      <c r="H3907" s="23" t="s">
        <v>58</v>
      </c>
    </row>
    <row r="3908" spans="1:8" ht="54.95" customHeight="1" x14ac:dyDescent="0.2">
      <c r="A3908" s="23" t="s">
        <v>1091</v>
      </c>
      <c r="B3908" s="23" t="s">
        <v>17</v>
      </c>
      <c r="C3908" s="23" t="s">
        <v>46</v>
      </c>
      <c r="D3908" s="23" t="s">
        <v>46</v>
      </c>
      <c r="E3908" s="23" t="s">
        <v>46</v>
      </c>
      <c r="F3908" s="15" t="s">
        <v>103</v>
      </c>
      <c r="G3908" s="15" t="s">
        <v>5173</v>
      </c>
      <c r="H3908" s="23" t="s">
        <v>58</v>
      </c>
    </row>
    <row r="3909" spans="1:8" ht="54.95" customHeight="1" x14ac:dyDescent="0.2">
      <c r="A3909" s="23" t="s">
        <v>1091</v>
      </c>
      <c r="B3909" s="23" t="s">
        <v>19</v>
      </c>
      <c r="C3909" s="23" t="s">
        <v>46</v>
      </c>
      <c r="D3909" s="23" t="s">
        <v>46</v>
      </c>
      <c r="E3909" s="23" t="s">
        <v>46</v>
      </c>
      <c r="F3909" s="15" t="s">
        <v>103</v>
      </c>
      <c r="G3909" s="15" t="s">
        <v>5173</v>
      </c>
      <c r="H3909" s="23" t="s">
        <v>58</v>
      </c>
    </row>
    <row r="3910" spans="1:8" ht="54.95" customHeight="1" x14ac:dyDescent="0.2">
      <c r="A3910" s="23" t="s">
        <v>1091</v>
      </c>
      <c r="B3910" s="23" t="s">
        <v>21</v>
      </c>
      <c r="C3910" s="23" t="s">
        <v>46</v>
      </c>
      <c r="D3910" s="23" t="s">
        <v>46</v>
      </c>
      <c r="E3910" s="23" t="s">
        <v>101</v>
      </c>
      <c r="F3910" s="15" t="s">
        <v>104</v>
      </c>
      <c r="G3910" s="15" t="s">
        <v>5173</v>
      </c>
      <c r="H3910" s="23" t="s">
        <v>58</v>
      </c>
    </row>
    <row r="3911" spans="1:8" ht="54.95" customHeight="1" x14ac:dyDescent="0.2">
      <c r="A3911" s="23" t="s">
        <v>1091</v>
      </c>
      <c r="B3911" s="23" t="s">
        <v>22</v>
      </c>
      <c r="C3911" s="23" t="s">
        <v>46</v>
      </c>
      <c r="D3911" s="23" t="s">
        <v>46</v>
      </c>
      <c r="E3911" s="23" t="s">
        <v>101</v>
      </c>
      <c r="F3911" s="15" t="s">
        <v>104</v>
      </c>
      <c r="G3911" s="15" t="s">
        <v>5173</v>
      </c>
      <c r="H3911" s="23" t="s">
        <v>58</v>
      </c>
    </row>
    <row r="3912" spans="1:8" ht="54.95" customHeight="1" x14ac:dyDescent="0.2">
      <c r="A3912" s="23" t="s">
        <v>1091</v>
      </c>
      <c r="B3912" s="23" t="s">
        <v>23</v>
      </c>
      <c r="C3912" s="23" t="s">
        <v>46</v>
      </c>
      <c r="D3912" s="23" t="s">
        <v>46</v>
      </c>
      <c r="E3912" s="23" t="s">
        <v>101</v>
      </c>
      <c r="F3912" s="15" t="s">
        <v>104</v>
      </c>
      <c r="G3912" s="15" t="s">
        <v>5173</v>
      </c>
      <c r="H3912" s="23" t="s">
        <v>58</v>
      </c>
    </row>
    <row r="3913" spans="1:8" ht="54.95" customHeight="1" x14ac:dyDescent="0.2">
      <c r="A3913" s="23" t="s">
        <v>1091</v>
      </c>
      <c r="B3913" s="23" t="s">
        <v>24</v>
      </c>
      <c r="C3913" s="23" t="s">
        <v>46</v>
      </c>
      <c r="D3913" s="23" t="s">
        <v>46</v>
      </c>
      <c r="E3913" s="23" t="s">
        <v>101</v>
      </c>
      <c r="F3913" s="15" t="s">
        <v>104</v>
      </c>
      <c r="G3913" s="15" t="s">
        <v>5173</v>
      </c>
      <c r="H3913" s="23" t="s">
        <v>58</v>
      </c>
    </row>
    <row r="3914" spans="1:8" ht="54.95" customHeight="1" x14ac:dyDescent="0.2">
      <c r="A3914" s="23" t="s">
        <v>1091</v>
      </c>
      <c r="B3914" s="23" t="s">
        <v>25</v>
      </c>
      <c r="C3914" s="23" t="s">
        <v>46</v>
      </c>
      <c r="D3914" s="23" t="s">
        <v>46</v>
      </c>
      <c r="E3914" s="23" t="s">
        <v>101</v>
      </c>
      <c r="F3914" s="15" t="s">
        <v>104</v>
      </c>
      <c r="G3914" s="15" t="s">
        <v>5173</v>
      </c>
      <c r="H3914" s="23" t="s">
        <v>58</v>
      </c>
    </row>
    <row r="3915" spans="1:8" ht="54.95" customHeight="1" x14ac:dyDescent="0.2">
      <c r="A3915" s="23" t="s">
        <v>1093</v>
      </c>
      <c r="B3915" s="23" t="s">
        <v>3</v>
      </c>
      <c r="C3915" s="23" t="s">
        <v>46</v>
      </c>
      <c r="D3915" s="23" t="s">
        <v>46</v>
      </c>
      <c r="E3915" s="23" t="s">
        <v>46</v>
      </c>
      <c r="F3915" s="15" t="s">
        <v>198</v>
      </c>
      <c r="G3915" s="15" t="s">
        <v>5173</v>
      </c>
      <c r="H3915" s="23" t="s">
        <v>58</v>
      </c>
    </row>
    <row r="3916" spans="1:8" ht="54.95" customHeight="1" x14ac:dyDescent="0.2">
      <c r="A3916" s="23" t="s">
        <v>1093</v>
      </c>
      <c r="B3916" s="23" t="s">
        <v>6</v>
      </c>
      <c r="C3916" s="23" t="s">
        <v>46</v>
      </c>
      <c r="D3916" s="23" t="s">
        <v>46</v>
      </c>
      <c r="E3916" s="23" t="s">
        <v>46</v>
      </c>
      <c r="F3916" s="15" t="s">
        <v>198</v>
      </c>
      <c r="G3916" s="15" t="s">
        <v>5173</v>
      </c>
      <c r="H3916" s="23" t="s">
        <v>58</v>
      </c>
    </row>
    <row r="3917" spans="1:8" ht="54.95" customHeight="1" x14ac:dyDescent="0.2">
      <c r="A3917" s="23" t="s">
        <v>1093</v>
      </c>
      <c r="B3917" s="23" t="s">
        <v>7</v>
      </c>
      <c r="C3917" s="23" t="s">
        <v>46</v>
      </c>
      <c r="D3917" s="23" t="s">
        <v>46</v>
      </c>
      <c r="E3917" s="23" t="s">
        <v>46</v>
      </c>
      <c r="F3917" s="15" t="s">
        <v>198</v>
      </c>
      <c r="G3917" s="15" t="s">
        <v>5173</v>
      </c>
      <c r="H3917" s="23" t="s">
        <v>58</v>
      </c>
    </row>
    <row r="3918" spans="1:8" ht="54.95" customHeight="1" x14ac:dyDescent="0.2">
      <c r="A3918" s="23" t="s">
        <v>1093</v>
      </c>
      <c r="B3918" s="23" t="s">
        <v>8</v>
      </c>
      <c r="C3918" s="23" t="s">
        <v>46</v>
      </c>
      <c r="D3918" s="23" t="s">
        <v>46</v>
      </c>
      <c r="E3918" s="23" t="s">
        <v>46</v>
      </c>
      <c r="F3918" s="15" t="s">
        <v>198</v>
      </c>
      <c r="G3918" s="15" t="s">
        <v>5173</v>
      </c>
      <c r="H3918" s="23" t="s">
        <v>58</v>
      </c>
    </row>
    <row r="3919" spans="1:8" ht="54.95" customHeight="1" x14ac:dyDescent="0.2">
      <c r="A3919" s="23" t="s">
        <v>1093</v>
      </c>
      <c r="B3919" s="23" t="s">
        <v>9</v>
      </c>
      <c r="C3919" s="23" t="s">
        <v>46</v>
      </c>
      <c r="D3919" s="23" t="s">
        <v>46</v>
      </c>
      <c r="E3919" s="23" t="s">
        <v>46</v>
      </c>
      <c r="F3919" s="15" t="s">
        <v>198</v>
      </c>
      <c r="G3919" s="15" t="s">
        <v>5173</v>
      </c>
      <c r="H3919" s="23" t="s">
        <v>58</v>
      </c>
    </row>
    <row r="3920" spans="1:8" ht="54.95" customHeight="1" x14ac:dyDescent="0.2">
      <c r="A3920" s="23" t="s">
        <v>1093</v>
      </c>
      <c r="B3920" s="23" t="s">
        <v>10</v>
      </c>
      <c r="C3920" s="23" t="s">
        <v>46</v>
      </c>
      <c r="D3920" s="23" t="s">
        <v>46</v>
      </c>
      <c r="E3920" s="23" t="s">
        <v>46</v>
      </c>
      <c r="F3920" s="15" t="s">
        <v>198</v>
      </c>
      <c r="G3920" s="15" t="s">
        <v>5173</v>
      </c>
      <c r="H3920" s="23" t="s">
        <v>58</v>
      </c>
    </row>
    <row r="3921" spans="1:8" ht="54.95" customHeight="1" x14ac:dyDescent="0.2">
      <c r="A3921" s="23" t="s">
        <v>1093</v>
      </c>
      <c r="B3921" s="23" t="s">
        <v>11</v>
      </c>
      <c r="C3921" s="23" t="s">
        <v>46</v>
      </c>
      <c r="D3921" s="23" t="s">
        <v>46</v>
      </c>
      <c r="E3921" s="23" t="s">
        <v>46</v>
      </c>
      <c r="F3921" s="15" t="s">
        <v>198</v>
      </c>
      <c r="G3921" s="15" t="s">
        <v>5173</v>
      </c>
      <c r="H3921" s="23" t="s">
        <v>58</v>
      </c>
    </row>
    <row r="3922" spans="1:8" ht="54.95" customHeight="1" x14ac:dyDescent="0.2">
      <c r="A3922" s="23" t="s">
        <v>1093</v>
      </c>
      <c r="B3922" s="23" t="s">
        <v>13</v>
      </c>
      <c r="C3922" s="23" t="s">
        <v>46</v>
      </c>
      <c r="D3922" s="23" t="s">
        <v>46</v>
      </c>
      <c r="E3922" s="23" t="s">
        <v>46</v>
      </c>
      <c r="F3922" s="15" t="s">
        <v>198</v>
      </c>
      <c r="G3922" s="15" t="s">
        <v>5173</v>
      </c>
      <c r="H3922" s="23" t="s">
        <v>58</v>
      </c>
    </row>
    <row r="3923" spans="1:8" ht="54.95" customHeight="1" x14ac:dyDescent="0.2">
      <c r="A3923" s="23" t="s">
        <v>1093</v>
      </c>
      <c r="B3923" s="23" t="s">
        <v>14</v>
      </c>
      <c r="C3923" s="23" t="s">
        <v>46</v>
      </c>
      <c r="D3923" s="23" t="s">
        <v>46</v>
      </c>
      <c r="E3923" s="23" t="s">
        <v>46</v>
      </c>
      <c r="F3923" s="15" t="s">
        <v>198</v>
      </c>
      <c r="G3923" s="15" t="s">
        <v>5173</v>
      </c>
      <c r="H3923" s="23" t="s">
        <v>58</v>
      </c>
    </row>
    <row r="3924" spans="1:8" ht="54.95" customHeight="1" x14ac:dyDescent="0.2">
      <c r="A3924" s="23" t="s">
        <v>1093</v>
      </c>
      <c r="B3924" s="23" t="s">
        <v>15</v>
      </c>
      <c r="C3924" s="23" t="s">
        <v>46</v>
      </c>
      <c r="D3924" s="23" t="s">
        <v>46</v>
      </c>
      <c r="E3924" s="23" t="s">
        <v>46</v>
      </c>
      <c r="F3924" s="15" t="s">
        <v>103</v>
      </c>
      <c r="G3924" s="15" t="s">
        <v>5173</v>
      </c>
      <c r="H3924" s="23" t="s">
        <v>58</v>
      </c>
    </row>
    <row r="3925" spans="1:8" ht="54.95" customHeight="1" x14ac:dyDescent="0.2">
      <c r="A3925" s="23" t="s">
        <v>1093</v>
      </c>
      <c r="B3925" s="23" t="s">
        <v>17</v>
      </c>
      <c r="C3925" s="23" t="s">
        <v>46</v>
      </c>
      <c r="D3925" s="23" t="s">
        <v>46</v>
      </c>
      <c r="E3925" s="23" t="s">
        <v>46</v>
      </c>
      <c r="F3925" s="15" t="s">
        <v>103</v>
      </c>
      <c r="G3925" s="15" t="s">
        <v>5173</v>
      </c>
      <c r="H3925" s="23" t="s">
        <v>58</v>
      </c>
    </row>
    <row r="3926" spans="1:8" ht="54.95" customHeight="1" x14ac:dyDescent="0.2">
      <c r="A3926" s="23" t="s">
        <v>1093</v>
      </c>
      <c r="B3926" s="23" t="s">
        <v>19</v>
      </c>
      <c r="C3926" s="23" t="s">
        <v>46</v>
      </c>
      <c r="D3926" s="23" t="s">
        <v>46</v>
      </c>
      <c r="E3926" s="23" t="s">
        <v>46</v>
      </c>
      <c r="F3926" s="15" t="s">
        <v>103</v>
      </c>
      <c r="G3926" s="15" t="s">
        <v>5173</v>
      </c>
      <c r="H3926" s="23" t="s">
        <v>58</v>
      </c>
    </row>
    <row r="3927" spans="1:8" ht="54.95" customHeight="1" x14ac:dyDescent="0.2">
      <c r="A3927" s="23" t="s">
        <v>1093</v>
      </c>
      <c r="B3927" s="23" t="s">
        <v>21</v>
      </c>
      <c r="C3927" s="23" t="s">
        <v>46</v>
      </c>
      <c r="D3927" s="23" t="s">
        <v>46</v>
      </c>
      <c r="E3927" s="23" t="s">
        <v>101</v>
      </c>
      <c r="F3927" s="15" t="s">
        <v>104</v>
      </c>
      <c r="G3927" s="15" t="s">
        <v>5173</v>
      </c>
      <c r="H3927" s="23" t="s">
        <v>58</v>
      </c>
    </row>
    <row r="3928" spans="1:8" ht="54.95" customHeight="1" x14ac:dyDescent="0.2">
      <c r="A3928" s="23" t="s">
        <v>1093</v>
      </c>
      <c r="B3928" s="23" t="s">
        <v>22</v>
      </c>
      <c r="C3928" s="23" t="s">
        <v>46</v>
      </c>
      <c r="D3928" s="23" t="s">
        <v>46</v>
      </c>
      <c r="E3928" s="23" t="s">
        <v>101</v>
      </c>
      <c r="F3928" s="15" t="s">
        <v>104</v>
      </c>
      <c r="G3928" s="15" t="s">
        <v>5173</v>
      </c>
      <c r="H3928" s="23" t="s">
        <v>58</v>
      </c>
    </row>
    <row r="3929" spans="1:8" ht="54.95" customHeight="1" x14ac:dyDescent="0.2">
      <c r="A3929" s="23" t="s">
        <v>1093</v>
      </c>
      <c r="B3929" s="23" t="s">
        <v>23</v>
      </c>
      <c r="C3929" s="23" t="s">
        <v>46</v>
      </c>
      <c r="D3929" s="23" t="s">
        <v>46</v>
      </c>
      <c r="E3929" s="23" t="s">
        <v>101</v>
      </c>
      <c r="F3929" s="15" t="s">
        <v>104</v>
      </c>
      <c r="G3929" s="15" t="s">
        <v>5173</v>
      </c>
      <c r="H3929" s="23" t="s">
        <v>58</v>
      </c>
    </row>
    <row r="3930" spans="1:8" ht="54.95" customHeight="1" x14ac:dyDescent="0.2">
      <c r="A3930" s="23" t="s">
        <v>1093</v>
      </c>
      <c r="B3930" s="23" t="s">
        <v>24</v>
      </c>
      <c r="C3930" s="23" t="s">
        <v>46</v>
      </c>
      <c r="D3930" s="23" t="s">
        <v>46</v>
      </c>
      <c r="E3930" s="23" t="s">
        <v>101</v>
      </c>
      <c r="F3930" s="15" t="s">
        <v>104</v>
      </c>
      <c r="G3930" s="15" t="s">
        <v>5173</v>
      </c>
      <c r="H3930" s="23" t="s">
        <v>58</v>
      </c>
    </row>
    <row r="3931" spans="1:8" ht="54.95" customHeight="1" x14ac:dyDescent="0.2">
      <c r="A3931" s="23" t="s">
        <v>1093</v>
      </c>
      <c r="B3931" s="23" t="s">
        <v>25</v>
      </c>
      <c r="C3931" s="23" t="s">
        <v>46</v>
      </c>
      <c r="D3931" s="23" t="s">
        <v>46</v>
      </c>
      <c r="E3931" s="23" t="s">
        <v>101</v>
      </c>
      <c r="F3931" s="15" t="s">
        <v>104</v>
      </c>
      <c r="G3931" s="15" t="s">
        <v>5173</v>
      </c>
      <c r="H3931" s="23" t="s">
        <v>58</v>
      </c>
    </row>
    <row r="3932" spans="1:8" ht="54.95" customHeight="1" x14ac:dyDescent="0.2">
      <c r="A3932" s="23" t="s">
        <v>1095</v>
      </c>
      <c r="B3932" s="23" t="s">
        <v>3</v>
      </c>
      <c r="C3932" s="23" t="s">
        <v>46</v>
      </c>
      <c r="D3932" s="23" t="s">
        <v>46</v>
      </c>
      <c r="E3932" s="23" t="s">
        <v>46</v>
      </c>
      <c r="F3932" s="15" t="s">
        <v>198</v>
      </c>
      <c r="G3932" s="15" t="s">
        <v>5173</v>
      </c>
      <c r="H3932" s="23" t="s">
        <v>58</v>
      </c>
    </row>
    <row r="3933" spans="1:8" ht="54.95" customHeight="1" x14ac:dyDescent="0.2">
      <c r="A3933" s="23" t="s">
        <v>1095</v>
      </c>
      <c r="B3933" s="23" t="s">
        <v>6</v>
      </c>
      <c r="C3933" s="23" t="s">
        <v>46</v>
      </c>
      <c r="D3933" s="23" t="s">
        <v>46</v>
      </c>
      <c r="E3933" s="23" t="s">
        <v>46</v>
      </c>
      <c r="F3933" s="15" t="s">
        <v>198</v>
      </c>
      <c r="G3933" s="15" t="s">
        <v>5173</v>
      </c>
      <c r="H3933" s="23" t="s">
        <v>58</v>
      </c>
    </row>
    <row r="3934" spans="1:8" ht="54.95" customHeight="1" x14ac:dyDescent="0.2">
      <c r="A3934" s="23" t="s">
        <v>1095</v>
      </c>
      <c r="B3934" s="23" t="s">
        <v>7</v>
      </c>
      <c r="C3934" s="23" t="s">
        <v>46</v>
      </c>
      <c r="D3934" s="23" t="s">
        <v>46</v>
      </c>
      <c r="E3934" s="23" t="s">
        <v>46</v>
      </c>
      <c r="F3934" s="15" t="s">
        <v>198</v>
      </c>
      <c r="G3934" s="15" t="s">
        <v>5173</v>
      </c>
      <c r="H3934" s="23" t="s">
        <v>58</v>
      </c>
    </row>
    <row r="3935" spans="1:8" ht="54.95" customHeight="1" x14ac:dyDescent="0.2">
      <c r="A3935" s="23" t="s">
        <v>1095</v>
      </c>
      <c r="B3935" s="23" t="s">
        <v>8</v>
      </c>
      <c r="C3935" s="23" t="s">
        <v>46</v>
      </c>
      <c r="D3935" s="23" t="s">
        <v>46</v>
      </c>
      <c r="E3935" s="23" t="s">
        <v>46</v>
      </c>
      <c r="F3935" s="15" t="s">
        <v>198</v>
      </c>
      <c r="G3935" s="15" t="s">
        <v>5173</v>
      </c>
      <c r="H3935" s="23" t="s">
        <v>58</v>
      </c>
    </row>
    <row r="3936" spans="1:8" ht="54.95" customHeight="1" x14ac:dyDescent="0.2">
      <c r="A3936" s="23" t="s">
        <v>1095</v>
      </c>
      <c r="B3936" s="23" t="s">
        <v>9</v>
      </c>
      <c r="C3936" s="23" t="s">
        <v>46</v>
      </c>
      <c r="D3936" s="23" t="s">
        <v>46</v>
      </c>
      <c r="E3936" s="23" t="s">
        <v>46</v>
      </c>
      <c r="F3936" s="15" t="s">
        <v>198</v>
      </c>
      <c r="G3936" s="15" t="s">
        <v>5173</v>
      </c>
      <c r="H3936" s="23" t="s">
        <v>58</v>
      </c>
    </row>
    <row r="3937" spans="1:8" ht="54.95" customHeight="1" x14ac:dyDescent="0.2">
      <c r="A3937" s="23" t="s">
        <v>1095</v>
      </c>
      <c r="B3937" s="23" t="s">
        <v>10</v>
      </c>
      <c r="C3937" s="23" t="s">
        <v>46</v>
      </c>
      <c r="D3937" s="23" t="s">
        <v>46</v>
      </c>
      <c r="E3937" s="23" t="s">
        <v>46</v>
      </c>
      <c r="F3937" s="15" t="s">
        <v>198</v>
      </c>
      <c r="G3937" s="15" t="s">
        <v>5173</v>
      </c>
      <c r="H3937" s="23" t="s">
        <v>58</v>
      </c>
    </row>
    <row r="3938" spans="1:8" ht="54.95" customHeight="1" x14ac:dyDescent="0.2">
      <c r="A3938" s="23" t="s">
        <v>1095</v>
      </c>
      <c r="B3938" s="23" t="s">
        <v>11</v>
      </c>
      <c r="C3938" s="23" t="s">
        <v>46</v>
      </c>
      <c r="D3938" s="23" t="s">
        <v>46</v>
      </c>
      <c r="E3938" s="23" t="s">
        <v>46</v>
      </c>
      <c r="F3938" s="15" t="s">
        <v>198</v>
      </c>
      <c r="G3938" s="15" t="s">
        <v>5173</v>
      </c>
      <c r="H3938" s="23" t="s">
        <v>58</v>
      </c>
    </row>
    <row r="3939" spans="1:8" ht="54.95" customHeight="1" x14ac:dyDescent="0.2">
      <c r="A3939" s="23" t="s">
        <v>1095</v>
      </c>
      <c r="B3939" s="23" t="s">
        <v>13</v>
      </c>
      <c r="C3939" s="23" t="s">
        <v>46</v>
      </c>
      <c r="D3939" s="23" t="s">
        <v>46</v>
      </c>
      <c r="E3939" s="23" t="s">
        <v>46</v>
      </c>
      <c r="F3939" s="15" t="s">
        <v>198</v>
      </c>
      <c r="G3939" s="15" t="s">
        <v>5173</v>
      </c>
      <c r="H3939" s="23" t="s">
        <v>58</v>
      </c>
    </row>
    <row r="3940" spans="1:8" ht="54.95" customHeight="1" x14ac:dyDescent="0.2">
      <c r="A3940" s="23" t="s">
        <v>1095</v>
      </c>
      <c r="B3940" s="23" t="s">
        <v>14</v>
      </c>
      <c r="C3940" s="23" t="s">
        <v>46</v>
      </c>
      <c r="D3940" s="23" t="s">
        <v>46</v>
      </c>
      <c r="E3940" s="23" t="s">
        <v>46</v>
      </c>
      <c r="F3940" s="15" t="s">
        <v>198</v>
      </c>
      <c r="G3940" s="15" t="s">
        <v>5173</v>
      </c>
      <c r="H3940" s="23" t="s">
        <v>58</v>
      </c>
    </row>
    <row r="3941" spans="1:8" ht="54.95" customHeight="1" x14ac:dyDescent="0.2">
      <c r="A3941" s="23" t="s">
        <v>1095</v>
      </c>
      <c r="B3941" s="23" t="s">
        <v>21</v>
      </c>
      <c r="C3941" s="23" t="s">
        <v>46</v>
      </c>
      <c r="D3941" s="23" t="s">
        <v>46</v>
      </c>
      <c r="E3941" s="23" t="s">
        <v>101</v>
      </c>
      <c r="F3941" s="15" t="s">
        <v>104</v>
      </c>
      <c r="G3941" s="15" t="s">
        <v>5173</v>
      </c>
      <c r="H3941" s="23" t="s">
        <v>58</v>
      </c>
    </row>
    <row r="3942" spans="1:8" ht="54.95" customHeight="1" x14ac:dyDescent="0.2">
      <c r="A3942" s="23" t="s">
        <v>1095</v>
      </c>
      <c r="B3942" s="23" t="s">
        <v>22</v>
      </c>
      <c r="C3942" s="23" t="s">
        <v>46</v>
      </c>
      <c r="D3942" s="23" t="s">
        <v>46</v>
      </c>
      <c r="E3942" s="23" t="s">
        <v>101</v>
      </c>
      <c r="F3942" s="15" t="s">
        <v>104</v>
      </c>
      <c r="G3942" s="15" t="s">
        <v>5173</v>
      </c>
      <c r="H3942" s="23" t="s">
        <v>58</v>
      </c>
    </row>
    <row r="3943" spans="1:8" ht="54.95" customHeight="1" x14ac:dyDescent="0.2">
      <c r="A3943" s="23" t="s">
        <v>1095</v>
      </c>
      <c r="B3943" s="23" t="s">
        <v>23</v>
      </c>
      <c r="C3943" s="23" t="s">
        <v>46</v>
      </c>
      <c r="D3943" s="23" t="s">
        <v>46</v>
      </c>
      <c r="E3943" s="23" t="s">
        <v>101</v>
      </c>
      <c r="F3943" s="15" t="s">
        <v>104</v>
      </c>
      <c r="G3943" s="15" t="s">
        <v>5173</v>
      </c>
      <c r="H3943" s="23" t="s">
        <v>58</v>
      </c>
    </row>
    <row r="3944" spans="1:8" ht="54.95" customHeight="1" x14ac:dyDescent="0.2">
      <c r="A3944" s="23" t="s">
        <v>1095</v>
      </c>
      <c r="B3944" s="23" t="s">
        <v>24</v>
      </c>
      <c r="C3944" s="23" t="s">
        <v>46</v>
      </c>
      <c r="D3944" s="23" t="s">
        <v>46</v>
      </c>
      <c r="E3944" s="23" t="s">
        <v>101</v>
      </c>
      <c r="F3944" s="15" t="s">
        <v>104</v>
      </c>
      <c r="G3944" s="15" t="s">
        <v>5173</v>
      </c>
      <c r="H3944" s="23" t="s">
        <v>58</v>
      </c>
    </row>
    <row r="3945" spans="1:8" ht="54.95" customHeight="1" x14ac:dyDescent="0.2">
      <c r="A3945" s="23" t="s">
        <v>1095</v>
      </c>
      <c r="B3945" s="23" t="s">
        <v>25</v>
      </c>
      <c r="C3945" s="23" t="s">
        <v>46</v>
      </c>
      <c r="D3945" s="23" t="s">
        <v>46</v>
      </c>
      <c r="E3945" s="23" t="s">
        <v>101</v>
      </c>
      <c r="F3945" s="15" t="s">
        <v>104</v>
      </c>
      <c r="G3945" s="15" t="s">
        <v>5173</v>
      </c>
      <c r="H3945" s="23" t="s">
        <v>58</v>
      </c>
    </row>
    <row r="3946" spans="1:8" ht="54.95" customHeight="1" x14ac:dyDescent="0.2">
      <c r="A3946" s="23" t="s">
        <v>1097</v>
      </c>
      <c r="B3946" s="23" t="s">
        <v>3</v>
      </c>
      <c r="C3946" s="23" t="s">
        <v>46</v>
      </c>
      <c r="D3946" s="23" t="s">
        <v>46</v>
      </c>
      <c r="E3946" s="23" t="s">
        <v>46</v>
      </c>
      <c r="F3946" s="15" t="s">
        <v>198</v>
      </c>
      <c r="G3946" s="15" t="s">
        <v>5173</v>
      </c>
      <c r="H3946" s="23" t="s">
        <v>58</v>
      </c>
    </row>
    <row r="3947" spans="1:8" ht="54.95" customHeight="1" x14ac:dyDescent="0.2">
      <c r="A3947" s="23" t="s">
        <v>1097</v>
      </c>
      <c r="B3947" s="23" t="s">
        <v>6</v>
      </c>
      <c r="C3947" s="23" t="s">
        <v>46</v>
      </c>
      <c r="D3947" s="23" t="s">
        <v>46</v>
      </c>
      <c r="E3947" s="23" t="s">
        <v>46</v>
      </c>
      <c r="F3947" s="15" t="s">
        <v>198</v>
      </c>
      <c r="G3947" s="15" t="s">
        <v>5173</v>
      </c>
      <c r="H3947" s="23" t="s">
        <v>58</v>
      </c>
    </row>
    <row r="3948" spans="1:8" ht="54.95" customHeight="1" x14ac:dyDescent="0.2">
      <c r="A3948" s="23" t="s">
        <v>1097</v>
      </c>
      <c r="B3948" s="23" t="s">
        <v>7</v>
      </c>
      <c r="C3948" s="23" t="s">
        <v>46</v>
      </c>
      <c r="D3948" s="23" t="s">
        <v>46</v>
      </c>
      <c r="E3948" s="23" t="s">
        <v>46</v>
      </c>
      <c r="F3948" s="15" t="s">
        <v>198</v>
      </c>
      <c r="G3948" s="15" t="s">
        <v>5173</v>
      </c>
      <c r="H3948" s="23" t="s">
        <v>58</v>
      </c>
    </row>
    <row r="3949" spans="1:8" ht="54.95" customHeight="1" x14ac:dyDescent="0.2">
      <c r="A3949" s="23" t="s">
        <v>1097</v>
      </c>
      <c r="B3949" s="23" t="s">
        <v>8</v>
      </c>
      <c r="C3949" s="23" t="s">
        <v>46</v>
      </c>
      <c r="D3949" s="23" t="s">
        <v>46</v>
      </c>
      <c r="E3949" s="23" t="s">
        <v>46</v>
      </c>
      <c r="F3949" s="15" t="s">
        <v>198</v>
      </c>
      <c r="G3949" s="15" t="s">
        <v>5173</v>
      </c>
      <c r="H3949" s="23" t="s">
        <v>58</v>
      </c>
    </row>
    <row r="3950" spans="1:8" ht="54.95" customHeight="1" x14ac:dyDescent="0.2">
      <c r="A3950" s="23" t="s">
        <v>1097</v>
      </c>
      <c r="B3950" s="23" t="s">
        <v>9</v>
      </c>
      <c r="C3950" s="23" t="s">
        <v>46</v>
      </c>
      <c r="D3950" s="23" t="s">
        <v>46</v>
      </c>
      <c r="E3950" s="23" t="s">
        <v>46</v>
      </c>
      <c r="F3950" s="15" t="s">
        <v>198</v>
      </c>
      <c r="G3950" s="15" t="s">
        <v>5173</v>
      </c>
      <c r="H3950" s="23" t="s">
        <v>58</v>
      </c>
    </row>
    <row r="3951" spans="1:8" ht="54.95" customHeight="1" x14ac:dyDescent="0.2">
      <c r="A3951" s="23" t="s">
        <v>1097</v>
      </c>
      <c r="B3951" s="23" t="s">
        <v>10</v>
      </c>
      <c r="C3951" s="23" t="s">
        <v>46</v>
      </c>
      <c r="D3951" s="23" t="s">
        <v>46</v>
      </c>
      <c r="E3951" s="23" t="s">
        <v>46</v>
      </c>
      <c r="F3951" s="15" t="s">
        <v>198</v>
      </c>
      <c r="G3951" s="15" t="s">
        <v>5173</v>
      </c>
      <c r="H3951" s="23" t="s">
        <v>58</v>
      </c>
    </row>
    <row r="3952" spans="1:8" ht="54.95" customHeight="1" x14ac:dyDescent="0.2">
      <c r="A3952" s="23" t="s">
        <v>1097</v>
      </c>
      <c r="B3952" s="23" t="s">
        <v>11</v>
      </c>
      <c r="C3952" s="23" t="s">
        <v>46</v>
      </c>
      <c r="D3952" s="23" t="s">
        <v>46</v>
      </c>
      <c r="E3952" s="23" t="s">
        <v>46</v>
      </c>
      <c r="F3952" s="15" t="s">
        <v>198</v>
      </c>
      <c r="G3952" s="15" t="s">
        <v>5173</v>
      </c>
      <c r="H3952" s="23" t="s">
        <v>58</v>
      </c>
    </row>
    <row r="3953" spans="1:8" ht="54.95" customHeight="1" x14ac:dyDescent="0.2">
      <c r="A3953" s="23" t="s">
        <v>1097</v>
      </c>
      <c r="B3953" s="23" t="s">
        <v>13</v>
      </c>
      <c r="C3953" s="23" t="s">
        <v>46</v>
      </c>
      <c r="D3953" s="23" t="s">
        <v>46</v>
      </c>
      <c r="E3953" s="23" t="s">
        <v>46</v>
      </c>
      <c r="F3953" s="15" t="s">
        <v>198</v>
      </c>
      <c r="G3953" s="15" t="s">
        <v>5173</v>
      </c>
      <c r="H3953" s="23" t="s">
        <v>58</v>
      </c>
    </row>
    <row r="3954" spans="1:8" ht="54.95" customHeight="1" x14ac:dyDescent="0.2">
      <c r="A3954" s="23" t="s">
        <v>1097</v>
      </c>
      <c r="B3954" s="23" t="s">
        <v>14</v>
      </c>
      <c r="C3954" s="23" t="s">
        <v>46</v>
      </c>
      <c r="D3954" s="23" t="s">
        <v>46</v>
      </c>
      <c r="E3954" s="23" t="s">
        <v>46</v>
      </c>
      <c r="F3954" s="15" t="s">
        <v>198</v>
      </c>
      <c r="G3954" s="15" t="s">
        <v>5173</v>
      </c>
      <c r="H3954" s="23" t="s">
        <v>58</v>
      </c>
    </row>
    <row r="3955" spans="1:8" ht="54.95" customHeight="1" x14ac:dyDescent="0.2">
      <c r="A3955" s="23" t="s">
        <v>1097</v>
      </c>
      <c r="B3955" s="23" t="s">
        <v>15</v>
      </c>
      <c r="C3955" s="23" t="s">
        <v>46</v>
      </c>
      <c r="D3955" s="23" t="s">
        <v>46</v>
      </c>
      <c r="E3955" s="23" t="s">
        <v>46</v>
      </c>
      <c r="F3955" s="15" t="s">
        <v>103</v>
      </c>
      <c r="G3955" s="15" t="s">
        <v>5173</v>
      </c>
      <c r="H3955" s="23" t="s">
        <v>58</v>
      </c>
    </row>
    <row r="3956" spans="1:8" ht="54.95" customHeight="1" x14ac:dyDescent="0.2">
      <c r="A3956" s="23" t="s">
        <v>1097</v>
      </c>
      <c r="B3956" s="23" t="s">
        <v>17</v>
      </c>
      <c r="C3956" s="23" t="s">
        <v>46</v>
      </c>
      <c r="D3956" s="23" t="s">
        <v>46</v>
      </c>
      <c r="E3956" s="23" t="s">
        <v>46</v>
      </c>
      <c r="F3956" s="15" t="s">
        <v>103</v>
      </c>
      <c r="G3956" s="15" t="s">
        <v>5173</v>
      </c>
      <c r="H3956" s="23" t="s">
        <v>58</v>
      </c>
    </row>
    <row r="3957" spans="1:8" ht="54.95" customHeight="1" x14ac:dyDescent="0.2">
      <c r="A3957" s="23" t="s">
        <v>1097</v>
      </c>
      <c r="B3957" s="23" t="s">
        <v>19</v>
      </c>
      <c r="C3957" s="23" t="s">
        <v>46</v>
      </c>
      <c r="D3957" s="23" t="s">
        <v>46</v>
      </c>
      <c r="E3957" s="23" t="s">
        <v>46</v>
      </c>
      <c r="F3957" s="15" t="s">
        <v>103</v>
      </c>
      <c r="G3957" s="15" t="s">
        <v>5173</v>
      </c>
      <c r="H3957" s="23" t="s">
        <v>58</v>
      </c>
    </row>
    <row r="3958" spans="1:8" ht="54.95" customHeight="1" x14ac:dyDescent="0.2">
      <c r="A3958" s="23" t="s">
        <v>1097</v>
      </c>
      <c r="B3958" s="23" t="s">
        <v>21</v>
      </c>
      <c r="C3958" s="23" t="s">
        <v>46</v>
      </c>
      <c r="D3958" s="23" t="s">
        <v>46</v>
      </c>
      <c r="E3958" s="23" t="s">
        <v>101</v>
      </c>
      <c r="F3958" s="15" t="s">
        <v>104</v>
      </c>
      <c r="G3958" s="15" t="s">
        <v>5173</v>
      </c>
      <c r="H3958" s="23" t="s">
        <v>58</v>
      </c>
    </row>
    <row r="3959" spans="1:8" ht="54.95" customHeight="1" x14ac:dyDescent="0.2">
      <c r="A3959" s="23" t="s">
        <v>1097</v>
      </c>
      <c r="B3959" s="23" t="s">
        <v>22</v>
      </c>
      <c r="C3959" s="23" t="s">
        <v>46</v>
      </c>
      <c r="D3959" s="23" t="s">
        <v>46</v>
      </c>
      <c r="E3959" s="23" t="s">
        <v>101</v>
      </c>
      <c r="F3959" s="15" t="s">
        <v>104</v>
      </c>
      <c r="G3959" s="15" t="s">
        <v>5173</v>
      </c>
      <c r="H3959" s="23" t="s">
        <v>58</v>
      </c>
    </row>
    <row r="3960" spans="1:8" ht="54.95" customHeight="1" x14ac:dyDescent="0.2">
      <c r="A3960" s="23" t="s">
        <v>1097</v>
      </c>
      <c r="B3960" s="23" t="s">
        <v>23</v>
      </c>
      <c r="C3960" s="23" t="s">
        <v>46</v>
      </c>
      <c r="D3960" s="23" t="s">
        <v>46</v>
      </c>
      <c r="E3960" s="23" t="s">
        <v>101</v>
      </c>
      <c r="F3960" s="15" t="s">
        <v>104</v>
      </c>
      <c r="G3960" s="15" t="s">
        <v>5173</v>
      </c>
      <c r="H3960" s="23" t="s">
        <v>58</v>
      </c>
    </row>
    <row r="3961" spans="1:8" ht="54.95" customHeight="1" x14ac:dyDescent="0.2">
      <c r="A3961" s="23" t="s">
        <v>1097</v>
      </c>
      <c r="B3961" s="23" t="s">
        <v>24</v>
      </c>
      <c r="C3961" s="23" t="s">
        <v>46</v>
      </c>
      <c r="D3961" s="23" t="s">
        <v>46</v>
      </c>
      <c r="E3961" s="23" t="s">
        <v>101</v>
      </c>
      <c r="F3961" s="15" t="s">
        <v>104</v>
      </c>
      <c r="G3961" s="15" t="s">
        <v>5173</v>
      </c>
      <c r="H3961" s="23" t="s">
        <v>58</v>
      </c>
    </row>
    <row r="3962" spans="1:8" ht="54.95" customHeight="1" x14ac:dyDescent="0.2">
      <c r="A3962" s="23" t="s">
        <v>1097</v>
      </c>
      <c r="B3962" s="23" t="s">
        <v>25</v>
      </c>
      <c r="C3962" s="23" t="s">
        <v>46</v>
      </c>
      <c r="D3962" s="23" t="s">
        <v>46</v>
      </c>
      <c r="E3962" s="23" t="s">
        <v>101</v>
      </c>
      <c r="F3962" s="15" t="s">
        <v>104</v>
      </c>
      <c r="G3962" s="15" t="s">
        <v>5173</v>
      </c>
      <c r="H3962" s="23" t="s">
        <v>58</v>
      </c>
    </row>
    <row r="3963" spans="1:8" ht="54.95" customHeight="1" x14ac:dyDescent="0.2">
      <c r="A3963" s="23" t="s">
        <v>1099</v>
      </c>
      <c r="B3963" s="23" t="s">
        <v>3</v>
      </c>
      <c r="C3963" s="23" t="s">
        <v>46</v>
      </c>
      <c r="D3963" s="23" t="s">
        <v>46</v>
      </c>
      <c r="E3963" s="23" t="s">
        <v>46</v>
      </c>
      <c r="F3963" s="15" t="s">
        <v>198</v>
      </c>
      <c r="G3963" s="15" t="s">
        <v>5173</v>
      </c>
      <c r="H3963" s="23" t="s">
        <v>58</v>
      </c>
    </row>
    <row r="3964" spans="1:8" ht="54.95" customHeight="1" x14ac:dyDescent="0.2">
      <c r="A3964" s="23" t="s">
        <v>1099</v>
      </c>
      <c r="B3964" s="23" t="s">
        <v>6</v>
      </c>
      <c r="C3964" s="23" t="s">
        <v>46</v>
      </c>
      <c r="D3964" s="23" t="s">
        <v>46</v>
      </c>
      <c r="E3964" s="23" t="s">
        <v>46</v>
      </c>
      <c r="F3964" s="15" t="s">
        <v>198</v>
      </c>
      <c r="G3964" s="15" t="s">
        <v>5173</v>
      </c>
      <c r="H3964" s="23" t="s">
        <v>58</v>
      </c>
    </row>
    <row r="3965" spans="1:8" ht="54.95" customHeight="1" x14ac:dyDescent="0.2">
      <c r="A3965" s="23" t="s">
        <v>1099</v>
      </c>
      <c r="B3965" s="23" t="s">
        <v>7</v>
      </c>
      <c r="C3965" s="23" t="s">
        <v>46</v>
      </c>
      <c r="D3965" s="23" t="s">
        <v>46</v>
      </c>
      <c r="E3965" s="23" t="s">
        <v>46</v>
      </c>
      <c r="F3965" s="15" t="s">
        <v>198</v>
      </c>
      <c r="G3965" s="15" t="s">
        <v>5173</v>
      </c>
      <c r="H3965" s="23" t="s">
        <v>58</v>
      </c>
    </row>
    <row r="3966" spans="1:8" ht="54.95" customHeight="1" x14ac:dyDescent="0.2">
      <c r="A3966" s="23" t="s">
        <v>1099</v>
      </c>
      <c r="B3966" s="23" t="s">
        <v>8</v>
      </c>
      <c r="C3966" s="23" t="s">
        <v>46</v>
      </c>
      <c r="D3966" s="23" t="s">
        <v>46</v>
      </c>
      <c r="E3966" s="23" t="s">
        <v>46</v>
      </c>
      <c r="F3966" s="15" t="s">
        <v>198</v>
      </c>
      <c r="G3966" s="15" t="s">
        <v>5173</v>
      </c>
      <c r="H3966" s="23" t="s">
        <v>58</v>
      </c>
    </row>
    <row r="3967" spans="1:8" ht="54.95" customHeight="1" x14ac:dyDescent="0.2">
      <c r="A3967" s="23" t="s">
        <v>1099</v>
      </c>
      <c r="B3967" s="23" t="s">
        <v>9</v>
      </c>
      <c r="C3967" s="23" t="s">
        <v>46</v>
      </c>
      <c r="D3967" s="23" t="s">
        <v>46</v>
      </c>
      <c r="E3967" s="23" t="s">
        <v>46</v>
      </c>
      <c r="F3967" s="15" t="s">
        <v>198</v>
      </c>
      <c r="G3967" s="15" t="s">
        <v>5173</v>
      </c>
      <c r="H3967" s="23" t="s">
        <v>58</v>
      </c>
    </row>
    <row r="3968" spans="1:8" ht="54.95" customHeight="1" x14ac:dyDescent="0.2">
      <c r="A3968" s="23" t="s">
        <v>1099</v>
      </c>
      <c r="B3968" s="23" t="s">
        <v>10</v>
      </c>
      <c r="C3968" s="23" t="s">
        <v>46</v>
      </c>
      <c r="D3968" s="23" t="s">
        <v>46</v>
      </c>
      <c r="E3968" s="23" t="s">
        <v>46</v>
      </c>
      <c r="F3968" s="15" t="s">
        <v>198</v>
      </c>
      <c r="G3968" s="15" t="s">
        <v>5173</v>
      </c>
      <c r="H3968" s="23" t="s">
        <v>58</v>
      </c>
    </row>
    <row r="3969" spans="1:8" ht="54.95" customHeight="1" x14ac:dyDescent="0.2">
      <c r="A3969" s="23" t="s">
        <v>1099</v>
      </c>
      <c r="B3969" s="23" t="s">
        <v>11</v>
      </c>
      <c r="C3969" s="23" t="s">
        <v>46</v>
      </c>
      <c r="D3969" s="23" t="s">
        <v>46</v>
      </c>
      <c r="E3969" s="23" t="s">
        <v>46</v>
      </c>
      <c r="F3969" s="15" t="s">
        <v>198</v>
      </c>
      <c r="G3969" s="15" t="s">
        <v>5173</v>
      </c>
      <c r="H3969" s="23" t="s">
        <v>58</v>
      </c>
    </row>
    <row r="3970" spans="1:8" ht="54.95" customHeight="1" x14ac:dyDescent="0.2">
      <c r="A3970" s="23" t="s">
        <v>1099</v>
      </c>
      <c r="B3970" s="23" t="s">
        <v>13</v>
      </c>
      <c r="C3970" s="23" t="s">
        <v>46</v>
      </c>
      <c r="D3970" s="23" t="s">
        <v>46</v>
      </c>
      <c r="E3970" s="23" t="s">
        <v>46</v>
      </c>
      <c r="F3970" s="15" t="s">
        <v>198</v>
      </c>
      <c r="G3970" s="15" t="s">
        <v>5173</v>
      </c>
      <c r="H3970" s="23" t="s">
        <v>58</v>
      </c>
    </row>
    <row r="3971" spans="1:8" ht="54.95" customHeight="1" x14ac:dyDescent="0.2">
      <c r="A3971" s="23" t="s">
        <v>1099</v>
      </c>
      <c r="B3971" s="23" t="s">
        <v>14</v>
      </c>
      <c r="C3971" s="23" t="s">
        <v>46</v>
      </c>
      <c r="D3971" s="23" t="s">
        <v>46</v>
      </c>
      <c r="E3971" s="23" t="s">
        <v>46</v>
      </c>
      <c r="F3971" s="15" t="s">
        <v>198</v>
      </c>
      <c r="G3971" s="15" t="s">
        <v>5173</v>
      </c>
      <c r="H3971" s="23" t="s">
        <v>58</v>
      </c>
    </row>
    <row r="3972" spans="1:8" ht="54.95" customHeight="1" x14ac:dyDescent="0.2">
      <c r="A3972" s="23" t="s">
        <v>1099</v>
      </c>
      <c r="B3972" s="23" t="s">
        <v>15</v>
      </c>
      <c r="C3972" s="23" t="s">
        <v>46</v>
      </c>
      <c r="D3972" s="23" t="s">
        <v>46</v>
      </c>
      <c r="E3972" s="23" t="s">
        <v>46</v>
      </c>
      <c r="F3972" s="15" t="s">
        <v>103</v>
      </c>
      <c r="G3972" s="15" t="s">
        <v>5173</v>
      </c>
      <c r="H3972" s="23" t="s">
        <v>58</v>
      </c>
    </row>
    <row r="3973" spans="1:8" ht="54.95" customHeight="1" x14ac:dyDescent="0.2">
      <c r="A3973" s="23" t="s">
        <v>1099</v>
      </c>
      <c r="B3973" s="23" t="s">
        <v>17</v>
      </c>
      <c r="C3973" s="23" t="s">
        <v>46</v>
      </c>
      <c r="D3973" s="23" t="s">
        <v>46</v>
      </c>
      <c r="E3973" s="23" t="s">
        <v>46</v>
      </c>
      <c r="F3973" s="15" t="s">
        <v>103</v>
      </c>
      <c r="G3973" s="15" t="s">
        <v>5173</v>
      </c>
      <c r="H3973" s="23" t="s">
        <v>58</v>
      </c>
    </row>
    <row r="3974" spans="1:8" ht="54.95" customHeight="1" x14ac:dyDescent="0.2">
      <c r="A3974" s="23" t="s">
        <v>1099</v>
      </c>
      <c r="B3974" s="23" t="s">
        <v>19</v>
      </c>
      <c r="C3974" s="23" t="s">
        <v>46</v>
      </c>
      <c r="D3974" s="23" t="s">
        <v>46</v>
      </c>
      <c r="E3974" s="23" t="s">
        <v>46</v>
      </c>
      <c r="F3974" s="15" t="s">
        <v>103</v>
      </c>
      <c r="G3974" s="15" t="s">
        <v>5173</v>
      </c>
      <c r="H3974" s="23" t="s">
        <v>58</v>
      </c>
    </row>
    <row r="3975" spans="1:8" ht="54.95" customHeight="1" x14ac:dyDescent="0.2">
      <c r="A3975" s="23" t="s">
        <v>1099</v>
      </c>
      <c r="B3975" s="23" t="s">
        <v>21</v>
      </c>
      <c r="C3975" s="23" t="s">
        <v>46</v>
      </c>
      <c r="D3975" s="23" t="s">
        <v>46</v>
      </c>
      <c r="E3975" s="23" t="s">
        <v>101</v>
      </c>
      <c r="F3975" s="15" t="s">
        <v>104</v>
      </c>
      <c r="G3975" s="15" t="s">
        <v>5173</v>
      </c>
      <c r="H3975" s="23" t="s">
        <v>58</v>
      </c>
    </row>
    <row r="3976" spans="1:8" ht="54.95" customHeight="1" x14ac:dyDescent="0.2">
      <c r="A3976" s="23" t="s">
        <v>1099</v>
      </c>
      <c r="B3976" s="23" t="s">
        <v>22</v>
      </c>
      <c r="C3976" s="23" t="s">
        <v>46</v>
      </c>
      <c r="D3976" s="23" t="s">
        <v>46</v>
      </c>
      <c r="E3976" s="23" t="s">
        <v>101</v>
      </c>
      <c r="F3976" s="15" t="s">
        <v>104</v>
      </c>
      <c r="G3976" s="15" t="s">
        <v>5173</v>
      </c>
      <c r="H3976" s="23" t="s">
        <v>58</v>
      </c>
    </row>
    <row r="3977" spans="1:8" ht="54.95" customHeight="1" x14ac:dyDescent="0.2">
      <c r="A3977" s="23" t="s">
        <v>1099</v>
      </c>
      <c r="B3977" s="23" t="s">
        <v>23</v>
      </c>
      <c r="C3977" s="23" t="s">
        <v>46</v>
      </c>
      <c r="D3977" s="23" t="s">
        <v>46</v>
      </c>
      <c r="E3977" s="23" t="s">
        <v>101</v>
      </c>
      <c r="F3977" s="15" t="s">
        <v>104</v>
      </c>
      <c r="G3977" s="15" t="s">
        <v>5173</v>
      </c>
      <c r="H3977" s="23" t="s">
        <v>58</v>
      </c>
    </row>
    <row r="3978" spans="1:8" ht="54.95" customHeight="1" x14ac:dyDescent="0.2">
      <c r="A3978" s="23" t="s">
        <v>1099</v>
      </c>
      <c r="B3978" s="23" t="s">
        <v>24</v>
      </c>
      <c r="C3978" s="23" t="s">
        <v>46</v>
      </c>
      <c r="D3978" s="23" t="s">
        <v>46</v>
      </c>
      <c r="E3978" s="23" t="s">
        <v>101</v>
      </c>
      <c r="F3978" s="15" t="s">
        <v>104</v>
      </c>
      <c r="G3978" s="15" t="s">
        <v>5173</v>
      </c>
      <c r="H3978" s="23" t="s">
        <v>58</v>
      </c>
    </row>
    <row r="3979" spans="1:8" ht="54.95" customHeight="1" x14ac:dyDescent="0.2">
      <c r="A3979" s="23" t="s">
        <v>1099</v>
      </c>
      <c r="B3979" s="23" t="s">
        <v>25</v>
      </c>
      <c r="C3979" s="23" t="s">
        <v>46</v>
      </c>
      <c r="D3979" s="23" t="s">
        <v>46</v>
      </c>
      <c r="E3979" s="23" t="s">
        <v>101</v>
      </c>
      <c r="F3979" s="15" t="s">
        <v>104</v>
      </c>
      <c r="G3979" s="15" t="s">
        <v>5173</v>
      </c>
      <c r="H3979" s="23" t="s">
        <v>58</v>
      </c>
    </row>
    <row r="3980" spans="1:8" ht="54.95" customHeight="1" x14ac:dyDescent="0.2">
      <c r="A3980" s="23" t="s">
        <v>1101</v>
      </c>
      <c r="B3980" s="23" t="s">
        <v>3</v>
      </c>
      <c r="C3980" s="23" t="s">
        <v>46</v>
      </c>
      <c r="D3980" s="23" t="s">
        <v>46</v>
      </c>
      <c r="E3980" s="23" t="s">
        <v>46</v>
      </c>
      <c r="F3980" s="15" t="s">
        <v>198</v>
      </c>
      <c r="G3980" s="15" t="s">
        <v>5173</v>
      </c>
      <c r="H3980" s="23" t="s">
        <v>58</v>
      </c>
    </row>
    <row r="3981" spans="1:8" ht="54.95" customHeight="1" x14ac:dyDescent="0.2">
      <c r="A3981" s="23" t="s">
        <v>1101</v>
      </c>
      <c r="B3981" s="23" t="s">
        <v>6</v>
      </c>
      <c r="C3981" s="23" t="s">
        <v>46</v>
      </c>
      <c r="D3981" s="23" t="s">
        <v>46</v>
      </c>
      <c r="E3981" s="23" t="s">
        <v>46</v>
      </c>
      <c r="F3981" s="15" t="s">
        <v>198</v>
      </c>
      <c r="G3981" s="15" t="s">
        <v>5173</v>
      </c>
      <c r="H3981" s="23" t="s">
        <v>58</v>
      </c>
    </row>
    <row r="3982" spans="1:8" ht="54.95" customHeight="1" x14ac:dyDescent="0.2">
      <c r="A3982" s="23" t="s">
        <v>1101</v>
      </c>
      <c r="B3982" s="23" t="s">
        <v>7</v>
      </c>
      <c r="C3982" s="23" t="s">
        <v>46</v>
      </c>
      <c r="D3982" s="23" t="s">
        <v>46</v>
      </c>
      <c r="E3982" s="23" t="s">
        <v>46</v>
      </c>
      <c r="F3982" s="15" t="s">
        <v>198</v>
      </c>
      <c r="G3982" s="15" t="s">
        <v>5173</v>
      </c>
      <c r="H3982" s="23" t="s">
        <v>58</v>
      </c>
    </row>
    <row r="3983" spans="1:8" ht="54.95" customHeight="1" x14ac:dyDescent="0.2">
      <c r="A3983" s="23" t="s">
        <v>1101</v>
      </c>
      <c r="B3983" s="23" t="s">
        <v>8</v>
      </c>
      <c r="C3983" s="23" t="s">
        <v>46</v>
      </c>
      <c r="D3983" s="23" t="s">
        <v>46</v>
      </c>
      <c r="E3983" s="23" t="s">
        <v>46</v>
      </c>
      <c r="F3983" s="15" t="s">
        <v>198</v>
      </c>
      <c r="G3983" s="15" t="s">
        <v>5173</v>
      </c>
      <c r="H3983" s="23" t="s">
        <v>58</v>
      </c>
    </row>
    <row r="3984" spans="1:8" ht="54.95" customHeight="1" x14ac:dyDescent="0.2">
      <c r="A3984" s="23" t="s">
        <v>1101</v>
      </c>
      <c r="B3984" s="23" t="s">
        <v>9</v>
      </c>
      <c r="C3984" s="23" t="s">
        <v>46</v>
      </c>
      <c r="D3984" s="23" t="s">
        <v>46</v>
      </c>
      <c r="E3984" s="23" t="s">
        <v>46</v>
      </c>
      <c r="F3984" s="15" t="s">
        <v>198</v>
      </c>
      <c r="G3984" s="15" t="s">
        <v>5173</v>
      </c>
      <c r="H3984" s="23" t="s">
        <v>58</v>
      </c>
    </row>
    <row r="3985" spans="1:8" ht="54.95" customHeight="1" x14ac:dyDescent="0.2">
      <c r="A3985" s="23" t="s">
        <v>1101</v>
      </c>
      <c r="B3985" s="23" t="s">
        <v>10</v>
      </c>
      <c r="C3985" s="23" t="s">
        <v>46</v>
      </c>
      <c r="D3985" s="23" t="s">
        <v>46</v>
      </c>
      <c r="E3985" s="23" t="s">
        <v>46</v>
      </c>
      <c r="F3985" s="15" t="s">
        <v>198</v>
      </c>
      <c r="G3985" s="15" t="s">
        <v>5173</v>
      </c>
      <c r="H3985" s="23" t="s">
        <v>58</v>
      </c>
    </row>
    <row r="3986" spans="1:8" ht="54.95" customHeight="1" x14ac:dyDescent="0.2">
      <c r="A3986" s="23" t="s">
        <v>1101</v>
      </c>
      <c r="B3986" s="23" t="s">
        <v>11</v>
      </c>
      <c r="C3986" s="23" t="s">
        <v>46</v>
      </c>
      <c r="D3986" s="23" t="s">
        <v>46</v>
      </c>
      <c r="E3986" s="23" t="s">
        <v>46</v>
      </c>
      <c r="F3986" s="15" t="s">
        <v>198</v>
      </c>
      <c r="G3986" s="15" t="s">
        <v>5173</v>
      </c>
      <c r="H3986" s="23" t="s">
        <v>58</v>
      </c>
    </row>
    <row r="3987" spans="1:8" ht="54.95" customHeight="1" x14ac:dyDescent="0.2">
      <c r="A3987" s="23" t="s">
        <v>1101</v>
      </c>
      <c r="B3987" s="23" t="s">
        <v>13</v>
      </c>
      <c r="C3987" s="23" t="s">
        <v>46</v>
      </c>
      <c r="D3987" s="23" t="s">
        <v>46</v>
      </c>
      <c r="E3987" s="23" t="s">
        <v>46</v>
      </c>
      <c r="F3987" s="15" t="s">
        <v>198</v>
      </c>
      <c r="G3987" s="15" t="s">
        <v>5173</v>
      </c>
      <c r="H3987" s="23" t="s">
        <v>58</v>
      </c>
    </row>
    <row r="3988" spans="1:8" ht="54.95" customHeight="1" x14ac:dyDescent="0.2">
      <c r="A3988" s="23" t="s">
        <v>1101</v>
      </c>
      <c r="B3988" s="23" t="s">
        <v>14</v>
      </c>
      <c r="C3988" s="23" t="s">
        <v>46</v>
      </c>
      <c r="D3988" s="23" t="s">
        <v>46</v>
      </c>
      <c r="E3988" s="23" t="s">
        <v>46</v>
      </c>
      <c r="F3988" s="15" t="s">
        <v>198</v>
      </c>
      <c r="G3988" s="15" t="s">
        <v>5173</v>
      </c>
      <c r="H3988" s="23" t="s">
        <v>58</v>
      </c>
    </row>
    <row r="3989" spans="1:8" ht="54.95" customHeight="1" x14ac:dyDescent="0.2">
      <c r="A3989" s="23" t="s">
        <v>1101</v>
      </c>
      <c r="B3989" s="23" t="s">
        <v>15</v>
      </c>
      <c r="C3989" s="23" t="s">
        <v>46</v>
      </c>
      <c r="D3989" s="23" t="s">
        <v>46</v>
      </c>
      <c r="E3989" s="23" t="s">
        <v>46</v>
      </c>
      <c r="F3989" s="15" t="s">
        <v>103</v>
      </c>
      <c r="G3989" s="15" t="s">
        <v>5173</v>
      </c>
      <c r="H3989" s="23" t="s">
        <v>58</v>
      </c>
    </row>
    <row r="3990" spans="1:8" ht="54.95" customHeight="1" x14ac:dyDescent="0.2">
      <c r="A3990" s="23" t="s">
        <v>1101</v>
      </c>
      <c r="B3990" s="23" t="s">
        <v>17</v>
      </c>
      <c r="C3990" s="23" t="s">
        <v>46</v>
      </c>
      <c r="D3990" s="23" t="s">
        <v>46</v>
      </c>
      <c r="E3990" s="23" t="s">
        <v>46</v>
      </c>
      <c r="F3990" s="15" t="s">
        <v>103</v>
      </c>
      <c r="G3990" s="15" t="s">
        <v>5173</v>
      </c>
      <c r="H3990" s="23" t="s">
        <v>58</v>
      </c>
    </row>
    <row r="3991" spans="1:8" ht="54.95" customHeight="1" x14ac:dyDescent="0.2">
      <c r="A3991" s="23" t="s">
        <v>1101</v>
      </c>
      <c r="B3991" s="23" t="s">
        <v>19</v>
      </c>
      <c r="C3991" s="23" t="s">
        <v>46</v>
      </c>
      <c r="D3991" s="23" t="s">
        <v>46</v>
      </c>
      <c r="E3991" s="23" t="s">
        <v>46</v>
      </c>
      <c r="F3991" s="15" t="s">
        <v>103</v>
      </c>
      <c r="G3991" s="15" t="s">
        <v>5173</v>
      </c>
      <c r="H3991" s="23" t="s">
        <v>58</v>
      </c>
    </row>
    <row r="3992" spans="1:8" ht="54.95" customHeight="1" x14ac:dyDescent="0.2">
      <c r="A3992" s="23" t="s">
        <v>1101</v>
      </c>
      <c r="B3992" s="23" t="s">
        <v>21</v>
      </c>
      <c r="C3992" s="23" t="s">
        <v>46</v>
      </c>
      <c r="D3992" s="23" t="s">
        <v>46</v>
      </c>
      <c r="E3992" s="23" t="s">
        <v>101</v>
      </c>
      <c r="F3992" s="15" t="s">
        <v>104</v>
      </c>
      <c r="G3992" s="15" t="s">
        <v>5173</v>
      </c>
      <c r="H3992" s="23" t="s">
        <v>58</v>
      </c>
    </row>
    <row r="3993" spans="1:8" ht="54.95" customHeight="1" x14ac:dyDescent="0.2">
      <c r="A3993" s="23" t="s">
        <v>1101</v>
      </c>
      <c r="B3993" s="23" t="s">
        <v>22</v>
      </c>
      <c r="C3993" s="23" t="s">
        <v>46</v>
      </c>
      <c r="D3993" s="23" t="s">
        <v>46</v>
      </c>
      <c r="E3993" s="23" t="s">
        <v>101</v>
      </c>
      <c r="F3993" s="15" t="s">
        <v>104</v>
      </c>
      <c r="G3993" s="15" t="s">
        <v>5173</v>
      </c>
      <c r="H3993" s="23" t="s">
        <v>58</v>
      </c>
    </row>
    <row r="3994" spans="1:8" ht="54.95" customHeight="1" x14ac:dyDescent="0.2">
      <c r="A3994" s="23" t="s">
        <v>1101</v>
      </c>
      <c r="B3994" s="23" t="s">
        <v>23</v>
      </c>
      <c r="C3994" s="23" t="s">
        <v>46</v>
      </c>
      <c r="D3994" s="23" t="s">
        <v>46</v>
      </c>
      <c r="E3994" s="23" t="s">
        <v>101</v>
      </c>
      <c r="F3994" s="15" t="s">
        <v>104</v>
      </c>
      <c r="G3994" s="15" t="s">
        <v>5173</v>
      </c>
      <c r="H3994" s="23" t="s">
        <v>58</v>
      </c>
    </row>
    <row r="3995" spans="1:8" ht="54.95" customHeight="1" x14ac:dyDescent="0.2">
      <c r="A3995" s="23" t="s">
        <v>1101</v>
      </c>
      <c r="B3995" s="23" t="s">
        <v>24</v>
      </c>
      <c r="C3995" s="23" t="s">
        <v>46</v>
      </c>
      <c r="D3995" s="23" t="s">
        <v>46</v>
      </c>
      <c r="E3995" s="23" t="s">
        <v>101</v>
      </c>
      <c r="F3995" s="15" t="s">
        <v>104</v>
      </c>
      <c r="G3995" s="15" t="s">
        <v>5173</v>
      </c>
      <c r="H3995" s="23" t="s">
        <v>58</v>
      </c>
    </row>
    <row r="3996" spans="1:8" ht="54.95" customHeight="1" x14ac:dyDescent="0.2">
      <c r="A3996" s="23" t="s">
        <v>1101</v>
      </c>
      <c r="B3996" s="23" t="s">
        <v>25</v>
      </c>
      <c r="C3996" s="23" t="s">
        <v>46</v>
      </c>
      <c r="D3996" s="23" t="s">
        <v>46</v>
      </c>
      <c r="E3996" s="23" t="s">
        <v>101</v>
      </c>
      <c r="F3996" s="15" t="s">
        <v>104</v>
      </c>
      <c r="G3996" s="15" t="s">
        <v>5173</v>
      </c>
      <c r="H3996" s="23" t="s">
        <v>58</v>
      </c>
    </row>
    <row r="3997" spans="1:8" ht="54.95" customHeight="1" x14ac:dyDescent="0.2">
      <c r="A3997" s="23" t="s">
        <v>1103</v>
      </c>
      <c r="B3997" s="23" t="s">
        <v>15</v>
      </c>
      <c r="C3997" s="23" t="s">
        <v>46</v>
      </c>
      <c r="D3997" s="23" t="s">
        <v>46</v>
      </c>
      <c r="E3997" s="23" t="s">
        <v>46</v>
      </c>
      <c r="F3997" s="15" t="s">
        <v>103</v>
      </c>
      <c r="G3997" s="15" t="s">
        <v>5173</v>
      </c>
      <c r="H3997" s="23" t="s">
        <v>58</v>
      </c>
    </row>
    <row r="3998" spans="1:8" ht="54.95" customHeight="1" x14ac:dyDescent="0.2">
      <c r="A3998" s="23" t="s">
        <v>1103</v>
      </c>
      <c r="B3998" s="23" t="s">
        <v>17</v>
      </c>
      <c r="C3998" s="23" t="s">
        <v>46</v>
      </c>
      <c r="D3998" s="23" t="s">
        <v>46</v>
      </c>
      <c r="E3998" s="23" t="s">
        <v>46</v>
      </c>
      <c r="F3998" s="15" t="s">
        <v>103</v>
      </c>
      <c r="G3998" s="15" t="s">
        <v>5173</v>
      </c>
      <c r="H3998" s="23" t="s">
        <v>58</v>
      </c>
    </row>
    <row r="3999" spans="1:8" ht="54.95" customHeight="1" x14ac:dyDescent="0.2">
      <c r="A3999" s="23" t="s">
        <v>1103</v>
      </c>
      <c r="B3999" s="23" t="s">
        <v>19</v>
      </c>
      <c r="C3999" s="23" t="s">
        <v>46</v>
      </c>
      <c r="D3999" s="23" t="s">
        <v>46</v>
      </c>
      <c r="E3999" s="23" t="s">
        <v>46</v>
      </c>
      <c r="F3999" s="15" t="s">
        <v>103</v>
      </c>
      <c r="G3999" s="15" t="s">
        <v>5173</v>
      </c>
      <c r="H3999" s="23" t="s">
        <v>58</v>
      </c>
    </row>
    <row r="4000" spans="1:8" ht="54.95" customHeight="1" x14ac:dyDescent="0.2">
      <c r="A4000" s="23" t="s">
        <v>1103</v>
      </c>
      <c r="B4000" s="23" t="s">
        <v>21</v>
      </c>
      <c r="C4000" s="23" t="s">
        <v>46</v>
      </c>
      <c r="D4000" s="23" t="s">
        <v>46</v>
      </c>
      <c r="E4000" s="23" t="s">
        <v>101</v>
      </c>
      <c r="F4000" s="15" t="s">
        <v>104</v>
      </c>
      <c r="G4000" s="15" t="s">
        <v>5173</v>
      </c>
      <c r="H4000" s="23" t="s">
        <v>58</v>
      </c>
    </row>
    <row r="4001" spans="1:8" ht="54.95" customHeight="1" x14ac:dyDescent="0.2">
      <c r="A4001" s="23" t="s">
        <v>1103</v>
      </c>
      <c r="B4001" s="23" t="s">
        <v>22</v>
      </c>
      <c r="C4001" s="23" t="s">
        <v>46</v>
      </c>
      <c r="D4001" s="23" t="s">
        <v>46</v>
      </c>
      <c r="E4001" s="23" t="s">
        <v>101</v>
      </c>
      <c r="F4001" s="15" t="s">
        <v>104</v>
      </c>
      <c r="G4001" s="15" t="s">
        <v>5173</v>
      </c>
      <c r="H4001" s="23" t="s">
        <v>58</v>
      </c>
    </row>
    <row r="4002" spans="1:8" ht="54.95" customHeight="1" x14ac:dyDescent="0.2">
      <c r="A4002" s="23" t="s">
        <v>1103</v>
      </c>
      <c r="B4002" s="23" t="s">
        <v>23</v>
      </c>
      <c r="C4002" s="23" t="s">
        <v>46</v>
      </c>
      <c r="D4002" s="23" t="s">
        <v>46</v>
      </c>
      <c r="E4002" s="23" t="s">
        <v>101</v>
      </c>
      <c r="F4002" s="15" t="s">
        <v>104</v>
      </c>
      <c r="G4002" s="15" t="s">
        <v>5173</v>
      </c>
      <c r="H4002" s="23" t="s">
        <v>58</v>
      </c>
    </row>
    <row r="4003" spans="1:8" ht="54.95" customHeight="1" x14ac:dyDescent="0.2">
      <c r="A4003" s="23" t="s">
        <v>1103</v>
      </c>
      <c r="B4003" s="23" t="s">
        <v>24</v>
      </c>
      <c r="C4003" s="23" t="s">
        <v>46</v>
      </c>
      <c r="D4003" s="23" t="s">
        <v>46</v>
      </c>
      <c r="E4003" s="23" t="s">
        <v>101</v>
      </c>
      <c r="F4003" s="15" t="s">
        <v>104</v>
      </c>
      <c r="G4003" s="15" t="s">
        <v>5173</v>
      </c>
      <c r="H4003" s="23" t="s">
        <v>58</v>
      </c>
    </row>
    <row r="4004" spans="1:8" ht="54.95" customHeight="1" x14ac:dyDescent="0.2">
      <c r="A4004" s="23" t="s">
        <v>1103</v>
      </c>
      <c r="B4004" s="23" t="s">
        <v>25</v>
      </c>
      <c r="C4004" s="23" t="s">
        <v>46</v>
      </c>
      <c r="D4004" s="23" t="s">
        <v>46</v>
      </c>
      <c r="E4004" s="23" t="s">
        <v>101</v>
      </c>
      <c r="F4004" s="15" t="s">
        <v>104</v>
      </c>
      <c r="G4004" s="15" t="s">
        <v>5173</v>
      </c>
      <c r="H4004" s="23" t="s">
        <v>58</v>
      </c>
    </row>
    <row r="4005" spans="1:8" ht="54.95" customHeight="1" x14ac:dyDescent="0.2">
      <c r="A4005" s="23" t="s">
        <v>1107</v>
      </c>
      <c r="B4005" s="23" t="s">
        <v>23</v>
      </c>
      <c r="C4005" s="23" t="s">
        <v>46</v>
      </c>
      <c r="D4005" s="23" t="s">
        <v>46</v>
      </c>
      <c r="E4005" s="23" t="s">
        <v>101</v>
      </c>
      <c r="F4005" s="15" t="s">
        <v>104</v>
      </c>
      <c r="G4005" s="15" t="s">
        <v>5173</v>
      </c>
      <c r="H4005" s="23" t="s">
        <v>58</v>
      </c>
    </row>
    <row r="4006" spans="1:8" ht="54.95" customHeight="1" x14ac:dyDescent="0.2">
      <c r="A4006" s="23" t="s">
        <v>1107</v>
      </c>
      <c r="B4006" s="23" t="s">
        <v>25</v>
      </c>
      <c r="C4006" s="23" t="s">
        <v>46</v>
      </c>
      <c r="D4006" s="23" t="s">
        <v>46</v>
      </c>
      <c r="E4006" s="23" t="s">
        <v>101</v>
      </c>
      <c r="F4006" s="15" t="s">
        <v>104</v>
      </c>
      <c r="G4006" s="15" t="s">
        <v>5173</v>
      </c>
      <c r="H4006" s="23" t="s">
        <v>58</v>
      </c>
    </row>
    <row r="4007" spans="1:8" ht="54.95" customHeight="1" x14ac:dyDescent="0.2">
      <c r="A4007" s="23" t="s">
        <v>1113</v>
      </c>
      <c r="B4007" s="23" t="s">
        <v>15</v>
      </c>
      <c r="C4007" s="23" t="s">
        <v>46</v>
      </c>
      <c r="D4007" s="23" t="s">
        <v>46</v>
      </c>
      <c r="E4007" s="23" t="s">
        <v>46</v>
      </c>
      <c r="F4007" s="15" t="s">
        <v>103</v>
      </c>
      <c r="G4007" s="15" t="s">
        <v>5173</v>
      </c>
      <c r="H4007" s="23" t="s">
        <v>58</v>
      </c>
    </row>
    <row r="4008" spans="1:8" ht="54.95" customHeight="1" x14ac:dyDescent="0.2">
      <c r="A4008" s="23" t="s">
        <v>1113</v>
      </c>
      <c r="B4008" s="23" t="s">
        <v>17</v>
      </c>
      <c r="C4008" s="23" t="s">
        <v>46</v>
      </c>
      <c r="D4008" s="23" t="s">
        <v>46</v>
      </c>
      <c r="E4008" s="23" t="s">
        <v>46</v>
      </c>
      <c r="F4008" s="15" t="s">
        <v>103</v>
      </c>
      <c r="G4008" s="15" t="s">
        <v>5173</v>
      </c>
      <c r="H4008" s="23" t="s">
        <v>58</v>
      </c>
    </row>
    <row r="4009" spans="1:8" ht="54.95" customHeight="1" x14ac:dyDescent="0.2">
      <c r="A4009" s="23" t="s">
        <v>1113</v>
      </c>
      <c r="B4009" s="23" t="s">
        <v>19</v>
      </c>
      <c r="C4009" s="23" t="s">
        <v>46</v>
      </c>
      <c r="D4009" s="23" t="s">
        <v>46</v>
      </c>
      <c r="E4009" s="23" t="s">
        <v>46</v>
      </c>
      <c r="F4009" s="15" t="s">
        <v>103</v>
      </c>
      <c r="G4009" s="15" t="s">
        <v>5173</v>
      </c>
      <c r="H4009" s="23" t="s">
        <v>58</v>
      </c>
    </row>
    <row r="4010" spans="1:8" ht="54.95" customHeight="1" x14ac:dyDescent="0.2">
      <c r="A4010" s="23" t="s">
        <v>1113</v>
      </c>
      <c r="B4010" s="23" t="s">
        <v>21</v>
      </c>
      <c r="C4010" s="23" t="s">
        <v>46</v>
      </c>
      <c r="D4010" s="23" t="s">
        <v>46</v>
      </c>
      <c r="E4010" s="23" t="s">
        <v>101</v>
      </c>
      <c r="F4010" s="15" t="s">
        <v>104</v>
      </c>
      <c r="G4010" s="15" t="s">
        <v>5173</v>
      </c>
      <c r="H4010" s="23" t="s">
        <v>58</v>
      </c>
    </row>
    <row r="4011" spans="1:8" ht="54.95" customHeight="1" x14ac:dyDescent="0.2">
      <c r="A4011" s="23" t="s">
        <v>1113</v>
      </c>
      <c r="B4011" s="23" t="s">
        <v>22</v>
      </c>
      <c r="C4011" s="23" t="s">
        <v>46</v>
      </c>
      <c r="D4011" s="23" t="s">
        <v>46</v>
      </c>
      <c r="E4011" s="23" t="s">
        <v>101</v>
      </c>
      <c r="F4011" s="15" t="s">
        <v>104</v>
      </c>
      <c r="G4011" s="15" t="s">
        <v>5173</v>
      </c>
      <c r="H4011" s="23" t="s">
        <v>58</v>
      </c>
    </row>
    <row r="4012" spans="1:8" ht="54.95" customHeight="1" x14ac:dyDescent="0.2">
      <c r="A4012" s="23" t="s">
        <v>1113</v>
      </c>
      <c r="B4012" s="23" t="s">
        <v>23</v>
      </c>
      <c r="C4012" s="23" t="s">
        <v>46</v>
      </c>
      <c r="D4012" s="23" t="s">
        <v>46</v>
      </c>
      <c r="E4012" s="23" t="s">
        <v>101</v>
      </c>
      <c r="F4012" s="15" t="s">
        <v>104</v>
      </c>
      <c r="G4012" s="15" t="s">
        <v>5173</v>
      </c>
      <c r="H4012" s="23" t="s">
        <v>58</v>
      </c>
    </row>
    <row r="4013" spans="1:8" ht="54.95" customHeight="1" x14ac:dyDescent="0.2">
      <c r="A4013" s="23" t="s">
        <v>1113</v>
      </c>
      <c r="B4013" s="23" t="s">
        <v>24</v>
      </c>
      <c r="C4013" s="23" t="s">
        <v>46</v>
      </c>
      <c r="D4013" s="23" t="s">
        <v>46</v>
      </c>
      <c r="E4013" s="23" t="s">
        <v>101</v>
      </c>
      <c r="F4013" s="15" t="s">
        <v>104</v>
      </c>
      <c r="G4013" s="15" t="s">
        <v>5173</v>
      </c>
      <c r="H4013" s="23" t="s">
        <v>58</v>
      </c>
    </row>
    <row r="4014" spans="1:8" ht="54.95" customHeight="1" x14ac:dyDescent="0.2">
      <c r="A4014" s="23" t="s">
        <v>1113</v>
      </c>
      <c r="B4014" s="23" t="s">
        <v>25</v>
      </c>
      <c r="C4014" s="23" t="s">
        <v>46</v>
      </c>
      <c r="D4014" s="23" t="s">
        <v>46</v>
      </c>
      <c r="E4014" s="23" t="s">
        <v>101</v>
      </c>
      <c r="F4014" s="15" t="s">
        <v>104</v>
      </c>
      <c r="G4014" s="15" t="s">
        <v>5173</v>
      </c>
      <c r="H4014" s="23" t="s">
        <v>58</v>
      </c>
    </row>
    <row r="4015" spans="1:8" ht="54.95" customHeight="1" x14ac:dyDescent="0.2">
      <c r="A4015" s="23" t="s">
        <v>1117</v>
      </c>
      <c r="B4015" s="23" t="s">
        <v>23</v>
      </c>
      <c r="C4015" s="23" t="s">
        <v>46</v>
      </c>
      <c r="D4015" s="23" t="s">
        <v>46</v>
      </c>
      <c r="E4015" s="23" t="s">
        <v>101</v>
      </c>
      <c r="F4015" s="15" t="s">
        <v>104</v>
      </c>
      <c r="G4015" s="15" t="s">
        <v>5173</v>
      </c>
      <c r="H4015" s="23" t="s">
        <v>58</v>
      </c>
    </row>
    <row r="4016" spans="1:8" ht="54.95" customHeight="1" x14ac:dyDescent="0.2">
      <c r="A4016" s="23" t="s">
        <v>1117</v>
      </c>
      <c r="B4016" s="23" t="s">
        <v>25</v>
      </c>
      <c r="C4016" s="23" t="s">
        <v>46</v>
      </c>
      <c r="D4016" s="23" t="s">
        <v>46</v>
      </c>
      <c r="E4016" s="23" t="s">
        <v>101</v>
      </c>
      <c r="F4016" s="15" t="s">
        <v>104</v>
      </c>
      <c r="G4016" s="15" t="s">
        <v>5173</v>
      </c>
      <c r="H4016" s="23" t="s">
        <v>58</v>
      </c>
    </row>
    <row r="4017" spans="1:8" ht="54.95" customHeight="1" x14ac:dyDescent="0.2">
      <c r="A4017" s="23" t="s">
        <v>1123</v>
      </c>
      <c r="B4017" s="23" t="s">
        <v>23</v>
      </c>
      <c r="C4017" s="23" t="s">
        <v>46</v>
      </c>
      <c r="D4017" s="23" t="s">
        <v>46</v>
      </c>
      <c r="E4017" s="23" t="s">
        <v>101</v>
      </c>
      <c r="F4017" s="15" t="s">
        <v>104</v>
      </c>
      <c r="G4017" s="15" t="s">
        <v>5173</v>
      </c>
      <c r="H4017" s="23" t="s">
        <v>58</v>
      </c>
    </row>
    <row r="4018" spans="1:8" ht="54.95" customHeight="1" x14ac:dyDescent="0.2">
      <c r="A4018" s="23" t="s">
        <v>1123</v>
      </c>
      <c r="B4018" s="23" t="s">
        <v>24</v>
      </c>
      <c r="C4018" s="23" t="s">
        <v>46</v>
      </c>
      <c r="D4018" s="23" t="s">
        <v>46</v>
      </c>
      <c r="E4018" s="23" t="s">
        <v>101</v>
      </c>
      <c r="F4018" s="15" t="s">
        <v>104</v>
      </c>
      <c r="G4018" s="15" t="s">
        <v>5173</v>
      </c>
      <c r="H4018" s="23" t="s">
        <v>58</v>
      </c>
    </row>
    <row r="4019" spans="1:8" ht="54.95" customHeight="1" x14ac:dyDescent="0.2">
      <c r="A4019" s="23" t="s">
        <v>1123</v>
      </c>
      <c r="B4019" s="23" t="s">
        <v>25</v>
      </c>
      <c r="C4019" s="23" t="s">
        <v>46</v>
      </c>
      <c r="D4019" s="23" t="s">
        <v>46</v>
      </c>
      <c r="E4019" s="23" t="s">
        <v>101</v>
      </c>
      <c r="F4019" s="15" t="s">
        <v>104</v>
      </c>
      <c r="G4019" s="15" t="s">
        <v>5173</v>
      </c>
      <c r="H4019" s="23" t="s">
        <v>58</v>
      </c>
    </row>
    <row r="4020" spans="1:8" ht="54.95" customHeight="1" x14ac:dyDescent="0.2">
      <c r="A4020" s="23" t="s">
        <v>1130</v>
      </c>
      <c r="B4020" s="23" t="s">
        <v>19</v>
      </c>
      <c r="C4020" s="23" t="s">
        <v>46</v>
      </c>
      <c r="D4020" s="23" t="s">
        <v>46</v>
      </c>
      <c r="E4020" s="23" t="s">
        <v>46</v>
      </c>
      <c r="F4020" s="15" t="s">
        <v>103</v>
      </c>
      <c r="G4020" s="15" t="s">
        <v>5173</v>
      </c>
      <c r="H4020" s="23" t="s">
        <v>58</v>
      </c>
    </row>
    <row r="4021" spans="1:8" ht="54.95" customHeight="1" x14ac:dyDescent="0.2">
      <c r="A4021" s="23" t="s">
        <v>1130</v>
      </c>
      <c r="B4021" s="23" t="s">
        <v>21</v>
      </c>
      <c r="C4021" s="23" t="s">
        <v>46</v>
      </c>
      <c r="D4021" s="23" t="s">
        <v>46</v>
      </c>
      <c r="E4021" s="23" t="s">
        <v>101</v>
      </c>
      <c r="F4021" s="15" t="s">
        <v>104</v>
      </c>
      <c r="G4021" s="15" t="s">
        <v>5173</v>
      </c>
      <c r="H4021" s="23" t="s">
        <v>58</v>
      </c>
    </row>
    <row r="4022" spans="1:8" ht="54.95" customHeight="1" x14ac:dyDescent="0.2">
      <c r="A4022" s="23" t="s">
        <v>1130</v>
      </c>
      <c r="B4022" s="23" t="s">
        <v>22</v>
      </c>
      <c r="C4022" s="23" t="s">
        <v>46</v>
      </c>
      <c r="D4022" s="23" t="s">
        <v>46</v>
      </c>
      <c r="E4022" s="23" t="s">
        <v>101</v>
      </c>
      <c r="F4022" s="15" t="s">
        <v>104</v>
      </c>
      <c r="G4022" s="15" t="s">
        <v>5173</v>
      </c>
      <c r="H4022" s="23" t="s">
        <v>58</v>
      </c>
    </row>
    <row r="4023" spans="1:8" ht="54.95" customHeight="1" x14ac:dyDescent="0.2">
      <c r="A4023" s="23" t="s">
        <v>1130</v>
      </c>
      <c r="B4023" s="23" t="s">
        <v>23</v>
      </c>
      <c r="C4023" s="23" t="s">
        <v>46</v>
      </c>
      <c r="D4023" s="23" t="s">
        <v>46</v>
      </c>
      <c r="E4023" s="23" t="s">
        <v>101</v>
      </c>
      <c r="F4023" s="15" t="s">
        <v>104</v>
      </c>
      <c r="G4023" s="15" t="s">
        <v>5173</v>
      </c>
      <c r="H4023" s="23" t="s">
        <v>58</v>
      </c>
    </row>
    <row r="4024" spans="1:8" ht="54.95" customHeight="1" x14ac:dyDescent="0.2">
      <c r="A4024" s="23" t="s">
        <v>1130</v>
      </c>
      <c r="B4024" s="23" t="s">
        <v>24</v>
      </c>
      <c r="C4024" s="23" t="s">
        <v>46</v>
      </c>
      <c r="D4024" s="23" t="s">
        <v>46</v>
      </c>
      <c r="E4024" s="23" t="s">
        <v>101</v>
      </c>
      <c r="F4024" s="15" t="s">
        <v>104</v>
      </c>
      <c r="G4024" s="15" t="s">
        <v>5173</v>
      </c>
      <c r="H4024" s="23" t="s">
        <v>58</v>
      </c>
    </row>
    <row r="4025" spans="1:8" ht="54.95" customHeight="1" x14ac:dyDescent="0.2">
      <c r="A4025" s="23" t="s">
        <v>1130</v>
      </c>
      <c r="B4025" s="23" t="s">
        <v>25</v>
      </c>
      <c r="C4025" s="23" t="s">
        <v>46</v>
      </c>
      <c r="D4025" s="23" t="s">
        <v>46</v>
      </c>
      <c r="E4025" s="23" t="s">
        <v>101</v>
      </c>
      <c r="F4025" s="15" t="s">
        <v>104</v>
      </c>
      <c r="G4025" s="15" t="s">
        <v>5173</v>
      </c>
      <c r="H4025" s="23" t="s">
        <v>58</v>
      </c>
    </row>
    <row r="4026" spans="1:8" ht="54.95" customHeight="1" x14ac:dyDescent="0.2">
      <c r="A4026" s="23" t="s">
        <v>1135</v>
      </c>
      <c r="B4026" s="23" t="s">
        <v>23</v>
      </c>
      <c r="C4026" s="23" t="s">
        <v>46</v>
      </c>
      <c r="D4026" s="23" t="s">
        <v>46</v>
      </c>
      <c r="E4026" s="23" t="s">
        <v>101</v>
      </c>
      <c r="F4026" s="15" t="s">
        <v>104</v>
      </c>
      <c r="G4026" s="15" t="s">
        <v>5173</v>
      </c>
      <c r="H4026" s="23" t="s">
        <v>58</v>
      </c>
    </row>
    <row r="4027" spans="1:8" ht="54.95" customHeight="1" x14ac:dyDescent="0.2">
      <c r="A4027" s="23" t="s">
        <v>1135</v>
      </c>
      <c r="B4027" s="23" t="s">
        <v>24</v>
      </c>
      <c r="C4027" s="23" t="s">
        <v>46</v>
      </c>
      <c r="D4027" s="23" t="s">
        <v>46</v>
      </c>
      <c r="E4027" s="23" t="s">
        <v>101</v>
      </c>
      <c r="F4027" s="15" t="s">
        <v>104</v>
      </c>
      <c r="G4027" s="15" t="s">
        <v>5173</v>
      </c>
      <c r="H4027" s="23" t="s">
        <v>58</v>
      </c>
    </row>
    <row r="4028" spans="1:8" ht="54.95" customHeight="1" x14ac:dyDescent="0.2">
      <c r="A4028" s="23" t="s">
        <v>1135</v>
      </c>
      <c r="B4028" s="23" t="s">
        <v>25</v>
      </c>
      <c r="C4028" s="23" t="s">
        <v>46</v>
      </c>
      <c r="D4028" s="23" t="s">
        <v>46</v>
      </c>
      <c r="E4028" s="23" t="s">
        <v>101</v>
      </c>
      <c r="F4028" s="15" t="s">
        <v>104</v>
      </c>
      <c r="G4028" s="15" t="s">
        <v>5173</v>
      </c>
      <c r="H4028" s="23" t="s">
        <v>58</v>
      </c>
    </row>
    <row r="4029" spans="1:8" ht="54.95" customHeight="1" x14ac:dyDescent="0.2">
      <c r="A4029" s="23" t="s">
        <v>1141</v>
      </c>
      <c r="B4029" s="23" t="s">
        <v>23</v>
      </c>
      <c r="C4029" s="23" t="s">
        <v>46</v>
      </c>
      <c r="D4029" s="23" t="s">
        <v>46</v>
      </c>
      <c r="E4029" s="23" t="s">
        <v>101</v>
      </c>
      <c r="F4029" s="15" t="s">
        <v>104</v>
      </c>
      <c r="G4029" s="15" t="s">
        <v>5173</v>
      </c>
      <c r="H4029" s="23" t="s">
        <v>58</v>
      </c>
    </row>
    <row r="4030" spans="1:8" ht="54.95" customHeight="1" x14ac:dyDescent="0.2">
      <c r="A4030" s="23" t="s">
        <v>1141</v>
      </c>
      <c r="B4030" s="23" t="s">
        <v>25</v>
      </c>
      <c r="C4030" s="23" t="s">
        <v>46</v>
      </c>
      <c r="D4030" s="23" t="s">
        <v>46</v>
      </c>
      <c r="E4030" s="23" t="s">
        <v>101</v>
      </c>
      <c r="F4030" s="15" t="s">
        <v>104</v>
      </c>
      <c r="G4030" s="15" t="s">
        <v>5173</v>
      </c>
      <c r="H4030" s="23" t="s">
        <v>58</v>
      </c>
    </row>
    <row r="4031" spans="1:8" ht="54.95" customHeight="1" x14ac:dyDescent="0.2">
      <c r="A4031" s="23" t="s">
        <v>1148</v>
      </c>
      <c r="B4031" s="23" t="s">
        <v>23</v>
      </c>
      <c r="C4031" s="23" t="s">
        <v>46</v>
      </c>
      <c r="D4031" s="23" t="s">
        <v>46</v>
      </c>
      <c r="E4031" s="23" t="s">
        <v>101</v>
      </c>
      <c r="F4031" s="15" t="s">
        <v>104</v>
      </c>
      <c r="G4031" s="15" t="s">
        <v>5173</v>
      </c>
      <c r="H4031" s="23" t="s">
        <v>58</v>
      </c>
    </row>
    <row r="4032" spans="1:8" ht="54.95" customHeight="1" x14ac:dyDescent="0.2">
      <c r="A4032" s="23" t="s">
        <v>1148</v>
      </c>
      <c r="B4032" s="23" t="s">
        <v>24</v>
      </c>
      <c r="C4032" s="23" t="s">
        <v>46</v>
      </c>
      <c r="D4032" s="23" t="s">
        <v>46</v>
      </c>
      <c r="E4032" s="23" t="s">
        <v>101</v>
      </c>
      <c r="F4032" s="15" t="s">
        <v>104</v>
      </c>
      <c r="G4032" s="15" t="s">
        <v>5173</v>
      </c>
      <c r="H4032" s="23" t="s">
        <v>58</v>
      </c>
    </row>
    <row r="4033" spans="1:8" ht="54.95" customHeight="1" x14ac:dyDescent="0.2">
      <c r="A4033" s="23" t="s">
        <v>1148</v>
      </c>
      <c r="B4033" s="23" t="s">
        <v>25</v>
      </c>
      <c r="C4033" s="23" t="s">
        <v>46</v>
      </c>
      <c r="D4033" s="23" t="s">
        <v>46</v>
      </c>
      <c r="E4033" s="23" t="s">
        <v>101</v>
      </c>
      <c r="F4033" s="15" t="s">
        <v>104</v>
      </c>
      <c r="G4033" s="15" t="s">
        <v>5173</v>
      </c>
      <c r="H4033" s="23" t="s">
        <v>58</v>
      </c>
    </row>
    <row r="4034" spans="1:8" ht="54.95" customHeight="1" x14ac:dyDescent="0.2">
      <c r="A4034" s="23" t="s">
        <v>1155</v>
      </c>
      <c r="B4034" s="23" t="s">
        <v>3</v>
      </c>
      <c r="C4034" s="23" t="s">
        <v>46</v>
      </c>
      <c r="D4034" s="23" t="s">
        <v>46</v>
      </c>
      <c r="E4034" s="23" t="s">
        <v>46</v>
      </c>
      <c r="F4034" s="15" t="s">
        <v>198</v>
      </c>
      <c r="G4034" s="15" t="s">
        <v>5173</v>
      </c>
      <c r="H4034" s="23" t="s">
        <v>58</v>
      </c>
    </row>
    <row r="4035" spans="1:8" ht="54.95" customHeight="1" x14ac:dyDescent="0.2">
      <c r="A4035" s="23" t="s">
        <v>1155</v>
      </c>
      <c r="B4035" s="23" t="s">
        <v>6</v>
      </c>
      <c r="C4035" s="23" t="s">
        <v>46</v>
      </c>
      <c r="D4035" s="23" t="s">
        <v>46</v>
      </c>
      <c r="E4035" s="23" t="s">
        <v>46</v>
      </c>
      <c r="F4035" s="15" t="s">
        <v>198</v>
      </c>
      <c r="G4035" s="15" t="s">
        <v>5173</v>
      </c>
      <c r="H4035" s="23" t="s">
        <v>58</v>
      </c>
    </row>
    <row r="4036" spans="1:8" ht="54.95" customHeight="1" x14ac:dyDescent="0.2">
      <c r="A4036" s="23" t="s">
        <v>1155</v>
      </c>
      <c r="B4036" s="23" t="s">
        <v>7</v>
      </c>
      <c r="C4036" s="23" t="s">
        <v>46</v>
      </c>
      <c r="D4036" s="23" t="s">
        <v>46</v>
      </c>
      <c r="E4036" s="23" t="s">
        <v>46</v>
      </c>
      <c r="F4036" s="15" t="s">
        <v>198</v>
      </c>
      <c r="G4036" s="15" t="s">
        <v>5173</v>
      </c>
      <c r="H4036" s="23" t="s">
        <v>58</v>
      </c>
    </row>
    <row r="4037" spans="1:8" ht="54.95" customHeight="1" x14ac:dyDescent="0.2">
      <c r="A4037" s="23" t="s">
        <v>1155</v>
      </c>
      <c r="B4037" s="23" t="s">
        <v>8</v>
      </c>
      <c r="C4037" s="23" t="s">
        <v>46</v>
      </c>
      <c r="D4037" s="23" t="s">
        <v>46</v>
      </c>
      <c r="E4037" s="23" t="s">
        <v>46</v>
      </c>
      <c r="F4037" s="15" t="s">
        <v>198</v>
      </c>
      <c r="G4037" s="15" t="s">
        <v>5173</v>
      </c>
      <c r="H4037" s="23" t="s">
        <v>58</v>
      </c>
    </row>
    <row r="4038" spans="1:8" ht="54.95" customHeight="1" x14ac:dyDescent="0.2">
      <c r="A4038" s="23" t="s">
        <v>1155</v>
      </c>
      <c r="B4038" s="23" t="s">
        <v>9</v>
      </c>
      <c r="C4038" s="23" t="s">
        <v>46</v>
      </c>
      <c r="D4038" s="23" t="s">
        <v>46</v>
      </c>
      <c r="E4038" s="23" t="s">
        <v>46</v>
      </c>
      <c r="F4038" s="15" t="s">
        <v>198</v>
      </c>
      <c r="G4038" s="15" t="s">
        <v>5173</v>
      </c>
      <c r="H4038" s="23" t="s">
        <v>58</v>
      </c>
    </row>
    <row r="4039" spans="1:8" ht="54.95" customHeight="1" x14ac:dyDescent="0.2">
      <c r="A4039" s="23" t="s">
        <v>1155</v>
      </c>
      <c r="B4039" s="23" t="s">
        <v>10</v>
      </c>
      <c r="C4039" s="23" t="s">
        <v>46</v>
      </c>
      <c r="D4039" s="23" t="s">
        <v>46</v>
      </c>
      <c r="E4039" s="23" t="s">
        <v>46</v>
      </c>
      <c r="F4039" s="15" t="s">
        <v>198</v>
      </c>
      <c r="G4039" s="15" t="s">
        <v>5173</v>
      </c>
      <c r="H4039" s="23" t="s">
        <v>58</v>
      </c>
    </row>
    <row r="4040" spans="1:8" ht="54.95" customHeight="1" x14ac:dyDescent="0.2">
      <c r="A4040" s="23" t="s">
        <v>1155</v>
      </c>
      <c r="B4040" s="23" t="s">
        <v>11</v>
      </c>
      <c r="C4040" s="23" t="s">
        <v>46</v>
      </c>
      <c r="D4040" s="23" t="s">
        <v>46</v>
      </c>
      <c r="E4040" s="23" t="s">
        <v>46</v>
      </c>
      <c r="F4040" s="15" t="s">
        <v>198</v>
      </c>
      <c r="G4040" s="15" t="s">
        <v>5173</v>
      </c>
      <c r="H4040" s="23" t="s">
        <v>58</v>
      </c>
    </row>
    <row r="4041" spans="1:8" ht="54.95" customHeight="1" x14ac:dyDescent="0.2">
      <c r="A4041" s="23" t="s">
        <v>1155</v>
      </c>
      <c r="B4041" s="23" t="s">
        <v>13</v>
      </c>
      <c r="C4041" s="23" t="s">
        <v>46</v>
      </c>
      <c r="D4041" s="23" t="s">
        <v>46</v>
      </c>
      <c r="E4041" s="23" t="s">
        <v>46</v>
      </c>
      <c r="F4041" s="15" t="s">
        <v>198</v>
      </c>
      <c r="G4041" s="15" t="s">
        <v>5173</v>
      </c>
      <c r="H4041" s="23" t="s">
        <v>58</v>
      </c>
    </row>
    <row r="4042" spans="1:8" ht="54.95" customHeight="1" x14ac:dyDescent="0.2">
      <c r="A4042" s="23" t="s">
        <v>1155</v>
      </c>
      <c r="B4042" s="23" t="s">
        <v>14</v>
      </c>
      <c r="C4042" s="23" t="s">
        <v>46</v>
      </c>
      <c r="D4042" s="23" t="s">
        <v>46</v>
      </c>
      <c r="E4042" s="23" t="s">
        <v>46</v>
      </c>
      <c r="F4042" s="15" t="s">
        <v>198</v>
      </c>
      <c r="G4042" s="15" t="s">
        <v>5173</v>
      </c>
      <c r="H4042" s="23" t="s">
        <v>58</v>
      </c>
    </row>
    <row r="4043" spans="1:8" ht="54.95" customHeight="1" x14ac:dyDescent="0.2">
      <c r="A4043" s="23" t="s">
        <v>1155</v>
      </c>
      <c r="B4043" s="23" t="s">
        <v>19</v>
      </c>
      <c r="C4043" s="23" t="s">
        <v>46</v>
      </c>
      <c r="D4043" s="23" t="s">
        <v>46</v>
      </c>
      <c r="E4043" s="23" t="s">
        <v>46</v>
      </c>
      <c r="F4043" s="15" t="s">
        <v>103</v>
      </c>
      <c r="G4043" s="15" t="s">
        <v>5173</v>
      </c>
      <c r="H4043" s="23" t="s">
        <v>58</v>
      </c>
    </row>
    <row r="4044" spans="1:8" ht="54.95" customHeight="1" x14ac:dyDescent="0.2">
      <c r="A4044" s="23" t="s">
        <v>1155</v>
      </c>
      <c r="B4044" s="23" t="s">
        <v>23</v>
      </c>
      <c r="C4044" s="23" t="s">
        <v>46</v>
      </c>
      <c r="D4044" s="23" t="s">
        <v>46</v>
      </c>
      <c r="E4044" s="23" t="s">
        <v>101</v>
      </c>
      <c r="F4044" s="15" t="s">
        <v>104</v>
      </c>
      <c r="G4044" s="15" t="s">
        <v>5173</v>
      </c>
      <c r="H4044" s="23" t="s">
        <v>58</v>
      </c>
    </row>
    <row r="4045" spans="1:8" ht="54.95" customHeight="1" x14ac:dyDescent="0.2">
      <c r="A4045" s="23" t="s">
        <v>1155</v>
      </c>
      <c r="B4045" s="23" t="s">
        <v>24</v>
      </c>
      <c r="C4045" s="23" t="s">
        <v>46</v>
      </c>
      <c r="D4045" s="23" t="s">
        <v>46</v>
      </c>
      <c r="E4045" s="23" t="s">
        <v>101</v>
      </c>
      <c r="F4045" s="15" t="s">
        <v>104</v>
      </c>
      <c r="G4045" s="15" t="s">
        <v>5173</v>
      </c>
      <c r="H4045" s="23" t="s">
        <v>58</v>
      </c>
    </row>
    <row r="4046" spans="1:8" ht="54.95" customHeight="1" x14ac:dyDescent="0.2">
      <c r="A4046" s="23" t="s">
        <v>1155</v>
      </c>
      <c r="B4046" s="23" t="s">
        <v>25</v>
      </c>
      <c r="C4046" s="23" t="s">
        <v>46</v>
      </c>
      <c r="D4046" s="23" t="s">
        <v>46</v>
      </c>
      <c r="E4046" s="23" t="s">
        <v>101</v>
      </c>
      <c r="F4046" s="15" t="s">
        <v>104</v>
      </c>
      <c r="G4046" s="15" t="s">
        <v>5173</v>
      </c>
      <c r="H4046" s="23" t="s">
        <v>58</v>
      </c>
    </row>
    <row r="4047" spans="1:8" ht="54.95" customHeight="1" x14ac:dyDescent="0.2">
      <c r="A4047" s="23" t="s">
        <v>1161</v>
      </c>
      <c r="B4047" s="23" t="s">
        <v>19</v>
      </c>
      <c r="C4047" s="23" t="s">
        <v>46</v>
      </c>
      <c r="D4047" s="23" t="s">
        <v>46</v>
      </c>
      <c r="E4047" s="23" t="s">
        <v>46</v>
      </c>
      <c r="F4047" s="15" t="s">
        <v>103</v>
      </c>
      <c r="G4047" s="15" t="s">
        <v>5173</v>
      </c>
      <c r="H4047" s="23" t="s">
        <v>58</v>
      </c>
    </row>
    <row r="4048" spans="1:8" ht="54.95" customHeight="1" x14ac:dyDescent="0.2">
      <c r="A4048" s="23" t="s">
        <v>1161</v>
      </c>
      <c r="B4048" s="23" t="s">
        <v>23</v>
      </c>
      <c r="C4048" s="23" t="s">
        <v>46</v>
      </c>
      <c r="D4048" s="23" t="s">
        <v>46</v>
      </c>
      <c r="E4048" s="23" t="s">
        <v>101</v>
      </c>
      <c r="F4048" s="15" t="s">
        <v>104</v>
      </c>
      <c r="G4048" s="15" t="s">
        <v>5173</v>
      </c>
      <c r="H4048" s="23" t="s">
        <v>58</v>
      </c>
    </row>
    <row r="4049" spans="1:8" ht="54.95" customHeight="1" x14ac:dyDescent="0.2">
      <c r="A4049" s="23" t="s">
        <v>1161</v>
      </c>
      <c r="B4049" s="23" t="s">
        <v>24</v>
      </c>
      <c r="C4049" s="23" t="s">
        <v>46</v>
      </c>
      <c r="D4049" s="23" t="s">
        <v>46</v>
      </c>
      <c r="E4049" s="23" t="s">
        <v>101</v>
      </c>
      <c r="F4049" s="15" t="s">
        <v>104</v>
      </c>
      <c r="G4049" s="15" t="s">
        <v>5173</v>
      </c>
      <c r="H4049" s="23" t="s">
        <v>58</v>
      </c>
    </row>
    <row r="4050" spans="1:8" ht="54.95" customHeight="1" x14ac:dyDescent="0.2">
      <c r="A4050" s="23" t="s">
        <v>1161</v>
      </c>
      <c r="B4050" s="23" t="s">
        <v>25</v>
      </c>
      <c r="C4050" s="23" t="s">
        <v>46</v>
      </c>
      <c r="D4050" s="23" t="s">
        <v>46</v>
      </c>
      <c r="E4050" s="23" t="s">
        <v>101</v>
      </c>
      <c r="F4050" s="15" t="s">
        <v>104</v>
      </c>
      <c r="G4050" s="15" t="s">
        <v>5173</v>
      </c>
      <c r="H4050" s="23" t="s">
        <v>58</v>
      </c>
    </row>
    <row r="4051" spans="1:8" ht="54.95" customHeight="1" x14ac:dyDescent="0.2">
      <c r="A4051" s="23" t="s">
        <v>1167</v>
      </c>
      <c r="B4051" s="23" t="s">
        <v>23</v>
      </c>
      <c r="C4051" s="23" t="s">
        <v>46</v>
      </c>
      <c r="D4051" s="23" t="s">
        <v>46</v>
      </c>
      <c r="E4051" s="23" t="s">
        <v>101</v>
      </c>
      <c r="F4051" s="15" t="s">
        <v>104</v>
      </c>
      <c r="G4051" s="15" t="s">
        <v>5173</v>
      </c>
      <c r="H4051" s="23" t="s">
        <v>58</v>
      </c>
    </row>
    <row r="4052" spans="1:8" ht="54.95" customHeight="1" x14ac:dyDescent="0.2">
      <c r="A4052" s="23" t="s">
        <v>1167</v>
      </c>
      <c r="B4052" s="23" t="s">
        <v>24</v>
      </c>
      <c r="C4052" s="23" t="s">
        <v>46</v>
      </c>
      <c r="D4052" s="23" t="s">
        <v>46</v>
      </c>
      <c r="E4052" s="23" t="s">
        <v>101</v>
      </c>
      <c r="F4052" s="15" t="s">
        <v>104</v>
      </c>
      <c r="G4052" s="15" t="s">
        <v>5173</v>
      </c>
      <c r="H4052" s="23" t="s">
        <v>58</v>
      </c>
    </row>
    <row r="4053" spans="1:8" ht="54.95" customHeight="1" x14ac:dyDescent="0.2">
      <c r="A4053" s="23" t="s">
        <v>1167</v>
      </c>
      <c r="B4053" s="23" t="s">
        <v>25</v>
      </c>
      <c r="C4053" s="23" t="s">
        <v>46</v>
      </c>
      <c r="D4053" s="23" t="s">
        <v>46</v>
      </c>
      <c r="E4053" s="23" t="s">
        <v>101</v>
      </c>
      <c r="F4053" s="15" t="s">
        <v>104</v>
      </c>
      <c r="G4053" s="15" t="s">
        <v>5173</v>
      </c>
      <c r="H4053" s="23" t="s">
        <v>58</v>
      </c>
    </row>
    <row r="4054" spans="1:8" ht="54.95" customHeight="1" x14ac:dyDescent="0.2">
      <c r="A4054" s="23" t="s">
        <v>1173</v>
      </c>
      <c r="B4054" s="23" t="s">
        <v>19</v>
      </c>
      <c r="C4054" s="23" t="s">
        <v>46</v>
      </c>
      <c r="D4054" s="23" t="s">
        <v>46</v>
      </c>
      <c r="E4054" s="23" t="s">
        <v>46</v>
      </c>
      <c r="F4054" s="15" t="s">
        <v>103</v>
      </c>
      <c r="G4054" s="15" t="s">
        <v>5173</v>
      </c>
      <c r="H4054" s="23" t="s">
        <v>58</v>
      </c>
    </row>
    <row r="4055" spans="1:8" ht="54.95" customHeight="1" x14ac:dyDescent="0.2">
      <c r="A4055" s="23" t="s">
        <v>1173</v>
      </c>
      <c r="B4055" s="23" t="s">
        <v>21</v>
      </c>
      <c r="C4055" s="23" t="s">
        <v>46</v>
      </c>
      <c r="D4055" s="23" t="s">
        <v>46</v>
      </c>
      <c r="E4055" s="23" t="s">
        <v>101</v>
      </c>
      <c r="F4055" s="15" t="s">
        <v>104</v>
      </c>
      <c r="G4055" s="15" t="s">
        <v>5173</v>
      </c>
      <c r="H4055" s="23" t="s">
        <v>58</v>
      </c>
    </row>
    <row r="4056" spans="1:8" ht="54.95" customHeight="1" x14ac:dyDescent="0.2">
      <c r="A4056" s="23" t="s">
        <v>1173</v>
      </c>
      <c r="B4056" s="23" t="s">
        <v>22</v>
      </c>
      <c r="C4056" s="23" t="s">
        <v>46</v>
      </c>
      <c r="D4056" s="23" t="s">
        <v>46</v>
      </c>
      <c r="E4056" s="23" t="s">
        <v>101</v>
      </c>
      <c r="F4056" s="15" t="s">
        <v>104</v>
      </c>
      <c r="G4056" s="15" t="s">
        <v>5173</v>
      </c>
      <c r="H4056" s="23" t="s">
        <v>58</v>
      </c>
    </row>
    <row r="4057" spans="1:8" ht="54.95" customHeight="1" x14ac:dyDescent="0.2">
      <c r="A4057" s="23" t="s">
        <v>1173</v>
      </c>
      <c r="B4057" s="23" t="s">
        <v>23</v>
      </c>
      <c r="C4057" s="23" t="s">
        <v>46</v>
      </c>
      <c r="D4057" s="23" t="s">
        <v>46</v>
      </c>
      <c r="E4057" s="23" t="s">
        <v>101</v>
      </c>
      <c r="F4057" s="15" t="s">
        <v>104</v>
      </c>
      <c r="G4057" s="15" t="s">
        <v>5173</v>
      </c>
      <c r="H4057" s="23" t="s">
        <v>58</v>
      </c>
    </row>
    <row r="4058" spans="1:8" ht="54.95" customHeight="1" x14ac:dyDescent="0.2">
      <c r="A4058" s="23" t="s">
        <v>1173</v>
      </c>
      <c r="B4058" s="23" t="s">
        <v>24</v>
      </c>
      <c r="C4058" s="23" t="s">
        <v>46</v>
      </c>
      <c r="D4058" s="23" t="s">
        <v>46</v>
      </c>
      <c r="E4058" s="23" t="s">
        <v>101</v>
      </c>
      <c r="F4058" s="15" t="s">
        <v>104</v>
      </c>
      <c r="G4058" s="15" t="s">
        <v>5173</v>
      </c>
      <c r="H4058" s="23" t="s">
        <v>58</v>
      </c>
    </row>
    <row r="4059" spans="1:8" ht="54.95" customHeight="1" x14ac:dyDescent="0.2">
      <c r="A4059" s="23" t="s">
        <v>1173</v>
      </c>
      <c r="B4059" s="23" t="s">
        <v>25</v>
      </c>
      <c r="C4059" s="23" t="s">
        <v>46</v>
      </c>
      <c r="D4059" s="23" t="s">
        <v>46</v>
      </c>
      <c r="E4059" s="23" t="s">
        <v>101</v>
      </c>
      <c r="F4059" s="15" t="s">
        <v>104</v>
      </c>
      <c r="G4059" s="15" t="s">
        <v>5173</v>
      </c>
      <c r="H4059" s="23" t="s">
        <v>58</v>
      </c>
    </row>
    <row r="4060" spans="1:8" ht="54.95" customHeight="1" x14ac:dyDescent="0.2">
      <c r="A4060" s="23" t="s">
        <v>1178</v>
      </c>
      <c r="B4060" s="23" t="s">
        <v>15</v>
      </c>
      <c r="C4060" s="23" t="s">
        <v>46</v>
      </c>
      <c r="D4060" s="23" t="s">
        <v>46</v>
      </c>
      <c r="E4060" s="23" t="s">
        <v>46</v>
      </c>
      <c r="F4060" s="15" t="s">
        <v>103</v>
      </c>
      <c r="G4060" s="15" t="s">
        <v>5173</v>
      </c>
      <c r="H4060" s="23" t="s">
        <v>58</v>
      </c>
    </row>
    <row r="4061" spans="1:8" ht="54.95" customHeight="1" x14ac:dyDescent="0.2">
      <c r="A4061" s="23" t="s">
        <v>1178</v>
      </c>
      <c r="B4061" s="23" t="s">
        <v>17</v>
      </c>
      <c r="C4061" s="23" t="s">
        <v>46</v>
      </c>
      <c r="D4061" s="23" t="s">
        <v>46</v>
      </c>
      <c r="E4061" s="23" t="s">
        <v>46</v>
      </c>
      <c r="F4061" s="15" t="s">
        <v>103</v>
      </c>
      <c r="G4061" s="15" t="s">
        <v>5173</v>
      </c>
      <c r="H4061" s="23" t="s">
        <v>58</v>
      </c>
    </row>
    <row r="4062" spans="1:8" ht="54.95" customHeight="1" x14ac:dyDescent="0.2">
      <c r="A4062" s="23" t="s">
        <v>1178</v>
      </c>
      <c r="B4062" s="23" t="s">
        <v>19</v>
      </c>
      <c r="C4062" s="23" t="s">
        <v>46</v>
      </c>
      <c r="D4062" s="23" t="s">
        <v>46</v>
      </c>
      <c r="E4062" s="23" t="s">
        <v>46</v>
      </c>
      <c r="F4062" s="15" t="s">
        <v>103</v>
      </c>
      <c r="G4062" s="15" t="s">
        <v>5173</v>
      </c>
      <c r="H4062" s="23" t="s">
        <v>58</v>
      </c>
    </row>
    <row r="4063" spans="1:8" ht="54.95" customHeight="1" x14ac:dyDescent="0.2">
      <c r="A4063" s="23" t="s">
        <v>1178</v>
      </c>
      <c r="B4063" s="23" t="s">
        <v>23</v>
      </c>
      <c r="C4063" s="23" t="s">
        <v>46</v>
      </c>
      <c r="D4063" s="23" t="s">
        <v>46</v>
      </c>
      <c r="E4063" s="23" t="s">
        <v>101</v>
      </c>
      <c r="F4063" s="15" t="s">
        <v>104</v>
      </c>
      <c r="G4063" s="15" t="s">
        <v>5173</v>
      </c>
      <c r="H4063" s="23" t="s">
        <v>58</v>
      </c>
    </row>
    <row r="4064" spans="1:8" ht="54.95" customHeight="1" x14ac:dyDescent="0.2">
      <c r="A4064" s="23" t="s">
        <v>1178</v>
      </c>
      <c r="B4064" s="23" t="s">
        <v>25</v>
      </c>
      <c r="C4064" s="23" t="s">
        <v>46</v>
      </c>
      <c r="D4064" s="23" t="s">
        <v>46</v>
      </c>
      <c r="E4064" s="23" t="s">
        <v>101</v>
      </c>
      <c r="F4064" s="15" t="s">
        <v>104</v>
      </c>
      <c r="G4064" s="15" t="s">
        <v>5173</v>
      </c>
      <c r="H4064" s="23" t="s">
        <v>58</v>
      </c>
    </row>
    <row r="4065" spans="1:8" ht="54.95" customHeight="1" x14ac:dyDescent="0.2">
      <c r="A4065" s="23" t="s">
        <v>1184</v>
      </c>
      <c r="B4065" s="23" t="s">
        <v>23</v>
      </c>
      <c r="C4065" s="23" t="s">
        <v>46</v>
      </c>
      <c r="D4065" s="23" t="s">
        <v>46</v>
      </c>
      <c r="E4065" s="23" t="s">
        <v>101</v>
      </c>
      <c r="F4065" s="15" t="s">
        <v>104</v>
      </c>
      <c r="G4065" s="15" t="s">
        <v>5173</v>
      </c>
      <c r="H4065" s="23" t="s">
        <v>58</v>
      </c>
    </row>
    <row r="4066" spans="1:8" ht="54.95" customHeight="1" x14ac:dyDescent="0.2">
      <c r="A4066" s="23" t="s">
        <v>1184</v>
      </c>
      <c r="B4066" s="23" t="s">
        <v>24</v>
      </c>
      <c r="C4066" s="23" t="s">
        <v>46</v>
      </c>
      <c r="D4066" s="23" t="s">
        <v>46</v>
      </c>
      <c r="E4066" s="23" t="s">
        <v>101</v>
      </c>
      <c r="F4066" s="15" t="s">
        <v>104</v>
      </c>
      <c r="G4066" s="15" t="s">
        <v>5173</v>
      </c>
      <c r="H4066" s="23" t="s">
        <v>58</v>
      </c>
    </row>
    <row r="4067" spans="1:8" ht="54.95" customHeight="1" x14ac:dyDescent="0.2">
      <c r="A4067" s="23" t="s">
        <v>1184</v>
      </c>
      <c r="B4067" s="23" t="s">
        <v>25</v>
      </c>
      <c r="C4067" s="23" t="s">
        <v>46</v>
      </c>
      <c r="D4067" s="23" t="s">
        <v>46</v>
      </c>
      <c r="E4067" s="23" t="s">
        <v>101</v>
      </c>
      <c r="F4067" s="15" t="s">
        <v>104</v>
      </c>
      <c r="G4067" s="15" t="s">
        <v>5173</v>
      </c>
      <c r="H4067" s="23" t="s">
        <v>58</v>
      </c>
    </row>
    <row r="4068" spans="1:8" ht="54.95" customHeight="1" x14ac:dyDescent="0.2">
      <c r="A4068" s="23" t="s">
        <v>1191</v>
      </c>
      <c r="B4068" s="23" t="s">
        <v>15</v>
      </c>
      <c r="C4068" s="23" t="s">
        <v>46</v>
      </c>
      <c r="D4068" s="23" t="s">
        <v>46</v>
      </c>
      <c r="E4068" s="23" t="s">
        <v>46</v>
      </c>
      <c r="F4068" s="15" t="s">
        <v>103</v>
      </c>
      <c r="G4068" s="15" t="s">
        <v>5173</v>
      </c>
      <c r="H4068" s="23" t="s">
        <v>58</v>
      </c>
    </row>
    <row r="4069" spans="1:8" ht="54.95" customHeight="1" x14ac:dyDescent="0.2">
      <c r="A4069" s="23" t="s">
        <v>1191</v>
      </c>
      <c r="B4069" s="23" t="s">
        <v>17</v>
      </c>
      <c r="C4069" s="23" t="s">
        <v>46</v>
      </c>
      <c r="D4069" s="23" t="s">
        <v>46</v>
      </c>
      <c r="E4069" s="23" t="s">
        <v>46</v>
      </c>
      <c r="F4069" s="15" t="s">
        <v>103</v>
      </c>
      <c r="G4069" s="15" t="s">
        <v>5173</v>
      </c>
      <c r="H4069" s="23" t="s">
        <v>58</v>
      </c>
    </row>
    <row r="4070" spans="1:8" ht="54.95" customHeight="1" x14ac:dyDescent="0.2">
      <c r="A4070" s="23" t="s">
        <v>1191</v>
      </c>
      <c r="B4070" s="23" t="s">
        <v>19</v>
      </c>
      <c r="C4070" s="23" t="s">
        <v>46</v>
      </c>
      <c r="D4070" s="23" t="s">
        <v>46</v>
      </c>
      <c r="E4070" s="23" t="s">
        <v>46</v>
      </c>
      <c r="F4070" s="15" t="s">
        <v>103</v>
      </c>
      <c r="G4070" s="15" t="s">
        <v>5173</v>
      </c>
      <c r="H4070" s="23" t="s">
        <v>58</v>
      </c>
    </row>
    <row r="4071" spans="1:8" ht="54.95" customHeight="1" x14ac:dyDescent="0.2">
      <c r="A4071" s="23" t="s">
        <v>1191</v>
      </c>
      <c r="B4071" s="23" t="s">
        <v>21</v>
      </c>
      <c r="C4071" s="23" t="s">
        <v>46</v>
      </c>
      <c r="D4071" s="23" t="s">
        <v>46</v>
      </c>
      <c r="E4071" s="23" t="s">
        <v>101</v>
      </c>
      <c r="F4071" s="15" t="s">
        <v>104</v>
      </c>
      <c r="G4071" s="15" t="s">
        <v>5173</v>
      </c>
      <c r="H4071" s="23" t="s">
        <v>58</v>
      </c>
    </row>
    <row r="4072" spans="1:8" ht="54.95" customHeight="1" x14ac:dyDescent="0.2">
      <c r="A4072" s="23" t="s">
        <v>1191</v>
      </c>
      <c r="B4072" s="23" t="s">
        <v>22</v>
      </c>
      <c r="C4072" s="23" t="s">
        <v>46</v>
      </c>
      <c r="D4072" s="23" t="s">
        <v>46</v>
      </c>
      <c r="E4072" s="23" t="s">
        <v>101</v>
      </c>
      <c r="F4072" s="15" t="s">
        <v>104</v>
      </c>
      <c r="G4072" s="15" t="s">
        <v>5173</v>
      </c>
      <c r="H4072" s="23" t="s">
        <v>58</v>
      </c>
    </row>
    <row r="4073" spans="1:8" ht="54.95" customHeight="1" x14ac:dyDescent="0.2">
      <c r="A4073" s="23" t="s">
        <v>1191</v>
      </c>
      <c r="B4073" s="23" t="s">
        <v>23</v>
      </c>
      <c r="C4073" s="23" t="s">
        <v>46</v>
      </c>
      <c r="D4073" s="23" t="s">
        <v>46</v>
      </c>
      <c r="E4073" s="23" t="s">
        <v>101</v>
      </c>
      <c r="F4073" s="15" t="s">
        <v>104</v>
      </c>
      <c r="G4073" s="15" t="s">
        <v>5173</v>
      </c>
      <c r="H4073" s="23" t="s">
        <v>58</v>
      </c>
    </row>
    <row r="4074" spans="1:8" ht="54.95" customHeight="1" x14ac:dyDescent="0.2">
      <c r="A4074" s="23" t="s">
        <v>1191</v>
      </c>
      <c r="B4074" s="23" t="s">
        <v>24</v>
      </c>
      <c r="C4074" s="23" t="s">
        <v>46</v>
      </c>
      <c r="D4074" s="23" t="s">
        <v>46</v>
      </c>
      <c r="E4074" s="23" t="s">
        <v>101</v>
      </c>
      <c r="F4074" s="15" t="s">
        <v>104</v>
      </c>
      <c r="G4074" s="15" t="s">
        <v>5173</v>
      </c>
      <c r="H4074" s="23" t="s">
        <v>58</v>
      </c>
    </row>
    <row r="4075" spans="1:8" ht="54.95" customHeight="1" x14ac:dyDescent="0.2">
      <c r="A4075" s="23" t="s">
        <v>1191</v>
      </c>
      <c r="B4075" s="23" t="s">
        <v>25</v>
      </c>
      <c r="C4075" s="23" t="s">
        <v>46</v>
      </c>
      <c r="D4075" s="23" t="s">
        <v>46</v>
      </c>
      <c r="E4075" s="23" t="s">
        <v>101</v>
      </c>
      <c r="F4075" s="15" t="s">
        <v>104</v>
      </c>
      <c r="G4075" s="15" t="s">
        <v>5173</v>
      </c>
      <c r="H4075" s="23" t="s">
        <v>58</v>
      </c>
    </row>
    <row r="4076" spans="1:8" ht="54.95" customHeight="1" x14ac:dyDescent="0.2">
      <c r="A4076" s="23" t="s">
        <v>1195</v>
      </c>
      <c r="B4076" s="23" t="s">
        <v>23</v>
      </c>
      <c r="C4076" s="23" t="s">
        <v>46</v>
      </c>
      <c r="D4076" s="23" t="s">
        <v>46</v>
      </c>
      <c r="E4076" s="23" t="s">
        <v>101</v>
      </c>
      <c r="F4076" s="15" t="s">
        <v>104</v>
      </c>
      <c r="G4076" s="15" t="s">
        <v>5173</v>
      </c>
      <c r="H4076" s="23" t="s">
        <v>58</v>
      </c>
    </row>
    <row r="4077" spans="1:8" ht="54.95" customHeight="1" x14ac:dyDescent="0.2">
      <c r="A4077" s="23" t="s">
        <v>1195</v>
      </c>
      <c r="B4077" s="23" t="s">
        <v>24</v>
      </c>
      <c r="C4077" s="23" t="s">
        <v>46</v>
      </c>
      <c r="D4077" s="23" t="s">
        <v>46</v>
      </c>
      <c r="E4077" s="23" t="s">
        <v>101</v>
      </c>
      <c r="F4077" s="15" t="s">
        <v>104</v>
      </c>
      <c r="G4077" s="15" t="s">
        <v>5173</v>
      </c>
      <c r="H4077" s="23" t="s">
        <v>58</v>
      </c>
    </row>
    <row r="4078" spans="1:8" ht="54.95" customHeight="1" x14ac:dyDescent="0.2">
      <c r="A4078" s="23" t="s">
        <v>1195</v>
      </c>
      <c r="B4078" s="23" t="s">
        <v>25</v>
      </c>
      <c r="C4078" s="23" t="s">
        <v>46</v>
      </c>
      <c r="D4078" s="23" t="s">
        <v>46</v>
      </c>
      <c r="E4078" s="23" t="s">
        <v>101</v>
      </c>
      <c r="F4078" s="15" t="s">
        <v>104</v>
      </c>
      <c r="G4078" s="15" t="s">
        <v>5173</v>
      </c>
      <c r="H4078" s="23" t="s">
        <v>58</v>
      </c>
    </row>
    <row r="4079" spans="1:8" ht="54.95" customHeight="1" x14ac:dyDescent="0.2">
      <c r="A4079" s="23" t="s">
        <v>1201</v>
      </c>
      <c r="B4079" s="23" t="s">
        <v>3</v>
      </c>
      <c r="C4079" s="23" t="s">
        <v>46</v>
      </c>
      <c r="D4079" s="23" t="s">
        <v>46</v>
      </c>
      <c r="E4079" s="23" t="s">
        <v>46</v>
      </c>
      <c r="F4079" s="15" t="s">
        <v>198</v>
      </c>
      <c r="G4079" s="15" t="s">
        <v>5173</v>
      </c>
      <c r="H4079" s="23" t="s">
        <v>58</v>
      </c>
    </row>
    <row r="4080" spans="1:8" ht="54.95" customHeight="1" x14ac:dyDescent="0.2">
      <c r="A4080" s="23" t="s">
        <v>1201</v>
      </c>
      <c r="B4080" s="23" t="s">
        <v>6</v>
      </c>
      <c r="C4080" s="23" t="s">
        <v>46</v>
      </c>
      <c r="D4080" s="23" t="s">
        <v>46</v>
      </c>
      <c r="E4080" s="23" t="s">
        <v>46</v>
      </c>
      <c r="F4080" s="15" t="s">
        <v>198</v>
      </c>
      <c r="G4080" s="15" t="s">
        <v>5173</v>
      </c>
      <c r="H4080" s="23" t="s">
        <v>58</v>
      </c>
    </row>
    <row r="4081" spans="1:8" ht="54.95" customHeight="1" x14ac:dyDescent="0.2">
      <c r="A4081" s="23" t="s">
        <v>1201</v>
      </c>
      <c r="B4081" s="23" t="s">
        <v>7</v>
      </c>
      <c r="C4081" s="23" t="s">
        <v>46</v>
      </c>
      <c r="D4081" s="23" t="s">
        <v>46</v>
      </c>
      <c r="E4081" s="23" t="s">
        <v>46</v>
      </c>
      <c r="F4081" s="15" t="s">
        <v>198</v>
      </c>
      <c r="G4081" s="15" t="s">
        <v>5173</v>
      </c>
      <c r="H4081" s="23" t="s">
        <v>58</v>
      </c>
    </row>
    <row r="4082" spans="1:8" ht="54.95" customHeight="1" x14ac:dyDescent="0.2">
      <c r="A4082" s="23" t="s">
        <v>1201</v>
      </c>
      <c r="B4082" s="23" t="s">
        <v>8</v>
      </c>
      <c r="C4082" s="23" t="s">
        <v>46</v>
      </c>
      <c r="D4082" s="23" t="s">
        <v>46</v>
      </c>
      <c r="E4082" s="23" t="s">
        <v>46</v>
      </c>
      <c r="F4082" s="15" t="s">
        <v>198</v>
      </c>
      <c r="G4082" s="15" t="s">
        <v>5173</v>
      </c>
      <c r="H4082" s="23" t="s">
        <v>58</v>
      </c>
    </row>
    <row r="4083" spans="1:8" ht="54.95" customHeight="1" x14ac:dyDescent="0.2">
      <c r="A4083" s="23" t="s">
        <v>1201</v>
      </c>
      <c r="B4083" s="23" t="s">
        <v>9</v>
      </c>
      <c r="C4083" s="23" t="s">
        <v>46</v>
      </c>
      <c r="D4083" s="23" t="s">
        <v>46</v>
      </c>
      <c r="E4083" s="23" t="s">
        <v>46</v>
      </c>
      <c r="F4083" s="15" t="s">
        <v>198</v>
      </c>
      <c r="G4083" s="15" t="s">
        <v>5173</v>
      </c>
      <c r="H4083" s="23" t="s">
        <v>58</v>
      </c>
    </row>
    <row r="4084" spans="1:8" ht="54.95" customHeight="1" x14ac:dyDescent="0.2">
      <c r="A4084" s="23" t="s">
        <v>1201</v>
      </c>
      <c r="B4084" s="23" t="s">
        <v>10</v>
      </c>
      <c r="C4084" s="23" t="s">
        <v>46</v>
      </c>
      <c r="D4084" s="23" t="s">
        <v>46</v>
      </c>
      <c r="E4084" s="23" t="s">
        <v>46</v>
      </c>
      <c r="F4084" s="15" t="s">
        <v>198</v>
      </c>
      <c r="G4084" s="15" t="s">
        <v>5173</v>
      </c>
      <c r="H4084" s="23" t="s">
        <v>58</v>
      </c>
    </row>
    <row r="4085" spans="1:8" ht="54.95" customHeight="1" x14ac:dyDescent="0.2">
      <c r="A4085" s="23" t="s">
        <v>1201</v>
      </c>
      <c r="B4085" s="23" t="s">
        <v>11</v>
      </c>
      <c r="C4085" s="23" t="s">
        <v>46</v>
      </c>
      <c r="D4085" s="23" t="s">
        <v>46</v>
      </c>
      <c r="E4085" s="23" t="s">
        <v>46</v>
      </c>
      <c r="F4085" s="15" t="s">
        <v>198</v>
      </c>
      <c r="G4085" s="15" t="s">
        <v>5173</v>
      </c>
      <c r="H4085" s="23" t="s">
        <v>58</v>
      </c>
    </row>
    <row r="4086" spans="1:8" ht="54.95" customHeight="1" x14ac:dyDescent="0.2">
      <c r="A4086" s="23" t="s">
        <v>1201</v>
      </c>
      <c r="B4086" s="23" t="s">
        <v>13</v>
      </c>
      <c r="C4086" s="23" t="s">
        <v>46</v>
      </c>
      <c r="D4086" s="23" t="s">
        <v>46</v>
      </c>
      <c r="E4086" s="23" t="s">
        <v>46</v>
      </c>
      <c r="F4086" s="15" t="s">
        <v>198</v>
      </c>
      <c r="G4086" s="15" t="s">
        <v>5173</v>
      </c>
      <c r="H4086" s="23" t="s">
        <v>58</v>
      </c>
    </row>
    <row r="4087" spans="1:8" ht="54.95" customHeight="1" x14ac:dyDescent="0.2">
      <c r="A4087" s="23" t="s">
        <v>1201</v>
      </c>
      <c r="B4087" s="23" t="s">
        <v>14</v>
      </c>
      <c r="C4087" s="23" t="s">
        <v>46</v>
      </c>
      <c r="D4087" s="23" t="s">
        <v>46</v>
      </c>
      <c r="E4087" s="23" t="s">
        <v>46</v>
      </c>
      <c r="F4087" s="15" t="s">
        <v>198</v>
      </c>
      <c r="G4087" s="15" t="s">
        <v>5173</v>
      </c>
      <c r="H4087" s="23" t="s">
        <v>58</v>
      </c>
    </row>
    <row r="4088" spans="1:8" ht="54.95" customHeight="1" x14ac:dyDescent="0.2">
      <c r="A4088" s="23" t="s">
        <v>1201</v>
      </c>
      <c r="B4088" s="23" t="s">
        <v>15</v>
      </c>
      <c r="C4088" s="23" t="s">
        <v>46</v>
      </c>
      <c r="D4088" s="23" t="s">
        <v>46</v>
      </c>
      <c r="E4088" s="23" t="s">
        <v>46</v>
      </c>
      <c r="F4088" s="15" t="s">
        <v>103</v>
      </c>
      <c r="G4088" s="15" t="s">
        <v>5173</v>
      </c>
      <c r="H4088" s="23" t="s">
        <v>58</v>
      </c>
    </row>
    <row r="4089" spans="1:8" ht="54.95" customHeight="1" x14ac:dyDescent="0.2">
      <c r="A4089" s="23" t="s">
        <v>1201</v>
      </c>
      <c r="B4089" s="23" t="s">
        <v>17</v>
      </c>
      <c r="C4089" s="23" t="s">
        <v>46</v>
      </c>
      <c r="D4089" s="23" t="s">
        <v>46</v>
      </c>
      <c r="E4089" s="23" t="s">
        <v>46</v>
      </c>
      <c r="F4089" s="15" t="s">
        <v>103</v>
      </c>
      <c r="G4089" s="15" t="s">
        <v>5173</v>
      </c>
      <c r="H4089" s="23" t="s">
        <v>58</v>
      </c>
    </row>
    <row r="4090" spans="1:8" ht="54.95" customHeight="1" x14ac:dyDescent="0.2">
      <c r="A4090" s="23" t="s">
        <v>1201</v>
      </c>
      <c r="B4090" s="23" t="s">
        <v>19</v>
      </c>
      <c r="C4090" s="23" t="s">
        <v>46</v>
      </c>
      <c r="D4090" s="23" t="s">
        <v>46</v>
      </c>
      <c r="E4090" s="23" t="s">
        <v>46</v>
      </c>
      <c r="F4090" s="15" t="s">
        <v>103</v>
      </c>
      <c r="G4090" s="15" t="s">
        <v>5173</v>
      </c>
      <c r="H4090" s="23" t="s">
        <v>58</v>
      </c>
    </row>
    <row r="4091" spans="1:8" ht="54.95" customHeight="1" x14ac:dyDescent="0.2">
      <c r="A4091" s="23" t="s">
        <v>1201</v>
      </c>
      <c r="B4091" s="23" t="s">
        <v>21</v>
      </c>
      <c r="C4091" s="23" t="s">
        <v>46</v>
      </c>
      <c r="D4091" s="23" t="s">
        <v>46</v>
      </c>
      <c r="E4091" s="23" t="s">
        <v>101</v>
      </c>
      <c r="F4091" s="15" t="s">
        <v>104</v>
      </c>
      <c r="G4091" s="15" t="s">
        <v>5173</v>
      </c>
      <c r="H4091" s="23" t="s">
        <v>58</v>
      </c>
    </row>
    <row r="4092" spans="1:8" ht="54.95" customHeight="1" x14ac:dyDescent="0.2">
      <c r="A4092" s="23" t="s">
        <v>1201</v>
      </c>
      <c r="B4092" s="23" t="s">
        <v>22</v>
      </c>
      <c r="C4092" s="23" t="s">
        <v>46</v>
      </c>
      <c r="D4092" s="23" t="s">
        <v>46</v>
      </c>
      <c r="E4092" s="23" t="s">
        <v>101</v>
      </c>
      <c r="F4092" s="15" t="s">
        <v>104</v>
      </c>
      <c r="G4092" s="15" t="s">
        <v>5173</v>
      </c>
      <c r="H4092" s="23" t="s">
        <v>58</v>
      </c>
    </row>
    <row r="4093" spans="1:8" ht="54.95" customHeight="1" x14ac:dyDescent="0.2">
      <c r="A4093" s="23" t="s">
        <v>1201</v>
      </c>
      <c r="B4093" s="23" t="s">
        <v>23</v>
      </c>
      <c r="C4093" s="23" t="s">
        <v>46</v>
      </c>
      <c r="D4093" s="23" t="s">
        <v>46</v>
      </c>
      <c r="E4093" s="23" t="s">
        <v>101</v>
      </c>
      <c r="F4093" s="15" t="s">
        <v>104</v>
      </c>
      <c r="G4093" s="15" t="s">
        <v>5173</v>
      </c>
      <c r="H4093" s="23" t="s">
        <v>58</v>
      </c>
    </row>
    <row r="4094" spans="1:8" ht="54.95" customHeight="1" x14ac:dyDescent="0.2">
      <c r="A4094" s="23" t="s">
        <v>1201</v>
      </c>
      <c r="B4094" s="23" t="s">
        <v>24</v>
      </c>
      <c r="C4094" s="23" t="s">
        <v>46</v>
      </c>
      <c r="D4094" s="23" t="s">
        <v>46</v>
      </c>
      <c r="E4094" s="23" t="s">
        <v>101</v>
      </c>
      <c r="F4094" s="15" t="s">
        <v>104</v>
      </c>
      <c r="G4094" s="15" t="s">
        <v>5173</v>
      </c>
      <c r="H4094" s="23" t="s">
        <v>58</v>
      </c>
    </row>
    <row r="4095" spans="1:8" ht="54.95" customHeight="1" x14ac:dyDescent="0.2">
      <c r="A4095" s="23" t="s">
        <v>1201</v>
      </c>
      <c r="B4095" s="23" t="s">
        <v>25</v>
      </c>
      <c r="C4095" s="23" t="s">
        <v>46</v>
      </c>
      <c r="D4095" s="23" t="s">
        <v>46</v>
      </c>
      <c r="E4095" s="23" t="s">
        <v>101</v>
      </c>
      <c r="F4095" s="15" t="s">
        <v>104</v>
      </c>
      <c r="G4095" s="15" t="s">
        <v>5173</v>
      </c>
      <c r="H4095" s="23" t="s">
        <v>58</v>
      </c>
    </row>
    <row r="4096" spans="1:8" ht="54.95" customHeight="1" x14ac:dyDescent="0.2">
      <c r="A4096" s="23" t="s">
        <v>1205</v>
      </c>
      <c r="B4096" s="23" t="s">
        <v>19</v>
      </c>
      <c r="C4096" s="23" t="s">
        <v>46</v>
      </c>
      <c r="D4096" s="23" t="s">
        <v>46</v>
      </c>
      <c r="E4096" s="23" t="s">
        <v>46</v>
      </c>
      <c r="F4096" s="15" t="s">
        <v>103</v>
      </c>
      <c r="G4096" s="15" t="s">
        <v>5173</v>
      </c>
      <c r="H4096" s="23" t="s">
        <v>58</v>
      </c>
    </row>
    <row r="4097" spans="1:8" ht="54.95" customHeight="1" x14ac:dyDescent="0.2">
      <c r="A4097" s="23" t="s">
        <v>1205</v>
      </c>
      <c r="B4097" s="23" t="s">
        <v>21</v>
      </c>
      <c r="C4097" s="23" t="s">
        <v>46</v>
      </c>
      <c r="D4097" s="23" t="s">
        <v>46</v>
      </c>
      <c r="E4097" s="23" t="s">
        <v>101</v>
      </c>
      <c r="F4097" s="15" t="s">
        <v>104</v>
      </c>
      <c r="G4097" s="15" t="s">
        <v>5173</v>
      </c>
      <c r="H4097" s="23" t="s">
        <v>58</v>
      </c>
    </row>
    <row r="4098" spans="1:8" ht="54.95" customHeight="1" x14ac:dyDescent="0.2">
      <c r="A4098" s="23" t="s">
        <v>1205</v>
      </c>
      <c r="B4098" s="23" t="s">
        <v>22</v>
      </c>
      <c r="C4098" s="23" t="s">
        <v>46</v>
      </c>
      <c r="D4098" s="23" t="s">
        <v>46</v>
      </c>
      <c r="E4098" s="23" t="s">
        <v>101</v>
      </c>
      <c r="F4098" s="15" t="s">
        <v>104</v>
      </c>
      <c r="G4098" s="15" t="s">
        <v>5173</v>
      </c>
      <c r="H4098" s="23" t="s">
        <v>58</v>
      </c>
    </row>
    <row r="4099" spans="1:8" ht="54.95" customHeight="1" x14ac:dyDescent="0.2">
      <c r="A4099" s="23" t="s">
        <v>1205</v>
      </c>
      <c r="B4099" s="23" t="s">
        <v>23</v>
      </c>
      <c r="C4099" s="23" t="s">
        <v>46</v>
      </c>
      <c r="D4099" s="23" t="s">
        <v>46</v>
      </c>
      <c r="E4099" s="23" t="s">
        <v>101</v>
      </c>
      <c r="F4099" s="15" t="s">
        <v>104</v>
      </c>
      <c r="G4099" s="15" t="s">
        <v>5173</v>
      </c>
      <c r="H4099" s="23" t="s">
        <v>58</v>
      </c>
    </row>
    <row r="4100" spans="1:8" ht="54.95" customHeight="1" x14ac:dyDescent="0.2">
      <c r="A4100" s="23" t="s">
        <v>1205</v>
      </c>
      <c r="B4100" s="23" t="s">
        <v>24</v>
      </c>
      <c r="C4100" s="23" t="s">
        <v>46</v>
      </c>
      <c r="D4100" s="23" t="s">
        <v>46</v>
      </c>
      <c r="E4100" s="23" t="s">
        <v>101</v>
      </c>
      <c r="F4100" s="15" t="s">
        <v>104</v>
      </c>
      <c r="G4100" s="15" t="s">
        <v>5173</v>
      </c>
      <c r="H4100" s="23" t="s">
        <v>58</v>
      </c>
    </row>
    <row r="4101" spans="1:8" ht="54.95" customHeight="1" x14ac:dyDescent="0.2">
      <c r="A4101" s="23" t="s">
        <v>1205</v>
      </c>
      <c r="B4101" s="23" t="s">
        <v>25</v>
      </c>
      <c r="C4101" s="23" t="s">
        <v>46</v>
      </c>
      <c r="D4101" s="23" t="s">
        <v>46</v>
      </c>
      <c r="E4101" s="23" t="s">
        <v>101</v>
      </c>
      <c r="F4101" s="15" t="s">
        <v>104</v>
      </c>
      <c r="G4101" s="15" t="s">
        <v>5173</v>
      </c>
      <c r="H4101" s="23" t="s">
        <v>58</v>
      </c>
    </row>
    <row r="4102" spans="1:8" ht="54.95" customHeight="1" x14ac:dyDescent="0.2">
      <c r="A4102" s="23" t="s">
        <v>1210</v>
      </c>
      <c r="B4102" s="23" t="s">
        <v>3</v>
      </c>
      <c r="C4102" s="23" t="s">
        <v>46</v>
      </c>
      <c r="D4102" s="23" t="s">
        <v>46</v>
      </c>
      <c r="E4102" s="23" t="s">
        <v>46</v>
      </c>
      <c r="F4102" s="15" t="s">
        <v>198</v>
      </c>
      <c r="G4102" s="15" t="s">
        <v>5173</v>
      </c>
      <c r="H4102" s="23" t="s">
        <v>58</v>
      </c>
    </row>
    <row r="4103" spans="1:8" ht="54.95" customHeight="1" x14ac:dyDescent="0.2">
      <c r="A4103" s="23" t="s">
        <v>1210</v>
      </c>
      <c r="B4103" s="23" t="s">
        <v>6</v>
      </c>
      <c r="C4103" s="23" t="s">
        <v>46</v>
      </c>
      <c r="D4103" s="23" t="s">
        <v>46</v>
      </c>
      <c r="E4103" s="23" t="s">
        <v>46</v>
      </c>
      <c r="F4103" s="15" t="s">
        <v>198</v>
      </c>
      <c r="G4103" s="15" t="s">
        <v>5173</v>
      </c>
      <c r="H4103" s="23" t="s">
        <v>58</v>
      </c>
    </row>
    <row r="4104" spans="1:8" ht="54.95" customHeight="1" x14ac:dyDescent="0.2">
      <c r="A4104" s="23" t="s">
        <v>1210</v>
      </c>
      <c r="B4104" s="23" t="s">
        <v>7</v>
      </c>
      <c r="C4104" s="23" t="s">
        <v>46</v>
      </c>
      <c r="D4104" s="23" t="s">
        <v>46</v>
      </c>
      <c r="E4104" s="23" t="s">
        <v>46</v>
      </c>
      <c r="F4104" s="15" t="s">
        <v>198</v>
      </c>
      <c r="G4104" s="15" t="s">
        <v>5173</v>
      </c>
      <c r="H4104" s="23" t="s">
        <v>58</v>
      </c>
    </row>
    <row r="4105" spans="1:8" ht="54.95" customHeight="1" x14ac:dyDescent="0.2">
      <c r="A4105" s="23" t="s">
        <v>1210</v>
      </c>
      <c r="B4105" s="23" t="s">
        <v>8</v>
      </c>
      <c r="C4105" s="23" t="s">
        <v>46</v>
      </c>
      <c r="D4105" s="23" t="s">
        <v>46</v>
      </c>
      <c r="E4105" s="23" t="s">
        <v>46</v>
      </c>
      <c r="F4105" s="15" t="s">
        <v>198</v>
      </c>
      <c r="G4105" s="15" t="s">
        <v>5173</v>
      </c>
      <c r="H4105" s="23" t="s">
        <v>58</v>
      </c>
    </row>
    <row r="4106" spans="1:8" ht="54.95" customHeight="1" x14ac:dyDescent="0.2">
      <c r="A4106" s="23" t="s">
        <v>1210</v>
      </c>
      <c r="B4106" s="23" t="s">
        <v>9</v>
      </c>
      <c r="C4106" s="23" t="s">
        <v>46</v>
      </c>
      <c r="D4106" s="23" t="s">
        <v>46</v>
      </c>
      <c r="E4106" s="23" t="s">
        <v>46</v>
      </c>
      <c r="F4106" s="15" t="s">
        <v>198</v>
      </c>
      <c r="G4106" s="15" t="s">
        <v>5173</v>
      </c>
      <c r="H4106" s="23" t="s">
        <v>58</v>
      </c>
    </row>
    <row r="4107" spans="1:8" ht="54.95" customHeight="1" x14ac:dyDescent="0.2">
      <c r="A4107" s="23" t="s">
        <v>1210</v>
      </c>
      <c r="B4107" s="23" t="s">
        <v>10</v>
      </c>
      <c r="C4107" s="23" t="s">
        <v>46</v>
      </c>
      <c r="D4107" s="23" t="s">
        <v>46</v>
      </c>
      <c r="E4107" s="23" t="s">
        <v>46</v>
      </c>
      <c r="F4107" s="15" t="s">
        <v>198</v>
      </c>
      <c r="G4107" s="15" t="s">
        <v>5173</v>
      </c>
      <c r="H4107" s="23" t="s">
        <v>58</v>
      </c>
    </row>
    <row r="4108" spans="1:8" ht="54.95" customHeight="1" x14ac:dyDescent="0.2">
      <c r="A4108" s="23" t="s">
        <v>1210</v>
      </c>
      <c r="B4108" s="23" t="s">
        <v>11</v>
      </c>
      <c r="C4108" s="23" t="s">
        <v>46</v>
      </c>
      <c r="D4108" s="23" t="s">
        <v>46</v>
      </c>
      <c r="E4108" s="23" t="s">
        <v>46</v>
      </c>
      <c r="F4108" s="15" t="s">
        <v>198</v>
      </c>
      <c r="G4108" s="15" t="s">
        <v>5173</v>
      </c>
      <c r="H4108" s="23" t="s">
        <v>58</v>
      </c>
    </row>
    <row r="4109" spans="1:8" ht="54.95" customHeight="1" x14ac:dyDescent="0.2">
      <c r="A4109" s="23" t="s">
        <v>1210</v>
      </c>
      <c r="B4109" s="23" t="s">
        <v>13</v>
      </c>
      <c r="C4109" s="23" t="s">
        <v>46</v>
      </c>
      <c r="D4109" s="23" t="s">
        <v>46</v>
      </c>
      <c r="E4109" s="23" t="s">
        <v>46</v>
      </c>
      <c r="F4109" s="15" t="s">
        <v>198</v>
      </c>
      <c r="G4109" s="15" t="s">
        <v>5173</v>
      </c>
      <c r="H4109" s="23" t="s">
        <v>58</v>
      </c>
    </row>
    <row r="4110" spans="1:8" ht="54.95" customHeight="1" x14ac:dyDescent="0.2">
      <c r="A4110" s="23" t="s">
        <v>1210</v>
      </c>
      <c r="B4110" s="23" t="s">
        <v>14</v>
      </c>
      <c r="C4110" s="23" t="s">
        <v>46</v>
      </c>
      <c r="D4110" s="23" t="s">
        <v>46</v>
      </c>
      <c r="E4110" s="23" t="s">
        <v>46</v>
      </c>
      <c r="F4110" s="15" t="s">
        <v>198</v>
      </c>
      <c r="G4110" s="15" t="s">
        <v>5173</v>
      </c>
      <c r="H4110" s="23" t="s">
        <v>58</v>
      </c>
    </row>
    <row r="4111" spans="1:8" ht="54.95" customHeight="1" x14ac:dyDescent="0.2">
      <c r="A4111" s="23" t="s">
        <v>1210</v>
      </c>
      <c r="B4111" s="23" t="s">
        <v>15</v>
      </c>
      <c r="C4111" s="23" t="s">
        <v>46</v>
      </c>
      <c r="D4111" s="23" t="s">
        <v>46</v>
      </c>
      <c r="E4111" s="23" t="s">
        <v>46</v>
      </c>
      <c r="F4111" s="15" t="s">
        <v>103</v>
      </c>
      <c r="G4111" s="15" t="s">
        <v>5173</v>
      </c>
      <c r="H4111" s="23" t="s">
        <v>58</v>
      </c>
    </row>
    <row r="4112" spans="1:8" ht="54.95" customHeight="1" x14ac:dyDescent="0.2">
      <c r="A4112" s="23" t="s">
        <v>1210</v>
      </c>
      <c r="B4112" s="23" t="s">
        <v>17</v>
      </c>
      <c r="C4112" s="23" t="s">
        <v>46</v>
      </c>
      <c r="D4112" s="23" t="s">
        <v>46</v>
      </c>
      <c r="E4112" s="23" t="s">
        <v>46</v>
      </c>
      <c r="F4112" s="15" t="s">
        <v>103</v>
      </c>
      <c r="G4112" s="15" t="s">
        <v>5173</v>
      </c>
      <c r="H4112" s="23" t="s">
        <v>58</v>
      </c>
    </row>
    <row r="4113" spans="1:8" ht="54.95" customHeight="1" x14ac:dyDescent="0.2">
      <c r="A4113" s="23" t="s">
        <v>1210</v>
      </c>
      <c r="B4113" s="23" t="s">
        <v>19</v>
      </c>
      <c r="C4113" s="23" t="s">
        <v>46</v>
      </c>
      <c r="D4113" s="23" t="s">
        <v>46</v>
      </c>
      <c r="E4113" s="23" t="s">
        <v>46</v>
      </c>
      <c r="F4113" s="15" t="s">
        <v>103</v>
      </c>
      <c r="G4113" s="15" t="s">
        <v>5173</v>
      </c>
      <c r="H4113" s="23" t="s">
        <v>58</v>
      </c>
    </row>
    <row r="4114" spans="1:8" ht="54.95" customHeight="1" x14ac:dyDescent="0.2">
      <c r="A4114" s="23" t="s">
        <v>1210</v>
      </c>
      <c r="B4114" s="23" t="s">
        <v>21</v>
      </c>
      <c r="C4114" s="23" t="s">
        <v>46</v>
      </c>
      <c r="D4114" s="23" t="s">
        <v>46</v>
      </c>
      <c r="E4114" s="23" t="s">
        <v>101</v>
      </c>
      <c r="F4114" s="15" t="s">
        <v>104</v>
      </c>
      <c r="G4114" s="15" t="s">
        <v>5173</v>
      </c>
      <c r="H4114" s="23" t="s">
        <v>58</v>
      </c>
    </row>
    <row r="4115" spans="1:8" ht="54.95" customHeight="1" x14ac:dyDescent="0.2">
      <c r="A4115" s="23" t="s">
        <v>1210</v>
      </c>
      <c r="B4115" s="23" t="s">
        <v>22</v>
      </c>
      <c r="C4115" s="23" t="s">
        <v>46</v>
      </c>
      <c r="D4115" s="23" t="s">
        <v>46</v>
      </c>
      <c r="E4115" s="23" t="s">
        <v>101</v>
      </c>
      <c r="F4115" s="15" t="s">
        <v>104</v>
      </c>
      <c r="G4115" s="15" t="s">
        <v>5173</v>
      </c>
      <c r="H4115" s="23" t="s">
        <v>58</v>
      </c>
    </row>
    <row r="4116" spans="1:8" ht="54.95" customHeight="1" x14ac:dyDescent="0.2">
      <c r="A4116" s="23" t="s">
        <v>1210</v>
      </c>
      <c r="B4116" s="23" t="s">
        <v>23</v>
      </c>
      <c r="C4116" s="23" t="s">
        <v>46</v>
      </c>
      <c r="D4116" s="23" t="s">
        <v>46</v>
      </c>
      <c r="E4116" s="23" t="s">
        <v>101</v>
      </c>
      <c r="F4116" s="15" t="s">
        <v>104</v>
      </c>
      <c r="G4116" s="15" t="s">
        <v>5173</v>
      </c>
      <c r="H4116" s="23" t="s">
        <v>58</v>
      </c>
    </row>
    <row r="4117" spans="1:8" ht="54.95" customHeight="1" x14ac:dyDescent="0.2">
      <c r="A4117" s="23" t="s">
        <v>1210</v>
      </c>
      <c r="B4117" s="23" t="s">
        <v>24</v>
      </c>
      <c r="C4117" s="23" t="s">
        <v>46</v>
      </c>
      <c r="D4117" s="23" t="s">
        <v>46</v>
      </c>
      <c r="E4117" s="23" t="s">
        <v>101</v>
      </c>
      <c r="F4117" s="15" t="s">
        <v>104</v>
      </c>
      <c r="G4117" s="15" t="s">
        <v>5173</v>
      </c>
      <c r="H4117" s="23" t="s">
        <v>58</v>
      </c>
    </row>
    <row r="4118" spans="1:8" ht="54.95" customHeight="1" x14ac:dyDescent="0.2">
      <c r="A4118" s="23" t="s">
        <v>1210</v>
      </c>
      <c r="B4118" s="23" t="s">
        <v>25</v>
      </c>
      <c r="C4118" s="23" t="s">
        <v>46</v>
      </c>
      <c r="D4118" s="23" t="s">
        <v>46</v>
      </c>
      <c r="E4118" s="23" t="s">
        <v>101</v>
      </c>
      <c r="F4118" s="15" t="s">
        <v>104</v>
      </c>
      <c r="G4118" s="15" t="s">
        <v>5173</v>
      </c>
      <c r="H4118" s="23" t="s">
        <v>58</v>
      </c>
    </row>
    <row r="4119" spans="1:8" ht="54.95" customHeight="1" x14ac:dyDescent="0.2">
      <c r="A4119" s="23" t="s">
        <v>1214</v>
      </c>
      <c r="B4119" s="23" t="s">
        <v>23</v>
      </c>
      <c r="C4119" s="23" t="s">
        <v>46</v>
      </c>
      <c r="D4119" s="23" t="s">
        <v>46</v>
      </c>
      <c r="E4119" s="23" t="s">
        <v>101</v>
      </c>
      <c r="F4119" s="15" t="s">
        <v>104</v>
      </c>
      <c r="G4119" s="15" t="s">
        <v>5173</v>
      </c>
      <c r="H4119" s="23" t="s">
        <v>58</v>
      </c>
    </row>
    <row r="4120" spans="1:8" ht="54.95" customHeight="1" x14ac:dyDescent="0.2">
      <c r="A4120" s="23" t="s">
        <v>1214</v>
      </c>
      <c r="B4120" s="23" t="s">
        <v>24</v>
      </c>
      <c r="C4120" s="23" t="s">
        <v>46</v>
      </c>
      <c r="D4120" s="23" t="s">
        <v>46</v>
      </c>
      <c r="E4120" s="23" t="s">
        <v>101</v>
      </c>
      <c r="F4120" s="15" t="s">
        <v>104</v>
      </c>
      <c r="G4120" s="15" t="s">
        <v>5173</v>
      </c>
      <c r="H4120" s="23" t="s">
        <v>58</v>
      </c>
    </row>
    <row r="4121" spans="1:8" ht="54.95" customHeight="1" x14ac:dyDescent="0.2">
      <c r="A4121" s="23" t="s">
        <v>1214</v>
      </c>
      <c r="B4121" s="23" t="s">
        <v>25</v>
      </c>
      <c r="C4121" s="23" t="s">
        <v>46</v>
      </c>
      <c r="D4121" s="23" t="s">
        <v>46</v>
      </c>
      <c r="E4121" s="23" t="s">
        <v>101</v>
      </c>
      <c r="F4121" s="15" t="s">
        <v>104</v>
      </c>
      <c r="G4121" s="15" t="s">
        <v>5173</v>
      </c>
      <c r="H4121" s="23" t="s">
        <v>58</v>
      </c>
    </row>
    <row r="4122" spans="1:8" ht="54.95" customHeight="1" x14ac:dyDescent="0.2">
      <c r="A4122" s="23" t="s">
        <v>1220</v>
      </c>
      <c r="B4122" s="23" t="s">
        <v>21</v>
      </c>
      <c r="C4122" s="23" t="s">
        <v>46</v>
      </c>
      <c r="D4122" s="23" t="s">
        <v>46</v>
      </c>
      <c r="E4122" s="23" t="s">
        <v>101</v>
      </c>
      <c r="F4122" s="15" t="s">
        <v>104</v>
      </c>
      <c r="G4122" s="15" t="s">
        <v>5173</v>
      </c>
      <c r="H4122" s="23" t="s">
        <v>58</v>
      </c>
    </row>
    <row r="4123" spans="1:8" ht="54.95" customHeight="1" x14ac:dyDescent="0.2">
      <c r="A4123" s="23" t="s">
        <v>1220</v>
      </c>
      <c r="B4123" s="23" t="s">
        <v>22</v>
      </c>
      <c r="C4123" s="23" t="s">
        <v>46</v>
      </c>
      <c r="D4123" s="23" t="s">
        <v>46</v>
      </c>
      <c r="E4123" s="23" t="s">
        <v>101</v>
      </c>
      <c r="F4123" s="15" t="s">
        <v>104</v>
      </c>
      <c r="G4123" s="15" t="s">
        <v>5173</v>
      </c>
      <c r="H4123" s="23" t="s">
        <v>58</v>
      </c>
    </row>
    <row r="4124" spans="1:8" ht="54.95" customHeight="1" x14ac:dyDescent="0.2">
      <c r="A4124" s="23" t="s">
        <v>1220</v>
      </c>
      <c r="B4124" s="23" t="s">
        <v>23</v>
      </c>
      <c r="C4124" s="23" t="s">
        <v>46</v>
      </c>
      <c r="D4124" s="23" t="s">
        <v>46</v>
      </c>
      <c r="E4124" s="23" t="s">
        <v>101</v>
      </c>
      <c r="F4124" s="15" t="s">
        <v>104</v>
      </c>
      <c r="G4124" s="15" t="s">
        <v>5173</v>
      </c>
      <c r="H4124" s="23" t="s">
        <v>58</v>
      </c>
    </row>
    <row r="4125" spans="1:8" ht="54.95" customHeight="1" x14ac:dyDescent="0.2">
      <c r="A4125" s="23" t="s">
        <v>1220</v>
      </c>
      <c r="B4125" s="23" t="s">
        <v>24</v>
      </c>
      <c r="C4125" s="23" t="s">
        <v>46</v>
      </c>
      <c r="D4125" s="23" t="s">
        <v>46</v>
      </c>
      <c r="E4125" s="23" t="s">
        <v>101</v>
      </c>
      <c r="F4125" s="15" t="s">
        <v>104</v>
      </c>
      <c r="G4125" s="15" t="s">
        <v>5173</v>
      </c>
      <c r="H4125" s="23" t="s">
        <v>58</v>
      </c>
    </row>
    <row r="4126" spans="1:8" ht="54.95" customHeight="1" x14ac:dyDescent="0.2">
      <c r="A4126" s="23" t="s">
        <v>1220</v>
      </c>
      <c r="B4126" s="23" t="s">
        <v>25</v>
      </c>
      <c r="C4126" s="23" t="s">
        <v>46</v>
      </c>
      <c r="D4126" s="23" t="s">
        <v>46</v>
      </c>
      <c r="E4126" s="23" t="s">
        <v>101</v>
      </c>
      <c r="F4126" s="15" t="s">
        <v>104</v>
      </c>
      <c r="G4126" s="15" t="s">
        <v>5173</v>
      </c>
      <c r="H4126" s="23" t="s">
        <v>58</v>
      </c>
    </row>
    <row r="4127" spans="1:8" ht="54.95" customHeight="1" x14ac:dyDescent="0.2">
      <c r="A4127" s="23" t="s">
        <v>1225</v>
      </c>
      <c r="B4127" s="23" t="s">
        <v>3</v>
      </c>
      <c r="C4127" s="23" t="s">
        <v>46</v>
      </c>
      <c r="D4127" s="23" t="s">
        <v>46</v>
      </c>
      <c r="E4127" s="23" t="s">
        <v>46</v>
      </c>
      <c r="F4127" s="15" t="s">
        <v>198</v>
      </c>
      <c r="G4127" s="15" t="s">
        <v>5173</v>
      </c>
      <c r="H4127" s="23" t="s">
        <v>58</v>
      </c>
    </row>
    <row r="4128" spans="1:8" ht="54.95" customHeight="1" x14ac:dyDescent="0.2">
      <c r="A4128" s="23" t="s">
        <v>1225</v>
      </c>
      <c r="B4128" s="23" t="s">
        <v>6</v>
      </c>
      <c r="C4128" s="23" t="s">
        <v>46</v>
      </c>
      <c r="D4128" s="23" t="s">
        <v>46</v>
      </c>
      <c r="E4128" s="23" t="s">
        <v>46</v>
      </c>
      <c r="F4128" s="15" t="s">
        <v>198</v>
      </c>
      <c r="G4128" s="15" t="s">
        <v>5173</v>
      </c>
      <c r="H4128" s="23" t="s">
        <v>58</v>
      </c>
    </row>
    <row r="4129" spans="1:8" ht="54.95" customHeight="1" x14ac:dyDescent="0.2">
      <c r="A4129" s="23" t="s">
        <v>1225</v>
      </c>
      <c r="B4129" s="23" t="s">
        <v>7</v>
      </c>
      <c r="C4129" s="23" t="s">
        <v>46</v>
      </c>
      <c r="D4129" s="23" t="s">
        <v>46</v>
      </c>
      <c r="E4129" s="23" t="s">
        <v>46</v>
      </c>
      <c r="F4129" s="15" t="s">
        <v>198</v>
      </c>
      <c r="G4129" s="15" t="s">
        <v>5173</v>
      </c>
      <c r="H4129" s="23" t="s">
        <v>58</v>
      </c>
    </row>
    <row r="4130" spans="1:8" ht="54.95" customHeight="1" x14ac:dyDescent="0.2">
      <c r="A4130" s="23" t="s">
        <v>1225</v>
      </c>
      <c r="B4130" s="23" t="s">
        <v>8</v>
      </c>
      <c r="C4130" s="23" t="s">
        <v>46</v>
      </c>
      <c r="D4130" s="23" t="s">
        <v>46</v>
      </c>
      <c r="E4130" s="23" t="s">
        <v>46</v>
      </c>
      <c r="F4130" s="15" t="s">
        <v>198</v>
      </c>
      <c r="G4130" s="15" t="s">
        <v>5173</v>
      </c>
      <c r="H4130" s="23" t="s">
        <v>58</v>
      </c>
    </row>
    <row r="4131" spans="1:8" ht="54.95" customHeight="1" x14ac:dyDescent="0.2">
      <c r="A4131" s="23" t="s">
        <v>1225</v>
      </c>
      <c r="B4131" s="23" t="s">
        <v>9</v>
      </c>
      <c r="C4131" s="23" t="s">
        <v>46</v>
      </c>
      <c r="D4131" s="23" t="s">
        <v>46</v>
      </c>
      <c r="E4131" s="23" t="s">
        <v>46</v>
      </c>
      <c r="F4131" s="15" t="s">
        <v>198</v>
      </c>
      <c r="G4131" s="15" t="s">
        <v>5173</v>
      </c>
      <c r="H4131" s="23" t="s">
        <v>58</v>
      </c>
    </row>
    <row r="4132" spans="1:8" ht="54.95" customHeight="1" x14ac:dyDescent="0.2">
      <c r="A4132" s="23" t="s">
        <v>1225</v>
      </c>
      <c r="B4132" s="23" t="s">
        <v>10</v>
      </c>
      <c r="C4132" s="23" t="s">
        <v>46</v>
      </c>
      <c r="D4132" s="23" t="s">
        <v>46</v>
      </c>
      <c r="E4132" s="23" t="s">
        <v>46</v>
      </c>
      <c r="F4132" s="15" t="s">
        <v>198</v>
      </c>
      <c r="G4132" s="15" t="s">
        <v>5173</v>
      </c>
      <c r="H4132" s="23" t="s">
        <v>58</v>
      </c>
    </row>
    <row r="4133" spans="1:8" ht="54.95" customHeight="1" x14ac:dyDescent="0.2">
      <c r="A4133" s="23" t="s">
        <v>1225</v>
      </c>
      <c r="B4133" s="23" t="s">
        <v>11</v>
      </c>
      <c r="C4133" s="23" t="s">
        <v>46</v>
      </c>
      <c r="D4133" s="23" t="s">
        <v>46</v>
      </c>
      <c r="E4133" s="23" t="s">
        <v>46</v>
      </c>
      <c r="F4133" s="15" t="s">
        <v>198</v>
      </c>
      <c r="G4133" s="15" t="s">
        <v>5173</v>
      </c>
      <c r="H4133" s="23" t="s">
        <v>58</v>
      </c>
    </row>
    <row r="4134" spans="1:8" ht="54.95" customHeight="1" x14ac:dyDescent="0.2">
      <c r="A4134" s="23" t="s">
        <v>1225</v>
      </c>
      <c r="B4134" s="23" t="s">
        <v>13</v>
      </c>
      <c r="C4134" s="23" t="s">
        <v>46</v>
      </c>
      <c r="D4134" s="23" t="s">
        <v>46</v>
      </c>
      <c r="E4134" s="23" t="s">
        <v>46</v>
      </c>
      <c r="F4134" s="15" t="s">
        <v>198</v>
      </c>
      <c r="G4134" s="15" t="s">
        <v>5173</v>
      </c>
      <c r="H4134" s="23" t="s">
        <v>58</v>
      </c>
    </row>
    <row r="4135" spans="1:8" ht="54.95" customHeight="1" x14ac:dyDescent="0.2">
      <c r="A4135" s="23" t="s">
        <v>1225</v>
      </c>
      <c r="B4135" s="23" t="s">
        <v>14</v>
      </c>
      <c r="C4135" s="23" t="s">
        <v>46</v>
      </c>
      <c r="D4135" s="23" t="s">
        <v>46</v>
      </c>
      <c r="E4135" s="23" t="s">
        <v>46</v>
      </c>
      <c r="F4135" s="15" t="s">
        <v>198</v>
      </c>
      <c r="G4135" s="15" t="s">
        <v>5173</v>
      </c>
      <c r="H4135" s="23" t="s">
        <v>58</v>
      </c>
    </row>
    <row r="4136" spans="1:8" ht="54.95" customHeight="1" x14ac:dyDescent="0.2">
      <c r="A4136" s="23" t="s">
        <v>1225</v>
      </c>
      <c r="B4136" s="23" t="s">
        <v>19</v>
      </c>
      <c r="C4136" s="23" t="s">
        <v>46</v>
      </c>
      <c r="D4136" s="23" t="s">
        <v>46</v>
      </c>
      <c r="E4136" s="23" t="s">
        <v>46</v>
      </c>
      <c r="F4136" s="15" t="s">
        <v>103</v>
      </c>
      <c r="G4136" s="15" t="s">
        <v>5173</v>
      </c>
      <c r="H4136" s="23" t="s">
        <v>58</v>
      </c>
    </row>
    <row r="4137" spans="1:8" ht="54.95" customHeight="1" x14ac:dyDescent="0.2">
      <c r="A4137" s="23" t="s">
        <v>1225</v>
      </c>
      <c r="B4137" s="23" t="s">
        <v>21</v>
      </c>
      <c r="C4137" s="23" t="s">
        <v>46</v>
      </c>
      <c r="D4137" s="23" t="s">
        <v>46</v>
      </c>
      <c r="E4137" s="23" t="s">
        <v>101</v>
      </c>
      <c r="F4137" s="15" t="s">
        <v>104</v>
      </c>
      <c r="G4137" s="15" t="s">
        <v>5173</v>
      </c>
      <c r="H4137" s="23" t="s">
        <v>58</v>
      </c>
    </row>
    <row r="4138" spans="1:8" ht="54.95" customHeight="1" x14ac:dyDescent="0.2">
      <c r="A4138" s="23" t="s">
        <v>1225</v>
      </c>
      <c r="B4138" s="23" t="s">
        <v>22</v>
      </c>
      <c r="C4138" s="23" t="s">
        <v>46</v>
      </c>
      <c r="D4138" s="23" t="s">
        <v>46</v>
      </c>
      <c r="E4138" s="23" t="s">
        <v>101</v>
      </c>
      <c r="F4138" s="15" t="s">
        <v>104</v>
      </c>
      <c r="G4138" s="15" t="s">
        <v>5173</v>
      </c>
      <c r="H4138" s="23" t="s">
        <v>58</v>
      </c>
    </row>
    <row r="4139" spans="1:8" ht="54.95" customHeight="1" x14ac:dyDescent="0.2">
      <c r="A4139" s="23" t="s">
        <v>1225</v>
      </c>
      <c r="B4139" s="23" t="s">
        <v>23</v>
      </c>
      <c r="C4139" s="23" t="s">
        <v>46</v>
      </c>
      <c r="D4139" s="23" t="s">
        <v>46</v>
      </c>
      <c r="E4139" s="23" t="s">
        <v>101</v>
      </c>
      <c r="F4139" s="15" t="s">
        <v>104</v>
      </c>
      <c r="G4139" s="15" t="s">
        <v>5173</v>
      </c>
      <c r="H4139" s="23" t="s">
        <v>58</v>
      </c>
    </row>
    <row r="4140" spans="1:8" ht="54.95" customHeight="1" x14ac:dyDescent="0.2">
      <c r="A4140" s="23" t="s">
        <v>1225</v>
      </c>
      <c r="B4140" s="23" t="s">
        <v>24</v>
      </c>
      <c r="C4140" s="23" t="s">
        <v>46</v>
      </c>
      <c r="D4140" s="23" t="s">
        <v>46</v>
      </c>
      <c r="E4140" s="23" t="s">
        <v>101</v>
      </c>
      <c r="F4140" s="15" t="s">
        <v>104</v>
      </c>
      <c r="G4140" s="15" t="s">
        <v>5173</v>
      </c>
      <c r="H4140" s="23" t="s">
        <v>58</v>
      </c>
    </row>
    <row r="4141" spans="1:8" ht="54.95" customHeight="1" x14ac:dyDescent="0.2">
      <c r="A4141" s="23" t="s">
        <v>1225</v>
      </c>
      <c r="B4141" s="23" t="s">
        <v>25</v>
      </c>
      <c r="C4141" s="23" t="s">
        <v>46</v>
      </c>
      <c r="D4141" s="23" t="s">
        <v>46</v>
      </c>
      <c r="E4141" s="23" t="s">
        <v>101</v>
      </c>
      <c r="F4141" s="15" t="s">
        <v>104</v>
      </c>
      <c r="G4141" s="15" t="s">
        <v>5173</v>
      </c>
      <c r="H4141" s="23" t="s">
        <v>58</v>
      </c>
    </row>
    <row r="4142" spans="1:8" ht="54.95" customHeight="1" x14ac:dyDescent="0.2">
      <c r="A4142" s="23" t="s">
        <v>1230</v>
      </c>
      <c r="B4142" s="23" t="s">
        <v>23</v>
      </c>
      <c r="C4142" s="23" t="s">
        <v>46</v>
      </c>
      <c r="D4142" s="23" t="s">
        <v>46</v>
      </c>
      <c r="E4142" s="23" t="s">
        <v>101</v>
      </c>
      <c r="F4142" s="15" t="s">
        <v>104</v>
      </c>
      <c r="G4142" s="15" t="s">
        <v>5173</v>
      </c>
      <c r="H4142" s="23" t="s">
        <v>58</v>
      </c>
    </row>
    <row r="4143" spans="1:8" ht="54.95" customHeight="1" x14ac:dyDescent="0.2">
      <c r="A4143" s="23" t="s">
        <v>1230</v>
      </c>
      <c r="B4143" s="23" t="s">
        <v>24</v>
      </c>
      <c r="C4143" s="23" t="s">
        <v>46</v>
      </c>
      <c r="D4143" s="23" t="s">
        <v>46</v>
      </c>
      <c r="E4143" s="23" t="s">
        <v>101</v>
      </c>
      <c r="F4143" s="15" t="s">
        <v>104</v>
      </c>
      <c r="G4143" s="15" t="s">
        <v>5173</v>
      </c>
      <c r="H4143" s="23" t="s">
        <v>58</v>
      </c>
    </row>
    <row r="4144" spans="1:8" ht="54.95" customHeight="1" x14ac:dyDescent="0.2">
      <c r="A4144" s="23" t="s">
        <v>1230</v>
      </c>
      <c r="B4144" s="23" t="s">
        <v>25</v>
      </c>
      <c r="C4144" s="23" t="s">
        <v>46</v>
      </c>
      <c r="D4144" s="23" t="s">
        <v>46</v>
      </c>
      <c r="E4144" s="23" t="s">
        <v>101</v>
      </c>
      <c r="F4144" s="15" t="s">
        <v>104</v>
      </c>
      <c r="G4144" s="15" t="s">
        <v>5173</v>
      </c>
      <c r="H4144" s="23" t="s">
        <v>58</v>
      </c>
    </row>
    <row r="4145" spans="1:8" ht="54.95" customHeight="1" x14ac:dyDescent="0.2">
      <c r="A4145" s="23" t="s">
        <v>1236</v>
      </c>
      <c r="B4145" s="23" t="s">
        <v>23</v>
      </c>
      <c r="C4145" s="23" t="s">
        <v>46</v>
      </c>
      <c r="D4145" s="23" t="s">
        <v>46</v>
      </c>
      <c r="E4145" s="23" t="s">
        <v>101</v>
      </c>
      <c r="F4145" s="15" t="s">
        <v>104</v>
      </c>
      <c r="G4145" s="15" t="s">
        <v>5173</v>
      </c>
      <c r="H4145" s="23" t="s">
        <v>58</v>
      </c>
    </row>
    <row r="4146" spans="1:8" ht="54.95" customHeight="1" x14ac:dyDescent="0.2">
      <c r="A4146" s="23" t="s">
        <v>1236</v>
      </c>
      <c r="B4146" s="23" t="s">
        <v>24</v>
      </c>
      <c r="C4146" s="23" t="s">
        <v>46</v>
      </c>
      <c r="D4146" s="23" t="s">
        <v>46</v>
      </c>
      <c r="E4146" s="23" t="s">
        <v>101</v>
      </c>
      <c r="F4146" s="15" t="s">
        <v>104</v>
      </c>
      <c r="G4146" s="15" t="s">
        <v>5173</v>
      </c>
      <c r="H4146" s="23" t="s">
        <v>58</v>
      </c>
    </row>
    <row r="4147" spans="1:8" ht="54.95" customHeight="1" x14ac:dyDescent="0.2">
      <c r="A4147" s="23" t="s">
        <v>1236</v>
      </c>
      <c r="B4147" s="23" t="s">
        <v>25</v>
      </c>
      <c r="C4147" s="23" t="s">
        <v>46</v>
      </c>
      <c r="D4147" s="23" t="s">
        <v>46</v>
      </c>
      <c r="E4147" s="23" t="s">
        <v>101</v>
      </c>
      <c r="F4147" s="15" t="s">
        <v>104</v>
      </c>
      <c r="G4147" s="15" t="s">
        <v>5173</v>
      </c>
      <c r="H4147" s="23" t="s">
        <v>58</v>
      </c>
    </row>
    <row r="4148" spans="1:8" ht="54.95" customHeight="1" x14ac:dyDescent="0.2">
      <c r="A4148" s="23" t="s">
        <v>1242</v>
      </c>
      <c r="B4148" s="23" t="s">
        <v>21</v>
      </c>
      <c r="C4148" s="23" t="s">
        <v>46</v>
      </c>
      <c r="D4148" s="23" t="s">
        <v>46</v>
      </c>
      <c r="E4148" s="23" t="s">
        <v>101</v>
      </c>
      <c r="F4148" s="15" t="s">
        <v>104</v>
      </c>
      <c r="G4148" s="15" t="s">
        <v>5173</v>
      </c>
      <c r="H4148" s="23" t="s">
        <v>58</v>
      </c>
    </row>
    <row r="4149" spans="1:8" ht="54.95" customHeight="1" x14ac:dyDescent="0.2">
      <c r="A4149" s="23" t="s">
        <v>1242</v>
      </c>
      <c r="B4149" s="23" t="s">
        <v>22</v>
      </c>
      <c r="C4149" s="23" t="s">
        <v>46</v>
      </c>
      <c r="D4149" s="23" t="s">
        <v>46</v>
      </c>
      <c r="E4149" s="23" t="s">
        <v>101</v>
      </c>
      <c r="F4149" s="15" t="s">
        <v>104</v>
      </c>
      <c r="G4149" s="15" t="s">
        <v>5173</v>
      </c>
      <c r="H4149" s="23" t="s">
        <v>58</v>
      </c>
    </row>
    <row r="4150" spans="1:8" ht="54.95" customHeight="1" x14ac:dyDescent="0.2">
      <c r="A4150" s="23" t="s">
        <v>1242</v>
      </c>
      <c r="B4150" s="23" t="s">
        <v>23</v>
      </c>
      <c r="C4150" s="23" t="s">
        <v>46</v>
      </c>
      <c r="D4150" s="23" t="s">
        <v>46</v>
      </c>
      <c r="E4150" s="23" t="s">
        <v>101</v>
      </c>
      <c r="F4150" s="15" t="s">
        <v>104</v>
      </c>
      <c r="G4150" s="15" t="s">
        <v>5173</v>
      </c>
      <c r="H4150" s="23" t="s">
        <v>58</v>
      </c>
    </row>
    <row r="4151" spans="1:8" ht="54.95" customHeight="1" x14ac:dyDescent="0.2">
      <c r="A4151" s="23" t="s">
        <v>1242</v>
      </c>
      <c r="B4151" s="23" t="s">
        <v>24</v>
      </c>
      <c r="C4151" s="23" t="s">
        <v>46</v>
      </c>
      <c r="D4151" s="23" t="s">
        <v>46</v>
      </c>
      <c r="E4151" s="23" t="s">
        <v>101</v>
      </c>
      <c r="F4151" s="15" t="s">
        <v>104</v>
      </c>
      <c r="G4151" s="15" t="s">
        <v>5173</v>
      </c>
      <c r="H4151" s="23" t="s">
        <v>58</v>
      </c>
    </row>
    <row r="4152" spans="1:8" ht="54.95" customHeight="1" x14ac:dyDescent="0.2">
      <c r="A4152" s="23" t="s">
        <v>1242</v>
      </c>
      <c r="B4152" s="23" t="s">
        <v>25</v>
      </c>
      <c r="C4152" s="23" t="s">
        <v>46</v>
      </c>
      <c r="D4152" s="23" t="s">
        <v>46</v>
      </c>
      <c r="E4152" s="23" t="s">
        <v>101</v>
      </c>
      <c r="F4152" s="15" t="s">
        <v>104</v>
      </c>
      <c r="G4152" s="15" t="s">
        <v>5173</v>
      </c>
      <c r="H4152" s="23" t="s">
        <v>58</v>
      </c>
    </row>
    <row r="4153" spans="1:8" ht="54.95" customHeight="1" x14ac:dyDescent="0.2">
      <c r="A4153" s="23" t="s">
        <v>1247</v>
      </c>
      <c r="B4153" s="23" t="s">
        <v>23</v>
      </c>
      <c r="C4153" s="23" t="s">
        <v>46</v>
      </c>
      <c r="D4153" s="23" t="s">
        <v>46</v>
      </c>
      <c r="E4153" s="23" t="s">
        <v>101</v>
      </c>
      <c r="F4153" s="15" t="s">
        <v>104</v>
      </c>
      <c r="G4153" s="15" t="s">
        <v>5173</v>
      </c>
      <c r="H4153" s="23" t="s">
        <v>58</v>
      </c>
    </row>
    <row r="4154" spans="1:8" ht="54.95" customHeight="1" x14ac:dyDescent="0.2">
      <c r="A4154" s="23" t="s">
        <v>1247</v>
      </c>
      <c r="B4154" s="23" t="s">
        <v>24</v>
      </c>
      <c r="C4154" s="23" t="s">
        <v>46</v>
      </c>
      <c r="D4154" s="23" t="s">
        <v>46</v>
      </c>
      <c r="E4154" s="23" t="s">
        <v>101</v>
      </c>
      <c r="F4154" s="15" t="s">
        <v>104</v>
      </c>
      <c r="G4154" s="15" t="s">
        <v>5173</v>
      </c>
      <c r="H4154" s="23" t="s">
        <v>58</v>
      </c>
    </row>
    <row r="4155" spans="1:8" ht="54.95" customHeight="1" x14ac:dyDescent="0.2">
      <c r="A4155" s="23" t="s">
        <v>1247</v>
      </c>
      <c r="B4155" s="23" t="s">
        <v>25</v>
      </c>
      <c r="C4155" s="23" t="s">
        <v>46</v>
      </c>
      <c r="D4155" s="23" t="s">
        <v>46</v>
      </c>
      <c r="E4155" s="23" t="s">
        <v>101</v>
      </c>
      <c r="F4155" s="15" t="s">
        <v>104</v>
      </c>
      <c r="G4155" s="15" t="s">
        <v>5173</v>
      </c>
      <c r="H4155" s="23" t="s">
        <v>58</v>
      </c>
    </row>
    <row r="4156" spans="1:8" ht="54.95" customHeight="1" x14ac:dyDescent="0.2">
      <c r="A4156" s="23" t="s">
        <v>1253</v>
      </c>
      <c r="B4156" s="23" t="s">
        <v>23</v>
      </c>
      <c r="C4156" s="23" t="s">
        <v>46</v>
      </c>
      <c r="D4156" s="23" t="s">
        <v>46</v>
      </c>
      <c r="E4156" s="23" t="s">
        <v>101</v>
      </c>
      <c r="F4156" s="15" t="s">
        <v>104</v>
      </c>
      <c r="G4156" s="15" t="s">
        <v>5173</v>
      </c>
      <c r="H4156" s="23" t="s">
        <v>58</v>
      </c>
    </row>
    <row r="4157" spans="1:8" ht="54.95" customHeight="1" x14ac:dyDescent="0.2">
      <c r="A4157" s="23" t="s">
        <v>1253</v>
      </c>
      <c r="B4157" s="23" t="s">
        <v>24</v>
      </c>
      <c r="C4157" s="23" t="s">
        <v>46</v>
      </c>
      <c r="D4157" s="23" t="s">
        <v>46</v>
      </c>
      <c r="E4157" s="23" t="s">
        <v>101</v>
      </c>
      <c r="F4157" s="15" t="s">
        <v>104</v>
      </c>
      <c r="G4157" s="15" t="s">
        <v>5173</v>
      </c>
      <c r="H4157" s="23" t="s">
        <v>58</v>
      </c>
    </row>
    <row r="4158" spans="1:8" ht="54.95" customHeight="1" x14ac:dyDescent="0.2">
      <c r="A4158" s="23" t="s">
        <v>1253</v>
      </c>
      <c r="B4158" s="23" t="s">
        <v>25</v>
      </c>
      <c r="C4158" s="23" t="s">
        <v>46</v>
      </c>
      <c r="D4158" s="23" t="s">
        <v>46</v>
      </c>
      <c r="E4158" s="23" t="s">
        <v>101</v>
      </c>
      <c r="F4158" s="15" t="s">
        <v>104</v>
      </c>
      <c r="G4158" s="15" t="s">
        <v>5173</v>
      </c>
      <c r="H4158" s="23" t="s">
        <v>58</v>
      </c>
    </row>
    <row r="4159" spans="1:8" ht="54.95" customHeight="1" x14ac:dyDescent="0.2">
      <c r="A4159" s="23" t="s">
        <v>1259</v>
      </c>
      <c r="B4159" s="23" t="s">
        <v>23</v>
      </c>
      <c r="C4159" s="23" t="s">
        <v>46</v>
      </c>
      <c r="D4159" s="23" t="s">
        <v>46</v>
      </c>
      <c r="E4159" s="23" t="s">
        <v>101</v>
      </c>
      <c r="F4159" s="15" t="s">
        <v>104</v>
      </c>
      <c r="G4159" s="15" t="s">
        <v>5173</v>
      </c>
      <c r="H4159" s="23" t="s">
        <v>58</v>
      </c>
    </row>
    <row r="4160" spans="1:8" ht="54.95" customHeight="1" x14ac:dyDescent="0.2">
      <c r="A4160" s="23" t="s">
        <v>1259</v>
      </c>
      <c r="B4160" s="23" t="s">
        <v>24</v>
      </c>
      <c r="C4160" s="23" t="s">
        <v>46</v>
      </c>
      <c r="D4160" s="23" t="s">
        <v>46</v>
      </c>
      <c r="E4160" s="23" t="s">
        <v>101</v>
      </c>
      <c r="F4160" s="15" t="s">
        <v>104</v>
      </c>
      <c r="G4160" s="15" t="s">
        <v>5173</v>
      </c>
      <c r="H4160" s="23" t="s">
        <v>58</v>
      </c>
    </row>
    <row r="4161" spans="1:8" ht="54.95" customHeight="1" x14ac:dyDescent="0.2">
      <c r="A4161" s="23" t="s">
        <v>1259</v>
      </c>
      <c r="B4161" s="23" t="s">
        <v>25</v>
      </c>
      <c r="C4161" s="23" t="s">
        <v>46</v>
      </c>
      <c r="D4161" s="23" t="s">
        <v>46</v>
      </c>
      <c r="E4161" s="23" t="s">
        <v>101</v>
      </c>
      <c r="F4161" s="15" t="s">
        <v>104</v>
      </c>
      <c r="G4161" s="15" t="s">
        <v>5173</v>
      </c>
      <c r="H4161" s="23" t="s">
        <v>58</v>
      </c>
    </row>
    <row r="4162" spans="1:8" ht="54.95" customHeight="1" x14ac:dyDescent="0.2">
      <c r="A4162" s="23" t="s">
        <v>1265</v>
      </c>
      <c r="B4162" s="23" t="s">
        <v>3</v>
      </c>
      <c r="C4162" s="23" t="s">
        <v>46</v>
      </c>
      <c r="D4162" s="23" t="s">
        <v>46</v>
      </c>
      <c r="E4162" s="23" t="s">
        <v>46</v>
      </c>
      <c r="F4162" s="15" t="s">
        <v>198</v>
      </c>
      <c r="G4162" s="15" t="s">
        <v>5173</v>
      </c>
      <c r="H4162" s="23" t="s">
        <v>58</v>
      </c>
    </row>
    <row r="4163" spans="1:8" ht="54.95" customHeight="1" x14ac:dyDescent="0.2">
      <c r="A4163" s="23" t="s">
        <v>1265</v>
      </c>
      <c r="B4163" s="23" t="s">
        <v>6</v>
      </c>
      <c r="C4163" s="23" t="s">
        <v>46</v>
      </c>
      <c r="D4163" s="23" t="s">
        <v>46</v>
      </c>
      <c r="E4163" s="23" t="s">
        <v>46</v>
      </c>
      <c r="F4163" s="15" t="s">
        <v>198</v>
      </c>
      <c r="G4163" s="15" t="s">
        <v>5173</v>
      </c>
      <c r="H4163" s="23" t="s">
        <v>58</v>
      </c>
    </row>
    <row r="4164" spans="1:8" ht="54.95" customHeight="1" x14ac:dyDescent="0.2">
      <c r="A4164" s="23" t="s">
        <v>1265</v>
      </c>
      <c r="B4164" s="23" t="s">
        <v>7</v>
      </c>
      <c r="C4164" s="23" t="s">
        <v>46</v>
      </c>
      <c r="D4164" s="23" t="s">
        <v>46</v>
      </c>
      <c r="E4164" s="23" t="s">
        <v>46</v>
      </c>
      <c r="F4164" s="15" t="s">
        <v>198</v>
      </c>
      <c r="G4164" s="15" t="s">
        <v>5173</v>
      </c>
      <c r="H4164" s="23" t="s">
        <v>58</v>
      </c>
    </row>
    <row r="4165" spans="1:8" ht="54.95" customHeight="1" x14ac:dyDescent="0.2">
      <c r="A4165" s="23" t="s">
        <v>1265</v>
      </c>
      <c r="B4165" s="23" t="s">
        <v>8</v>
      </c>
      <c r="C4165" s="23" t="s">
        <v>46</v>
      </c>
      <c r="D4165" s="23" t="s">
        <v>46</v>
      </c>
      <c r="E4165" s="23" t="s">
        <v>46</v>
      </c>
      <c r="F4165" s="15" t="s">
        <v>198</v>
      </c>
      <c r="G4165" s="15" t="s">
        <v>5173</v>
      </c>
      <c r="H4165" s="23" t="s">
        <v>58</v>
      </c>
    </row>
    <row r="4166" spans="1:8" ht="54.95" customHeight="1" x14ac:dyDescent="0.2">
      <c r="A4166" s="23" t="s">
        <v>1265</v>
      </c>
      <c r="B4166" s="23" t="s">
        <v>9</v>
      </c>
      <c r="C4166" s="23" t="s">
        <v>46</v>
      </c>
      <c r="D4166" s="23" t="s">
        <v>46</v>
      </c>
      <c r="E4166" s="23" t="s">
        <v>46</v>
      </c>
      <c r="F4166" s="15" t="s">
        <v>198</v>
      </c>
      <c r="G4166" s="15" t="s">
        <v>5173</v>
      </c>
      <c r="H4166" s="23" t="s">
        <v>58</v>
      </c>
    </row>
    <row r="4167" spans="1:8" ht="54.95" customHeight="1" x14ac:dyDescent="0.2">
      <c r="A4167" s="23" t="s">
        <v>1265</v>
      </c>
      <c r="B4167" s="23" t="s">
        <v>10</v>
      </c>
      <c r="C4167" s="23" t="s">
        <v>46</v>
      </c>
      <c r="D4167" s="23" t="s">
        <v>46</v>
      </c>
      <c r="E4167" s="23" t="s">
        <v>46</v>
      </c>
      <c r="F4167" s="15" t="s">
        <v>198</v>
      </c>
      <c r="G4167" s="15" t="s">
        <v>5173</v>
      </c>
      <c r="H4167" s="23" t="s">
        <v>58</v>
      </c>
    </row>
    <row r="4168" spans="1:8" ht="54.95" customHeight="1" x14ac:dyDescent="0.2">
      <c r="A4168" s="23" t="s">
        <v>1265</v>
      </c>
      <c r="B4168" s="23" t="s">
        <v>11</v>
      </c>
      <c r="C4168" s="23" t="s">
        <v>46</v>
      </c>
      <c r="D4168" s="23" t="s">
        <v>46</v>
      </c>
      <c r="E4168" s="23" t="s">
        <v>46</v>
      </c>
      <c r="F4168" s="15" t="s">
        <v>198</v>
      </c>
      <c r="G4168" s="15" t="s">
        <v>5173</v>
      </c>
      <c r="H4168" s="23" t="s">
        <v>58</v>
      </c>
    </row>
    <row r="4169" spans="1:8" ht="54.95" customHeight="1" x14ac:dyDescent="0.2">
      <c r="A4169" s="23" t="s">
        <v>1265</v>
      </c>
      <c r="B4169" s="23" t="s">
        <v>13</v>
      </c>
      <c r="C4169" s="23" t="s">
        <v>46</v>
      </c>
      <c r="D4169" s="23" t="s">
        <v>46</v>
      </c>
      <c r="E4169" s="23" t="s">
        <v>46</v>
      </c>
      <c r="F4169" s="15" t="s">
        <v>198</v>
      </c>
      <c r="G4169" s="15" t="s">
        <v>5173</v>
      </c>
      <c r="H4169" s="23" t="s">
        <v>58</v>
      </c>
    </row>
    <row r="4170" spans="1:8" ht="54.95" customHeight="1" x14ac:dyDescent="0.2">
      <c r="A4170" s="23" t="s">
        <v>1265</v>
      </c>
      <c r="B4170" s="23" t="s">
        <v>14</v>
      </c>
      <c r="C4170" s="23" t="s">
        <v>46</v>
      </c>
      <c r="D4170" s="23" t="s">
        <v>46</v>
      </c>
      <c r="E4170" s="23" t="s">
        <v>46</v>
      </c>
      <c r="F4170" s="15" t="s">
        <v>198</v>
      </c>
      <c r="G4170" s="15" t="s">
        <v>5173</v>
      </c>
      <c r="H4170" s="23" t="s">
        <v>58</v>
      </c>
    </row>
    <row r="4171" spans="1:8" ht="54.95" customHeight="1" x14ac:dyDescent="0.2">
      <c r="A4171" s="23" t="s">
        <v>1265</v>
      </c>
      <c r="B4171" s="23" t="s">
        <v>15</v>
      </c>
      <c r="C4171" s="23" t="s">
        <v>46</v>
      </c>
      <c r="D4171" s="23" t="s">
        <v>46</v>
      </c>
      <c r="E4171" s="23" t="s">
        <v>46</v>
      </c>
      <c r="F4171" s="15" t="s">
        <v>103</v>
      </c>
      <c r="G4171" s="15" t="s">
        <v>5173</v>
      </c>
      <c r="H4171" s="23" t="s">
        <v>58</v>
      </c>
    </row>
    <row r="4172" spans="1:8" ht="54.95" customHeight="1" x14ac:dyDescent="0.2">
      <c r="A4172" s="23" t="s">
        <v>1265</v>
      </c>
      <c r="B4172" s="23" t="s">
        <v>17</v>
      </c>
      <c r="C4172" s="23" t="s">
        <v>46</v>
      </c>
      <c r="D4172" s="23" t="s">
        <v>46</v>
      </c>
      <c r="E4172" s="23" t="s">
        <v>46</v>
      </c>
      <c r="F4172" s="15" t="s">
        <v>103</v>
      </c>
      <c r="G4172" s="15" t="s">
        <v>5173</v>
      </c>
      <c r="H4172" s="23" t="s">
        <v>58</v>
      </c>
    </row>
    <row r="4173" spans="1:8" ht="54.95" customHeight="1" x14ac:dyDescent="0.2">
      <c r="A4173" s="23" t="s">
        <v>1265</v>
      </c>
      <c r="B4173" s="23" t="s">
        <v>19</v>
      </c>
      <c r="C4173" s="23" t="s">
        <v>46</v>
      </c>
      <c r="D4173" s="23" t="s">
        <v>46</v>
      </c>
      <c r="E4173" s="23" t="s">
        <v>46</v>
      </c>
      <c r="F4173" s="15" t="s">
        <v>103</v>
      </c>
      <c r="G4173" s="15" t="s">
        <v>5173</v>
      </c>
      <c r="H4173" s="23" t="s">
        <v>58</v>
      </c>
    </row>
    <row r="4174" spans="1:8" ht="54.95" customHeight="1" x14ac:dyDescent="0.2">
      <c r="A4174" s="23" t="s">
        <v>1265</v>
      </c>
      <c r="B4174" s="23" t="s">
        <v>21</v>
      </c>
      <c r="C4174" s="23" t="s">
        <v>46</v>
      </c>
      <c r="D4174" s="23" t="s">
        <v>46</v>
      </c>
      <c r="E4174" s="23" t="s">
        <v>101</v>
      </c>
      <c r="F4174" s="15" t="s">
        <v>104</v>
      </c>
      <c r="G4174" s="15" t="s">
        <v>5173</v>
      </c>
      <c r="H4174" s="23" t="s">
        <v>58</v>
      </c>
    </row>
    <row r="4175" spans="1:8" ht="54.95" customHeight="1" x14ac:dyDescent="0.2">
      <c r="A4175" s="23" t="s">
        <v>1265</v>
      </c>
      <c r="B4175" s="23" t="s">
        <v>22</v>
      </c>
      <c r="C4175" s="23" t="s">
        <v>46</v>
      </c>
      <c r="D4175" s="23" t="s">
        <v>46</v>
      </c>
      <c r="E4175" s="23" t="s">
        <v>101</v>
      </c>
      <c r="F4175" s="15" t="s">
        <v>104</v>
      </c>
      <c r="G4175" s="15" t="s">
        <v>5173</v>
      </c>
      <c r="H4175" s="23" t="s">
        <v>58</v>
      </c>
    </row>
    <row r="4176" spans="1:8" ht="54.95" customHeight="1" x14ac:dyDescent="0.2">
      <c r="A4176" s="23" t="s">
        <v>1265</v>
      </c>
      <c r="B4176" s="23" t="s">
        <v>23</v>
      </c>
      <c r="C4176" s="23" t="s">
        <v>46</v>
      </c>
      <c r="D4176" s="23" t="s">
        <v>46</v>
      </c>
      <c r="E4176" s="23" t="s">
        <v>101</v>
      </c>
      <c r="F4176" s="15" t="s">
        <v>104</v>
      </c>
      <c r="G4176" s="15" t="s">
        <v>5173</v>
      </c>
      <c r="H4176" s="23" t="s">
        <v>58</v>
      </c>
    </row>
    <row r="4177" spans="1:8" ht="54.95" customHeight="1" x14ac:dyDescent="0.2">
      <c r="A4177" s="23" t="s">
        <v>1265</v>
      </c>
      <c r="B4177" s="23" t="s">
        <v>24</v>
      </c>
      <c r="C4177" s="23" t="s">
        <v>46</v>
      </c>
      <c r="D4177" s="23" t="s">
        <v>46</v>
      </c>
      <c r="E4177" s="23" t="s">
        <v>101</v>
      </c>
      <c r="F4177" s="15" t="s">
        <v>104</v>
      </c>
      <c r="G4177" s="15" t="s">
        <v>5173</v>
      </c>
      <c r="H4177" s="23" t="s">
        <v>58</v>
      </c>
    </row>
    <row r="4178" spans="1:8" ht="54.95" customHeight="1" x14ac:dyDescent="0.2">
      <c r="A4178" s="23" t="s">
        <v>1265</v>
      </c>
      <c r="B4178" s="23" t="s">
        <v>25</v>
      </c>
      <c r="C4178" s="23" t="s">
        <v>46</v>
      </c>
      <c r="D4178" s="23" t="s">
        <v>46</v>
      </c>
      <c r="E4178" s="23" t="s">
        <v>101</v>
      </c>
      <c r="F4178" s="15" t="s">
        <v>104</v>
      </c>
      <c r="G4178" s="15" t="s">
        <v>5173</v>
      </c>
      <c r="H4178" s="23" t="s">
        <v>58</v>
      </c>
    </row>
    <row r="4179" spans="1:8" ht="54.95" customHeight="1" x14ac:dyDescent="0.2">
      <c r="A4179" s="23" t="s">
        <v>1269</v>
      </c>
      <c r="B4179" s="23" t="s">
        <v>15</v>
      </c>
      <c r="C4179" s="23" t="s">
        <v>46</v>
      </c>
      <c r="D4179" s="23" t="s">
        <v>46</v>
      </c>
      <c r="E4179" s="23" t="s">
        <v>46</v>
      </c>
      <c r="F4179" s="15" t="s">
        <v>103</v>
      </c>
      <c r="G4179" s="15" t="s">
        <v>5173</v>
      </c>
      <c r="H4179" s="23" t="s">
        <v>58</v>
      </c>
    </row>
    <row r="4180" spans="1:8" ht="54.95" customHeight="1" x14ac:dyDescent="0.2">
      <c r="A4180" s="23" t="s">
        <v>1269</v>
      </c>
      <c r="B4180" s="23" t="s">
        <v>17</v>
      </c>
      <c r="C4180" s="23" t="s">
        <v>46</v>
      </c>
      <c r="D4180" s="23" t="s">
        <v>46</v>
      </c>
      <c r="E4180" s="23" t="s">
        <v>46</v>
      </c>
      <c r="F4180" s="15" t="s">
        <v>103</v>
      </c>
      <c r="G4180" s="15" t="s">
        <v>5173</v>
      </c>
      <c r="H4180" s="23" t="s">
        <v>58</v>
      </c>
    </row>
    <row r="4181" spans="1:8" ht="54.95" customHeight="1" x14ac:dyDescent="0.2">
      <c r="A4181" s="23" t="s">
        <v>1269</v>
      </c>
      <c r="B4181" s="23" t="s">
        <v>19</v>
      </c>
      <c r="C4181" s="23" t="s">
        <v>46</v>
      </c>
      <c r="D4181" s="23" t="s">
        <v>46</v>
      </c>
      <c r="E4181" s="23" t="s">
        <v>46</v>
      </c>
      <c r="F4181" s="15" t="s">
        <v>103</v>
      </c>
      <c r="G4181" s="15" t="s">
        <v>5173</v>
      </c>
      <c r="H4181" s="23" t="s">
        <v>58</v>
      </c>
    </row>
    <row r="4182" spans="1:8" ht="54.95" customHeight="1" x14ac:dyDescent="0.2">
      <c r="A4182" s="23" t="s">
        <v>1269</v>
      </c>
      <c r="B4182" s="23" t="s">
        <v>21</v>
      </c>
      <c r="C4182" s="23" t="s">
        <v>46</v>
      </c>
      <c r="D4182" s="23" t="s">
        <v>46</v>
      </c>
      <c r="E4182" s="23" t="s">
        <v>101</v>
      </c>
      <c r="F4182" s="15" t="s">
        <v>104</v>
      </c>
      <c r="G4182" s="15" t="s">
        <v>5173</v>
      </c>
      <c r="H4182" s="23" t="s">
        <v>58</v>
      </c>
    </row>
    <row r="4183" spans="1:8" ht="54.95" customHeight="1" x14ac:dyDescent="0.2">
      <c r="A4183" s="23" t="s">
        <v>1269</v>
      </c>
      <c r="B4183" s="23" t="s">
        <v>22</v>
      </c>
      <c r="C4183" s="23" t="s">
        <v>46</v>
      </c>
      <c r="D4183" s="23" t="s">
        <v>46</v>
      </c>
      <c r="E4183" s="23" t="s">
        <v>101</v>
      </c>
      <c r="F4183" s="15" t="s">
        <v>104</v>
      </c>
      <c r="G4183" s="15" t="s">
        <v>5173</v>
      </c>
      <c r="H4183" s="23" t="s">
        <v>58</v>
      </c>
    </row>
    <row r="4184" spans="1:8" ht="54.95" customHeight="1" x14ac:dyDescent="0.2">
      <c r="A4184" s="23" t="s">
        <v>1269</v>
      </c>
      <c r="B4184" s="23" t="s">
        <v>23</v>
      </c>
      <c r="C4184" s="23" t="s">
        <v>46</v>
      </c>
      <c r="D4184" s="23" t="s">
        <v>46</v>
      </c>
      <c r="E4184" s="23" t="s">
        <v>101</v>
      </c>
      <c r="F4184" s="15" t="s">
        <v>104</v>
      </c>
      <c r="G4184" s="15" t="s">
        <v>5173</v>
      </c>
      <c r="H4184" s="23" t="s">
        <v>58</v>
      </c>
    </row>
    <row r="4185" spans="1:8" ht="54.95" customHeight="1" x14ac:dyDescent="0.2">
      <c r="A4185" s="23" t="s">
        <v>1269</v>
      </c>
      <c r="B4185" s="23" t="s">
        <v>24</v>
      </c>
      <c r="C4185" s="23" t="s">
        <v>46</v>
      </c>
      <c r="D4185" s="23" t="s">
        <v>46</v>
      </c>
      <c r="E4185" s="23" t="s">
        <v>101</v>
      </c>
      <c r="F4185" s="15" t="s">
        <v>104</v>
      </c>
      <c r="G4185" s="15" t="s">
        <v>5173</v>
      </c>
      <c r="H4185" s="23" t="s">
        <v>58</v>
      </c>
    </row>
    <row r="4186" spans="1:8" ht="54.95" customHeight="1" x14ac:dyDescent="0.2">
      <c r="A4186" s="23" t="s">
        <v>1269</v>
      </c>
      <c r="B4186" s="23" t="s">
        <v>25</v>
      </c>
      <c r="C4186" s="23" t="s">
        <v>46</v>
      </c>
      <c r="D4186" s="23" t="s">
        <v>46</v>
      </c>
      <c r="E4186" s="23" t="s">
        <v>101</v>
      </c>
      <c r="F4186" s="15" t="s">
        <v>104</v>
      </c>
      <c r="G4186" s="15" t="s">
        <v>5173</v>
      </c>
      <c r="H4186" s="23" t="s">
        <v>58</v>
      </c>
    </row>
    <row r="4187" spans="1:8" ht="54.95" customHeight="1" x14ac:dyDescent="0.2">
      <c r="A4187" s="23" t="s">
        <v>1273</v>
      </c>
      <c r="B4187" s="23" t="s">
        <v>21</v>
      </c>
      <c r="C4187" s="23" t="s">
        <v>46</v>
      </c>
      <c r="D4187" s="23" t="s">
        <v>46</v>
      </c>
      <c r="E4187" s="23" t="s">
        <v>101</v>
      </c>
      <c r="F4187" s="15" t="s">
        <v>104</v>
      </c>
      <c r="G4187" s="15" t="s">
        <v>5173</v>
      </c>
      <c r="H4187" s="23" t="s">
        <v>58</v>
      </c>
    </row>
    <row r="4188" spans="1:8" ht="54.95" customHeight="1" x14ac:dyDescent="0.2">
      <c r="A4188" s="23" t="s">
        <v>1273</v>
      </c>
      <c r="B4188" s="23" t="s">
        <v>22</v>
      </c>
      <c r="C4188" s="23" t="s">
        <v>46</v>
      </c>
      <c r="D4188" s="23" t="s">
        <v>46</v>
      </c>
      <c r="E4188" s="23" t="s">
        <v>101</v>
      </c>
      <c r="F4188" s="15" t="s">
        <v>104</v>
      </c>
      <c r="G4188" s="15" t="s">
        <v>5173</v>
      </c>
      <c r="H4188" s="23" t="s">
        <v>58</v>
      </c>
    </row>
    <row r="4189" spans="1:8" ht="54.95" customHeight="1" x14ac:dyDescent="0.2">
      <c r="A4189" s="23" t="s">
        <v>1273</v>
      </c>
      <c r="B4189" s="23" t="s">
        <v>23</v>
      </c>
      <c r="C4189" s="23" t="s">
        <v>46</v>
      </c>
      <c r="D4189" s="23" t="s">
        <v>46</v>
      </c>
      <c r="E4189" s="23" t="s">
        <v>101</v>
      </c>
      <c r="F4189" s="15" t="s">
        <v>104</v>
      </c>
      <c r="G4189" s="15" t="s">
        <v>5173</v>
      </c>
      <c r="H4189" s="23" t="s">
        <v>58</v>
      </c>
    </row>
    <row r="4190" spans="1:8" ht="54.95" customHeight="1" x14ac:dyDescent="0.2">
      <c r="A4190" s="23" t="s">
        <v>1273</v>
      </c>
      <c r="B4190" s="23" t="s">
        <v>24</v>
      </c>
      <c r="C4190" s="23" t="s">
        <v>46</v>
      </c>
      <c r="D4190" s="23" t="s">
        <v>46</v>
      </c>
      <c r="E4190" s="23" t="s">
        <v>101</v>
      </c>
      <c r="F4190" s="15" t="s">
        <v>104</v>
      </c>
      <c r="G4190" s="15" t="s">
        <v>5173</v>
      </c>
      <c r="H4190" s="23" t="s">
        <v>58</v>
      </c>
    </row>
    <row r="4191" spans="1:8" ht="54.95" customHeight="1" x14ac:dyDescent="0.2">
      <c r="A4191" s="23" t="s">
        <v>1273</v>
      </c>
      <c r="B4191" s="23" t="s">
        <v>25</v>
      </c>
      <c r="C4191" s="23" t="s">
        <v>46</v>
      </c>
      <c r="D4191" s="23" t="s">
        <v>46</v>
      </c>
      <c r="E4191" s="23" t="s">
        <v>101</v>
      </c>
      <c r="F4191" s="15" t="s">
        <v>104</v>
      </c>
      <c r="G4191" s="15" t="s">
        <v>5173</v>
      </c>
      <c r="H4191" s="23" t="s">
        <v>58</v>
      </c>
    </row>
    <row r="4192" spans="1:8" ht="54.95" customHeight="1" x14ac:dyDescent="0.2">
      <c r="A4192" s="23" t="s">
        <v>1278</v>
      </c>
      <c r="B4192" s="23" t="s">
        <v>19</v>
      </c>
      <c r="C4192" s="23" t="s">
        <v>46</v>
      </c>
      <c r="D4192" s="23" t="s">
        <v>46</v>
      </c>
      <c r="E4192" s="23" t="s">
        <v>46</v>
      </c>
      <c r="F4192" s="15" t="s">
        <v>103</v>
      </c>
      <c r="G4192" s="15" t="s">
        <v>5173</v>
      </c>
      <c r="H4192" s="23" t="s">
        <v>58</v>
      </c>
    </row>
    <row r="4193" spans="1:8" ht="54.95" customHeight="1" x14ac:dyDescent="0.2">
      <c r="A4193" s="23" t="s">
        <v>1278</v>
      </c>
      <c r="B4193" s="23" t="s">
        <v>21</v>
      </c>
      <c r="C4193" s="23" t="s">
        <v>46</v>
      </c>
      <c r="D4193" s="23" t="s">
        <v>46</v>
      </c>
      <c r="E4193" s="23" t="s">
        <v>101</v>
      </c>
      <c r="F4193" s="15" t="s">
        <v>104</v>
      </c>
      <c r="G4193" s="15" t="s">
        <v>5173</v>
      </c>
      <c r="H4193" s="23" t="s">
        <v>58</v>
      </c>
    </row>
    <row r="4194" spans="1:8" ht="54.95" customHeight="1" x14ac:dyDescent="0.2">
      <c r="A4194" s="23" t="s">
        <v>1278</v>
      </c>
      <c r="B4194" s="23" t="s">
        <v>22</v>
      </c>
      <c r="C4194" s="23" t="s">
        <v>46</v>
      </c>
      <c r="D4194" s="23" t="s">
        <v>46</v>
      </c>
      <c r="E4194" s="23" t="s">
        <v>101</v>
      </c>
      <c r="F4194" s="15" t="s">
        <v>104</v>
      </c>
      <c r="G4194" s="15" t="s">
        <v>5173</v>
      </c>
      <c r="H4194" s="23" t="s">
        <v>58</v>
      </c>
    </row>
    <row r="4195" spans="1:8" ht="54.95" customHeight="1" x14ac:dyDescent="0.2">
      <c r="A4195" s="23" t="s">
        <v>1278</v>
      </c>
      <c r="B4195" s="23" t="s">
        <v>23</v>
      </c>
      <c r="C4195" s="23" t="s">
        <v>46</v>
      </c>
      <c r="D4195" s="23" t="s">
        <v>46</v>
      </c>
      <c r="E4195" s="23" t="s">
        <v>101</v>
      </c>
      <c r="F4195" s="15" t="s">
        <v>104</v>
      </c>
      <c r="G4195" s="15" t="s">
        <v>5173</v>
      </c>
      <c r="H4195" s="23" t="s">
        <v>58</v>
      </c>
    </row>
    <row r="4196" spans="1:8" ht="54.95" customHeight="1" x14ac:dyDescent="0.2">
      <c r="A4196" s="23" t="s">
        <v>1278</v>
      </c>
      <c r="B4196" s="23" t="s">
        <v>24</v>
      </c>
      <c r="C4196" s="23" t="s">
        <v>46</v>
      </c>
      <c r="D4196" s="23" t="s">
        <v>46</v>
      </c>
      <c r="E4196" s="23" t="s">
        <v>101</v>
      </c>
      <c r="F4196" s="15" t="s">
        <v>104</v>
      </c>
      <c r="G4196" s="15" t="s">
        <v>5173</v>
      </c>
      <c r="H4196" s="23" t="s">
        <v>58</v>
      </c>
    </row>
    <row r="4197" spans="1:8" ht="54.95" customHeight="1" x14ac:dyDescent="0.2">
      <c r="A4197" s="23" t="s">
        <v>1278</v>
      </c>
      <c r="B4197" s="23" t="s">
        <v>25</v>
      </c>
      <c r="C4197" s="23" t="s">
        <v>46</v>
      </c>
      <c r="D4197" s="23" t="s">
        <v>46</v>
      </c>
      <c r="E4197" s="23" t="s">
        <v>101</v>
      </c>
      <c r="F4197" s="15" t="s">
        <v>104</v>
      </c>
      <c r="G4197" s="15" t="s">
        <v>5173</v>
      </c>
      <c r="H4197" s="23" t="s">
        <v>58</v>
      </c>
    </row>
    <row r="4198" spans="1:8" ht="54.95" customHeight="1" x14ac:dyDescent="0.2">
      <c r="A4198" s="23" t="s">
        <v>1283</v>
      </c>
      <c r="B4198" s="23" t="s">
        <v>15</v>
      </c>
      <c r="C4198" s="23" t="s">
        <v>46</v>
      </c>
      <c r="D4198" s="23" t="s">
        <v>46</v>
      </c>
      <c r="E4198" s="23" t="s">
        <v>46</v>
      </c>
      <c r="F4198" s="15" t="s">
        <v>103</v>
      </c>
      <c r="G4198" s="15" t="s">
        <v>5173</v>
      </c>
      <c r="H4198" s="23" t="s">
        <v>58</v>
      </c>
    </row>
    <row r="4199" spans="1:8" ht="54.95" customHeight="1" x14ac:dyDescent="0.2">
      <c r="A4199" s="23" t="s">
        <v>1283</v>
      </c>
      <c r="B4199" s="23" t="s">
        <v>17</v>
      </c>
      <c r="C4199" s="23" t="s">
        <v>46</v>
      </c>
      <c r="D4199" s="23" t="s">
        <v>46</v>
      </c>
      <c r="E4199" s="23" t="s">
        <v>46</v>
      </c>
      <c r="F4199" s="15" t="s">
        <v>103</v>
      </c>
      <c r="G4199" s="15" t="s">
        <v>5173</v>
      </c>
      <c r="H4199" s="23" t="s">
        <v>58</v>
      </c>
    </row>
    <row r="4200" spans="1:8" ht="54.95" customHeight="1" x14ac:dyDescent="0.2">
      <c r="A4200" s="23" t="s">
        <v>1283</v>
      </c>
      <c r="B4200" s="23" t="s">
        <v>19</v>
      </c>
      <c r="C4200" s="23" t="s">
        <v>46</v>
      </c>
      <c r="D4200" s="23" t="s">
        <v>46</v>
      </c>
      <c r="E4200" s="23" t="s">
        <v>46</v>
      </c>
      <c r="F4200" s="15" t="s">
        <v>103</v>
      </c>
      <c r="G4200" s="15" t="s">
        <v>5173</v>
      </c>
      <c r="H4200" s="23" t="s">
        <v>58</v>
      </c>
    </row>
    <row r="4201" spans="1:8" ht="54.95" customHeight="1" x14ac:dyDescent="0.2">
      <c r="A4201" s="23" t="s">
        <v>1283</v>
      </c>
      <c r="B4201" s="23" t="s">
        <v>21</v>
      </c>
      <c r="C4201" s="23" t="s">
        <v>46</v>
      </c>
      <c r="D4201" s="23" t="s">
        <v>46</v>
      </c>
      <c r="E4201" s="23" t="s">
        <v>101</v>
      </c>
      <c r="F4201" s="15" t="s">
        <v>104</v>
      </c>
      <c r="G4201" s="15" t="s">
        <v>5173</v>
      </c>
      <c r="H4201" s="23" t="s">
        <v>58</v>
      </c>
    </row>
    <row r="4202" spans="1:8" ht="54.95" customHeight="1" x14ac:dyDescent="0.2">
      <c r="A4202" s="23" t="s">
        <v>1283</v>
      </c>
      <c r="B4202" s="23" t="s">
        <v>22</v>
      </c>
      <c r="C4202" s="23" t="s">
        <v>46</v>
      </c>
      <c r="D4202" s="23" t="s">
        <v>46</v>
      </c>
      <c r="E4202" s="23" t="s">
        <v>101</v>
      </c>
      <c r="F4202" s="15" t="s">
        <v>104</v>
      </c>
      <c r="G4202" s="15" t="s">
        <v>5173</v>
      </c>
      <c r="H4202" s="23" t="s">
        <v>58</v>
      </c>
    </row>
    <row r="4203" spans="1:8" ht="54.95" customHeight="1" x14ac:dyDescent="0.2">
      <c r="A4203" s="23" t="s">
        <v>1283</v>
      </c>
      <c r="B4203" s="23" t="s">
        <v>23</v>
      </c>
      <c r="C4203" s="23" t="s">
        <v>46</v>
      </c>
      <c r="D4203" s="23" t="s">
        <v>46</v>
      </c>
      <c r="E4203" s="23" t="s">
        <v>101</v>
      </c>
      <c r="F4203" s="15" t="s">
        <v>104</v>
      </c>
      <c r="G4203" s="15" t="s">
        <v>5173</v>
      </c>
      <c r="H4203" s="23" t="s">
        <v>58</v>
      </c>
    </row>
    <row r="4204" spans="1:8" ht="54.95" customHeight="1" x14ac:dyDescent="0.2">
      <c r="A4204" s="23" t="s">
        <v>1283</v>
      </c>
      <c r="B4204" s="23" t="s">
        <v>24</v>
      </c>
      <c r="C4204" s="23" t="s">
        <v>46</v>
      </c>
      <c r="D4204" s="23" t="s">
        <v>46</v>
      </c>
      <c r="E4204" s="23" t="s">
        <v>101</v>
      </c>
      <c r="F4204" s="15" t="s">
        <v>104</v>
      </c>
      <c r="G4204" s="15" t="s">
        <v>5173</v>
      </c>
      <c r="H4204" s="23" t="s">
        <v>58</v>
      </c>
    </row>
    <row r="4205" spans="1:8" ht="54.95" customHeight="1" x14ac:dyDescent="0.2">
      <c r="A4205" s="23" t="s">
        <v>1283</v>
      </c>
      <c r="B4205" s="23" t="s">
        <v>25</v>
      </c>
      <c r="C4205" s="23" t="s">
        <v>46</v>
      </c>
      <c r="D4205" s="23" t="s">
        <v>46</v>
      </c>
      <c r="E4205" s="23" t="s">
        <v>101</v>
      </c>
      <c r="F4205" s="15" t="s">
        <v>104</v>
      </c>
      <c r="G4205" s="15" t="s">
        <v>5173</v>
      </c>
      <c r="H4205" s="23" t="s">
        <v>58</v>
      </c>
    </row>
    <row r="4206" spans="1:8" ht="54.95" customHeight="1" x14ac:dyDescent="0.2">
      <c r="A4206" s="23" t="s">
        <v>1287</v>
      </c>
      <c r="B4206" s="23" t="s">
        <v>3</v>
      </c>
      <c r="C4206" s="23" t="s">
        <v>46</v>
      </c>
      <c r="D4206" s="23" t="s">
        <v>46</v>
      </c>
      <c r="E4206" s="23" t="s">
        <v>46</v>
      </c>
      <c r="F4206" s="15" t="s">
        <v>198</v>
      </c>
      <c r="G4206" s="15" t="s">
        <v>5173</v>
      </c>
      <c r="H4206" s="23" t="s">
        <v>58</v>
      </c>
    </row>
    <row r="4207" spans="1:8" ht="54.95" customHeight="1" x14ac:dyDescent="0.2">
      <c r="A4207" s="23" t="s">
        <v>1287</v>
      </c>
      <c r="B4207" s="23" t="s">
        <v>6</v>
      </c>
      <c r="C4207" s="23" t="s">
        <v>46</v>
      </c>
      <c r="D4207" s="23" t="s">
        <v>46</v>
      </c>
      <c r="E4207" s="23" t="s">
        <v>46</v>
      </c>
      <c r="F4207" s="15" t="s">
        <v>198</v>
      </c>
      <c r="G4207" s="15" t="s">
        <v>5173</v>
      </c>
      <c r="H4207" s="23" t="s">
        <v>58</v>
      </c>
    </row>
    <row r="4208" spans="1:8" ht="54.95" customHeight="1" x14ac:dyDescent="0.2">
      <c r="A4208" s="23" t="s">
        <v>1287</v>
      </c>
      <c r="B4208" s="23" t="s">
        <v>7</v>
      </c>
      <c r="C4208" s="23" t="s">
        <v>46</v>
      </c>
      <c r="D4208" s="23" t="s">
        <v>46</v>
      </c>
      <c r="E4208" s="23" t="s">
        <v>46</v>
      </c>
      <c r="F4208" s="15" t="s">
        <v>198</v>
      </c>
      <c r="G4208" s="15" t="s">
        <v>5173</v>
      </c>
      <c r="H4208" s="23" t="s">
        <v>58</v>
      </c>
    </row>
    <row r="4209" spans="1:8" ht="54.95" customHeight="1" x14ac:dyDescent="0.2">
      <c r="A4209" s="23" t="s">
        <v>1287</v>
      </c>
      <c r="B4209" s="23" t="s">
        <v>8</v>
      </c>
      <c r="C4209" s="23" t="s">
        <v>46</v>
      </c>
      <c r="D4209" s="23" t="s">
        <v>46</v>
      </c>
      <c r="E4209" s="23" t="s">
        <v>46</v>
      </c>
      <c r="F4209" s="15" t="s">
        <v>198</v>
      </c>
      <c r="G4209" s="15" t="s">
        <v>5173</v>
      </c>
      <c r="H4209" s="23" t="s">
        <v>58</v>
      </c>
    </row>
    <row r="4210" spans="1:8" ht="54.95" customHeight="1" x14ac:dyDescent="0.2">
      <c r="A4210" s="23" t="s">
        <v>1287</v>
      </c>
      <c r="B4210" s="23" t="s">
        <v>9</v>
      </c>
      <c r="C4210" s="23" t="s">
        <v>46</v>
      </c>
      <c r="D4210" s="23" t="s">
        <v>46</v>
      </c>
      <c r="E4210" s="23" t="s">
        <v>46</v>
      </c>
      <c r="F4210" s="15" t="s">
        <v>198</v>
      </c>
      <c r="G4210" s="15" t="s">
        <v>5173</v>
      </c>
      <c r="H4210" s="23" t="s">
        <v>58</v>
      </c>
    </row>
    <row r="4211" spans="1:8" ht="54.95" customHeight="1" x14ac:dyDescent="0.2">
      <c r="A4211" s="23" t="s">
        <v>1287</v>
      </c>
      <c r="B4211" s="23" t="s">
        <v>10</v>
      </c>
      <c r="C4211" s="23" t="s">
        <v>46</v>
      </c>
      <c r="D4211" s="23" t="s">
        <v>46</v>
      </c>
      <c r="E4211" s="23" t="s">
        <v>46</v>
      </c>
      <c r="F4211" s="15" t="s">
        <v>198</v>
      </c>
      <c r="G4211" s="15" t="s">
        <v>5173</v>
      </c>
      <c r="H4211" s="23" t="s">
        <v>58</v>
      </c>
    </row>
    <row r="4212" spans="1:8" ht="54.95" customHeight="1" x14ac:dyDescent="0.2">
      <c r="A4212" s="23" t="s">
        <v>1287</v>
      </c>
      <c r="B4212" s="23" t="s">
        <v>11</v>
      </c>
      <c r="C4212" s="23" t="s">
        <v>46</v>
      </c>
      <c r="D4212" s="23" t="s">
        <v>46</v>
      </c>
      <c r="E4212" s="23" t="s">
        <v>46</v>
      </c>
      <c r="F4212" s="15" t="s">
        <v>198</v>
      </c>
      <c r="G4212" s="15" t="s">
        <v>5173</v>
      </c>
      <c r="H4212" s="23" t="s">
        <v>58</v>
      </c>
    </row>
    <row r="4213" spans="1:8" ht="54.95" customHeight="1" x14ac:dyDescent="0.2">
      <c r="A4213" s="23" t="s">
        <v>1287</v>
      </c>
      <c r="B4213" s="23" t="s">
        <v>13</v>
      </c>
      <c r="C4213" s="23" t="s">
        <v>46</v>
      </c>
      <c r="D4213" s="23" t="s">
        <v>46</v>
      </c>
      <c r="E4213" s="23" t="s">
        <v>46</v>
      </c>
      <c r="F4213" s="15" t="s">
        <v>198</v>
      </c>
      <c r="G4213" s="15" t="s">
        <v>5173</v>
      </c>
      <c r="H4213" s="23" t="s">
        <v>58</v>
      </c>
    </row>
    <row r="4214" spans="1:8" ht="54.95" customHeight="1" x14ac:dyDescent="0.2">
      <c r="A4214" s="23" t="s">
        <v>1287</v>
      </c>
      <c r="B4214" s="23" t="s">
        <v>14</v>
      </c>
      <c r="C4214" s="23" t="s">
        <v>46</v>
      </c>
      <c r="D4214" s="23" t="s">
        <v>46</v>
      </c>
      <c r="E4214" s="23" t="s">
        <v>46</v>
      </c>
      <c r="F4214" s="15" t="s">
        <v>198</v>
      </c>
      <c r="G4214" s="15" t="s">
        <v>5173</v>
      </c>
      <c r="H4214" s="23" t="s">
        <v>58</v>
      </c>
    </row>
    <row r="4215" spans="1:8" ht="54.95" customHeight="1" x14ac:dyDescent="0.2">
      <c r="A4215" s="23" t="s">
        <v>1287</v>
      </c>
      <c r="B4215" s="23" t="s">
        <v>15</v>
      </c>
      <c r="C4215" s="23" t="s">
        <v>46</v>
      </c>
      <c r="D4215" s="23" t="s">
        <v>46</v>
      </c>
      <c r="E4215" s="23" t="s">
        <v>46</v>
      </c>
      <c r="F4215" s="15" t="s">
        <v>103</v>
      </c>
      <c r="G4215" s="15" t="s">
        <v>5173</v>
      </c>
      <c r="H4215" s="23" t="s">
        <v>58</v>
      </c>
    </row>
    <row r="4216" spans="1:8" ht="54.95" customHeight="1" x14ac:dyDescent="0.2">
      <c r="A4216" s="23" t="s">
        <v>1287</v>
      </c>
      <c r="B4216" s="23" t="s">
        <v>17</v>
      </c>
      <c r="C4216" s="23" t="s">
        <v>46</v>
      </c>
      <c r="D4216" s="23" t="s">
        <v>46</v>
      </c>
      <c r="E4216" s="23" t="s">
        <v>46</v>
      </c>
      <c r="F4216" s="15" t="s">
        <v>103</v>
      </c>
      <c r="G4216" s="15" t="s">
        <v>5173</v>
      </c>
      <c r="H4216" s="23" t="s">
        <v>58</v>
      </c>
    </row>
    <row r="4217" spans="1:8" ht="54.95" customHeight="1" x14ac:dyDescent="0.2">
      <c r="A4217" s="23" t="s">
        <v>1287</v>
      </c>
      <c r="B4217" s="23" t="s">
        <v>19</v>
      </c>
      <c r="C4217" s="23" t="s">
        <v>46</v>
      </c>
      <c r="D4217" s="23" t="s">
        <v>46</v>
      </c>
      <c r="E4217" s="23" t="s">
        <v>46</v>
      </c>
      <c r="F4217" s="15" t="s">
        <v>103</v>
      </c>
      <c r="G4217" s="15" t="s">
        <v>5173</v>
      </c>
      <c r="H4217" s="23" t="s">
        <v>58</v>
      </c>
    </row>
    <row r="4218" spans="1:8" ht="54.95" customHeight="1" x14ac:dyDescent="0.2">
      <c r="A4218" s="23" t="s">
        <v>1287</v>
      </c>
      <c r="B4218" s="23" t="s">
        <v>21</v>
      </c>
      <c r="C4218" s="23" t="s">
        <v>46</v>
      </c>
      <c r="D4218" s="23" t="s">
        <v>46</v>
      </c>
      <c r="E4218" s="23" t="s">
        <v>101</v>
      </c>
      <c r="F4218" s="15" t="s">
        <v>104</v>
      </c>
      <c r="G4218" s="15" t="s">
        <v>5173</v>
      </c>
      <c r="H4218" s="23" t="s">
        <v>58</v>
      </c>
    </row>
    <row r="4219" spans="1:8" ht="54.95" customHeight="1" x14ac:dyDescent="0.2">
      <c r="A4219" s="23" t="s">
        <v>1287</v>
      </c>
      <c r="B4219" s="23" t="s">
        <v>22</v>
      </c>
      <c r="C4219" s="23" t="s">
        <v>46</v>
      </c>
      <c r="D4219" s="23" t="s">
        <v>46</v>
      </c>
      <c r="E4219" s="23" t="s">
        <v>101</v>
      </c>
      <c r="F4219" s="15" t="s">
        <v>104</v>
      </c>
      <c r="G4219" s="15" t="s">
        <v>5173</v>
      </c>
      <c r="H4219" s="23" t="s">
        <v>58</v>
      </c>
    </row>
    <row r="4220" spans="1:8" ht="54.95" customHeight="1" x14ac:dyDescent="0.2">
      <c r="A4220" s="23" t="s">
        <v>1287</v>
      </c>
      <c r="B4220" s="23" t="s">
        <v>23</v>
      </c>
      <c r="C4220" s="23" t="s">
        <v>46</v>
      </c>
      <c r="D4220" s="23" t="s">
        <v>46</v>
      </c>
      <c r="E4220" s="23" t="s">
        <v>101</v>
      </c>
      <c r="F4220" s="15" t="s">
        <v>104</v>
      </c>
      <c r="G4220" s="15" t="s">
        <v>5173</v>
      </c>
      <c r="H4220" s="23" t="s">
        <v>58</v>
      </c>
    </row>
    <row r="4221" spans="1:8" ht="54.95" customHeight="1" x14ac:dyDescent="0.2">
      <c r="A4221" s="23" t="s">
        <v>1287</v>
      </c>
      <c r="B4221" s="23" t="s">
        <v>24</v>
      </c>
      <c r="C4221" s="23" t="s">
        <v>46</v>
      </c>
      <c r="D4221" s="23" t="s">
        <v>46</v>
      </c>
      <c r="E4221" s="23" t="s">
        <v>101</v>
      </c>
      <c r="F4221" s="15" t="s">
        <v>104</v>
      </c>
      <c r="G4221" s="15" t="s">
        <v>5173</v>
      </c>
      <c r="H4221" s="23" t="s">
        <v>58</v>
      </c>
    </row>
    <row r="4222" spans="1:8" ht="54.95" customHeight="1" x14ac:dyDescent="0.2">
      <c r="A4222" s="23" t="s">
        <v>1287</v>
      </c>
      <c r="B4222" s="23" t="s">
        <v>25</v>
      </c>
      <c r="C4222" s="23" t="s">
        <v>46</v>
      </c>
      <c r="D4222" s="23" t="s">
        <v>46</v>
      </c>
      <c r="E4222" s="23" t="s">
        <v>101</v>
      </c>
      <c r="F4222" s="15" t="s">
        <v>104</v>
      </c>
      <c r="G4222" s="15" t="s">
        <v>5173</v>
      </c>
      <c r="H4222" s="23" t="s">
        <v>58</v>
      </c>
    </row>
    <row r="4223" spans="1:8" ht="54.95" customHeight="1" x14ac:dyDescent="0.2">
      <c r="A4223" s="23" t="s">
        <v>1291</v>
      </c>
      <c r="B4223" s="23" t="s">
        <v>19</v>
      </c>
      <c r="C4223" s="23" t="s">
        <v>46</v>
      </c>
      <c r="D4223" s="23" t="s">
        <v>46</v>
      </c>
      <c r="E4223" s="23" t="s">
        <v>46</v>
      </c>
      <c r="F4223" s="15" t="s">
        <v>103</v>
      </c>
      <c r="G4223" s="15" t="s">
        <v>5173</v>
      </c>
      <c r="H4223" s="23" t="s">
        <v>58</v>
      </c>
    </row>
    <row r="4224" spans="1:8" ht="54.95" customHeight="1" x14ac:dyDescent="0.2">
      <c r="A4224" s="23" t="s">
        <v>1291</v>
      </c>
      <c r="B4224" s="23" t="s">
        <v>23</v>
      </c>
      <c r="C4224" s="23" t="s">
        <v>46</v>
      </c>
      <c r="D4224" s="23" t="s">
        <v>46</v>
      </c>
      <c r="E4224" s="23" t="s">
        <v>101</v>
      </c>
      <c r="F4224" s="15" t="s">
        <v>104</v>
      </c>
      <c r="G4224" s="15" t="s">
        <v>5173</v>
      </c>
      <c r="H4224" s="23" t="s">
        <v>58</v>
      </c>
    </row>
    <row r="4225" spans="1:8" ht="54.95" customHeight="1" x14ac:dyDescent="0.2">
      <c r="A4225" s="23" t="s">
        <v>1291</v>
      </c>
      <c r="B4225" s="23" t="s">
        <v>24</v>
      </c>
      <c r="C4225" s="23" t="s">
        <v>46</v>
      </c>
      <c r="D4225" s="23" t="s">
        <v>46</v>
      </c>
      <c r="E4225" s="23" t="s">
        <v>101</v>
      </c>
      <c r="F4225" s="15" t="s">
        <v>104</v>
      </c>
      <c r="G4225" s="15" t="s">
        <v>5173</v>
      </c>
      <c r="H4225" s="23" t="s">
        <v>58</v>
      </c>
    </row>
    <row r="4226" spans="1:8" ht="54.95" customHeight="1" x14ac:dyDescent="0.2">
      <c r="A4226" s="23" t="s">
        <v>1291</v>
      </c>
      <c r="B4226" s="23" t="s">
        <v>25</v>
      </c>
      <c r="C4226" s="23" t="s">
        <v>46</v>
      </c>
      <c r="D4226" s="23" t="s">
        <v>46</v>
      </c>
      <c r="E4226" s="23" t="s">
        <v>101</v>
      </c>
      <c r="F4226" s="15" t="s">
        <v>104</v>
      </c>
      <c r="G4226" s="15" t="s">
        <v>5173</v>
      </c>
      <c r="H4226" s="23" t="s">
        <v>58</v>
      </c>
    </row>
    <row r="4227" spans="1:8" ht="54.95" customHeight="1" x14ac:dyDescent="0.2">
      <c r="A4227" s="23" t="s">
        <v>1297</v>
      </c>
      <c r="B4227" s="23" t="s">
        <v>3</v>
      </c>
      <c r="C4227" s="23" t="s">
        <v>46</v>
      </c>
      <c r="D4227" s="23" t="s">
        <v>46</v>
      </c>
      <c r="E4227" s="23" t="s">
        <v>46</v>
      </c>
      <c r="F4227" s="15" t="s">
        <v>198</v>
      </c>
      <c r="G4227" s="15" t="s">
        <v>5173</v>
      </c>
      <c r="H4227" s="23" t="s">
        <v>58</v>
      </c>
    </row>
    <row r="4228" spans="1:8" ht="54.95" customHeight="1" x14ac:dyDescent="0.2">
      <c r="A4228" s="23" t="s">
        <v>1297</v>
      </c>
      <c r="B4228" s="23" t="s">
        <v>6</v>
      </c>
      <c r="C4228" s="23" t="s">
        <v>46</v>
      </c>
      <c r="D4228" s="23" t="s">
        <v>46</v>
      </c>
      <c r="E4228" s="23" t="s">
        <v>46</v>
      </c>
      <c r="F4228" s="15" t="s">
        <v>198</v>
      </c>
      <c r="G4228" s="15" t="s">
        <v>5173</v>
      </c>
      <c r="H4228" s="23" t="s">
        <v>58</v>
      </c>
    </row>
    <row r="4229" spans="1:8" ht="54.95" customHeight="1" x14ac:dyDescent="0.2">
      <c r="A4229" s="23" t="s">
        <v>1297</v>
      </c>
      <c r="B4229" s="23" t="s">
        <v>7</v>
      </c>
      <c r="C4229" s="23" t="s">
        <v>46</v>
      </c>
      <c r="D4229" s="23" t="s">
        <v>46</v>
      </c>
      <c r="E4229" s="23" t="s">
        <v>46</v>
      </c>
      <c r="F4229" s="15" t="s">
        <v>198</v>
      </c>
      <c r="G4229" s="15" t="s">
        <v>5173</v>
      </c>
      <c r="H4229" s="23" t="s">
        <v>58</v>
      </c>
    </row>
    <row r="4230" spans="1:8" ht="54.95" customHeight="1" x14ac:dyDescent="0.2">
      <c r="A4230" s="23" t="s">
        <v>1297</v>
      </c>
      <c r="B4230" s="23" t="s">
        <v>8</v>
      </c>
      <c r="C4230" s="23" t="s">
        <v>46</v>
      </c>
      <c r="D4230" s="23" t="s">
        <v>46</v>
      </c>
      <c r="E4230" s="23" t="s">
        <v>46</v>
      </c>
      <c r="F4230" s="15" t="s">
        <v>198</v>
      </c>
      <c r="G4230" s="15" t="s">
        <v>5173</v>
      </c>
      <c r="H4230" s="23" t="s">
        <v>58</v>
      </c>
    </row>
    <row r="4231" spans="1:8" ht="54.95" customHeight="1" x14ac:dyDescent="0.2">
      <c r="A4231" s="23" t="s">
        <v>1297</v>
      </c>
      <c r="B4231" s="23" t="s">
        <v>9</v>
      </c>
      <c r="C4231" s="23" t="s">
        <v>46</v>
      </c>
      <c r="D4231" s="23" t="s">
        <v>46</v>
      </c>
      <c r="E4231" s="23" t="s">
        <v>46</v>
      </c>
      <c r="F4231" s="15" t="s">
        <v>198</v>
      </c>
      <c r="G4231" s="15" t="s">
        <v>5173</v>
      </c>
      <c r="H4231" s="23" t="s">
        <v>58</v>
      </c>
    </row>
    <row r="4232" spans="1:8" ht="54.95" customHeight="1" x14ac:dyDescent="0.2">
      <c r="A4232" s="23" t="s">
        <v>1297</v>
      </c>
      <c r="B4232" s="23" t="s">
        <v>10</v>
      </c>
      <c r="C4232" s="23" t="s">
        <v>46</v>
      </c>
      <c r="D4232" s="23" t="s">
        <v>46</v>
      </c>
      <c r="E4232" s="23" t="s">
        <v>46</v>
      </c>
      <c r="F4232" s="15" t="s">
        <v>198</v>
      </c>
      <c r="G4232" s="15" t="s">
        <v>5173</v>
      </c>
      <c r="H4232" s="23" t="s">
        <v>58</v>
      </c>
    </row>
    <row r="4233" spans="1:8" ht="54.95" customHeight="1" x14ac:dyDescent="0.2">
      <c r="A4233" s="23" t="s">
        <v>1297</v>
      </c>
      <c r="B4233" s="23" t="s">
        <v>11</v>
      </c>
      <c r="C4233" s="23" t="s">
        <v>46</v>
      </c>
      <c r="D4233" s="23" t="s">
        <v>46</v>
      </c>
      <c r="E4233" s="23" t="s">
        <v>46</v>
      </c>
      <c r="F4233" s="15" t="s">
        <v>198</v>
      </c>
      <c r="G4233" s="15" t="s">
        <v>5173</v>
      </c>
      <c r="H4233" s="23" t="s">
        <v>58</v>
      </c>
    </row>
    <row r="4234" spans="1:8" ht="54.95" customHeight="1" x14ac:dyDescent="0.2">
      <c r="A4234" s="23" t="s">
        <v>1297</v>
      </c>
      <c r="B4234" s="23" t="s">
        <v>13</v>
      </c>
      <c r="C4234" s="23" t="s">
        <v>46</v>
      </c>
      <c r="D4234" s="23" t="s">
        <v>46</v>
      </c>
      <c r="E4234" s="23" t="s">
        <v>46</v>
      </c>
      <c r="F4234" s="15" t="s">
        <v>198</v>
      </c>
      <c r="G4234" s="15" t="s">
        <v>5173</v>
      </c>
      <c r="H4234" s="23" t="s">
        <v>58</v>
      </c>
    </row>
    <row r="4235" spans="1:8" ht="54.95" customHeight="1" x14ac:dyDescent="0.2">
      <c r="A4235" s="23" t="s">
        <v>1297</v>
      </c>
      <c r="B4235" s="23" t="s">
        <v>14</v>
      </c>
      <c r="C4235" s="23" t="s">
        <v>46</v>
      </c>
      <c r="D4235" s="23" t="s">
        <v>46</v>
      </c>
      <c r="E4235" s="23" t="s">
        <v>46</v>
      </c>
      <c r="F4235" s="15" t="s">
        <v>198</v>
      </c>
      <c r="G4235" s="15" t="s">
        <v>5173</v>
      </c>
      <c r="H4235" s="23" t="s">
        <v>58</v>
      </c>
    </row>
    <row r="4236" spans="1:8" ht="54.95" customHeight="1" x14ac:dyDescent="0.2">
      <c r="A4236" s="23" t="s">
        <v>1297</v>
      </c>
      <c r="B4236" s="23" t="s">
        <v>15</v>
      </c>
      <c r="C4236" s="23" t="s">
        <v>46</v>
      </c>
      <c r="D4236" s="23" t="s">
        <v>46</v>
      </c>
      <c r="E4236" s="23" t="s">
        <v>46</v>
      </c>
      <c r="F4236" s="15" t="s">
        <v>103</v>
      </c>
      <c r="G4236" s="15" t="s">
        <v>5173</v>
      </c>
      <c r="H4236" s="23" t="s">
        <v>58</v>
      </c>
    </row>
    <row r="4237" spans="1:8" ht="54.95" customHeight="1" x14ac:dyDescent="0.2">
      <c r="A4237" s="23" t="s">
        <v>1297</v>
      </c>
      <c r="B4237" s="23" t="s">
        <v>17</v>
      </c>
      <c r="C4237" s="23" t="s">
        <v>46</v>
      </c>
      <c r="D4237" s="23" t="s">
        <v>46</v>
      </c>
      <c r="E4237" s="23" t="s">
        <v>46</v>
      </c>
      <c r="F4237" s="15" t="s">
        <v>103</v>
      </c>
      <c r="G4237" s="15" t="s">
        <v>5173</v>
      </c>
      <c r="H4237" s="23" t="s">
        <v>58</v>
      </c>
    </row>
    <row r="4238" spans="1:8" ht="54.95" customHeight="1" x14ac:dyDescent="0.2">
      <c r="A4238" s="23" t="s">
        <v>1297</v>
      </c>
      <c r="B4238" s="23" t="s">
        <v>19</v>
      </c>
      <c r="C4238" s="23" t="s">
        <v>46</v>
      </c>
      <c r="D4238" s="23" t="s">
        <v>46</v>
      </c>
      <c r="E4238" s="23" t="s">
        <v>46</v>
      </c>
      <c r="F4238" s="15" t="s">
        <v>103</v>
      </c>
      <c r="G4238" s="15" t="s">
        <v>5173</v>
      </c>
      <c r="H4238" s="23" t="s">
        <v>58</v>
      </c>
    </row>
    <row r="4239" spans="1:8" ht="54.95" customHeight="1" x14ac:dyDescent="0.2">
      <c r="A4239" s="23" t="s">
        <v>1297</v>
      </c>
      <c r="B4239" s="23" t="s">
        <v>21</v>
      </c>
      <c r="C4239" s="23" t="s">
        <v>46</v>
      </c>
      <c r="D4239" s="23" t="s">
        <v>46</v>
      </c>
      <c r="E4239" s="23" t="s">
        <v>101</v>
      </c>
      <c r="F4239" s="15" t="s">
        <v>104</v>
      </c>
      <c r="G4239" s="15" t="s">
        <v>5173</v>
      </c>
      <c r="H4239" s="23" t="s">
        <v>58</v>
      </c>
    </row>
    <row r="4240" spans="1:8" ht="54.95" customHeight="1" x14ac:dyDescent="0.2">
      <c r="A4240" s="23" t="s">
        <v>1297</v>
      </c>
      <c r="B4240" s="23" t="s">
        <v>22</v>
      </c>
      <c r="C4240" s="23" t="s">
        <v>46</v>
      </c>
      <c r="D4240" s="23" t="s">
        <v>46</v>
      </c>
      <c r="E4240" s="23" t="s">
        <v>101</v>
      </c>
      <c r="F4240" s="15" t="s">
        <v>104</v>
      </c>
      <c r="G4240" s="15" t="s">
        <v>5173</v>
      </c>
      <c r="H4240" s="23" t="s">
        <v>58</v>
      </c>
    </row>
    <row r="4241" spans="1:8" ht="54.95" customHeight="1" x14ac:dyDescent="0.2">
      <c r="A4241" s="23" t="s">
        <v>1297</v>
      </c>
      <c r="B4241" s="23" t="s">
        <v>23</v>
      </c>
      <c r="C4241" s="23" t="s">
        <v>46</v>
      </c>
      <c r="D4241" s="23" t="s">
        <v>46</v>
      </c>
      <c r="E4241" s="23" t="s">
        <v>101</v>
      </c>
      <c r="F4241" s="15" t="s">
        <v>104</v>
      </c>
      <c r="G4241" s="15" t="s">
        <v>5173</v>
      </c>
      <c r="H4241" s="23" t="s">
        <v>58</v>
      </c>
    </row>
    <row r="4242" spans="1:8" ht="54.95" customHeight="1" x14ac:dyDescent="0.2">
      <c r="A4242" s="23" t="s">
        <v>1297</v>
      </c>
      <c r="B4242" s="23" t="s">
        <v>24</v>
      </c>
      <c r="C4242" s="23" t="s">
        <v>46</v>
      </c>
      <c r="D4242" s="23" t="s">
        <v>46</v>
      </c>
      <c r="E4242" s="23" t="s">
        <v>101</v>
      </c>
      <c r="F4242" s="15" t="s">
        <v>104</v>
      </c>
      <c r="G4242" s="15" t="s">
        <v>5173</v>
      </c>
      <c r="H4242" s="23" t="s">
        <v>58</v>
      </c>
    </row>
    <row r="4243" spans="1:8" ht="54.95" customHeight="1" x14ac:dyDescent="0.2">
      <c r="A4243" s="23" t="s">
        <v>1297</v>
      </c>
      <c r="B4243" s="23" t="s">
        <v>25</v>
      </c>
      <c r="C4243" s="23" t="s">
        <v>46</v>
      </c>
      <c r="D4243" s="23" t="s">
        <v>46</v>
      </c>
      <c r="E4243" s="23" t="s">
        <v>101</v>
      </c>
      <c r="F4243" s="15" t="s">
        <v>104</v>
      </c>
      <c r="G4243" s="15" t="s">
        <v>5173</v>
      </c>
      <c r="H4243" s="23" t="s">
        <v>58</v>
      </c>
    </row>
    <row r="4244" spans="1:8" ht="54.95" customHeight="1" x14ac:dyDescent="0.2">
      <c r="A4244" s="23" t="s">
        <v>1301</v>
      </c>
      <c r="B4244" s="23" t="s">
        <v>15</v>
      </c>
      <c r="C4244" s="23" t="s">
        <v>46</v>
      </c>
      <c r="D4244" s="23" t="s">
        <v>46</v>
      </c>
      <c r="E4244" s="23" t="s">
        <v>46</v>
      </c>
      <c r="F4244" s="15" t="s">
        <v>103</v>
      </c>
      <c r="G4244" s="15" t="s">
        <v>5173</v>
      </c>
      <c r="H4244" s="23" t="s">
        <v>58</v>
      </c>
    </row>
    <row r="4245" spans="1:8" ht="54.95" customHeight="1" x14ac:dyDescent="0.2">
      <c r="A4245" s="23" t="s">
        <v>1301</v>
      </c>
      <c r="B4245" s="23" t="s">
        <v>17</v>
      </c>
      <c r="C4245" s="23" t="s">
        <v>46</v>
      </c>
      <c r="D4245" s="23" t="s">
        <v>46</v>
      </c>
      <c r="E4245" s="23" t="s">
        <v>46</v>
      </c>
      <c r="F4245" s="15" t="s">
        <v>103</v>
      </c>
      <c r="G4245" s="15" t="s">
        <v>5173</v>
      </c>
      <c r="H4245" s="23" t="s">
        <v>58</v>
      </c>
    </row>
    <row r="4246" spans="1:8" ht="54.95" customHeight="1" x14ac:dyDescent="0.2">
      <c r="A4246" s="23" t="s">
        <v>1301</v>
      </c>
      <c r="B4246" s="23" t="s">
        <v>19</v>
      </c>
      <c r="C4246" s="23" t="s">
        <v>46</v>
      </c>
      <c r="D4246" s="23" t="s">
        <v>46</v>
      </c>
      <c r="E4246" s="23" t="s">
        <v>46</v>
      </c>
      <c r="F4246" s="15" t="s">
        <v>103</v>
      </c>
      <c r="G4246" s="15" t="s">
        <v>5173</v>
      </c>
      <c r="H4246" s="23" t="s">
        <v>58</v>
      </c>
    </row>
    <row r="4247" spans="1:8" ht="54.95" customHeight="1" x14ac:dyDescent="0.2">
      <c r="A4247" s="23" t="s">
        <v>1301</v>
      </c>
      <c r="B4247" s="23" t="s">
        <v>21</v>
      </c>
      <c r="C4247" s="23" t="s">
        <v>46</v>
      </c>
      <c r="D4247" s="23" t="s">
        <v>46</v>
      </c>
      <c r="E4247" s="23" t="s">
        <v>101</v>
      </c>
      <c r="F4247" s="15" t="s">
        <v>104</v>
      </c>
      <c r="G4247" s="15" t="s">
        <v>5173</v>
      </c>
      <c r="H4247" s="23" t="s">
        <v>58</v>
      </c>
    </row>
    <row r="4248" spans="1:8" ht="54.95" customHeight="1" x14ac:dyDescent="0.2">
      <c r="A4248" s="23" t="s">
        <v>1301</v>
      </c>
      <c r="B4248" s="23" t="s">
        <v>22</v>
      </c>
      <c r="C4248" s="23" t="s">
        <v>46</v>
      </c>
      <c r="D4248" s="23" t="s">
        <v>46</v>
      </c>
      <c r="E4248" s="23" t="s">
        <v>101</v>
      </c>
      <c r="F4248" s="15" t="s">
        <v>104</v>
      </c>
      <c r="G4248" s="15" t="s">
        <v>5173</v>
      </c>
      <c r="H4248" s="23" t="s">
        <v>58</v>
      </c>
    </row>
    <row r="4249" spans="1:8" ht="54.95" customHeight="1" x14ac:dyDescent="0.2">
      <c r="A4249" s="23" t="s">
        <v>1301</v>
      </c>
      <c r="B4249" s="23" t="s">
        <v>23</v>
      </c>
      <c r="C4249" s="23" t="s">
        <v>46</v>
      </c>
      <c r="D4249" s="23" t="s">
        <v>46</v>
      </c>
      <c r="E4249" s="23" t="s">
        <v>101</v>
      </c>
      <c r="F4249" s="15" t="s">
        <v>104</v>
      </c>
      <c r="G4249" s="15" t="s">
        <v>5173</v>
      </c>
      <c r="H4249" s="23" t="s">
        <v>58</v>
      </c>
    </row>
    <row r="4250" spans="1:8" ht="54.95" customHeight="1" x14ac:dyDescent="0.2">
      <c r="A4250" s="23" t="s">
        <v>1301</v>
      </c>
      <c r="B4250" s="23" t="s">
        <v>24</v>
      </c>
      <c r="C4250" s="23" t="s">
        <v>46</v>
      </c>
      <c r="D4250" s="23" t="s">
        <v>46</v>
      </c>
      <c r="E4250" s="23" t="s">
        <v>101</v>
      </c>
      <c r="F4250" s="15" t="s">
        <v>104</v>
      </c>
      <c r="G4250" s="15" t="s">
        <v>5173</v>
      </c>
      <c r="H4250" s="23" t="s">
        <v>58</v>
      </c>
    </row>
    <row r="4251" spans="1:8" ht="54.95" customHeight="1" x14ac:dyDescent="0.2">
      <c r="A4251" s="23" t="s">
        <v>1301</v>
      </c>
      <c r="B4251" s="23" t="s">
        <v>25</v>
      </c>
      <c r="C4251" s="23" t="s">
        <v>46</v>
      </c>
      <c r="D4251" s="23" t="s">
        <v>46</v>
      </c>
      <c r="E4251" s="23" t="s">
        <v>101</v>
      </c>
      <c r="F4251" s="15" t="s">
        <v>104</v>
      </c>
      <c r="G4251" s="15" t="s">
        <v>5173</v>
      </c>
      <c r="H4251" s="23" t="s">
        <v>58</v>
      </c>
    </row>
    <row r="4252" spans="1:8" ht="54.95" customHeight="1" x14ac:dyDescent="0.2">
      <c r="A4252" s="23" t="s">
        <v>1305</v>
      </c>
      <c r="B4252" s="23" t="s">
        <v>23</v>
      </c>
      <c r="C4252" s="23" t="s">
        <v>46</v>
      </c>
      <c r="D4252" s="23" t="s">
        <v>46</v>
      </c>
      <c r="E4252" s="23" t="s">
        <v>101</v>
      </c>
      <c r="F4252" s="15" t="s">
        <v>104</v>
      </c>
      <c r="G4252" s="15" t="s">
        <v>5173</v>
      </c>
      <c r="H4252" s="23" t="s">
        <v>58</v>
      </c>
    </row>
    <row r="4253" spans="1:8" ht="54.95" customHeight="1" x14ac:dyDescent="0.2">
      <c r="A4253" s="23" t="s">
        <v>1305</v>
      </c>
      <c r="B4253" s="23" t="s">
        <v>24</v>
      </c>
      <c r="C4253" s="23" t="s">
        <v>46</v>
      </c>
      <c r="D4253" s="23" t="s">
        <v>46</v>
      </c>
      <c r="E4253" s="23" t="s">
        <v>101</v>
      </c>
      <c r="F4253" s="15" t="s">
        <v>104</v>
      </c>
      <c r="G4253" s="15" t="s">
        <v>5173</v>
      </c>
      <c r="H4253" s="23" t="s">
        <v>58</v>
      </c>
    </row>
    <row r="4254" spans="1:8" ht="54.95" customHeight="1" x14ac:dyDescent="0.2">
      <c r="A4254" s="23" t="s">
        <v>1305</v>
      </c>
      <c r="B4254" s="23" t="s">
        <v>25</v>
      </c>
      <c r="C4254" s="23" t="s">
        <v>46</v>
      </c>
      <c r="D4254" s="23" t="s">
        <v>46</v>
      </c>
      <c r="E4254" s="23" t="s">
        <v>101</v>
      </c>
      <c r="F4254" s="15" t="s">
        <v>104</v>
      </c>
      <c r="G4254" s="15" t="s">
        <v>5173</v>
      </c>
      <c r="H4254" s="23" t="s">
        <v>58</v>
      </c>
    </row>
    <row r="4255" spans="1:8" ht="54.95" customHeight="1" x14ac:dyDescent="0.2">
      <c r="A4255" s="23" t="s">
        <v>1311</v>
      </c>
      <c r="B4255" s="23" t="s">
        <v>19</v>
      </c>
      <c r="C4255" s="23" t="s">
        <v>46</v>
      </c>
      <c r="D4255" s="23" t="s">
        <v>46</v>
      </c>
      <c r="E4255" s="23" t="s">
        <v>46</v>
      </c>
      <c r="F4255" s="15" t="s">
        <v>103</v>
      </c>
      <c r="G4255" s="15" t="s">
        <v>5173</v>
      </c>
      <c r="H4255" s="23" t="s">
        <v>58</v>
      </c>
    </row>
    <row r="4256" spans="1:8" ht="54.95" customHeight="1" x14ac:dyDescent="0.2">
      <c r="A4256" s="23" t="s">
        <v>1311</v>
      </c>
      <c r="B4256" s="23" t="s">
        <v>23</v>
      </c>
      <c r="C4256" s="23" t="s">
        <v>46</v>
      </c>
      <c r="D4256" s="23" t="s">
        <v>46</v>
      </c>
      <c r="E4256" s="23" t="s">
        <v>101</v>
      </c>
      <c r="F4256" s="15" t="s">
        <v>104</v>
      </c>
      <c r="G4256" s="15" t="s">
        <v>5173</v>
      </c>
      <c r="H4256" s="23" t="s">
        <v>58</v>
      </c>
    </row>
    <row r="4257" spans="1:8" ht="54.95" customHeight="1" x14ac:dyDescent="0.2">
      <c r="A4257" s="23" t="s">
        <v>1311</v>
      </c>
      <c r="B4257" s="23" t="s">
        <v>24</v>
      </c>
      <c r="C4257" s="23" t="s">
        <v>46</v>
      </c>
      <c r="D4257" s="23" t="s">
        <v>46</v>
      </c>
      <c r="E4257" s="23" t="s">
        <v>101</v>
      </c>
      <c r="F4257" s="15" t="s">
        <v>104</v>
      </c>
      <c r="G4257" s="15" t="s">
        <v>5173</v>
      </c>
      <c r="H4257" s="23" t="s">
        <v>58</v>
      </c>
    </row>
    <row r="4258" spans="1:8" ht="54.95" customHeight="1" x14ac:dyDescent="0.2">
      <c r="A4258" s="23" t="s">
        <v>1311</v>
      </c>
      <c r="B4258" s="23" t="s">
        <v>25</v>
      </c>
      <c r="C4258" s="23" t="s">
        <v>46</v>
      </c>
      <c r="D4258" s="23" t="s">
        <v>46</v>
      </c>
      <c r="E4258" s="23" t="s">
        <v>101</v>
      </c>
      <c r="F4258" s="15" t="s">
        <v>104</v>
      </c>
      <c r="G4258" s="15" t="s">
        <v>5173</v>
      </c>
      <c r="H4258" s="23" t="s">
        <v>58</v>
      </c>
    </row>
    <row r="4259" spans="1:8" ht="54.95" customHeight="1" x14ac:dyDescent="0.2">
      <c r="A4259" s="23" t="s">
        <v>1317</v>
      </c>
      <c r="B4259" s="23" t="s">
        <v>19</v>
      </c>
      <c r="C4259" s="23" t="s">
        <v>46</v>
      </c>
      <c r="D4259" s="23" t="s">
        <v>46</v>
      </c>
      <c r="E4259" s="23" t="s">
        <v>46</v>
      </c>
      <c r="F4259" s="15" t="s">
        <v>103</v>
      </c>
      <c r="G4259" s="15" t="s">
        <v>5173</v>
      </c>
      <c r="H4259" s="23" t="s">
        <v>58</v>
      </c>
    </row>
    <row r="4260" spans="1:8" ht="54.95" customHeight="1" x14ac:dyDescent="0.2">
      <c r="A4260" s="23" t="s">
        <v>1317</v>
      </c>
      <c r="B4260" s="23" t="s">
        <v>21</v>
      </c>
      <c r="C4260" s="23" t="s">
        <v>46</v>
      </c>
      <c r="D4260" s="23" t="s">
        <v>46</v>
      </c>
      <c r="E4260" s="23" t="s">
        <v>101</v>
      </c>
      <c r="F4260" s="15" t="s">
        <v>104</v>
      </c>
      <c r="G4260" s="15" t="s">
        <v>5173</v>
      </c>
      <c r="H4260" s="23" t="s">
        <v>58</v>
      </c>
    </row>
    <row r="4261" spans="1:8" ht="54.95" customHeight="1" x14ac:dyDescent="0.2">
      <c r="A4261" s="23" t="s">
        <v>1317</v>
      </c>
      <c r="B4261" s="23" t="s">
        <v>22</v>
      </c>
      <c r="C4261" s="23" t="s">
        <v>46</v>
      </c>
      <c r="D4261" s="23" t="s">
        <v>46</v>
      </c>
      <c r="E4261" s="23" t="s">
        <v>101</v>
      </c>
      <c r="F4261" s="15" t="s">
        <v>104</v>
      </c>
      <c r="G4261" s="15" t="s">
        <v>5173</v>
      </c>
      <c r="H4261" s="23" t="s">
        <v>58</v>
      </c>
    </row>
    <row r="4262" spans="1:8" ht="54.95" customHeight="1" x14ac:dyDescent="0.2">
      <c r="A4262" s="23" t="s">
        <v>1317</v>
      </c>
      <c r="B4262" s="23" t="s">
        <v>23</v>
      </c>
      <c r="C4262" s="23" t="s">
        <v>46</v>
      </c>
      <c r="D4262" s="23" t="s">
        <v>46</v>
      </c>
      <c r="E4262" s="23" t="s">
        <v>101</v>
      </c>
      <c r="F4262" s="15" t="s">
        <v>104</v>
      </c>
      <c r="G4262" s="15" t="s">
        <v>5173</v>
      </c>
      <c r="H4262" s="23" t="s">
        <v>58</v>
      </c>
    </row>
    <row r="4263" spans="1:8" ht="54.95" customHeight="1" x14ac:dyDescent="0.2">
      <c r="A4263" s="23" t="s">
        <v>1317</v>
      </c>
      <c r="B4263" s="23" t="s">
        <v>24</v>
      </c>
      <c r="C4263" s="23" t="s">
        <v>46</v>
      </c>
      <c r="D4263" s="23" t="s">
        <v>46</v>
      </c>
      <c r="E4263" s="23" t="s">
        <v>101</v>
      </c>
      <c r="F4263" s="15" t="s">
        <v>104</v>
      </c>
      <c r="G4263" s="15" t="s">
        <v>5173</v>
      </c>
      <c r="H4263" s="23" t="s">
        <v>58</v>
      </c>
    </row>
    <row r="4264" spans="1:8" ht="54.95" customHeight="1" x14ac:dyDescent="0.2">
      <c r="A4264" s="23" t="s">
        <v>1317</v>
      </c>
      <c r="B4264" s="23" t="s">
        <v>25</v>
      </c>
      <c r="C4264" s="23" t="s">
        <v>46</v>
      </c>
      <c r="D4264" s="23" t="s">
        <v>46</v>
      </c>
      <c r="E4264" s="23" t="s">
        <v>101</v>
      </c>
      <c r="F4264" s="15" t="s">
        <v>104</v>
      </c>
      <c r="G4264" s="15" t="s">
        <v>5173</v>
      </c>
      <c r="H4264" s="23" t="s">
        <v>58</v>
      </c>
    </row>
    <row r="4265" spans="1:8" ht="54.95" customHeight="1" x14ac:dyDescent="0.2">
      <c r="A4265" s="23" t="s">
        <v>1322</v>
      </c>
      <c r="B4265" s="23" t="s">
        <v>3</v>
      </c>
      <c r="C4265" s="23" t="s">
        <v>46</v>
      </c>
      <c r="D4265" s="23" t="s">
        <v>46</v>
      </c>
      <c r="E4265" s="23" t="s">
        <v>46</v>
      </c>
      <c r="F4265" s="15" t="s">
        <v>198</v>
      </c>
      <c r="G4265" s="15" t="s">
        <v>5173</v>
      </c>
      <c r="H4265" s="23" t="s">
        <v>58</v>
      </c>
    </row>
    <row r="4266" spans="1:8" ht="54.95" customHeight="1" x14ac:dyDescent="0.2">
      <c r="A4266" s="23" t="s">
        <v>1322</v>
      </c>
      <c r="B4266" s="23" t="s">
        <v>6</v>
      </c>
      <c r="C4266" s="23" t="s">
        <v>46</v>
      </c>
      <c r="D4266" s="23" t="s">
        <v>46</v>
      </c>
      <c r="E4266" s="23" t="s">
        <v>46</v>
      </c>
      <c r="F4266" s="15" t="s">
        <v>198</v>
      </c>
      <c r="G4266" s="15" t="s">
        <v>5173</v>
      </c>
      <c r="H4266" s="23" t="s">
        <v>58</v>
      </c>
    </row>
    <row r="4267" spans="1:8" ht="54.95" customHeight="1" x14ac:dyDescent="0.2">
      <c r="A4267" s="23" t="s">
        <v>1322</v>
      </c>
      <c r="B4267" s="23" t="s">
        <v>7</v>
      </c>
      <c r="C4267" s="23" t="s">
        <v>46</v>
      </c>
      <c r="D4267" s="23" t="s">
        <v>46</v>
      </c>
      <c r="E4267" s="23" t="s">
        <v>46</v>
      </c>
      <c r="F4267" s="15" t="s">
        <v>198</v>
      </c>
      <c r="G4267" s="15" t="s">
        <v>5173</v>
      </c>
      <c r="H4267" s="23" t="s">
        <v>58</v>
      </c>
    </row>
    <row r="4268" spans="1:8" ht="54.95" customHeight="1" x14ac:dyDescent="0.2">
      <c r="A4268" s="23" t="s">
        <v>1322</v>
      </c>
      <c r="B4268" s="23" t="s">
        <v>8</v>
      </c>
      <c r="C4268" s="23" t="s">
        <v>46</v>
      </c>
      <c r="D4268" s="23" t="s">
        <v>46</v>
      </c>
      <c r="E4268" s="23" t="s">
        <v>46</v>
      </c>
      <c r="F4268" s="15" t="s">
        <v>198</v>
      </c>
      <c r="G4268" s="15" t="s">
        <v>5173</v>
      </c>
      <c r="H4268" s="23" t="s">
        <v>58</v>
      </c>
    </row>
    <row r="4269" spans="1:8" ht="54.95" customHeight="1" x14ac:dyDescent="0.2">
      <c r="A4269" s="23" t="s">
        <v>1322</v>
      </c>
      <c r="B4269" s="23" t="s">
        <v>9</v>
      </c>
      <c r="C4269" s="23" t="s">
        <v>46</v>
      </c>
      <c r="D4269" s="23" t="s">
        <v>46</v>
      </c>
      <c r="E4269" s="23" t="s">
        <v>46</v>
      </c>
      <c r="F4269" s="15" t="s">
        <v>198</v>
      </c>
      <c r="G4269" s="15" t="s">
        <v>5173</v>
      </c>
      <c r="H4269" s="23" t="s">
        <v>58</v>
      </c>
    </row>
    <row r="4270" spans="1:8" ht="54.95" customHeight="1" x14ac:dyDescent="0.2">
      <c r="A4270" s="23" t="s">
        <v>1322</v>
      </c>
      <c r="B4270" s="23" t="s">
        <v>10</v>
      </c>
      <c r="C4270" s="23" t="s">
        <v>46</v>
      </c>
      <c r="D4270" s="23" t="s">
        <v>46</v>
      </c>
      <c r="E4270" s="23" t="s">
        <v>46</v>
      </c>
      <c r="F4270" s="15" t="s">
        <v>198</v>
      </c>
      <c r="G4270" s="15" t="s">
        <v>5173</v>
      </c>
      <c r="H4270" s="23" t="s">
        <v>58</v>
      </c>
    </row>
    <row r="4271" spans="1:8" ht="54.95" customHeight="1" x14ac:dyDescent="0.2">
      <c r="A4271" s="23" t="s">
        <v>1322</v>
      </c>
      <c r="B4271" s="23" t="s">
        <v>11</v>
      </c>
      <c r="C4271" s="23" t="s">
        <v>46</v>
      </c>
      <c r="D4271" s="23" t="s">
        <v>46</v>
      </c>
      <c r="E4271" s="23" t="s">
        <v>46</v>
      </c>
      <c r="F4271" s="15" t="s">
        <v>198</v>
      </c>
      <c r="G4271" s="15" t="s">
        <v>5173</v>
      </c>
      <c r="H4271" s="23" t="s">
        <v>58</v>
      </c>
    </row>
    <row r="4272" spans="1:8" ht="54.95" customHeight="1" x14ac:dyDescent="0.2">
      <c r="A4272" s="23" t="s">
        <v>1322</v>
      </c>
      <c r="B4272" s="23" t="s">
        <v>13</v>
      </c>
      <c r="C4272" s="23" t="s">
        <v>46</v>
      </c>
      <c r="D4272" s="23" t="s">
        <v>46</v>
      </c>
      <c r="E4272" s="23" t="s">
        <v>46</v>
      </c>
      <c r="F4272" s="15" t="s">
        <v>198</v>
      </c>
      <c r="G4272" s="15" t="s">
        <v>5173</v>
      </c>
      <c r="H4272" s="23" t="s">
        <v>58</v>
      </c>
    </row>
    <row r="4273" spans="1:8" ht="54.95" customHeight="1" x14ac:dyDescent="0.2">
      <c r="A4273" s="23" t="s">
        <v>1322</v>
      </c>
      <c r="B4273" s="23" t="s">
        <v>14</v>
      </c>
      <c r="C4273" s="23" t="s">
        <v>46</v>
      </c>
      <c r="D4273" s="23" t="s">
        <v>46</v>
      </c>
      <c r="E4273" s="23" t="s">
        <v>46</v>
      </c>
      <c r="F4273" s="15" t="s">
        <v>198</v>
      </c>
      <c r="G4273" s="15" t="s">
        <v>5173</v>
      </c>
      <c r="H4273" s="23" t="s">
        <v>58</v>
      </c>
    </row>
    <row r="4274" spans="1:8" ht="54.95" customHeight="1" x14ac:dyDescent="0.2">
      <c r="A4274" s="23" t="s">
        <v>1322</v>
      </c>
      <c r="B4274" s="23" t="s">
        <v>15</v>
      </c>
      <c r="C4274" s="23" t="s">
        <v>46</v>
      </c>
      <c r="D4274" s="23" t="s">
        <v>46</v>
      </c>
      <c r="E4274" s="23" t="s">
        <v>46</v>
      </c>
      <c r="F4274" s="15" t="s">
        <v>103</v>
      </c>
      <c r="G4274" s="15" t="s">
        <v>5173</v>
      </c>
      <c r="H4274" s="23" t="s">
        <v>58</v>
      </c>
    </row>
    <row r="4275" spans="1:8" ht="54.95" customHeight="1" x14ac:dyDescent="0.2">
      <c r="A4275" s="23" t="s">
        <v>1322</v>
      </c>
      <c r="B4275" s="23" t="s">
        <v>17</v>
      </c>
      <c r="C4275" s="23" t="s">
        <v>46</v>
      </c>
      <c r="D4275" s="23" t="s">
        <v>46</v>
      </c>
      <c r="E4275" s="23" t="s">
        <v>46</v>
      </c>
      <c r="F4275" s="15" t="s">
        <v>103</v>
      </c>
      <c r="G4275" s="15" t="s">
        <v>5173</v>
      </c>
      <c r="H4275" s="23" t="s">
        <v>58</v>
      </c>
    </row>
    <row r="4276" spans="1:8" ht="54.95" customHeight="1" x14ac:dyDescent="0.2">
      <c r="A4276" s="23" t="s">
        <v>1322</v>
      </c>
      <c r="B4276" s="23" t="s">
        <v>19</v>
      </c>
      <c r="C4276" s="23" t="s">
        <v>46</v>
      </c>
      <c r="D4276" s="23" t="s">
        <v>46</v>
      </c>
      <c r="E4276" s="23" t="s">
        <v>46</v>
      </c>
      <c r="F4276" s="15" t="s">
        <v>103</v>
      </c>
      <c r="G4276" s="15" t="s">
        <v>5173</v>
      </c>
      <c r="H4276" s="23" t="s">
        <v>58</v>
      </c>
    </row>
    <row r="4277" spans="1:8" ht="54.95" customHeight="1" x14ac:dyDescent="0.2">
      <c r="A4277" s="23" t="s">
        <v>1322</v>
      </c>
      <c r="B4277" s="23" t="s">
        <v>21</v>
      </c>
      <c r="C4277" s="23" t="s">
        <v>46</v>
      </c>
      <c r="D4277" s="23" t="s">
        <v>46</v>
      </c>
      <c r="E4277" s="23" t="s">
        <v>101</v>
      </c>
      <c r="F4277" s="15" t="s">
        <v>104</v>
      </c>
      <c r="G4277" s="15" t="s">
        <v>5173</v>
      </c>
      <c r="H4277" s="23" t="s">
        <v>58</v>
      </c>
    </row>
    <row r="4278" spans="1:8" ht="54.95" customHeight="1" x14ac:dyDescent="0.2">
      <c r="A4278" s="23" t="s">
        <v>1322</v>
      </c>
      <c r="B4278" s="23" t="s">
        <v>22</v>
      </c>
      <c r="C4278" s="23" t="s">
        <v>46</v>
      </c>
      <c r="D4278" s="23" t="s">
        <v>46</v>
      </c>
      <c r="E4278" s="23" t="s">
        <v>101</v>
      </c>
      <c r="F4278" s="15" t="s">
        <v>104</v>
      </c>
      <c r="G4278" s="15" t="s">
        <v>5173</v>
      </c>
      <c r="H4278" s="23" t="s">
        <v>58</v>
      </c>
    </row>
    <row r="4279" spans="1:8" ht="54.95" customHeight="1" x14ac:dyDescent="0.2">
      <c r="A4279" s="23" t="s">
        <v>1322</v>
      </c>
      <c r="B4279" s="23" t="s">
        <v>23</v>
      </c>
      <c r="C4279" s="23" t="s">
        <v>46</v>
      </c>
      <c r="D4279" s="23" t="s">
        <v>46</v>
      </c>
      <c r="E4279" s="23" t="s">
        <v>101</v>
      </c>
      <c r="F4279" s="15" t="s">
        <v>104</v>
      </c>
      <c r="G4279" s="15" t="s">
        <v>5173</v>
      </c>
      <c r="H4279" s="23" t="s">
        <v>58</v>
      </c>
    </row>
    <row r="4280" spans="1:8" ht="54.95" customHeight="1" x14ac:dyDescent="0.2">
      <c r="A4280" s="23" t="s">
        <v>1322</v>
      </c>
      <c r="B4280" s="23" t="s">
        <v>24</v>
      </c>
      <c r="C4280" s="23" t="s">
        <v>46</v>
      </c>
      <c r="D4280" s="23" t="s">
        <v>46</v>
      </c>
      <c r="E4280" s="23" t="s">
        <v>101</v>
      </c>
      <c r="F4280" s="15" t="s">
        <v>104</v>
      </c>
      <c r="G4280" s="15" t="s">
        <v>5173</v>
      </c>
      <c r="H4280" s="23" t="s">
        <v>58</v>
      </c>
    </row>
    <row r="4281" spans="1:8" ht="54.95" customHeight="1" x14ac:dyDescent="0.2">
      <c r="A4281" s="23" t="s">
        <v>1322</v>
      </c>
      <c r="B4281" s="23" t="s">
        <v>25</v>
      </c>
      <c r="C4281" s="23" t="s">
        <v>46</v>
      </c>
      <c r="D4281" s="23" t="s">
        <v>46</v>
      </c>
      <c r="E4281" s="23" t="s">
        <v>101</v>
      </c>
      <c r="F4281" s="15" t="s">
        <v>104</v>
      </c>
      <c r="G4281" s="15" t="s">
        <v>5173</v>
      </c>
      <c r="H4281" s="23" t="s">
        <v>58</v>
      </c>
    </row>
    <row r="4282" spans="1:8" ht="54.95" customHeight="1" x14ac:dyDescent="0.2">
      <c r="A4282" s="23" t="s">
        <v>1326</v>
      </c>
      <c r="B4282" s="23" t="s">
        <v>15</v>
      </c>
      <c r="C4282" s="23" t="s">
        <v>46</v>
      </c>
      <c r="D4282" s="23" t="s">
        <v>46</v>
      </c>
      <c r="E4282" s="23" t="s">
        <v>46</v>
      </c>
      <c r="F4282" s="15" t="s">
        <v>103</v>
      </c>
      <c r="G4282" s="15" t="s">
        <v>5173</v>
      </c>
      <c r="H4282" s="23" t="s">
        <v>58</v>
      </c>
    </row>
    <row r="4283" spans="1:8" ht="54.95" customHeight="1" x14ac:dyDescent="0.2">
      <c r="A4283" s="23" t="s">
        <v>1326</v>
      </c>
      <c r="B4283" s="23" t="s">
        <v>17</v>
      </c>
      <c r="C4283" s="23" t="s">
        <v>46</v>
      </c>
      <c r="D4283" s="23" t="s">
        <v>46</v>
      </c>
      <c r="E4283" s="23" t="s">
        <v>46</v>
      </c>
      <c r="F4283" s="15" t="s">
        <v>103</v>
      </c>
      <c r="G4283" s="15" t="s">
        <v>5173</v>
      </c>
      <c r="H4283" s="23" t="s">
        <v>58</v>
      </c>
    </row>
    <row r="4284" spans="1:8" ht="54.95" customHeight="1" x14ac:dyDescent="0.2">
      <c r="A4284" s="23" t="s">
        <v>1326</v>
      </c>
      <c r="B4284" s="23" t="s">
        <v>19</v>
      </c>
      <c r="C4284" s="23" t="s">
        <v>46</v>
      </c>
      <c r="D4284" s="23" t="s">
        <v>46</v>
      </c>
      <c r="E4284" s="23" t="s">
        <v>46</v>
      </c>
      <c r="F4284" s="15" t="s">
        <v>103</v>
      </c>
      <c r="G4284" s="15" t="s">
        <v>5173</v>
      </c>
      <c r="H4284" s="23" t="s">
        <v>58</v>
      </c>
    </row>
    <row r="4285" spans="1:8" ht="54.95" customHeight="1" x14ac:dyDescent="0.2">
      <c r="A4285" s="23" t="s">
        <v>1326</v>
      </c>
      <c r="B4285" s="23" t="s">
        <v>21</v>
      </c>
      <c r="C4285" s="23" t="s">
        <v>46</v>
      </c>
      <c r="D4285" s="23" t="s">
        <v>46</v>
      </c>
      <c r="E4285" s="23" t="s">
        <v>101</v>
      </c>
      <c r="F4285" s="15" t="s">
        <v>104</v>
      </c>
      <c r="G4285" s="15" t="s">
        <v>5173</v>
      </c>
      <c r="H4285" s="23" t="s">
        <v>58</v>
      </c>
    </row>
    <row r="4286" spans="1:8" ht="54.95" customHeight="1" x14ac:dyDescent="0.2">
      <c r="A4286" s="23" t="s">
        <v>1326</v>
      </c>
      <c r="B4286" s="23" t="s">
        <v>22</v>
      </c>
      <c r="C4286" s="23" t="s">
        <v>46</v>
      </c>
      <c r="D4286" s="23" t="s">
        <v>46</v>
      </c>
      <c r="E4286" s="23" t="s">
        <v>101</v>
      </c>
      <c r="F4286" s="15" t="s">
        <v>104</v>
      </c>
      <c r="G4286" s="15" t="s">
        <v>5173</v>
      </c>
      <c r="H4286" s="23" t="s">
        <v>58</v>
      </c>
    </row>
    <row r="4287" spans="1:8" ht="54.95" customHeight="1" x14ac:dyDescent="0.2">
      <c r="A4287" s="23" t="s">
        <v>1326</v>
      </c>
      <c r="B4287" s="23" t="s">
        <v>23</v>
      </c>
      <c r="C4287" s="23" t="s">
        <v>46</v>
      </c>
      <c r="D4287" s="23" t="s">
        <v>46</v>
      </c>
      <c r="E4287" s="23" t="s">
        <v>101</v>
      </c>
      <c r="F4287" s="15" t="s">
        <v>104</v>
      </c>
      <c r="G4287" s="15" t="s">
        <v>5173</v>
      </c>
      <c r="H4287" s="23" t="s">
        <v>58</v>
      </c>
    </row>
    <row r="4288" spans="1:8" ht="54.95" customHeight="1" x14ac:dyDescent="0.2">
      <c r="A4288" s="23" t="s">
        <v>1326</v>
      </c>
      <c r="B4288" s="23" t="s">
        <v>24</v>
      </c>
      <c r="C4288" s="23" t="s">
        <v>46</v>
      </c>
      <c r="D4288" s="23" t="s">
        <v>46</v>
      </c>
      <c r="E4288" s="23" t="s">
        <v>101</v>
      </c>
      <c r="F4288" s="15" t="s">
        <v>104</v>
      </c>
      <c r="G4288" s="15" t="s">
        <v>5173</v>
      </c>
      <c r="H4288" s="23" t="s">
        <v>58</v>
      </c>
    </row>
    <row r="4289" spans="1:8" ht="54.95" customHeight="1" x14ac:dyDescent="0.2">
      <c r="A4289" s="23" t="s">
        <v>1326</v>
      </c>
      <c r="B4289" s="23" t="s">
        <v>25</v>
      </c>
      <c r="C4289" s="23" t="s">
        <v>46</v>
      </c>
      <c r="D4289" s="23" t="s">
        <v>46</v>
      </c>
      <c r="E4289" s="23" t="s">
        <v>101</v>
      </c>
      <c r="F4289" s="15" t="s">
        <v>104</v>
      </c>
      <c r="G4289" s="15" t="s">
        <v>5173</v>
      </c>
      <c r="H4289" s="23" t="s">
        <v>58</v>
      </c>
    </row>
    <row r="4290" spans="1:8" ht="54.95" customHeight="1" x14ac:dyDescent="0.2">
      <c r="A4290" s="23" t="s">
        <v>1330</v>
      </c>
      <c r="B4290" s="23" t="s">
        <v>23</v>
      </c>
      <c r="C4290" s="23" t="s">
        <v>46</v>
      </c>
      <c r="D4290" s="23" t="s">
        <v>46</v>
      </c>
      <c r="E4290" s="23" t="s">
        <v>101</v>
      </c>
      <c r="F4290" s="15" t="s">
        <v>104</v>
      </c>
      <c r="G4290" s="15" t="s">
        <v>5173</v>
      </c>
      <c r="H4290" s="23" t="s">
        <v>58</v>
      </c>
    </row>
    <row r="4291" spans="1:8" ht="54.95" customHeight="1" x14ac:dyDescent="0.2">
      <c r="A4291" s="23" t="s">
        <v>1330</v>
      </c>
      <c r="B4291" s="23" t="s">
        <v>24</v>
      </c>
      <c r="C4291" s="23" t="s">
        <v>46</v>
      </c>
      <c r="D4291" s="23" t="s">
        <v>46</v>
      </c>
      <c r="E4291" s="23" t="s">
        <v>101</v>
      </c>
      <c r="F4291" s="15" t="s">
        <v>104</v>
      </c>
      <c r="G4291" s="15" t="s">
        <v>5173</v>
      </c>
      <c r="H4291" s="23" t="s">
        <v>58</v>
      </c>
    </row>
    <row r="4292" spans="1:8" ht="54.95" customHeight="1" x14ac:dyDescent="0.2">
      <c r="A4292" s="23" t="s">
        <v>1330</v>
      </c>
      <c r="B4292" s="23" t="s">
        <v>25</v>
      </c>
      <c r="C4292" s="23" t="s">
        <v>46</v>
      </c>
      <c r="D4292" s="23" t="s">
        <v>46</v>
      </c>
      <c r="E4292" s="23" t="s">
        <v>101</v>
      </c>
      <c r="F4292" s="15" t="s">
        <v>104</v>
      </c>
      <c r="G4292" s="15" t="s">
        <v>5173</v>
      </c>
      <c r="H4292" s="23" t="s">
        <v>58</v>
      </c>
    </row>
    <row r="4293" spans="1:8" ht="54.95" customHeight="1" x14ac:dyDescent="0.2">
      <c r="A4293" s="23" t="s">
        <v>1336</v>
      </c>
      <c r="B4293" s="23" t="s">
        <v>21</v>
      </c>
      <c r="C4293" s="23" t="s">
        <v>46</v>
      </c>
      <c r="D4293" s="23" t="s">
        <v>46</v>
      </c>
      <c r="E4293" s="23" t="s">
        <v>101</v>
      </c>
      <c r="F4293" s="15" t="s">
        <v>104</v>
      </c>
      <c r="G4293" s="15" t="s">
        <v>5173</v>
      </c>
      <c r="H4293" s="23" t="s">
        <v>58</v>
      </c>
    </row>
    <row r="4294" spans="1:8" ht="54.95" customHeight="1" x14ac:dyDescent="0.2">
      <c r="A4294" s="23" t="s">
        <v>1336</v>
      </c>
      <c r="B4294" s="23" t="s">
        <v>22</v>
      </c>
      <c r="C4294" s="23" t="s">
        <v>46</v>
      </c>
      <c r="D4294" s="23" t="s">
        <v>46</v>
      </c>
      <c r="E4294" s="23" t="s">
        <v>101</v>
      </c>
      <c r="F4294" s="15" t="s">
        <v>104</v>
      </c>
      <c r="G4294" s="15" t="s">
        <v>5173</v>
      </c>
      <c r="H4294" s="23" t="s">
        <v>58</v>
      </c>
    </row>
    <row r="4295" spans="1:8" ht="54.95" customHeight="1" x14ac:dyDescent="0.2">
      <c r="A4295" s="23" t="s">
        <v>1336</v>
      </c>
      <c r="B4295" s="23" t="s">
        <v>23</v>
      </c>
      <c r="C4295" s="23" t="s">
        <v>46</v>
      </c>
      <c r="D4295" s="23" t="s">
        <v>46</v>
      </c>
      <c r="E4295" s="23" t="s">
        <v>101</v>
      </c>
      <c r="F4295" s="15" t="s">
        <v>104</v>
      </c>
      <c r="G4295" s="15" t="s">
        <v>5173</v>
      </c>
      <c r="H4295" s="23" t="s">
        <v>58</v>
      </c>
    </row>
    <row r="4296" spans="1:8" ht="54.95" customHeight="1" x14ac:dyDescent="0.2">
      <c r="A4296" s="23" t="s">
        <v>1336</v>
      </c>
      <c r="B4296" s="23" t="s">
        <v>24</v>
      </c>
      <c r="C4296" s="23" t="s">
        <v>46</v>
      </c>
      <c r="D4296" s="23" t="s">
        <v>46</v>
      </c>
      <c r="E4296" s="23" t="s">
        <v>101</v>
      </c>
      <c r="F4296" s="15" t="s">
        <v>104</v>
      </c>
      <c r="G4296" s="15" t="s">
        <v>5173</v>
      </c>
      <c r="H4296" s="23" t="s">
        <v>58</v>
      </c>
    </row>
    <row r="4297" spans="1:8" ht="54.95" customHeight="1" x14ac:dyDescent="0.2">
      <c r="A4297" s="23" t="s">
        <v>1336</v>
      </c>
      <c r="B4297" s="23" t="s">
        <v>25</v>
      </c>
      <c r="C4297" s="23" t="s">
        <v>46</v>
      </c>
      <c r="D4297" s="23" t="s">
        <v>46</v>
      </c>
      <c r="E4297" s="23" t="s">
        <v>101</v>
      </c>
      <c r="F4297" s="15" t="s">
        <v>104</v>
      </c>
      <c r="G4297" s="15" t="s">
        <v>5173</v>
      </c>
      <c r="H4297" s="23" t="s">
        <v>58</v>
      </c>
    </row>
    <row r="4298" spans="1:8" ht="54.95" customHeight="1" x14ac:dyDescent="0.2">
      <c r="A4298" s="23" t="s">
        <v>1341</v>
      </c>
      <c r="B4298" s="23" t="s">
        <v>21</v>
      </c>
      <c r="C4298" s="23" t="s">
        <v>46</v>
      </c>
      <c r="D4298" s="23" t="s">
        <v>46</v>
      </c>
      <c r="E4298" s="23" t="s">
        <v>101</v>
      </c>
      <c r="F4298" s="15" t="s">
        <v>104</v>
      </c>
      <c r="G4298" s="15" t="s">
        <v>5173</v>
      </c>
      <c r="H4298" s="23" t="s">
        <v>58</v>
      </c>
    </row>
    <row r="4299" spans="1:8" ht="54.95" customHeight="1" x14ac:dyDescent="0.2">
      <c r="A4299" s="23" t="s">
        <v>1341</v>
      </c>
      <c r="B4299" s="23" t="s">
        <v>22</v>
      </c>
      <c r="C4299" s="23" t="s">
        <v>46</v>
      </c>
      <c r="D4299" s="23" t="s">
        <v>46</v>
      </c>
      <c r="E4299" s="23" t="s">
        <v>101</v>
      </c>
      <c r="F4299" s="15" t="s">
        <v>104</v>
      </c>
      <c r="G4299" s="15" t="s">
        <v>5173</v>
      </c>
      <c r="H4299" s="23" t="s">
        <v>58</v>
      </c>
    </row>
    <row r="4300" spans="1:8" ht="54.95" customHeight="1" x14ac:dyDescent="0.2">
      <c r="A4300" s="23" t="s">
        <v>1341</v>
      </c>
      <c r="B4300" s="23" t="s">
        <v>23</v>
      </c>
      <c r="C4300" s="23" t="s">
        <v>46</v>
      </c>
      <c r="D4300" s="23" t="s">
        <v>46</v>
      </c>
      <c r="E4300" s="23" t="s">
        <v>101</v>
      </c>
      <c r="F4300" s="15" t="s">
        <v>104</v>
      </c>
      <c r="G4300" s="15" t="s">
        <v>5173</v>
      </c>
      <c r="H4300" s="23" t="s">
        <v>58</v>
      </c>
    </row>
    <row r="4301" spans="1:8" ht="54.95" customHeight="1" x14ac:dyDescent="0.2">
      <c r="A4301" s="23" t="s">
        <v>1341</v>
      </c>
      <c r="B4301" s="23" t="s">
        <v>24</v>
      </c>
      <c r="C4301" s="23" t="s">
        <v>46</v>
      </c>
      <c r="D4301" s="23" t="s">
        <v>46</v>
      </c>
      <c r="E4301" s="23" t="s">
        <v>101</v>
      </c>
      <c r="F4301" s="15" t="s">
        <v>104</v>
      </c>
      <c r="G4301" s="15" t="s">
        <v>5173</v>
      </c>
      <c r="H4301" s="23" t="s">
        <v>58</v>
      </c>
    </row>
    <row r="4302" spans="1:8" ht="54.95" customHeight="1" x14ac:dyDescent="0.2">
      <c r="A4302" s="23" t="s">
        <v>1341</v>
      </c>
      <c r="B4302" s="23" t="s">
        <v>25</v>
      </c>
      <c r="C4302" s="23" t="s">
        <v>46</v>
      </c>
      <c r="D4302" s="23" t="s">
        <v>46</v>
      </c>
      <c r="E4302" s="23" t="s">
        <v>101</v>
      </c>
      <c r="F4302" s="15" t="s">
        <v>104</v>
      </c>
      <c r="G4302" s="15" t="s">
        <v>5173</v>
      </c>
      <c r="H4302" s="23" t="s">
        <v>58</v>
      </c>
    </row>
    <row r="4303" spans="1:8" ht="54.95" customHeight="1" x14ac:dyDescent="0.2">
      <c r="A4303" s="23" t="s">
        <v>1346</v>
      </c>
      <c r="B4303" s="23" t="s">
        <v>23</v>
      </c>
      <c r="C4303" s="23" t="s">
        <v>46</v>
      </c>
      <c r="D4303" s="23" t="s">
        <v>46</v>
      </c>
      <c r="E4303" s="23" t="s">
        <v>101</v>
      </c>
      <c r="F4303" s="15" t="s">
        <v>104</v>
      </c>
      <c r="G4303" s="15" t="s">
        <v>5173</v>
      </c>
      <c r="H4303" s="23" t="s">
        <v>58</v>
      </c>
    </row>
    <row r="4304" spans="1:8" ht="54.95" customHeight="1" x14ac:dyDescent="0.2">
      <c r="A4304" s="23" t="s">
        <v>1346</v>
      </c>
      <c r="B4304" s="23" t="s">
        <v>24</v>
      </c>
      <c r="C4304" s="23" t="s">
        <v>46</v>
      </c>
      <c r="D4304" s="23" t="s">
        <v>46</v>
      </c>
      <c r="E4304" s="23" t="s">
        <v>101</v>
      </c>
      <c r="F4304" s="15" t="s">
        <v>104</v>
      </c>
      <c r="G4304" s="15" t="s">
        <v>5173</v>
      </c>
      <c r="H4304" s="23" t="s">
        <v>58</v>
      </c>
    </row>
    <row r="4305" spans="1:8" ht="54.95" customHeight="1" x14ac:dyDescent="0.2">
      <c r="A4305" s="23" t="s">
        <v>1346</v>
      </c>
      <c r="B4305" s="23" t="s">
        <v>25</v>
      </c>
      <c r="C4305" s="23" t="s">
        <v>46</v>
      </c>
      <c r="D4305" s="23" t="s">
        <v>46</v>
      </c>
      <c r="E4305" s="23" t="s">
        <v>101</v>
      </c>
      <c r="F4305" s="15" t="s">
        <v>104</v>
      </c>
      <c r="G4305" s="15" t="s">
        <v>5173</v>
      </c>
      <c r="H4305" s="23" t="s">
        <v>58</v>
      </c>
    </row>
    <row r="4306" spans="1:8" ht="54.95" customHeight="1" x14ac:dyDescent="0.2">
      <c r="A4306" s="23" t="s">
        <v>1352</v>
      </c>
      <c r="B4306" s="23" t="s">
        <v>23</v>
      </c>
      <c r="C4306" s="23" t="s">
        <v>46</v>
      </c>
      <c r="D4306" s="23" t="s">
        <v>46</v>
      </c>
      <c r="E4306" s="23" t="s">
        <v>101</v>
      </c>
      <c r="F4306" s="15" t="s">
        <v>104</v>
      </c>
      <c r="G4306" s="15" t="s">
        <v>5173</v>
      </c>
      <c r="H4306" s="23" t="s">
        <v>58</v>
      </c>
    </row>
    <row r="4307" spans="1:8" ht="54.95" customHeight="1" x14ac:dyDescent="0.2">
      <c r="A4307" s="23" t="s">
        <v>1352</v>
      </c>
      <c r="B4307" s="23" t="s">
        <v>24</v>
      </c>
      <c r="C4307" s="23" t="s">
        <v>46</v>
      </c>
      <c r="D4307" s="23" t="s">
        <v>46</v>
      </c>
      <c r="E4307" s="23" t="s">
        <v>101</v>
      </c>
      <c r="F4307" s="15" t="s">
        <v>104</v>
      </c>
      <c r="G4307" s="15" t="s">
        <v>5173</v>
      </c>
      <c r="H4307" s="23" t="s">
        <v>58</v>
      </c>
    </row>
    <row r="4308" spans="1:8" ht="54.95" customHeight="1" x14ac:dyDescent="0.2">
      <c r="A4308" s="23" t="s">
        <v>1352</v>
      </c>
      <c r="B4308" s="23" t="s">
        <v>25</v>
      </c>
      <c r="C4308" s="23" t="s">
        <v>46</v>
      </c>
      <c r="D4308" s="23" t="s">
        <v>46</v>
      </c>
      <c r="E4308" s="23" t="s">
        <v>101</v>
      </c>
      <c r="F4308" s="15" t="s">
        <v>104</v>
      </c>
      <c r="G4308" s="15" t="s">
        <v>5173</v>
      </c>
      <c r="H4308" s="23" t="s">
        <v>58</v>
      </c>
    </row>
    <row r="4309" spans="1:8" ht="54.95" customHeight="1" x14ac:dyDescent="0.2">
      <c r="A4309" s="23" t="s">
        <v>1358</v>
      </c>
      <c r="B4309" s="23" t="s">
        <v>3</v>
      </c>
      <c r="C4309" s="23" t="s">
        <v>46</v>
      </c>
      <c r="D4309" s="23" t="s">
        <v>46</v>
      </c>
      <c r="E4309" s="23" t="s">
        <v>46</v>
      </c>
      <c r="F4309" s="15" t="s">
        <v>198</v>
      </c>
      <c r="G4309" s="15" t="s">
        <v>5173</v>
      </c>
      <c r="H4309" s="23" t="s">
        <v>58</v>
      </c>
    </row>
    <row r="4310" spans="1:8" ht="54.95" customHeight="1" x14ac:dyDescent="0.2">
      <c r="A4310" s="23" t="s">
        <v>1358</v>
      </c>
      <c r="B4310" s="23" t="s">
        <v>6</v>
      </c>
      <c r="C4310" s="23" t="s">
        <v>46</v>
      </c>
      <c r="D4310" s="23" t="s">
        <v>46</v>
      </c>
      <c r="E4310" s="23" t="s">
        <v>46</v>
      </c>
      <c r="F4310" s="15" t="s">
        <v>198</v>
      </c>
      <c r="G4310" s="15" t="s">
        <v>5173</v>
      </c>
      <c r="H4310" s="23" t="s">
        <v>58</v>
      </c>
    </row>
    <row r="4311" spans="1:8" ht="54.95" customHeight="1" x14ac:dyDescent="0.2">
      <c r="A4311" s="23" t="s">
        <v>1358</v>
      </c>
      <c r="B4311" s="23" t="s">
        <v>7</v>
      </c>
      <c r="C4311" s="23" t="s">
        <v>46</v>
      </c>
      <c r="D4311" s="23" t="s">
        <v>46</v>
      </c>
      <c r="E4311" s="23" t="s">
        <v>46</v>
      </c>
      <c r="F4311" s="15" t="s">
        <v>198</v>
      </c>
      <c r="G4311" s="15" t="s">
        <v>5173</v>
      </c>
      <c r="H4311" s="23" t="s">
        <v>58</v>
      </c>
    </row>
    <row r="4312" spans="1:8" ht="54.95" customHeight="1" x14ac:dyDescent="0.2">
      <c r="A4312" s="23" t="s">
        <v>1358</v>
      </c>
      <c r="B4312" s="23" t="s">
        <v>8</v>
      </c>
      <c r="C4312" s="23" t="s">
        <v>46</v>
      </c>
      <c r="D4312" s="23" t="s">
        <v>46</v>
      </c>
      <c r="E4312" s="23" t="s">
        <v>46</v>
      </c>
      <c r="F4312" s="15" t="s">
        <v>198</v>
      </c>
      <c r="G4312" s="15" t="s">
        <v>5173</v>
      </c>
      <c r="H4312" s="23" t="s">
        <v>58</v>
      </c>
    </row>
    <row r="4313" spans="1:8" ht="54.95" customHeight="1" x14ac:dyDescent="0.2">
      <c r="A4313" s="23" t="s">
        <v>1358</v>
      </c>
      <c r="B4313" s="23" t="s">
        <v>9</v>
      </c>
      <c r="C4313" s="23" t="s">
        <v>46</v>
      </c>
      <c r="D4313" s="23" t="s">
        <v>46</v>
      </c>
      <c r="E4313" s="23" t="s">
        <v>46</v>
      </c>
      <c r="F4313" s="15" t="s">
        <v>198</v>
      </c>
      <c r="G4313" s="15" t="s">
        <v>5173</v>
      </c>
      <c r="H4313" s="23" t="s">
        <v>58</v>
      </c>
    </row>
    <row r="4314" spans="1:8" ht="54.95" customHeight="1" x14ac:dyDescent="0.2">
      <c r="A4314" s="23" t="s">
        <v>1358</v>
      </c>
      <c r="B4314" s="23" t="s">
        <v>10</v>
      </c>
      <c r="C4314" s="23" t="s">
        <v>46</v>
      </c>
      <c r="D4314" s="23" t="s">
        <v>46</v>
      </c>
      <c r="E4314" s="23" t="s">
        <v>46</v>
      </c>
      <c r="F4314" s="15" t="s">
        <v>198</v>
      </c>
      <c r="G4314" s="15" t="s">
        <v>5173</v>
      </c>
      <c r="H4314" s="23" t="s">
        <v>58</v>
      </c>
    </row>
    <row r="4315" spans="1:8" ht="54.95" customHeight="1" x14ac:dyDescent="0.2">
      <c r="A4315" s="23" t="s">
        <v>1358</v>
      </c>
      <c r="B4315" s="23" t="s">
        <v>11</v>
      </c>
      <c r="C4315" s="23" t="s">
        <v>46</v>
      </c>
      <c r="D4315" s="23" t="s">
        <v>46</v>
      </c>
      <c r="E4315" s="23" t="s">
        <v>46</v>
      </c>
      <c r="F4315" s="15" t="s">
        <v>198</v>
      </c>
      <c r="G4315" s="15" t="s">
        <v>5173</v>
      </c>
      <c r="H4315" s="23" t="s">
        <v>58</v>
      </c>
    </row>
    <row r="4316" spans="1:8" ht="54.95" customHeight="1" x14ac:dyDescent="0.2">
      <c r="A4316" s="23" t="s">
        <v>1358</v>
      </c>
      <c r="B4316" s="23" t="s">
        <v>13</v>
      </c>
      <c r="C4316" s="23" t="s">
        <v>46</v>
      </c>
      <c r="D4316" s="23" t="s">
        <v>46</v>
      </c>
      <c r="E4316" s="23" t="s">
        <v>46</v>
      </c>
      <c r="F4316" s="15" t="s">
        <v>198</v>
      </c>
      <c r="G4316" s="15" t="s">
        <v>5173</v>
      </c>
      <c r="H4316" s="23" t="s">
        <v>58</v>
      </c>
    </row>
    <row r="4317" spans="1:8" ht="54.95" customHeight="1" x14ac:dyDescent="0.2">
      <c r="A4317" s="23" t="s">
        <v>1358</v>
      </c>
      <c r="B4317" s="23" t="s">
        <v>14</v>
      </c>
      <c r="C4317" s="23" t="s">
        <v>46</v>
      </c>
      <c r="D4317" s="23" t="s">
        <v>46</v>
      </c>
      <c r="E4317" s="23" t="s">
        <v>46</v>
      </c>
      <c r="F4317" s="15" t="s">
        <v>198</v>
      </c>
      <c r="G4317" s="15" t="s">
        <v>5173</v>
      </c>
      <c r="H4317" s="23" t="s">
        <v>58</v>
      </c>
    </row>
    <row r="4318" spans="1:8" ht="54.95" customHeight="1" x14ac:dyDescent="0.2">
      <c r="A4318" s="23" t="s">
        <v>1358</v>
      </c>
      <c r="B4318" s="23" t="s">
        <v>15</v>
      </c>
      <c r="C4318" s="23" t="s">
        <v>46</v>
      </c>
      <c r="D4318" s="23" t="s">
        <v>46</v>
      </c>
      <c r="E4318" s="23" t="s">
        <v>46</v>
      </c>
      <c r="F4318" s="15" t="s">
        <v>103</v>
      </c>
      <c r="G4318" s="15" t="s">
        <v>5173</v>
      </c>
      <c r="H4318" s="23" t="s">
        <v>58</v>
      </c>
    </row>
    <row r="4319" spans="1:8" ht="54.95" customHeight="1" x14ac:dyDescent="0.2">
      <c r="A4319" s="23" t="s">
        <v>1358</v>
      </c>
      <c r="B4319" s="23" t="s">
        <v>17</v>
      </c>
      <c r="C4319" s="23" t="s">
        <v>46</v>
      </c>
      <c r="D4319" s="23" t="s">
        <v>46</v>
      </c>
      <c r="E4319" s="23" t="s">
        <v>46</v>
      </c>
      <c r="F4319" s="15" t="s">
        <v>103</v>
      </c>
      <c r="G4319" s="15" t="s">
        <v>5173</v>
      </c>
      <c r="H4319" s="23" t="s">
        <v>58</v>
      </c>
    </row>
    <row r="4320" spans="1:8" ht="54.95" customHeight="1" x14ac:dyDescent="0.2">
      <c r="A4320" s="23" t="s">
        <v>1358</v>
      </c>
      <c r="B4320" s="23" t="s">
        <v>19</v>
      </c>
      <c r="C4320" s="23" t="s">
        <v>46</v>
      </c>
      <c r="D4320" s="23" t="s">
        <v>46</v>
      </c>
      <c r="E4320" s="23" t="s">
        <v>46</v>
      </c>
      <c r="F4320" s="15" t="s">
        <v>103</v>
      </c>
      <c r="G4320" s="15" t="s">
        <v>5173</v>
      </c>
      <c r="H4320" s="23" t="s">
        <v>58</v>
      </c>
    </row>
    <row r="4321" spans="1:8" ht="54.95" customHeight="1" x14ac:dyDescent="0.2">
      <c r="A4321" s="23" t="s">
        <v>1358</v>
      </c>
      <c r="B4321" s="23" t="s">
        <v>21</v>
      </c>
      <c r="C4321" s="23" t="s">
        <v>46</v>
      </c>
      <c r="D4321" s="23" t="s">
        <v>46</v>
      </c>
      <c r="E4321" s="23" t="s">
        <v>101</v>
      </c>
      <c r="F4321" s="15" t="s">
        <v>104</v>
      </c>
      <c r="G4321" s="15" t="s">
        <v>5173</v>
      </c>
      <c r="H4321" s="23" t="s">
        <v>58</v>
      </c>
    </row>
    <row r="4322" spans="1:8" ht="54.95" customHeight="1" x14ac:dyDescent="0.2">
      <c r="A4322" s="23" t="s">
        <v>1358</v>
      </c>
      <c r="B4322" s="23" t="s">
        <v>22</v>
      </c>
      <c r="C4322" s="23" t="s">
        <v>46</v>
      </c>
      <c r="D4322" s="23" t="s">
        <v>46</v>
      </c>
      <c r="E4322" s="23" t="s">
        <v>101</v>
      </c>
      <c r="F4322" s="15" t="s">
        <v>104</v>
      </c>
      <c r="G4322" s="15" t="s">
        <v>5173</v>
      </c>
      <c r="H4322" s="23" t="s">
        <v>58</v>
      </c>
    </row>
    <row r="4323" spans="1:8" ht="54.95" customHeight="1" x14ac:dyDescent="0.2">
      <c r="A4323" s="23" t="s">
        <v>1358</v>
      </c>
      <c r="B4323" s="23" t="s">
        <v>23</v>
      </c>
      <c r="C4323" s="23" t="s">
        <v>46</v>
      </c>
      <c r="D4323" s="23" t="s">
        <v>46</v>
      </c>
      <c r="E4323" s="23" t="s">
        <v>101</v>
      </c>
      <c r="F4323" s="15" t="s">
        <v>104</v>
      </c>
      <c r="G4323" s="15" t="s">
        <v>5173</v>
      </c>
      <c r="H4323" s="23" t="s">
        <v>58</v>
      </c>
    </row>
    <row r="4324" spans="1:8" ht="54.95" customHeight="1" x14ac:dyDescent="0.2">
      <c r="A4324" s="23" t="s">
        <v>1358</v>
      </c>
      <c r="B4324" s="23" t="s">
        <v>24</v>
      </c>
      <c r="C4324" s="23" t="s">
        <v>46</v>
      </c>
      <c r="D4324" s="23" t="s">
        <v>46</v>
      </c>
      <c r="E4324" s="23" t="s">
        <v>101</v>
      </c>
      <c r="F4324" s="15" t="s">
        <v>104</v>
      </c>
      <c r="G4324" s="15" t="s">
        <v>5173</v>
      </c>
      <c r="H4324" s="23" t="s">
        <v>58</v>
      </c>
    </row>
    <row r="4325" spans="1:8" ht="54.95" customHeight="1" x14ac:dyDescent="0.2">
      <c r="A4325" s="23" t="s">
        <v>1358</v>
      </c>
      <c r="B4325" s="23" t="s">
        <v>25</v>
      </c>
      <c r="C4325" s="23" t="s">
        <v>46</v>
      </c>
      <c r="D4325" s="23" t="s">
        <v>46</v>
      </c>
      <c r="E4325" s="23" t="s">
        <v>101</v>
      </c>
      <c r="F4325" s="15" t="s">
        <v>104</v>
      </c>
      <c r="G4325" s="15" t="s">
        <v>5173</v>
      </c>
      <c r="H4325" s="23" t="s">
        <v>58</v>
      </c>
    </row>
    <row r="4326" spans="1:8" ht="54.95" customHeight="1" x14ac:dyDescent="0.2">
      <c r="A4326" s="23" t="s">
        <v>1362</v>
      </c>
      <c r="B4326" s="23" t="s">
        <v>3</v>
      </c>
      <c r="C4326" s="23" t="s">
        <v>46</v>
      </c>
      <c r="D4326" s="23" t="s">
        <v>46</v>
      </c>
      <c r="E4326" s="23" t="s">
        <v>46</v>
      </c>
      <c r="F4326" s="15" t="s">
        <v>198</v>
      </c>
      <c r="G4326" s="15" t="s">
        <v>5173</v>
      </c>
      <c r="H4326" s="23" t="s">
        <v>58</v>
      </c>
    </row>
    <row r="4327" spans="1:8" ht="54.95" customHeight="1" x14ac:dyDescent="0.2">
      <c r="A4327" s="23" t="s">
        <v>1362</v>
      </c>
      <c r="B4327" s="23" t="s">
        <v>6</v>
      </c>
      <c r="C4327" s="23" t="s">
        <v>46</v>
      </c>
      <c r="D4327" s="23" t="s">
        <v>46</v>
      </c>
      <c r="E4327" s="23" t="s">
        <v>46</v>
      </c>
      <c r="F4327" s="15" t="s">
        <v>198</v>
      </c>
      <c r="G4327" s="15" t="s">
        <v>5173</v>
      </c>
      <c r="H4327" s="23" t="s">
        <v>58</v>
      </c>
    </row>
    <row r="4328" spans="1:8" ht="54.95" customHeight="1" x14ac:dyDescent="0.2">
      <c r="A4328" s="23" t="s">
        <v>1362</v>
      </c>
      <c r="B4328" s="23" t="s">
        <v>7</v>
      </c>
      <c r="C4328" s="23" t="s">
        <v>46</v>
      </c>
      <c r="D4328" s="23" t="s">
        <v>46</v>
      </c>
      <c r="E4328" s="23" t="s">
        <v>46</v>
      </c>
      <c r="F4328" s="15" t="s">
        <v>198</v>
      </c>
      <c r="G4328" s="15" t="s">
        <v>5173</v>
      </c>
      <c r="H4328" s="23" t="s">
        <v>58</v>
      </c>
    </row>
    <row r="4329" spans="1:8" ht="54.95" customHeight="1" x14ac:dyDescent="0.2">
      <c r="A4329" s="23" t="s">
        <v>1362</v>
      </c>
      <c r="B4329" s="23" t="s">
        <v>8</v>
      </c>
      <c r="C4329" s="23" t="s">
        <v>46</v>
      </c>
      <c r="D4329" s="23" t="s">
        <v>46</v>
      </c>
      <c r="E4329" s="23" t="s">
        <v>46</v>
      </c>
      <c r="F4329" s="15" t="s">
        <v>198</v>
      </c>
      <c r="G4329" s="15" t="s">
        <v>5173</v>
      </c>
      <c r="H4329" s="23" t="s">
        <v>58</v>
      </c>
    </row>
    <row r="4330" spans="1:8" ht="54.95" customHeight="1" x14ac:dyDescent="0.2">
      <c r="A4330" s="23" t="s">
        <v>1362</v>
      </c>
      <c r="B4330" s="23" t="s">
        <v>9</v>
      </c>
      <c r="C4330" s="23" t="s">
        <v>46</v>
      </c>
      <c r="D4330" s="23" t="s">
        <v>46</v>
      </c>
      <c r="E4330" s="23" t="s">
        <v>46</v>
      </c>
      <c r="F4330" s="15" t="s">
        <v>198</v>
      </c>
      <c r="G4330" s="15" t="s">
        <v>5173</v>
      </c>
      <c r="H4330" s="23" t="s">
        <v>58</v>
      </c>
    </row>
    <row r="4331" spans="1:8" ht="54.95" customHeight="1" x14ac:dyDescent="0.2">
      <c r="A4331" s="23" t="s">
        <v>1362</v>
      </c>
      <c r="B4331" s="23" t="s">
        <v>10</v>
      </c>
      <c r="C4331" s="23" t="s">
        <v>46</v>
      </c>
      <c r="D4331" s="23" t="s">
        <v>46</v>
      </c>
      <c r="E4331" s="23" t="s">
        <v>46</v>
      </c>
      <c r="F4331" s="15" t="s">
        <v>198</v>
      </c>
      <c r="G4331" s="15" t="s">
        <v>5173</v>
      </c>
      <c r="H4331" s="23" t="s">
        <v>58</v>
      </c>
    </row>
    <row r="4332" spans="1:8" ht="54.95" customHeight="1" x14ac:dyDescent="0.2">
      <c r="A4332" s="23" t="s">
        <v>1362</v>
      </c>
      <c r="B4332" s="23" t="s">
        <v>11</v>
      </c>
      <c r="C4332" s="23" t="s">
        <v>46</v>
      </c>
      <c r="D4332" s="23" t="s">
        <v>46</v>
      </c>
      <c r="E4332" s="23" t="s">
        <v>46</v>
      </c>
      <c r="F4332" s="15" t="s">
        <v>198</v>
      </c>
      <c r="G4332" s="15" t="s">
        <v>5173</v>
      </c>
      <c r="H4332" s="23" t="s">
        <v>58</v>
      </c>
    </row>
    <row r="4333" spans="1:8" ht="54.95" customHeight="1" x14ac:dyDescent="0.2">
      <c r="A4333" s="23" t="s">
        <v>1362</v>
      </c>
      <c r="B4333" s="23" t="s">
        <v>13</v>
      </c>
      <c r="C4333" s="23" t="s">
        <v>46</v>
      </c>
      <c r="D4333" s="23" t="s">
        <v>46</v>
      </c>
      <c r="E4333" s="23" t="s">
        <v>46</v>
      </c>
      <c r="F4333" s="15" t="s">
        <v>198</v>
      </c>
      <c r="G4333" s="15" t="s">
        <v>5173</v>
      </c>
      <c r="H4333" s="23" t="s">
        <v>58</v>
      </c>
    </row>
    <row r="4334" spans="1:8" ht="54.95" customHeight="1" x14ac:dyDescent="0.2">
      <c r="A4334" s="23" t="s">
        <v>1362</v>
      </c>
      <c r="B4334" s="23" t="s">
        <v>14</v>
      </c>
      <c r="C4334" s="23" t="s">
        <v>46</v>
      </c>
      <c r="D4334" s="23" t="s">
        <v>46</v>
      </c>
      <c r="E4334" s="23" t="s">
        <v>46</v>
      </c>
      <c r="F4334" s="15" t="s">
        <v>198</v>
      </c>
      <c r="G4334" s="15" t="s">
        <v>5173</v>
      </c>
      <c r="H4334" s="23" t="s">
        <v>58</v>
      </c>
    </row>
    <row r="4335" spans="1:8" ht="54.95" customHeight="1" x14ac:dyDescent="0.2">
      <c r="A4335" s="23" t="s">
        <v>1362</v>
      </c>
      <c r="B4335" s="23" t="s">
        <v>15</v>
      </c>
      <c r="C4335" s="23" t="s">
        <v>46</v>
      </c>
      <c r="D4335" s="23" t="s">
        <v>46</v>
      </c>
      <c r="E4335" s="23" t="s">
        <v>46</v>
      </c>
      <c r="F4335" s="15" t="s">
        <v>103</v>
      </c>
      <c r="G4335" s="15" t="s">
        <v>5173</v>
      </c>
      <c r="H4335" s="23" t="s">
        <v>58</v>
      </c>
    </row>
    <row r="4336" spans="1:8" ht="54.95" customHeight="1" x14ac:dyDescent="0.2">
      <c r="A4336" s="23" t="s">
        <v>1362</v>
      </c>
      <c r="B4336" s="23" t="s">
        <v>17</v>
      </c>
      <c r="C4336" s="23" t="s">
        <v>46</v>
      </c>
      <c r="D4336" s="23" t="s">
        <v>46</v>
      </c>
      <c r="E4336" s="23" t="s">
        <v>46</v>
      </c>
      <c r="F4336" s="15" t="s">
        <v>103</v>
      </c>
      <c r="G4336" s="15" t="s">
        <v>5173</v>
      </c>
      <c r="H4336" s="23" t="s">
        <v>58</v>
      </c>
    </row>
    <row r="4337" spans="1:8" ht="54.95" customHeight="1" x14ac:dyDescent="0.2">
      <c r="A4337" s="23" t="s">
        <v>1362</v>
      </c>
      <c r="B4337" s="23" t="s">
        <v>19</v>
      </c>
      <c r="C4337" s="23" t="s">
        <v>46</v>
      </c>
      <c r="D4337" s="23" t="s">
        <v>46</v>
      </c>
      <c r="E4337" s="23" t="s">
        <v>46</v>
      </c>
      <c r="F4337" s="15" t="s">
        <v>103</v>
      </c>
      <c r="G4337" s="15" t="s">
        <v>5173</v>
      </c>
      <c r="H4337" s="23" t="s">
        <v>58</v>
      </c>
    </row>
    <row r="4338" spans="1:8" ht="54.95" customHeight="1" x14ac:dyDescent="0.2">
      <c r="A4338" s="23" t="s">
        <v>1362</v>
      </c>
      <c r="B4338" s="23" t="s">
        <v>21</v>
      </c>
      <c r="C4338" s="23" t="s">
        <v>46</v>
      </c>
      <c r="D4338" s="23" t="s">
        <v>46</v>
      </c>
      <c r="E4338" s="23" t="s">
        <v>101</v>
      </c>
      <c r="F4338" s="15" t="s">
        <v>104</v>
      </c>
      <c r="G4338" s="15" t="s">
        <v>5173</v>
      </c>
      <c r="H4338" s="23" t="s">
        <v>58</v>
      </c>
    </row>
    <row r="4339" spans="1:8" ht="54.95" customHeight="1" x14ac:dyDescent="0.2">
      <c r="A4339" s="23" t="s">
        <v>1362</v>
      </c>
      <c r="B4339" s="23" t="s">
        <v>22</v>
      </c>
      <c r="C4339" s="23" t="s">
        <v>46</v>
      </c>
      <c r="D4339" s="23" t="s">
        <v>46</v>
      </c>
      <c r="E4339" s="23" t="s">
        <v>101</v>
      </c>
      <c r="F4339" s="15" t="s">
        <v>104</v>
      </c>
      <c r="G4339" s="15" t="s">
        <v>5173</v>
      </c>
      <c r="H4339" s="23" t="s">
        <v>58</v>
      </c>
    </row>
    <row r="4340" spans="1:8" ht="54.95" customHeight="1" x14ac:dyDescent="0.2">
      <c r="A4340" s="23" t="s">
        <v>1362</v>
      </c>
      <c r="B4340" s="23" t="s">
        <v>23</v>
      </c>
      <c r="C4340" s="23" t="s">
        <v>46</v>
      </c>
      <c r="D4340" s="23" t="s">
        <v>46</v>
      </c>
      <c r="E4340" s="23" t="s">
        <v>101</v>
      </c>
      <c r="F4340" s="15" t="s">
        <v>104</v>
      </c>
      <c r="G4340" s="15" t="s">
        <v>5173</v>
      </c>
      <c r="H4340" s="23" t="s">
        <v>58</v>
      </c>
    </row>
    <row r="4341" spans="1:8" ht="54.95" customHeight="1" x14ac:dyDescent="0.2">
      <c r="A4341" s="23" t="s">
        <v>1362</v>
      </c>
      <c r="B4341" s="23" t="s">
        <v>24</v>
      </c>
      <c r="C4341" s="23" t="s">
        <v>46</v>
      </c>
      <c r="D4341" s="23" t="s">
        <v>46</v>
      </c>
      <c r="E4341" s="23" t="s">
        <v>101</v>
      </c>
      <c r="F4341" s="15" t="s">
        <v>104</v>
      </c>
      <c r="G4341" s="15" t="s">
        <v>5173</v>
      </c>
      <c r="H4341" s="23" t="s">
        <v>58</v>
      </c>
    </row>
    <row r="4342" spans="1:8" ht="54.95" customHeight="1" x14ac:dyDescent="0.2">
      <c r="A4342" s="23" t="s">
        <v>1362</v>
      </c>
      <c r="B4342" s="23" t="s">
        <v>25</v>
      </c>
      <c r="C4342" s="23" t="s">
        <v>46</v>
      </c>
      <c r="D4342" s="23" t="s">
        <v>46</v>
      </c>
      <c r="E4342" s="23" t="s">
        <v>101</v>
      </c>
      <c r="F4342" s="15" t="s">
        <v>104</v>
      </c>
      <c r="G4342" s="15" t="s">
        <v>5173</v>
      </c>
      <c r="H4342" s="23" t="s">
        <v>58</v>
      </c>
    </row>
    <row r="4343" spans="1:8" ht="54.95" customHeight="1" x14ac:dyDescent="0.2">
      <c r="A4343" s="23" t="s">
        <v>1366</v>
      </c>
      <c r="B4343" s="23" t="s">
        <v>3</v>
      </c>
      <c r="C4343" s="23" t="s">
        <v>46</v>
      </c>
      <c r="D4343" s="23" t="s">
        <v>46</v>
      </c>
      <c r="E4343" s="23" t="s">
        <v>46</v>
      </c>
      <c r="F4343" s="15" t="s">
        <v>198</v>
      </c>
      <c r="G4343" s="15" t="s">
        <v>5173</v>
      </c>
      <c r="H4343" s="23" t="s">
        <v>58</v>
      </c>
    </row>
    <row r="4344" spans="1:8" ht="54.95" customHeight="1" x14ac:dyDescent="0.2">
      <c r="A4344" s="23" t="s">
        <v>1366</v>
      </c>
      <c r="B4344" s="23" t="s">
        <v>6</v>
      </c>
      <c r="C4344" s="23" t="s">
        <v>46</v>
      </c>
      <c r="D4344" s="23" t="s">
        <v>46</v>
      </c>
      <c r="E4344" s="23" t="s">
        <v>46</v>
      </c>
      <c r="F4344" s="15" t="s">
        <v>198</v>
      </c>
      <c r="G4344" s="15" t="s">
        <v>5173</v>
      </c>
      <c r="H4344" s="23" t="s">
        <v>58</v>
      </c>
    </row>
    <row r="4345" spans="1:8" ht="54.95" customHeight="1" x14ac:dyDescent="0.2">
      <c r="A4345" s="23" t="s">
        <v>1366</v>
      </c>
      <c r="B4345" s="23" t="s">
        <v>7</v>
      </c>
      <c r="C4345" s="23" t="s">
        <v>46</v>
      </c>
      <c r="D4345" s="23" t="s">
        <v>46</v>
      </c>
      <c r="E4345" s="23" t="s">
        <v>46</v>
      </c>
      <c r="F4345" s="15" t="s">
        <v>198</v>
      </c>
      <c r="G4345" s="15" t="s">
        <v>5173</v>
      </c>
      <c r="H4345" s="23" t="s">
        <v>58</v>
      </c>
    </row>
    <row r="4346" spans="1:8" ht="54.95" customHeight="1" x14ac:dyDescent="0.2">
      <c r="A4346" s="23" t="s">
        <v>1366</v>
      </c>
      <c r="B4346" s="23" t="s">
        <v>8</v>
      </c>
      <c r="C4346" s="23" t="s">
        <v>46</v>
      </c>
      <c r="D4346" s="23" t="s">
        <v>46</v>
      </c>
      <c r="E4346" s="23" t="s">
        <v>46</v>
      </c>
      <c r="F4346" s="15" t="s">
        <v>198</v>
      </c>
      <c r="G4346" s="15" t="s">
        <v>5173</v>
      </c>
      <c r="H4346" s="23" t="s">
        <v>58</v>
      </c>
    </row>
    <row r="4347" spans="1:8" ht="54.95" customHeight="1" x14ac:dyDescent="0.2">
      <c r="A4347" s="23" t="s">
        <v>1366</v>
      </c>
      <c r="B4347" s="23" t="s">
        <v>9</v>
      </c>
      <c r="C4347" s="23" t="s">
        <v>46</v>
      </c>
      <c r="D4347" s="23" t="s">
        <v>46</v>
      </c>
      <c r="E4347" s="23" t="s">
        <v>46</v>
      </c>
      <c r="F4347" s="15" t="s">
        <v>198</v>
      </c>
      <c r="G4347" s="15" t="s">
        <v>5173</v>
      </c>
      <c r="H4347" s="23" t="s">
        <v>58</v>
      </c>
    </row>
    <row r="4348" spans="1:8" ht="54.95" customHeight="1" x14ac:dyDescent="0.2">
      <c r="A4348" s="23" t="s">
        <v>1366</v>
      </c>
      <c r="B4348" s="23" t="s">
        <v>10</v>
      </c>
      <c r="C4348" s="23" t="s">
        <v>46</v>
      </c>
      <c r="D4348" s="23" t="s">
        <v>46</v>
      </c>
      <c r="E4348" s="23" t="s">
        <v>46</v>
      </c>
      <c r="F4348" s="15" t="s">
        <v>198</v>
      </c>
      <c r="G4348" s="15" t="s">
        <v>5173</v>
      </c>
      <c r="H4348" s="23" t="s">
        <v>58</v>
      </c>
    </row>
    <row r="4349" spans="1:8" ht="54.95" customHeight="1" x14ac:dyDescent="0.2">
      <c r="A4349" s="23" t="s">
        <v>1366</v>
      </c>
      <c r="B4349" s="23" t="s">
        <v>11</v>
      </c>
      <c r="C4349" s="23" t="s">
        <v>46</v>
      </c>
      <c r="D4349" s="23" t="s">
        <v>46</v>
      </c>
      <c r="E4349" s="23" t="s">
        <v>46</v>
      </c>
      <c r="F4349" s="15" t="s">
        <v>198</v>
      </c>
      <c r="G4349" s="15" t="s">
        <v>5173</v>
      </c>
      <c r="H4349" s="23" t="s">
        <v>58</v>
      </c>
    </row>
    <row r="4350" spans="1:8" ht="54.95" customHeight="1" x14ac:dyDescent="0.2">
      <c r="A4350" s="23" t="s">
        <v>1366</v>
      </c>
      <c r="B4350" s="23" t="s">
        <v>13</v>
      </c>
      <c r="C4350" s="23" t="s">
        <v>46</v>
      </c>
      <c r="D4350" s="23" t="s">
        <v>46</v>
      </c>
      <c r="E4350" s="23" t="s">
        <v>46</v>
      </c>
      <c r="F4350" s="15" t="s">
        <v>198</v>
      </c>
      <c r="G4350" s="15" t="s">
        <v>5173</v>
      </c>
      <c r="H4350" s="23" t="s">
        <v>58</v>
      </c>
    </row>
    <row r="4351" spans="1:8" ht="54.95" customHeight="1" x14ac:dyDescent="0.2">
      <c r="A4351" s="23" t="s">
        <v>1366</v>
      </c>
      <c r="B4351" s="23" t="s">
        <v>14</v>
      </c>
      <c r="C4351" s="23" t="s">
        <v>46</v>
      </c>
      <c r="D4351" s="23" t="s">
        <v>46</v>
      </c>
      <c r="E4351" s="23" t="s">
        <v>46</v>
      </c>
      <c r="F4351" s="15" t="s">
        <v>198</v>
      </c>
      <c r="G4351" s="15" t="s">
        <v>5173</v>
      </c>
      <c r="H4351" s="23" t="s">
        <v>58</v>
      </c>
    </row>
    <row r="4352" spans="1:8" ht="54.95" customHeight="1" x14ac:dyDescent="0.2">
      <c r="A4352" s="23" t="s">
        <v>1366</v>
      </c>
      <c r="B4352" s="23" t="s">
        <v>15</v>
      </c>
      <c r="C4352" s="23" t="s">
        <v>46</v>
      </c>
      <c r="D4352" s="23" t="s">
        <v>46</v>
      </c>
      <c r="E4352" s="23" t="s">
        <v>46</v>
      </c>
      <c r="F4352" s="15" t="s">
        <v>103</v>
      </c>
      <c r="G4352" s="15" t="s">
        <v>5173</v>
      </c>
      <c r="H4352" s="23" t="s">
        <v>58</v>
      </c>
    </row>
    <row r="4353" spans="1:8" ht="54.95" customHeight="1" x14ac:dyDescent="0.2">
      <c r="A4353" s="23" t="s">
        <v>1366</v>
      </c>
      <c r="B4353" s="23" t="s">
        <v>17</v>
      </c>
      <c r="C4353" s="23" t="s">
        <v>46</v>
      </c>
      <c r="D4353" s="23" t="s">
        <v>46</v>
      </c>
      <c r="E4353" s="23" t="s">
        <v>46</v>
      </c>
      <c r="F4353" s="15" t="s">
        <v>103</v>
      </c>
      <c r="G4353" s="15" t="s">
        <v>5173</v>
      </c>
      <c r="H4353" s="23" t="s">
        <v>58</v>
      </c>
    </row>
    <row r="4354" spans="1:8" ht="54.95" customHeight="1" x14ac:dyDescent="0.2">
      <c r="A4354" s="23" t="s">
        <v>1366</v>
      </c>
      <c r="B4354" s="23" t="s">
        <v>19</v>
      </c>
      <c r="C4354" s="23" t="s">
        <v>46</v>
      </c>
      <c r="D4354" s="23" t="s">
        <v>46</v>
      </c>
      <c r="E4354" s="23" t="s">
        <v>46</v>
      </c>
      <c r="F4354" s="15" t="s">
        <v>103</v>
      </c>
      <c r="G4354" s="15" t="s">
        <v>5173</v>
      </c>
      <c r="H4354" s="23" t="s">
        <v>58</v>
      </c>
    </row>
    <row r="4355" spans="1:8" ht="54.95" customHeight="1" x14ac:dyDescent="0.2">
      <c r="A4355" s="23" t="s">
        <v>1366</v>
      </c>
      <c r="B4355" s="23" t="s">
        <v>21</v>
      </c>
      <c r="C4355" s="23" t="s">
        <v>46</v>
      </c>
      <c r="D4355" s="23" t="s">
        <v>46</v>
      </c>
      <c r="E4355" s="23" t="s">
        <v>101</v>
      </c>
      <c r="F4355" s="15" t="s">
        <v>104</v>
      </c>
      <c r="G4355" s="15" t="s">
        <v>5173</v>
      </c>
      <c r="H4355" s="23" t="s">
        <v>58</v>
      </c>
    </row>
    <row r="4356" spans="1:8" ht="54.95" customHeight="1" x14ac:dyDescent="0.2">
      <c r="A4356" s="23" t="s">
        <v>1366</v>
      </c>
      <c r="B4356" s="23" t="s">
        <v>22</v>
      </c>
      <c r="C4356" s="23" t="s">
        <v>46</v>
      </c>
      <c r="D4356" s="23" t="s">
        <v>46</v>
      </c>
      <c r="E4356" s="23" t="s">
        <v>101</v>
      </c>
      <c r="F4356" s="15" t="s">
        <v>104</v>
      </c>
      <c r="G4356" s="15" t="s">
        <v>5173</v>
      </c>
      <c r="H4356" s="23" t="s">
        <v>58</v>
      </c>
    </row>
    <row r="4357" spans="1:8" ht="54.95" customHeight="1" x14ac:dyDescent="0.2">
      <c r="A4357" s="23" t="s">
        <v>1366</v>
      </c>
      <c r="B4357" s="23" t="s">
        <v>23</v>
      </c>
      <c r="C4357" s="23" t="s">
        <v>46</v>
      </c>
      <c r="D4357" s="23" t="s">
        <v>46</v>
      </c>
      <c r="E4357" s="23" t="s">
        <v>101</v>
      </c>
      <c r="F4357" s="15" t="s">
        <v>104</v>
      </c>
      <c r="G4357" s="15" t="s">
        <v>5173</v>
      </c>
      <c r="H4357" s="23" t="s">
        <v>58</v>
      </c>
    </row>
    <row r="4358" spans="1:8" ht="54.95" customHeight="1" x14ac:dyDescent="0.2">
      <c r="A4358" s="23" t="s">
        <v>1366</v>
      </c>
      <c r="B4358" s="23" t="s">
        <v>24</v>
      </c>
      <c r="C4358" s="23" t="s">
        <v>46</v>
      </c>
      <c r="D4358" s="23" t="s">
        <v>46</v>
      </c>
      <c r="E4358" s="23" t="s">
        <v>101</v>
      </c>
      <c r="F4358" s="15" t="s">
        <v>104</v>
      </c>
      <c r="G4358" s="15" t="s">
        <v>5173</v>
      </c>
      <c r="H4358" s="23" t="s">
        <v>58</v>
      </c>
    </row>
    <row r="4359" spans="1:8" ht="54.95" customHeight="1" x14ac:dyDescent="0.2">
      <c r="A4359" s="23" t="s">
        <v>1366</v>
      </c>
      <c r="B4359" s="23" t="s">
        <v>25</v>
      </c>
      <c r="C4359" s="23" t="s">
        <v>46</v>
      </c>
      <c r="D4359" s="23" t="s">
        <v>46</v>
      </c>
      <c r="E4359" s="23" t="s">
        <v>101</v>
      </c>
      <c r="F4359" s="15" t="s">
        <v>104</v>
      </c>
      <c r="G4359" s="15" t="s">
        <v>5173</v>
      </c>
      <c r="H4359" s="23" t="s">
        <v>58</v>
      </c>
    </row>
    <row r="4360" spans="1:8" ht="54.95" customHeight="1" x14ac:dyDescent="0.2">
      <c r="A4360" s="23" t="s">
        <v>1370</v>
      </c>
      <c r="B4360" s="23" t="s">
        <v>3</v>
      </c>
      <c r="C4360" s="23" t="s">
        <v>46</v>
      </c>
      <c r="D4360" s="23" t="s">
        <v>46</v>
      </c>
      <c r="E4360" s="23" t="s">
        <v>46</v>
      </c>
      <c r="F4360" s="15" t="s">
        <v>198</v>
      </c>
      <c r="G4360" s="15" t="s">
        <v>5173</v>
      </c>
      <c r="H4360" s="23" t="s">
        <v>58</v>
      </c>
    </row>
    <row r="4361" spans="1:8" ht="54.95" customHeight="1" x14ac:dyDescent="0.2">
      <c r="A4361" s="23" t="s">
        <v>1370</v>
      </c>
      <c r="B4361" s="23" t="s">
        <v>6</v>
      </c>
      <c r="C4361" s="23" t="s">
        <v>46</v>
      </c>
      <c r="D4361" s="23" t="s">
        <v>46</v>
      </c>
      <c r="E4361" s="23" t="s">
        <v>46</v>
      </c>
      <c r="F4361" s="15" t="s">
        <v>198</v>
      </c>
      <c r="G4361" s="15" t="s">
        <v>5173</v>
      </c>
      <c r="H4361" s="23" t="s">
        <v>58</v>
      </c>
    </row>
    <row r="4362" spans="1:8" ht="54.95" customHeight="1" x14ac:dyDescent="0.2">
      <c r="A4362" s="23" t="s">
        <v>1370</v>
      </c>
      <c r="B4362" s="23" t="s">
        <v>7</v>
      </c>
      <c r="C4362" s="23" t="s">
        <v>46</v>
      </c>
      <c r="D4362" s="23" t="s">
        <v>46</v>
      </c>
      <c r="E4362" s="23" t="s">
        <v>46</v>
      </c>
      <c r="F4362" s="15" t="s">
        <v>198</v>
      </c>
      <c r="G4362" s="15" t="s">
        <v>5173</v>
      </c>
      <c r="H4362" s="23" t="s">
        <v>58</v>
      </c>
    </row>
    <row r="4363" spans="1:8" ht="54.95" customHeight="1" x14ac:dyDescent="0.2">
      <c r="A4363" s="23" t="s">
        <v>1370</v>
      </c>
      <c r="B4363" s="23" t="s">
        <v>8</v>
      </c>
      <c r="C4363" s="23" t="s">
        <v>46</v>
      </c>
      <c r="D4363" s="23" t="s">
        <v>46</v>
      </c>
      <c r="E4363" s="23" t="s">
        <v>46</v>
      </c>
      <c r="F4363" s="15" t="s">
        <v>198</v>
      </c>
      <c r="G4363" s="15" t="s">
        <v>5173</v>
      </c>
      <c r="H4363" s="23" t="s">
        <v>58</v>
      </c>
    </row>
    <row r="4364" spans="1:8" ht="54.95" customHeight="1" x14ac:dyDescent="0.2">
      <c r="A4364" s="23" t="s">
        <v>1370</v>
      </c>
      <c r="B4364" s="23" t="s">
        <v>9</v>
      </c>
      <c r="C4364" s="23" t="s">
        <v>46</v>
      </c>
      <c r="D4364" s="23" t="s">
        <v>46</v>
      </c>
      <c r="E4364" s="23" t="s">
        <v>46</v>
      </c>
      <c r="F4364" s="15" t="s">
        <v>198</v>
      </c>
      <c r="G4364" s="15" t="s">
        <v>5173</v>
      </c>
      <c r="H4364" s="23" t="s">
        <v>58</v>
      </c>
    </row>
    <row r="4365" spans="1:8" ht="54.95" customHeight="1" x14ac:dyDescent="0.2">
      <c r="A4365" s="23" t="s">
        <v>1370</v>
      </c>
      <c r="B4365" s="23" t="s">
        <v>10</v>
      </c>
      <c r="C4365" s="23" t="s">
        <v>46</v>
      </c>
      <c r="D4365" s="23" t="s">
        <v>46</v>
      </c>
      <c r="E4365" s="23" t="s">
        <v>46</v>
      </c>
      <c r="F4365" s="15" t="s">
        <v>198</v>
      </c>
      <c r="G4365" s="15" t="s">
        <v>5173</v>
      </c>
      <c r="H4365" s="23" t="s">
        <v>58</v>
      </c>
    </row>
    <row r="4366" spans="1:8" ht="54.95" customHeight="1" x14ac:dyDescent="0.2">
      <c r="A4366" s="23" t="s">
        <v>1370</v>
      </c>
      <c r="B4366" s="23" t="s">
        <v>11</v>
      </c>
      <c r="C4366" s="23" t="s">
        <v>46</v>
      </c>
      <c r="D4366" s="23" t="s">
        <v>46</v>
      </c>
      <c r="E4366" s="23" t="s">
        <v>46</v>
      </c>
      <c r="F4366" s="15" t="s">
        <v>198</v>
      </c>
      <c r="G4366" s="15" t="s">
        <v>5173</v>
      </c>
      <c r="H4366" s="23" t="s">
        <v>58</v>
      </c>
    </row>
    <row r="4367" spans="1:8" ht="54.95" customHeight="1" x14ac:dyDescent="0.2">
      <c r="A4367" s="23" t="s">
        <v>1370</v>
      </c>
      <c r="B4367" s="23" t="s">
        <v>13</v>
      </c>
      <c r="C4367" s="23" t="s">
        <v>46</v>
      </c>
      <c r="D4367" s="23" t="s">
        <v>46</v>
      </c>
      <c r="E4367" s="23" t="s">
        <v>46</v>
      </c>
      <c r="F4367" s="15" t="s">
        <v>198</v>
      </c>
      <c r="G4367" s="15" t="s">
        <v>5173</v>
      </c>
      <c r="H4367" s="23" t="s">
        <v>58</v>
      </c>
    </row>
    <row r="4368" spans="1:8" ht="54.95" customHeight="1" x14ac:dyDescent="0.2">
      <c r="A4368" s="23" t="s">
        <v>1370</v>
      </c>
      <c r="B4368" s="23" t="s">
        <v>14</v>
      </c>
      <c r="C4368" s="23" t="s">
        <v>46</v>
      </c>
      <c r="D4368" s="23" t="s">
        <v>46</v>
      </c>
      <c r="E4368" s="23" t="s">
        <v>46</v>
      </c>
      <c r="F4368" s="15" t="s">
        <v>198</v>
      </c>
      <c r="G4368" s="15" t="s">
        <v>5173</v>
      </c>
      <c r="H4368" s="23" t="s">
        <v>58</v>
      </c>
    </row>
    <row r="4369" spans="1:8" ht="54.95" customHeight="1" x14ac:dyDescent="0.2">
      <c r="A4369" s="23" t="s">
        <v>1370</v>
      </c>
      <c r="B4369" s="23" t="s">
        <v>15</v>
      </c>
      <c r="C4369" s="23" t="s">
        <v>46</v>
      </c>
      <c r="D4369" s="23" t="s">
        <v>46</v>
      </c>
      <c r="E4369" s="23" t="s">
        <v>46</v>
      </c>
      <c r="F4369" s="15" t="s">
        <v>103</v>
      </c>
      <c r="G4369" s="15" t="s">
        <v>5173</v>
      </c>
      <c r="H4369" s="23" t="s">
        <v>58</v>
      </c>
    </row>
    <row r="4370" spans="1:8" ht="54.95" customHeight="1" x14ac:dyDescent="0.2">
      <c r="A4370" s="23" t="s">
        <v>1370</v>
      </c>
      <c r="B4370" s="23" t="s">
        <v>17</v>
      </c>
      <c r="C4370" s="23" t="s">
        <v>46</v>
      </c>
      <c r="D4370" s="23" t="s">
        <v>46</v>
      </c>
      <c r="E4370" s="23" t="s">
        <v>46</v>
      </c>
      <c r="F4370" s="15" t="s">
        <v>103</v>
      </c>
      <c r="G4370" s="15" t="s">
        <v>5173</v>
      </c>
      <c r="H4370" s="23" t="s">
        <v>58</v>
      </c>
    </row>
    <row r="4371" spans="1:8" ht="54.95" customHeight="1" x14ac:dyDescent="0.2">
      <c r="A4371" s="23" t="s">
        <v>1370</v>
      </c>
      <c r="B4371" s="23" t="s">
        <v>19</v>
      </c>
      <c r="C4371" s="23" t="s">
        <v>46</v>
      </c>
      <c r="D4371" s="23" t="s">
        <v>46</v>
      </c>
      <c r="E4371" s="23" t="s">
        <v>46</v>
      </c>
      <c r="F4371" s="15" t="s">
        <v>103</v>
      </c>
      <c r="G4371" s="15" t="s">
        <v>5173</v>
      </c>
      <c r="H4371" s="23" t="s">
        <v>58</v>
      </c>
    </row>
    <row r="4372" spans="1:8" ht="54.95" customHeight="1" x14ac:dyDescent="0.2">
      <c r="A4372" s="23" t="s">
        <v>1370</v>
      </c>
      <c r="B4372" s="23" t="s">
        <v>21</v>
      </c>
      <c r="C4372" s="23" t="s">
        <v>46</v>
      </c>
      <c r="D4372" s="23" t="s">
        <v>46</v>
      </c>
      <c r="E4372" s="23" t="s">
        <v>101</v>
      </c>
      <c r="F4372" s="15" t="s">
        <v>104</v>
      </c>
      <c r="G4372" s="15" t="s">
        <v>5173</v>
      </c>
      <c r="H4372" s="23" t="s">
        <v>58</v>
      </c>
    </row>
    <row r="4373" spans="1:8" ht="54.95" customHeight="1" x14ac:dyDescent="0.2">
      <c r="A4373" s="23" t="s">
        <v>1370</v>
      </c>
      <c r="B4373" s="23" t="s">
        <v>22</v>
      </c>
      <c r="C4373" s="23" t="s">
        <v>46</v>
      </c>
      <c r="D4373" s="23" t="s">
        <v>46</v>
      </c>
      <c r="E4373" s="23" t="s">
        <v>101</v>
      </c>
      <c r="F4373" s="15" t="s">
        <v>104</v>
      </c>
      <c r="G4373" s="15" t="s">
        <v>5173</v>
      </c>
      <c r="H4373" s="23" t="s">
        <v>58</v>
      </c>
    </row>
    <row r="4374" spans="1:8" ht="54.95" customHeight="1" x14ac:dyDescent="0.2">
      <c r="A4374" s="23" t="s">
        <v>1370</v>
      </c>
      <c r="B4374" s="23" t="s">
        <v>23</v>
      </c>
      <c r="C4374" s="23" t="s">
        <v>46</v>
      </c>
      <c r="D4374" s="23" t="s">
        <v>46</v>
      </c>
      <c r="E4374" s="23" t="s">
        <v>101</v>
      </c>
      <c r="F4374" s="15" t="s">
        <v>104</v>
      </c>
      <c r="G4374" s="15" t="s">
        <v>5173</v>
      </c>
      <c r="H4374" s="23" t="s">
        <v>58</v>
      </c>
    </row>
    <row r="4375" spans="1:8" ht="54.95" customHeight="1" x14ac:dyDescent="0.2">
      <c r="A4375" s="23" t="s">
        <v>1370</v>
      </c>
      <c r="B4375" s="23" t="s">
        <v>24</v>
      </c>
      <c r="C4375" s="23" t="s">
        <v>46</v>
      </c>
      <c r="D4375" s="23" t="s">
        <v>46</v>
      </c>
      <c r="E4375" s="23" t="s">
        <v>101</v>
      </c>
      <c r="F4375" s="15" t="s">
        <v>104</v>
      </c>
      <c r="G4375" s="15" t="s">
        <v>5173</v>
      </c>
      <c r="H4375" s="23" t="s">
        <v>58</v>
      </c>
    </row>
    <row r="4376" spans="1:8" ht="54.95" customHeight="1" x14ac:dyDescent="0.2">
      <c r="A4376" s="23" t="s">
        <v>1370</v>
      </c>
      <c r="B4376" s="23" t="s">
        <v>25</v>
      </c>
      <c r="C4376" s="23" t="s">
        <v>46</v>
      </c>
      <c r="D4376" s="23" t="s">
        <v>46</v>
      </c>
      <c r="E4376" s="23" t="s">
        <v>101</v>
      </c>
      <c r="F4376" s="15" t="s">
        <v>104</v>
      </c>
      <c r="G4376" s="15" t="s">
        <v>5173</v>
      </c>
      <c r="H4376" s="23" t="s">
        <v>58</v>
      </c>
    </row>
    <row r="4377" spans="1:8" ht="54.95" customHeight="1" x14ac:dyDescent="0.2">
      <c r="A4377" s="23" t="s">
        <v>1374</v>
      </c>
      <c r="B4377" s="23" t="s">
        <v>19</v>
      </c>
      <c r="C4377" s="23" t="s">
        <v>46</v>
      </c>
      <c r="D4377" s="23" t="s">
        <v>46</v>
      </c>
      <c r="E4377" s="23" t="s">
        <v>46</v>
      </c>
      <c r="F4377" s="15" t="s">
        <v>103</v>
      </c>
      <c r="G4377" s="15" t="s">
        <v>5173</v>
      </c>
      <c r="H4377" s="23" t="s">
        <v>58</v>
      </c>
    </row>
    <row r="4378" spans="1:8" ht="54.95" customHeight="1" x14ac:dyDescent="0.2">
      <c r="A4378" s="23" t="s">
        <v>1374</v>
      </c>
      <c r="B4378" s="23" t="s">
        <v>21</v>
      </c>
      <c r="C4378" s="23" t="s">
        <v>46</v>
      </c>
      <c r="D4378" s="23" t="s">
        <v>46</v>
      </c>
      <c r="E4378" s="23" t="s">
        <v>101</v>
      </c>
      <c r="F4378" s="15" t="s">
        <v>104</v>
      </c>
      <c r="G4378" s="15" t="s">
        <v>5173</v>
      </c>
      <c r="H4378" s="23" t="s">
        <v>58</v>
      </c>
    </row>
    <row r="4379" spans="1:8" ht="54.95" customHeight="1" x14ac:dyDescent="0.2">
      <c r="A4379" s="23" t="s">
        <v>1374</v>
      </c>
      <c r="B4379" s="23" t="s">
        <v>22</v>
      </c>
      <c r="C4379" s="23" t="s">
        <v>46</v>
      </c>
      <c r="D4379" s="23" t="s">
        <v>46</v>
      </c>
      <c r="E4379" s="23" t="s">
        <v>101</v>
      </c>
      <c r="F4379" s="15" t="s">
        <v>104</v>
      </c>
      <c r="G4379" s="15" t="s">
        <v>5173</v>
      </c>
      <c r="H4379" s="23" t="s">
        <v>58</v>
      </c>
    </row>
    <row r="4380" spans="1:8" ht="54.95" customHeight="1" x14ac:dyDescent="0.2">
      <c r="A4380" s="23" t="s">
        <v>1374</v>
      </c>
      <c r="B4380" s="23" t="s">
        <v>23</v>
      </c>
      <c r="C4380" s="23" t="s">
        <v>46</v>
      </c>
      <c r="D4380" s="23" t="s">
        <v>46</v>
      </c>
      <c r="E4380" s="23" t="s">
        <v>101</v>
      </c>
      <c r="F4380" s="15" t="s">
        <v>104</v>
      </c>
      <c r="G4380" s="15" t="s">
        <v>5173</v>
      </c>
      <c r="H4380" s="23" t="s">
        <v>58</v>
      </c>
    </row>
    <row r="4381" spans="1:8" ht="54.95" customHeight="1" x14ac:dyDescent="0.2">
      <c r="A4381" s="23" t="s">
        <v>1374</v>
      </c>
      <c r="B4381" s="23" t="s">
        <v>24</v>
      </c>
      <c r="C4381" s="23" t="s">
        <v>46</v>
      </c>
      <c r="D4381" s="23" t="s">
        <v>46</v>
      </c>
      <c r="E4381" s="23" t="s">
        <v>101</v>
      </c>
      <c r="F4381" s="15" t="s">
        <v>104</v>
      </c>
      <c r="G4381" s="15" t="s">
        <v>5173</v>
      </c>
      <c r="H4381" s="23" t="s">
        <v>58</v>
      </c>
    </row>
    <row r="4382" spans="1:8" ht="54.95" customHeight="1" x14ac:dyDescent="0.2">
      <c r="A4382" s="23" t="s">
        <v>1374</v>
      </c>
      <c r="B4382" s="23" t="s">
        <v>25</v>
      </c>
      <c r="C4382" s="23" t="s">
        <v>46</v>
      </c>
      <c r="D4382" s="23" t="s">
        <v>46</v>
      </c>
      <c r="E4382" s="23" t="s">
        <v>101</v>
      </c>
      <c r="F4382" s="15" t="s">
        <v>104</v>
      </c>
      <c r="G4382" s="15" t="s">
        <v>5173</v>
      </c>
      <c r="H4382" s="23" t="s">
        <v>58</v>
      </c>
    </row>
    <row r="4383" spans="1:8" ht="54.95" customHeight="1" x14ac:dyDescent="0.2">
      <c r="A4383" s="23" t="s">
        <v>1379</v>
      </c>
      <c r="B4383" s="23" t="s">
        <v>11</v>
      </c>
      <c r="C4383" s="23" t="s">
        <v>46</v>
      </c>
      <c r="D4383" s="23" t="s">
        <v>46</v>
      </c>
      <c r="E4383" s="23" t="s">
        <v>46</v>
      </c>
      <c r="F4383" s="15" t="s">
        <v>198</v>
      </c>
      <c r="G4383" s="15" t="s">
        <v>5173</v>
      </c>
      <c r="H4383" s="23" t="s">
        <v>58</v>
      </c>
    </row>
    <row r="4384" spans="1:8" ht="54.95" customHeight="1" x14ac:dyDescent="0.2">
      <c r="A4384" s="23" t="s">
        <v>1379</v>
      </c>
      <c r="B4384" s="23" t="s">
        <v>13</v>
      </c>
      <c r="C4384" s="23" t="s">
        <v>46</v>
      </c>
      <c r="D4384" s="23" t="s">
        <v>46</v>
      </c>
      <c r="E4384" s="23" t="s">
        <v>46</v>
      </c>
      <c r="F4384" s="15" t="s">
        <v>198</v>
      </c>
      <c r="G4384" s="15" t="s">
        <v>5173</v>
      </c>
      <c r="H4384" s="23" t="s">
        <v>58</v>
      </c>
    </row>
    <row r="4385" spans="1:8" ht="54.95" customHeight="1" x14ac:dyDescent="0.2">
      <c r="A4385" s="23" t="s">
        <v>1379</v>
      </c>
      <c r="B4385" s="23" t="s">
        <v>14</v>
      </c>
      <c r="C4385" s="23" t="s">
        <v>46</v>
      </c>
      <c r="D4385" s="23" t="s">
        <v>46</v>
      </c>
      <c r="E4385" s="23" t="s">
        <v>46</v>
      </c>
      <c r="F4385" s="15" t="s">
        <v>198</v>
      </c>
      <c r="G4385" s="15" t="s">
        <v>5173</v>
      </c>
      <c r="H4385" s="23" t="s">
        <v>58</v>
      </c>
    </row>
    <row r="4386" spans="1:8" ht="54.95" customHeight="1" x14ac:dyDescent="0.2">
      <c r="A4386" s="23" t="s">
        <v>1379</v>
      </c>
      <c r="B4386" s="23" t="s">
        <v>21</v>
      </c>
      <c r="C4386" s="23" t="s">
        <v>46</v>
      </c>
      <c r="D4386" s="23" t="s">
        <v>46</v>
      </c>
      <c r="E4386" s="23" t="s">
        <v>101</v>
      </c>
      <c r="F4386" s="15" t="s">
        <v>104</v>
      </c>
      <c r="G4386" s="15" t="s">
        <v>5173</v>
      </c>
      <c r="H4386" s="23" t="s">
        <v>58</v>
      </c>
    </row>
    <row r="4387" spans="1:8" ht="54.95" customHeight="1" x14ac:dyDescent="0.2">
      <c r="A4387" s="23" t="s">
        <v>1379</v>
      </c>
      <c r="B4387" s="23" t="s">
        <v>22</v>
      </c>
      <c r="C4387" s="23" t="s">
        <v>46</v>
      </c>
      <c r="D4387" s="23" t="s">
        <v>46</v>
      </c>
      <c r="E4387" s="23" t="s">
        <v>101</v>
      </c>
      <c r="F4387" s="15" t="s">
        <v>104</v>
      </c>
      <c r="G4387" s="15" t="s">
        <v>5173</v>
      </c>
      <c r="H4387" s="23" t="s">
        <v>58</v>
      </c>
    </row>
    <row r="4388" spans="1:8" ht="54.95" customHeight="1" x14ac:dyDescent="0.2">
      <c r="A4388" s="23" t="s">
        <v>1379</v>
      </c>
      <c r="B4388" s="23" t="s">
        <v>23</v>
      </c>
      <c r="C4388" s="23" t="s">
        <v>46</v>
      </c>
      <c r="D4388" s="23" t="s">
        <v>46</v>
      </c>
      <c r="E4388" s="23" t="s">
        <v>101</v>
      </c>
      <c r="F4388" s="15" t="s">
        <v>104</v>
      </c>
      <c r="G4388" s="15" t="s">
        <v>5173</v>
      </c>
      <c r="H4388" s="23" t="s">
        <v>58</v>
      </c>
    </row>
    <row r="4389" spans="1:8" ht="54.95" customHeight="1" x14ac:dyDescent="0.2">
      <c r="A4389" s="23" t="s">
        <v>1379</v>
      </c>
      <c r="B4389" s="23" t="s">
        <v>24</v>
      </c>
      <c r="C4389" s="23" t="s">
        <v>46</v>
      </c>
      <c r="D4389" s="23" t="s">
        <v>46</v>
      </c>
      <c r="E4389" s="23" t="s">
        <v>101</v>
      </c>
      <c r="F4389" s="15" t="s">
        <v>104</v>
      </c>
      <c r="G4389" s="15" t="s">
        <v>5173</v>
      </c>
      <c r="H4389" s="23" t="s">
        <v>58</v>
      </c>
    </row>
    <row r="4390" spans="1:8" ht="54.95" customHeight="1" x14ac:dyDescent="0.2">
      <c r="A4390" s="23" t="s">
        <v>1379</v>
      </c>
      <c r="B4390" s="23" t="s">
        <v>25</v>
      </c>
      <c r="C4390" s="23" t="s">
        <v>46</v>
      </c>
      <c r="D4390" s="23" t="s">
        <v>46</v>
      </c>
      <c r="E4390" s="23" t="s">
        <v>101</v>
      </c>
      <c r="F4390" s="15" t="s">
        <v>104</v>
      </c>
      <c r="G4390" s="15" t="s">
        <v>5173</v>
      </c>
      <c r="H4390" s="23" t="s">
        <v>58</v>
      </c>
    </row>
    <row r="4391" spans="1:8" ht="54.95" customHeight="1" x14ac:dyDescent="0.2">
      <c r="A4391" s="23" t="s">
        <v>1382</v>
      </c>
      <c r="B4391" s="23" t="s">
        <v>3</v>
      </c>
      <c r="C4391" s="23" t="s">
        <v>46</v>
      </c>
      <c r="D4391" s="23" t="s">
        <v>46</v>
      </c>
      <c r="E4391" s="23" t="s">
        <v>46</v>
      </c>
      <c r="F4391" s="15" t="s">
        <v>198</v>
      </c>
      <c r="G4391" s="15" t="s">
        <v>5173</v>
      </c>
      <c r="H4391" s="23" t="s">
        <v>58</v>
      </c>
    </row>
    <row r="4392" spans="1:8" ht="54.95" customHeight="1" x14ac:dyDescent="0.2">
      <c r="A4392" s="23" t="s">
        <v>1382</v>
      </c>
      <c r="B4392" s="23" t="s">
        <v>6</v>
      </c>
      <c r="C4392" s="23" t="s">
        <v>46</v>
      </c>
      <c r="D4392" s="23" t="s">
        <v>46</v>
      </c>
      <c r="E4392" s="23" t="s">
        <v>46</v>
      </c>
      <c r="F4392" s="15" t="s">
        <v>198</v>
      </c>
      <c r="G4392" s="15" t="s">
        <v>5173</v>
      </c>
      <c r="H4392" s="23" t="s">
        <v>58</v>
      </c>
    </row>
    <row r="4393" spans="1:8" ht="54.95" customHeight="1" x14ac:dyDescent="0.2">
      <c r="A4393" s="23" t="s">
        <v>1382</v>
      </c>
      <c r="B4393" s="23" t="s">
        <v>7</v>
      </c>
      <c r="C4393" s="23" t="s">
        <v>46</v>
      </c>
      <c r="D4393" s="23" t="s">
        <v>46</v>
      </c>
      <c r="E4393" s="23" t="s">
        <v>46</v>
      </c>
      <c r="F4393" s="15" t="s">
        <v>198</v>
      </c>
      <c r="G4393" s="15" t="s">
        <v>5173</v>
      </c>
      <c r="H4393" s="23" t="s">
        <v>58</v>
      </c>
    </row>
    <row r="4394" spans="1:8" ht="54.95" customHeight="1" x14ac:dyDescent="0.2">
      <c r="A4394" s="23" t="s">
        <v>1382</v>
      </c>
      <c r="B4394" s="23" t="s">
        <v>8</v>
      </c>
      <c r="C4394" s="23" t="s">
        <v>46</v>
      </c>
      <c r="D4394" s="23" t="s">
        <v>46</v>
      </c>
      <c r="E4394" s="23" t="s">
        <v>46</v>
      </c>
      <c r="F4394" s="15" t="s">
        <v>198</v>
      </c>
      <c r="G4394" s="15" t="s">
        <v>5173</v>
      </c>
      <c r="H4394" s="23" t="s">
        <v>58</v>
      </c>
    </row>
    <row r="4395" spans="1:8" ht="54.95" customHeight="1" x14ac:dyDescent="0.2">
      <c r="A4395" s="23" t="s">
        <v>1382</v>
      </c>
      <c r="B4395" s="23" t="s">
        <v>9</v>
      </c>
      <c r="C4395" s="23" t="s">
        <v>46</v>
      </c>
      <c r="D4395" s="23" t="s">
        <v>46</v>
      </c>
      <c r="E4395" s="23" t="s">
        <v>46</v>
      </c>
      <c r="F4395" s="15" t="s">
        <v>198</v>
      </c>
      <c r="G4395" s="15" t="s">
        <v>5173</v>
      </c>
      <c r="H4395" s="23" t="s">
        <v>58</v>
      </c>
    </row>
    <row r="4396" spans="1:8" ht="54.95" customHeight="1" x14ac:dyDescent="0.2">
      <c r="A4396" s="23" t="s">
        <v>1382</v>
      </c>
      <c r="B4396" s="23" t="s">
        <v>10</v>
      </c>
      <c r="C4396" s="23" t="s">
        <v>46</v>
      </c>
      <c r="D4396" s="23" t="s">
        <v>46</v>
      </c>
      <c r="E4396" s="23" t="s">
        <v>46</v>
      </c>
      <c r="F4396" s="15" t="s">
        <v>198</v>
      </c>
      <c r="G4396" s="15" t="s">
        <v>5173</v>
      </c>
      <c r="H4396" s="23" t="s">
        <v>58</v>
      </c>
    </row>
    <row r="4397" spans="1:8" ht="54.95" customHeight="1" x14ac:dyDescent="0.2">
      <c r="A4397" s="23" t="s">
        <v>1382</v>
      </c>
      <c r="B4397" s="23" t="s">
        <v>11</v>
      </c>
      <c r="C4397" s="23" t="s">
        <v>46</v>
      </c>
      <c r="D4397" s="23" t="s">
        <v>46</v>
      </c>
      <c r="E4397" s="23" t="s">
        <v>46</v>
      </c>
      <c r="F4397" s="15" t="s">
        <v>198</v>
      </c>
      <c r="G4397" s="15" t="s">
        <v>5173</v>
      </c>
      <c r="H4397" s="23" t="s">
        <v>58</v>
      </c>
    </row>
    <row r="4398" spans="1:8" ht="54.95" customHeight="1" x14ac:dyDescent="0.2">
      <c r="A4398" s="23" t="s">
        <v>1382</v>
      </c>
      <c r="B4398" s="23" t="s">
        <v>13</v>
      </c>
      <c r="C4398" s="23" t="s">
        <v>46</v>
      </c>
      <c r="D4398" s="23" t="s">
        <v>46</v>
      </c>
      <c r="E4398" s="23" t="s">
        <v>46</v>
      </c>
      <c r="F4398" s="15" t="s">
        <v>198</v>
      </c>
      <c r="G4398" s="15" t="s">
        <v>5173</v>
      </c>
      <c r="H4398" s="23" t="s">
        <v>58</v>
      </c>
    </row>
    <row r="4399" spans="1:8" ht="54.95" customHeight="1" x14ac:dyDescent="0.2">
      <c r="A4399" s="23" t="s">
        <v>1382</v>
      </c>
      <c r="B4399" s="23" t="s">
        <v>14</v>
      </c>
      <c r="C4399" s="23" t="s">
        <v>46</v>
      </c>
      <c r="D4399" s="23" t="s">
        <v>46</v>
      </c>
      <c r="E4399" s="23" t="s">
        <v>46</v>
      </c>
      <c r="F4399" s="15" t="s">
        <v>198</v>
      </c>
      <c r="G4399" s="15" t="s">
        <v>5173</v>
      </c>
      <c r="H4399" s="23" t="s">
        <v>58</v>
      </c>
    </row>
    <row r="4400" spans="1:8" ht="54.95" customHeight="1" x14ac:dyDescent="0.2">
      <c r="A4400" s="23" t="s">
        <v>1382</v>
      </c>
      <c r="B4400" s="23" t="s">
        <v>15</v>
      </c>
      <c r="C4400" s="23" t="s">
        <v>46</v>
      </c>
      <c r="D4400" s="23" t="s">
        <v>46</v>
      </c>
      <c r="E4400" s="23" t="s">
        <v>46</v>
      </c>
      <c r="F4400" s="15" t="s">
        <v>103</v>
      </c>
      <c r="G4400" s="15" t="s">
        <v>5173</v>
      </c>
      <c r="H4400" s="23" t="s">
        <v>58</v>
      </c>
    </row>
    <row r="4401" spans="1:8" ht="54.95" customHeight="1" x14ac:dyDescent="0.2">
      <c r="A4401" s="23" t="s">
        <v>1382</v>
      </c>
      <c r="B4401" s="23" t="s">
        <v>17</v>
      </c>
      <c r="C4401" s="23" t="s">
        <v>46</v>
      </c>
      <c r="D4401" s="23" t="s">
        <v>46</v>
      </c>
      <c r="E4401" s="23" t="s">
        <v>46</v>
      </c>
      <c r="F4401" s="15" t="s">
        <v>103</v>
      </c>
      <c r="G4401" s="15" t="s">
        <v>5173</v>
      </c>
      <c r="H4401" s="23" t="s">
        <v>58</v>
      </c>
    </row>
    <row r="4402" spans="1:8" ht="54.95" customHeight="1" x14ac:dyDescent="0.2">
      <c r="A4402" s="23" t="s">
        <v>1382</v>
      </c>
      <c r="B4402" s="23" t="s">
        <v>19</v>
      </c>
      <c r="C4402" s="23" t="s">
        <v>46</v>
      </c>
      <c r="D4402" s="23" t="s">
        <v>46</v>
      </c>
      <c r="E4402" s="23" t="s">
        <v>46</v>
      </c>
      <c r="F4402" s="15" t="s">
        <v>103</v>
      </c>
      <c r="G4402" s="15" t="s">
        <v>5173</v>
      </c>
      <c r="H4402" s="23" t="s">
        <v>58</v>
      </c>
    </row>
    <row r="4403" spans="1:8" ht="54.95" customHeight="1" x14ac:dyDescent="0.2">
      <c r="A4403" s="23" t="s">
        <v>1382</v>
      </c>
      <c r="B4403" s="23" t="s">
        <v>21</v>
      </c>
      <c r="C4403" s="23" t="s">
        <v>46</v>
      </c>
      <c r="D4403" s="23" t="s">
        <v>46</v>
      </c>
      <c r="E4403" s="23" t="s">
        <v>101</v>
      </c>
      <c r="F4403" s="15" t="s">
        <v>104</v>
      </c>
      <c r="G4403" s="15" t="s">
        <v>5173</v>
      </c>
      <c r="H4403" s="23" t="s">
        <v>58</v>
      </c>
    </row>
    <row r="4404" spans="1:8" ht="54.95" customHeight="1" x14ac:dyDescent="0.2">
      <c r="A4404" s="23" t="s">
        <v>1382</v>
      </c>
      <c r="B4404" s="23" t="s">
        <v>22</v>
      </c>
      <c r="C4404" s="23" t="s">
        <v>46</v>
      </c>
      <c r="D4404" s="23" t="s">
        <v>46</v>
      </c>
      <c r="E4404" s="23" t="s">
        <v>101</v>
      </c>
      <c r="F4404" s="15" t="s">
        <v>104</v>
      </c>
      <c r="G4404" s="15" t="s">
        <v>5173</v>
      </c>
      <c r="H4404" s="23" t="s">
        <v>58</v>
      </c>
    </row>
    <row r="4405" spans="1:8" ht="54.95" customHeight="1" x14ac:dyDescent="0.2">
      <c r="A4405" s="23" t="s">
        <v>1382</v>
      </c>
      <c r="B4405" s="23" t="s">
        <v>23</v>
      </c>
      <c r="C4405" s="23" t="s">
        <v>46</v>
      </c>
      <c r="D4405" s="23" t="s">
        <v>46</v>
      </c>
      <c r="E4405" s="23" t="s">
        <v>101</v>
      </c>
      <c r="F4405" s="15" t="s">
        <v>104</v>
      </c>
      <c r="G4405" s="15" t="s">
        <v>5173</v>
      </c>
      <c r="H4405" s="23" t="s">
        <v>58</v>
      </c>
    </row>
    <row r="4406" spans="1:8" ht="54.95" customHeight="1" x14ac:dyDescent="0.2">
      <c r="A4406" s="23" t="s">
        <v>1382</v>
      </c>
      <c r="B4406" s="23" t="s">
        <v>24</v>
      </c>
      <c r="C4406" s="23" t="s">
        <v>46</v>
      </c>
      <c r="D4406" s="23" t="s">
        <v>46</v>
      </c>
      <c r="E4406" s="23" t="s">
        <v>101</v>
      </c>
      <c r="F4406" s="15" t="s">
        <v>104</v>
      </c>
      <c r="G4406" s="15" t="s">
        <v>5173</v>
      </c>
      <c r="H4406" s="23" t="s">
        <v>58</v>
      </c>
    </row>
    <row r="4407" spans="1:8" ht="54.95" customHeight="1" x14ac:dyDescent="0.2">
      <c r="A4407" s="23" t="s">
        <v>1382</v>
      </c>
      <c r="B4407" s="23" t="s">
        <v>25</v>
      </c>
      <c r="C4407" s="23" t="s">
        <v>46</v>
      </c>
      <c r="D4407" s="23" t="s">
        <v>46</v>
      </c>
      <c r="E4407" s="23" t="s">
        <v>101</v>
      </c>
      <c r="F4407" s="15" t="s">
        <v>104</v>
      </c>
      <c r="G4407" s="15" t="s">
        <v>5173</v>
      </c>
      <c r="H4407" s="23" t="s">
        <v>58</v>
      </c>
    </row>
    <row r="4408" spans="1:8" ht="54.95" customHeight="1" x14ac:dyDescent="0.2">
      <c r="A4408" s="23" t="s">
        <v>1386</v>
      </c>
      <c r="B4408" s="23" t="s">
        <v>23</v>
      </c>
      <c r="C4408" s="23" t="s">
        <v>46</v>
      </c>
      <c r="D4408" s="23" t="s">
        <v>46</v>
      </c>
      <c r="E4408" s="23" t="s">
        <v>101</v>
      </c>
      <c r="F4408" s="15" t="s">
        <v>104</v>
      </c>
      <c r="G4408" s="15" t="s">
        <v>5173</v>
      </c>
      <c r="H4408" s="23" t="s">
        <v>58</v>
      </c>
    </row>
    <row r="4409" spans="1:8" ht="54.95" customHeight="1" x14ac:dyDescent="0.2">
      <c r="A4409" s="23" t="s">
        <v>1386</v>
      </c>
      <c r="B4409" s="23" t="s">
        <v>24</v>
      </c>
      <c r="C4409" s="23" t="s">
        <v>46</v>
      </c>
      <c r="D4409" s="23" t="s">
        <v>46</v>
      </c>
      <c r="E4409" s="23" t="s">
        <v>101</v>
      </c>
      <c r="F4409" s="15" t="s">
        <v>104</v>
      </c>
      <c r="G4409" s="15" t="s">
        <v>5173</v>
      </c>
      <c r="H4409" s="23" t="s">
        <v>58</v>
      </c>
    </row>
    <row r="4410" spans="1:8" ht="54.95" customHeight="1" x14ac:dyDescent="0.2">
      <c r="A4410" s="23" t="s">
        <v>1386</v>
      </c>
      <c r="B4410" s="23" t="s">
        <v>25</v>
      </c>
      <c r="C4410" s="23" t="s">
        <v>46</v>
      </c>
      <c r="D4410" s="23" t="s">
        <v>46</v>
      </c>
      <c r="E4410" s="23" t="s">
        <v>101</v>
      </c>
      <c r="F4410" s="15" t="s">
        <v>104</v>
      </c>
      <c r="G4410" s="15" t="s">
        <v>5173</v>
      </c>
      <c r="H4410" s="23" t="s">
        <v>58</v>
      </c>
    </row>
    <row r="4411" spans="1:8" ht="54.95" customHeight="1" x14ac:dyDescent="0.2">
      <c r="A4411" s="23" t="s">
        <v>1392</v>
      </c>
      <c r="B4411" s="23" t="s">
        <v>3</v>
      </c>
      <c r="C4411" s="23" t="s">
        <v>46</v>
      </c>
      <c r="D4411" s="23" t="s">
        <v>46</v>
      </c>
      <c r="E4411" s="23" t="s">
        <v>46</v>
      </c>
      <c r="F4411" s="15" t="s">
        <v>198</v>
      </c>
      <c r="G4411" s="15" t="s">
        <v>5173</v>
      </c>
      <c r="H4411" s="23" t="s">
        <v>58</v>
      </c>
    </row>
    <row r="4412" spans="1:8" ht="54.95" customHeight="1" x14ac:dyDescent="0.2">
      <c r="A4412" s="23" t="s">
        <v>1392</v>
      </c>
      <c r="B4412" s="23" t="s">
        <v>6</v>
      </c>
      <c r="C4412" s="23" t="s">
        <v>46</v>
      </c>
      <c r="D4412" s="23" t="s">
        <v>46</v>
      </c>
      <c r="E4412" s="23" t="s">
        <v>46</v>
      </c>
      <c r="F4412" s="15" t="s">
        <v>198</v>
      </c>
      <c r="G4412" s="15" t="s">
        <v>5173</v>
      </c>
      <c r="H4412" s="23" t="s">
        <v>58</v>
      </c>
    </row>
    <row r="4413" spans="1:8" ht="54.95" customHeight="1" x14ac:dyDescent="0.2">
      <c r="A4413" s="23" t="s">
        <v>1392</v>
      </c>
      <c r="B4413" s="23" t="s">
        <v>7</v>
      </c>
      <c r="C4413" s="23" t="s">
        <v>46</v>
      </c>
      <c r="D4413" s="23" t="s">
        <v>46</v>
      </c>
      <c r="E4413" s="23" t="s">
        <v>46</v>
      </c>
      <c r="F4413" s="15" t="s">
        <v>198</v>
      </c>
      <c r="G4413" s="15" t="s">
        <v>5173</v>
      </c>
      <c r="H4413" s="23" t="s">
        <v>58</v>
      </c>
    </row>
    <row r="4414" spans="1:8" ht="54.95" customHeight="1" x14ac:dyDescent="0.2">
      <c r="A4414" s="23" t="s">
        <v>1392</v>
      </c>
      <c r="B4414" s="23" t="s">
        <v>8</v>
      </c>
      <c r="C4414" s="23" t="s">
        <v>46</v>
      </c>
      <c r="D4414" s="23" t="s">
        <v>46</v>
      </c>
      <c r="E4414" s="23" t="s">
        <v>46</v>
      </c>
      <c r="F4414" s="15" t="s">
        <v>198</v>
      </c>
      <c r="G4414" s="15" t="s">
        <v>5173</v>
      </c>
      <c r="H4414" s="23" t="s">
        <v>58</v>
      </c>
    </row>
    <row r="4415" spans="1:8" ht="54.95" customHeight="1" x14ac:dyDescent="0.2">
      <c r="A4415" s="23" t="s">
        <v>1392</v>
      </c>
      <c r="B4415" s="23" t="s">
        <v>9</v>
      </c>
      <c r="C4415" s="23" t="s">
        <v>46</v>
      </c>
      <c r="D4415" s="23" t="s">
        <v>46</v>
      </c>
      <c r="E4415" s="23" t="s">
        <v>46</v>
      </c>
      <c r="F4415" s="15" t="s">
        <v>198</v>
      </c>
      <c r="G4415" s="15" t="s">
        <v>5173</v>
      </c>
      <c r="H4415" s="23" t="s">
        <v>58</v>
      </c>
    </row>
    <row r="4416" spans="1:8" ht="54.95" customHeight="1" x14ac:dyDescent="0.2">
      <c r="A4416" s="23" t="s">
        <v>1392</v>
      </c>
      <c r="B4416" s="23" t="s">
        <v>10</v>
      </c>
      <c r="C4416" s="23" t="s">
        <v>46</v>
      </c>
      <c r="D4416" s="23" t="s">
        <v>46</v>
      </c>
      <c r="E4416" s="23" t="s">
        <v>46</v>
      </c>
      <c r="F4416" s="15" t="s">
        <v>198</v>
      </c>
      <c r="G4416" s="15" t="s">
        <v>5173</v>
      </c>
      <c r="H4416" s="23" t="s">
        <v>58</v>
      </c>
    </row>
    <row r="4417" spans="1:8" ht="54.95" customHeight="1" x14ac:dyDescent="0.2">
      <c r="A4417" s="23" t="s">
        <v>1392</v>
      </c>
      <c r="B4417" s="23" t="s">
        <v>11</v>
      </c>
      <c r="C4417" s="23" t="s">
        <v>46</v>
      </c>
      <c r="D4417" s="23" t="s">
        <v>46</v>
      </c>
      <c r="E4417" s="23" t="s">
        <v>46</v>
      </c>
      <c r="F4417" s="15" t="s">
        <v>198</v>
      </c>
      <c r="G4417" s="15" t="s">
        <v>5173</v>
      </c>
      <c r="H4417" s="23" t="s">
        <v>58</v>
      </c>
    </row>
    <row r="4418" spans="1:8" ht="54.95" customHeight="1" x14ac:dyDescent="0.2">
      <c r="A4418" s="23" t="s">
        <v>1392</v>
      </c>
      <c r="B4418" s="23" t="s">
        <v>13</v>
      </c>
      <c r="C4418" s="23" t="s">
        <v>46</v>
      </c>
      <c r="D4418" s="23" t="s">
        <v>46</v>
      </c>
      <c r="E4418" s="23" t="s">
        <v>46</v>
      </c>
      <c r="F4418" s="15" t="s">
        <v>198</v>
      </c>
      <c r="G4418" s="15" t="s">
        <v>5173</v>
      </c>
      <c r="H4418" s="23" t="s">
        <v>58</v>
      </c>
    </row>
    <row r="4419" spans="1:8" ht="54.95" customHeight="1" x14ac:dyDescent="0.2">
      <c r="A4419" s="23" t="s">
        <v>1392</v>
      </c>
      <c r="B4419" s="23" t="s">
        <v>14</v>
      </c>
      <c r="C4419" s="23" t="s">
        <v>46</v>
      </c>
      <c r="D4419" s="23" t="s">
        <v>46</v>
      </c>
      <c r="E4419" s="23" t="s">
        <v>46</v>
      </c>
      <c r="F4419" s="15" t="s">
        <v>198</v>
      </c>
      <c r="G4419" s="15" t="s">
        <v>5173</v>
      </c>
      <c r="H4419" s="23" t="s">
        <v>58</v>
      </c>
    </row>
    <row r="4420" spans="1:8" ht="54.95" customHeight="1" x14ac:dyDescent="0.2">
      <c r="A4420" s="23" t="s">
        <v>1392</v>
      </c>
      <c r="B4420" s="23" t="s">
        <v>15</v>
      </c>
      <c r="C4420" s="23" t="s">
        <v>46</v>
      </c>
      <c r="D4420" s="23" t="s">
        <v>46</v>
      </c>
      <c r="E4420" s="23" t="s">
        <v>46</v>
      </c>
      <c r="F4420" s="15" t="s">
        <v>103</v>
      </c>
      <c r="G4420" s="15" t="s">
        <v>5173</v>
      </c>
      <c r="H4420" s="23" t="s">
        <v>58</v>
      </c>
    </row>
    <row r="4421" spans="1:8" ht="54.95" customHeight="1" x14ac:dyDescent="0.2">
      <c r="A4421" s="23" t="s">
        <v>1392</v>
      </c>
      <c r="B4421" s="23" t="s">
        <v>17</v>
      </c>
      <c r="C4421" s="23" t="s">
        <v>46</v>
      </c>
      <c r="D4421" s="23" t="s">
        <v>46</v>
      </c>
      <c r="E4421" s="23" t="s">
        <v>46</v>
      </c>
      <c r="F4421" s="15" t="s">
        <v>103</v>
      </c>
      <c r="G4421" s="15" t="s">
        <v>5173</v>
      </c>
      <c r="H4421" s="23" t="s">
        <v>58</v>
      </c>
    </row>
    <row r="4422" spans="1:8" ht="54.95" customHeight="1" x14ac:dyDescent="0.2">
      <c r="A4422" s="23" t="s">
        <v>1392</v>
      </c>
      <c r="B4422" s="23" t="s">
        <v>19</v>
      </c>
      <c r="C4422" s="23" t="s">
        <v>46</v>
      </c>
      <c r="D4422" s="23" t="s">
        <v>46</v>
      </c>
      <c r="E4422" s="23" t="s">
        <v>46</v>
      </c>
      <c r="F4422" s="15" t="s">
        <v>103</v>
      </c>
      <c r="G4422" s="15" t="s">
        <v>5173</v>
      </c>
      <c r="H4422" s="23" t="s">
        <v>58</v>
      </c>
    </row>
    <row r="4423" spans="1:8" ht="54.95" customHeight="1" x14ac:dyDescent="0.2">
      <c r="A4423" s="23" t="s">
        <v>1392</v>
      </c>
      <c r="B4423" s="23" t="s">
        <v>21</v>
      </c>
      <c r="C4423" s="23" t="s">
        <v>46</v>
      </c>
      <c r="D4423" s="23" t="s">
        <v>46</v>
      </c>
      <c r="E4423" s="23" t="s">
        <v>101</v>
      </c>
      <c r="F4423" s="15" t="s">
        <v>104</v>
      </c>
      <c r="G4423" s="15" t="s">
        <v>5173</v>
      </c>
      <c r="H4423" s="23" t="s">
        <v>58</v>
      </c>
    </row>
    <row r="4424" spans="1:8" ht="54.95" customHeight="1" x14ac:dyDescent="0.2">
      <c r="A4424" s="23" t="s">
        <v>1392</v>
      </c>
      <c r="B4424" s="23" t="s">
        <v>22</v>
      </c>
      <c r="C4424" s="23" t="s">
        <v>46</v>
      </c>
      <c r="D4424" s="23" t="s">
        <v>46</v>
      </c>
      <c r="E4424" s="23" t="s">
        <v>101</v>
      </c>
      <c r="F4424" s="15" t="s">
        <v>104</v>
      </c>
      <c r="G4424" s="15" t="s">
        <v>5173</v>
      </c>
      <c r="H4424" s="23" t="s">
        <v>58</v>
      </c>
    </row>
    <row r="4425" spans="1:8" ht="54.95" customHeight="1" x14ac:dyDescent="0.2">
      <c r="A4425" s="23" t="s">
        <v>1392</v>
      </c>
      <c r="B4425" s="23" t="s">
        <v>23</v>
      </c>
      <c r="C4425" s="23" t="s">
        <v>46</v>
      </c>
      <c r="D4425" s="23" t="s">
        <v>46</v>
      </c>
      <c r="E4425" s="23" t="s">
        <v>101</v>
      </c>
      <c r="F4425" s="15" t="s">
        <v>104</v>
      </c>
      <c r="G4425" s="15" t="s">
        <v>5173</v>
      </c>
      <c r="H4425" s="23" t="s">
        <v>58</v>
      </c>
    </row>
    <row r="4426" spans="1:8" ht="54.95" customHeight="1" x14ac:dyDescent="0.2">
      <c r="A4426" s="23" t="s">
        <v>1392</v>
      </c>
      <c r="B4426" s="23" t="s">
        <v>24</v>
      </c>
      <c r="C4426" s="23" t="s">
        <v>46</v>
      </c>
      <c r="D4426" s="23" t="s">
        <v>46</v>
      </c>
      <c r="E4426" s="23" t="s">
        <v>101</v>
      </c>
      <c r="F4426" s="15" t="s">
        <v>104</v>
      </c>
      <c r="G4426" s="15" t="s">
        <v>5173</v>
      </c>
      <c r="H4426" s="23" t="s">
        <v>58</v>
      </c>
    </row>
    <row r="4427" spans="1:8" ht="54.95" customHeight="1" x14ac:dyDescent="0.2">
      <c r="A4427" s="23" t="s">
        <v>1392</v>
      </c>
      <c r="B4427" s="23" t="s">
        <v>25</v>
      </c>
      <c r="C4427" s="23" t="s">
        <v>46</v>
      </c>
      <c r="D4427" s="23" t="s">
        <v>46</v>
      </c>
      <c r="E4427" s="23" t="s">
        <v>101</v>
      </c>
      <c r="F4427" s="15" t="s">
        <v>104</v>
      </c>
      <c r="G4427" s="15" t="s">
        <v>5173</v>
      </c>
      <c r="H4427" s="23" t="s">
        <v>58</v>
      </c>
    </row>
    <row r="4428" spans="1:8" ht="54.95" customHeight="1" x14ac:dyDescent="0.2">
      <c r="A4428" s="23" t="s">
        <v>1396</v>
      </c>
      <c r="B4428" s="23" t="s">
        <v>15</v>
      </c>
      <c r="C4428" s="23" t="s">
        <v>46</v>
      </c>
      <c r="D4428" s="23" t="s">
        <v>46</v>
      </c>
      <c r="E4428" s="23" t="s">
        <v>46</v>
      </c>
      <c r="F4428" s="15" t="s">
        <v>103</v>
      </c>
      <c r="G4428" s="15" t="s">
        <v>5173</v>
      </c>
      <c r="H4428" s="23" t="s">
        <v>58</v>
      </c>
    </row>
    <row r="4429" spans="1:8" ht="54.95" customHeight="1" x14ac:dyDescent="0.2">
      <c r="A4429" s="23" t="s">
        <v>1396</v>
      </c>
      <c r="B4429" s="23" t="s">
        <v>17</v>
      </c>
      <c r="C4429" s="23" t="s">
        <v>46</v>
      </c>
      <c r="D4429" s="23" t="s">
        <v>46</v>
      </c>
      <c r="E4429" s="23" t="s">
        <v>46</v>
      </c>
      <c r="F4429" s="15" t="s">
        <v>103</v>
      </c>
      <c r="G4429" s="15" t="s">
        <v>5173</v>
      </c>
      <c r="H4429" s="23" t="s">
        <v>58</v>
      </c>
    </row>
    <row r="4430" spans="1:8" ht="54.95" customHeight="1" x14ac:dyDescent="0.2">
      <c r="A4430" s="23" t="s">
        <v>1396</v>
      </c>
      <c r="B4430" s="23" t="s">
        <v>19</v>
      </c>
      <c r="C4430" s="23" t="s">
        <v>46</v>
      </c>
      <c r="D4430" s="23" t="s">
        <v>46</v>
      </c>
      <c r="E4430" s="23" t="s">
        <v>46</v>
      </c>
      <c r="F4430" s="15" t="s">
        <v>103</v>
      </c>
      <c r="G4430" s="15" t="s">
        <v>5173</v>
      </c>
      <c r="H4430" s="23" t="s">
        <v>58</v>
      </c>
    </row>
    <row r="4431" spans="1:8" ht="54.95" customHeight="1" x14ac:dyDescent="0.2">
      <c r="A4431" s="23" t="s">
        <v>1396</v>
      </c>
      <c r="B4431" s="23" t="s">
        <v>21</v>
      </c>
      <c r="C4431" s="23" t="s">
        <v>46</v>
      </c>
      <c r="D4431" s="23" t="s">
        <v>46</v>
      </c>
      <c r="E4431" s="23" t="s">
        <v>101</v>
      </c>
      <c r="F4431" s="15" t="s">
        <v>104</v>
      </c>
      <c r="G4431" s="15" t="s">
        <v>5173</v>
      </c>
      <c r="H4431" s="23" t="s">
        <v>58</v>
      </c>
    </row>
    <row r="4432" spans="1:8" ht="54.95" customHeight="1" x14ac:dyDescent="0.2">
      <c r="A4432" s="23" t="s">
        <v>1396</v>
      </c>
      <c r="B4432" s="23" t="s">
        <v>22</v>
      </c>
      <c r="C4432" s="23" t="s">
        <v>46</v>
      </c>
      <c r="D4432" s="23" t="s">
        <v>46</v>
      </c>
      <c r="E4432" s="23" t="s">
        <v>101</v>
      </c>
      <c r="F4432" s="15" t="s">
        <v>104</v>
      </c>
      <c r="G4432" s="15" t="s">
        <v>5173</v>
      </c>
      <c r="H4432" s="23" t="s">
        <v>58</v>
      </c>
    </row>
    <row r="4433" spans="1:8" ht="54.95" customHeight="1" x14ac:dyDescent="0.2">
      <c r="A4433" s="23" t="s">
        <v>1396</v>
      </c>
      <c r="B4433" s="23" t="s">
        <v>23</v>
      </c>
      <c r="C4433" s="23" t="s">
        <v>46</v>
      </c>
      <c r="D4433" s="23" t="s">
        <v>46</v>
      </c>
      <c r="E4433" s="23" t="s">
        <v>101</v>
      </c>
      <c r="F4433" s="15" t="s">
        <v>104</v>
      </c>
      <c r="G4433" s="15" t="s">
        <v>5173</v>
      </c>
      <c r="H4433" s="23" t="s">
        <v>58</v>
      </c>
    </row>
    <row r="4434" spans="1:8" ht="54.95" customHeight="1" x14ac:dyDescent="0.2">
      <c r="A4434" s="23" t="s">
        <v>1396</v>
      </c>
      <c r="B4434" s="23" t="s">
        <v>24</v>
      </c>
      <c r="C4434" s="23" t="s">
        <v>46</v>
      </c>
      <c r="D4434" s="23" t="s">
        <v>46</v>
      </c>
      <c r="E4434" s="23" t="s">
        <v>101</v>
      </c>
      <c r="F4434" s="15" t="s">
        <v>104</v>
      </c>
      <c r="G4434" s="15" t="s">
        <v>5173</v>
      </c>
      <c r="H4434" s="23" t="s">
        <v>58</v>
      </c>
    </row>
    <row r="4435" spans="1:8" ht="54.95" customHeight="1" x14ac:dyDescent="0.2">
      <c r="A4435" s="23" t="s">
        <v>1396</v>
      </c>
      <c r="B4435" s="23" t="s">
        <v>25</v>
      </c>
      <c r="C4435" s="23" t="s">
        <v>46</v>
      </c>
      <c r="D4435" s="23" t="s">
        <v>46</v>
      </c>
      <c r="E4435" s="23" t="s">
        <v>101</v>
      </c>
      <c r="F4435" s="15" t="s">
        <v>104</v>
      </c>
      <c r="G4435" s="15" t="s">
        <v>5173</v>
      </c>
      <c r="H4435" s="23" t="s">
        <v>58</v>
      </c>
    </row>
    <row r="4436" spans="1:8" ht="54.95" customHeight="1" x14ac:dyDescent="0.2">
      <c r="A4436" s="23" t="s">
        <v>1400</v>
      </c>
      <c r="B4436" s="23" t="s">
        <v>21</v>
      </c>
      <c r="C4436" s="23" t="s">
        <v>46</v>
      </c>
      <c r="D4436" s="23" t="s">
        <v>46</v>
      </c>
      <c r="E4436" s="23" t="s">
        <v>101</v>
      </c>
      <c r="F4436" s="15" t="s">
        <v>104</v>
      </c>
      <c r="G4436" s="15" t="s">
        <v>5173</v>
      </c>
      <c r="H4436" s="23" t="s">
        <v>58</v>
      </c>
    </row>
    <row r="4437" spans="1:8" ht="54.95" customHeight="1" x14ac:dyDescent="0.2">
      <c r="A4437" s="23" t="s">
        <v>1400</v>
      </c>
      <c r="B4437" s="23" t="s">
        <v>22</v>
      </c>
      <c r="C4437" s="23" t="s">
        <v>46</v>
      </c>
      <c r="D4437" s="23" t="s">
        <v>46</v>
      </c>
      <c r="E4437" s="23" t="s">
        <v>101</v>
      </c>
      <c r="F4437" s="15" t="s">
        <v>104</v>
      </c>
      <c r="G4437" s="15" t="s">
        <v>5173</v>
      </c>
      <c r="H4437" s="23" t="s">
        <v>58</v>
      </c>
    </row>
    <row r="4438" spans="1:8" ht="54.95" customHeight="1" x14ac:dyDescent="0.2">
      <c r="A4438" s="23" t="s">
        <v>1400</v>
      </c>
      <c r="B4438" s="23" t="s">
        <v>23</v>
      </c>
      <c r="C4438" s="23" t="s">
        <v>46</v>
      </c>
      <c r="D4438" s="23" t="s">
        <v>46</v>
      </c>
      <c r="E4438" s="23" t="s">
        <v>101</v>
      </c>
      <c r="F4438" s="15" t="s">
        <v>104</v>
      </c>
      <c r="G4438" s="15" t="s">
        <v>5173</v>
      </c>
      <c r="H4438" s="23" t="s">
        <v>58</v>
      </c>
    </row>
    <row r="4439" spans="1:8" ht="54.95" customHeight="1" x14ac:dyDescent="0.2">
      <c r="A4439" s="23" t="s">
        <v>1400</v>
      </c>
      <c r="B4439" s="23" t="s">
        <v>24</v>
      </c>
      <c r="C4439" s="23" t="s">
        <v>46</v>
      </c>
      <c r="D4439" s="23" t="s">
        <v>46</v>
      </c>
      <c r="E4439" s="23" t="s">
        <v>101</v>
      </c>
      <c r="F4439" s="15" t="s">
        <v>104</v>
      </c>
      <c r="G4439" s="15" t="s">
        <v>5173</v>
      </c>
      <c r="H4439" s="23" t="s">
        <v>58</v>
      </c>
    </row>
    <row r="4440" spans="1:8" ht="54.95" customHeight="1" x14ac:dyDescent="0.2">
      <c r="A4440" s="23" t="s">
        <v>1400</v>
      </c>
      <c r="B4440" s="23" t="s">
        <v>25</v>
      </c>
      <c r="C4440" s="23" t="s">
        <v>46</v>
      </c>
      <c r="D4440" s="23" t="s">
        <v>46</v>
      </c>
      <c r="E4440" s="23" t="s">
        <v>101</v>
      </c>
      <c r="F4440" s="15" t="s">
        <v>104</v>
      </c>
      <c r="G4440" s="15" t="s">
        <v>5173</v>
      </c>
      <c r="H4440" s="23" t="s">
        <v>58</v>
      </c>
    </row>
    <row r="4441" spans="1:8" ht="54.95" customHeight="1" x14ac:dyDescent="0.2">
      <c r="A4441" s="23" t="s">
        <v>1405</v>
      </c>
      <c r="B4441" s="23" t="s">
        <v>3</v>
      </c>
      <c r="C4441" s="23" t="s">
        <v>46</v>
      </c>
      <c r="D4441" s="23" t="s">
        <v>46</v>
      </c>
      <c r="E4441" s="23" t="s">
        <v>46</v>
      </c>
      <c r="F4441" s="15" t="s">
        <v>198</v>
      </c>
      <c r="G4441" s="15" t="s">
        <v>5173</v>
      </c>
      <c r="H4441" s="23" t="s">
        <v>58</v>
      </c>
    </row>
    <row r="4442" spans="1:8" ht="54.95" customHeight="1" x14ac:dyDescent="0.2">
      <c r="A4442" s="23" t="s">
        <v>1405</v>
      </c>
      <c r="B4442" s="23" t="s">
        <v>6</v>
      </c>
      <c r="C4442" s="23" t="s">
        <v>46</v>
      </c>
      <c r="D4442" s="23" t="s">
        <v>46</v>
      </c>
      <c r="E4442" s="23" t="s">
        <v>46</v>
      </c>
      <c r="F4442" s="15" t="s">
        <v>198</v>
      </c>
      <c r="G4442" s="15" t="s">
        <v>5173</v>
      </c>
      <c r="H4442" s="23" t="s">
        <v>58</v>
      </c>
    </row>
    <row r="4443" spans="1:8" ht="54.95" customHeight="1" x14ac:dyDescent="0.2">
      <c r="A4443" s="23" t="s">
        <v>1405</v>
      </c>
      <c r="B4443" s="23" t="s">
        <v>7</v>
      </c>
      <c r="C4443" s="23" t="s">
        <v>46</v>
      </c>
      <c r="D4443" s="23" t="s">
        <v>46</v>
      </c>
      <c r="E4443" s="23" t="s">
        <v>46</v>
      </c>
      <c r="F4443" s="15" t="s">
        <v>198</v>
      </c>
      <c r="G4443" s="15" t="s">
        <v>5173</v>
      </c>
      <c r="H4443" s="23" t="s">
        <v>58</v>
      </c>
    </row>
    <row r="4444" spans="1:8" ht="54.95" customHeight="1" x14ac:dyDescent="0.2">
      <c r="A4444" s="23" t="s">
        <v>1405</v>
      </c>
      <c r="B4444" s="23" t="s">
        <v>8</v>
      </c>
      <c r="C4444" s="23" t="s">
        <v>46</v>
      </c>
      <c r="D4444" s="23" t="s">
        <v>46</v>
      </c>
      <c r="E4444" s="23" t="s">
        <v>46</v>
      </c>
      <c r="F4444" s="15" t="s">
        <v>198</v>
      </c>
      <c r="G4444" s="15" t="s">
        <v>5173</v>
      </c>
      <c r="H4444" s="23" t="s">
        <v>58</v>
      </c>
    </row>
    <row r="4445" spans="1:8" ht="54.95" customHeight="1" x14ac:dyDescent="0.2">
      <c r="A4445" s="23" t="s">
        <v>1405</v>
      </c>
      <c r="B4445" s="23" t="s">
        <v>9</v>
      </c>
      <c r="C4445" s="23" t="s">
        <v>46</v>
      </c>
      <c r="D4445" s="23" t="s">
        <v>46</v>
      </c>
      <c r="E4445" s="23" t="s">
        <v>46</v>
      </c>
      <c r="F4445" s="15" t="s">
        <v>198</v>
      </c>
      <c r="G4445" s="15" t="s">
        <v>5173</v>
      </c>
      <c r="H4445" s="23" t="s">
        <v>58</v>
      </c>
    </row>
    <row r="4446" spans="1:8" ht="54.95" customHeight="1" x14ac:dyDescent="0.2">
      <c r="A4446" s="23" t="s">
        <v>1405</v>
      </c>
      <c r="B4446" s="23" t="s">
        <v>10</v>
      </c>
      <c r="C4446" s="23" t="s">
        <v>46</v>
      </c>
      <c r="D4446" s="23" t="s">
        <v>46</v>
      </c>
      <c r="E4446" s="23" t="s">
        <v>46</v>
      </c>
      <c r="F4446" s="15" t="s">
        <v>198</v>
      </c>
      <c r="G4446" s="15" t="s">
        <v>5173</v>
      </c>
      <c r="H4446" s="23" t="s">
        <v>58</v>
      </c>
    </row>
    <row r="4447" spans="1:8" ht="54.95" customHeight="1" x14ac:dyDescent="0.2">
      <c r="A4447" s="23" t="s">
        <v>1405</v>
      </c>
      <c r="B4447" s="23" t="s">
        <v>11</v>
      </c>
      <c r="C4447" s="23" t="s">
        <v>46</v>
      </c>
      <c r="D4447" s="23" t="s">
        <v>46</v>
      </c>
      <c r="E4447" s="23" t="s">
        <v>46</v>
      </c>
      <c r="F4447" s="15" t="s">
        <v>198</v>
      </c>
      <c r="G4447" s="15" t="s">
        <v>5173</v>
      </c>
      <c r="H4447" s="23" t="s">
        <v>58</v>
      </c>
    </row>
    <row r="4448" spans="1:8" ht="54.95" customHeight="1" x14ac:dyDescent="0.2">
      <c r="A4448" s="23" t="s">
        <v>1405</v>
      </c>
      <c r="B4448" s="23" t="s">
        <v>13</v>
      </c>
      <c r="C4448" s="23" t="s">
        <v>46</v>
      </c>
      <c r="D4448" s="23" t="s">
        <v>46</v>
      </c>
      <c r="E4448" s="23" t="s">
        <v>46</v>
      </c>
      <c r="F4448" s="15" t="s">
        <v>198</v>
      </c>
      <c r="G4448" s="15" t="s">
        <v>5173</v>
      </c>
      <c r="H4448" s="23" t="s">
        <v>58</v>
      </c>
    </row>
    <row r="4449" spans="1:8" ht="54.95" customHeight="1" x14ac:dyDescent="0.2">
      <c r="A4449" s="23" t="s">
        <v>1405</v>
      </c>
      <c r="B4449" s="23" t="s">
        <v>14</v>
      </c>
      <c r="C4449" s="23" t="s">
        <v>46</v>
      </c>
      <c r="D4449" s="23" t="s">
        <v>46</v>
      </c>
      <c r="E4449" s="23" t="s">
        <v>46</v>
      </c>
      <c r="F4449" s="15" t="s">
        <v>198</v>
      </c>
      <c r="G4449" s="15" t="s">
        <v>5173</v>
      </c>
      <c r="H4449" s="23" t="s">
        <v>58</v>
      </c>
    </row>
    <row r="4450" spans="1:8" ht="54.95" customHeight="1" x14ac:dyDescent="0.2">
      <c r="A4450" s="23" t="s">
        <v>1405</v>
      </c>
      <c r="B4450" s="23" t="s">
        <v>15</v>
      </c>
      <c r="C4450" s="23" t="s">
        <v>46</v>
      </c>
      <c r="D4450" s="23" t="s">
        <v>46</v>
      </c>
      <c r="E4450" s="23" t="s">
        <v>46</v>
      </c>
      <c r="F4450" s="15" t="s">
        <v>103</v>
      </c>
      <c r="G4450" s="15" t="s">
        <v>5173</v>
      </c>
      <c r="H4450" s="23" t="s">
        <v>58</v>
      </c>
    </row>
    <row r="4451" spans="1:8" ht="54.95" customHeight="1" x14ac:dyDescent="0.2">
      <c r="A4451" s="23" t="s">
        <v>1405</v>
      </c>
      <c r="B4451" s="23" t="s">
        <v>17</v>
      </c>
      <c r="C4451" s="23" t="s">
        <v>46</v>
      </c>
      <c r="D4451" s="23" t="s">
        <v>46</v>
      </c>
      <c r="E4451" s="23" t="s">
        <v>46</v>
      </c>
      <c r="F4451" s="15" t="s">
        <v>103</v>
      </c>
      <c r="G4451" s="15" t="s">
        <v>5173</v>
      </c>
      <c r="H4451" s="23" t="s">
        <v>58</v>
      </c>
    </row>
    <row r="4452" spans="1:8" ht="54.95" customHeight="1" x14ac:dyDescent="0.2">
      <c r="A4452" s="23" t="s">
        <v>1405</v>
      </c>
      <c r="B4452" s="23" t="s">
        <v>19</v>
      </c>
      <c r="C4452" s="23" t="s">
        <v>46</v>
      </c>
      <c r="D4452" s="23" t="s">
        <v>46</v>
      </c>
      <c r="E4452" s="23" t="s">
        <v>46</v>
      </c>
      <c r="F4452" s="15" t="s">
        <v>103</v>
      </c>
      <c r="G4452" s="15" t="s">
        <v>5173</v>
      </c>
      <c r="H4452" s="23" t="s">
        <v>58</v>
      </c>
    </row>
    <row r="4453" spans="1:8" ht="54.95" customHeight="1" x14ac:dyDescent="0.2">
      <c r="A4453" s="23" t="s">
        <v>1405</v>
      </c>
      <c r="B4453" s="23" t="s">
        <v>23</v>
      </c>
      <c r="C4453" s="23" t="s">
        <v>46</v>
      </c>
      <c r="D4453" s="23" t="s">
        <v>46</v>
      </c>
      <c r="E4453" s="23" t="s">
        <v>101</v>
      </c>
      <c r="F4453" s="15" t="s">
        <v>104</v>
      </c>
      <c r="G4453" s="15" t="s">
        <v>5173</v>
      </c>
      <c r="H4453" s="23" t="s">
        <v>58</v>
      </c>
    </row>
    <row r="4454" spans="1:8" ht="54.95" customHeight="1" x14ac:dyDescent="0.2">
      <c r="A4454" s="23" t="s">
        <v>1405</v>
      </c>
      <c r="B4454" s="23" t="s">
        <v>24</v>
      </c>
      <c r="C4454" s="23" t="s">
        <v>46</v>
      </c>
      <c r="D4454" s="23" t="s">
        <v>46</v>
      </c>
      <c r="E4454" s="23" t="s">
        <v>101</v>
      </c>
      <c r="F4454" s="15" t="s">
        <v>104</v>
      </c>
      <c r="G4454" s="15" t="s">
        <v>5173</v>
      </c>
      <c r="H4454" s="23" t="s">
        <v>58</v>
      </c>
    </row>
    <row r="4455" spans="1:8" ht="54.95" customHeight="1" x14ac:dyDescent="0.2">
      <c r="A4455" s="23" t="s">
        <v>1405</v>
      </c>
      <c r="B4455" s="23" t="s">
        <v>25</v>
      </c>
      <c r="C4455" s="23" t="s">
        <v>46</v>
      </c>
      <c r="D4455" s="23" t="s">
        <v>46</v>
      </c>
      <c r="E4455" s="23" t="s">
        <v>101</v>
      </c>
      <c r="F4455" s="15" t="s">
        <v>104</v>
      </c>
      <c r="G4455" s="15" t="s">
        <v>5173</v>
      </c>
      <c r="H4455" s="23" t="s">
        <v>58</v>
      </c>
    </row>
    <row r="4456" spans="1:8" ht="54.95" customHeight="1" x14ac:dyDescent="0.2">
      <c r="A4456" s="23" t="s">
        <v>1410</v>
      </c>
      <c r="B4456" s="23" t="s">
        <v>21</v>
      </c>
      <c r="C4456" s="23" t="s">
        <v>46</v>
      </c>
      <c r="D4456" s="23" t="s">
        <v>46</v>
      </c>
      <c r="E4456" s="23" t="s">
        <v>101</v>
      </c>
      <c r="F4456" s="15" t="s">
        <v>104</v>
      </c>
      <c r="G4456" s="15" t="s">
        <v>5173</v>
      </c>
      <c r="H4456" s="23" t="s">
        <v>58</v>
      </c>
    </row>
    <row r="4457" spans="1:8" ht="54.95" customHeight="1" x14ac:dyDescent="0.2">
      <c r="A4457" s="23" t="s">
        <v>1410</v>
      </c>
      <c r="B4457" s="23" t="s">
        <v>22</v>
      </c>
      <c r="C4457" s="23" t="s">
        <v>46</v>
      </c>
      <c r="D4457" s="23" t="s">
        <v>46</v>
      </c>
      <c r="E4457" s="23" t="s">
        <v>101</v>
      </c>
      <c r="F4457" s="15" t="s">
        <v>104</v>
      </c>
      <c r="G4457" s="15" t="s">
        <v>5173</v>
      </c>
      <c r="H4457" s="23" t="s">
        <v>58</v>
      </c>
    </row>
    <row r="4458" spans="1:8" ht="54.95" customHeight="1" x14ac:dyDescent="0.2">
      <c r="A4458" s="23" t="s">
        <v>1410</v>
      </c>
      <c r="B4458" s="23" t="s">
        <v>23</v>
      </c>
      <c r="C4458" s="23" t="s">
        <v>46</v>
      </c>
      <c r="D4458" s="23" t="s">
        <v>46</v>
      </c>
      <c r="E4458" s="23" t="s">
        <v>101</v>
      </c>
      <c r="F4458" s="15" t="s">
        <v>104</v>
      </c>
      <c r="G4458" s="15" t="s">
        <v>5173</v>
      </c>
      <c r="H4458" s="23" t="s">
        <v>58</v>
      </c>
    </row>
    <row r="4459" spans="1:8" ht="54.95" customHeight="1" x14ac:dyDescent="0.2">
      <c r="A4459" s="23" t="s">
        <v>1410</v>
      </c>
      <c r="B4459" s="23" t="s">
        <v>24</v>
      </c>
      <c r="C4459" s="23" t="s">
        <v>46</v>
      </c>
      <c r="D4459" s="23" t="s">
        <v>46</v>
      </c>
      <c r="E4459" s="23" t="s">
        <v>101</v>
      </c>
      <c r="F4459" s="15" t="s">
        <v>104</v>
      </c>
      <c r="G4459" s="15" t="s">
        <v>5173</v>
      </c>
      <c r="H4459" s="23" t="s">
        <v>58</v>
      </c>
    </row>
    <row r="4460" spans="1:8" ht="54.95" customHeight="1" x14ac:dyDescent="0.2">
      <c r="A4460" s="23" t="s">
        <v>1410</v>
      </c>
      <c r="B4460" s="23" t="s">
        <v>25</v>
      </c>
      <c r="C4460" s="23" t="s">
        <v>46</v>
      </c>
      <c r="D4460" s="23" t="s">
        <v>46</v>
      </c>
      <c r="E4460" s="23" t="s">
        <v>101</v>
      </c>
      <c r="F4460" s="15" t="s">
        <v>104</v>
      </c>
      <c r="G4460" s="15" t="s">
        <v>5173</v>
      </c>
      <c r="H4460" s="23" t="s">
        <v>58</v>
      </c>
    </row>
    <row r="4461" spans="1:8" ht="54.95" customHeight="1" x14ac:dyDescent="0.2">
      <c r="A4461" s="23" t="s">
        <v>1415</v>
      </c>
      <c r="B4461" s="23" t="s">
        <v>21</v>
      </c>
      <c r="C4461" s="23" t="s">
        <v>46</v>
      </c>
      <c r="D4461" s="23" t="s">
        <v>46</v>
      </c>
      <c r="E4461" s="23" t="s">
        <v>101</v>
      </c>
      <c r="F4461" s="15" t="s">
        <v>104</v>
      </c>
      <c r="G4461" s="15" t="s">
        <v>5173</v>
      </c>
      <c r="H4461" s="23" t="s">
        <v>58</v>
      </c>
    </row>
    <row r="4462" spans="1:8" ht="54.95" customHeight="1" x14ac:dyDescent="0.2">
      <c r="A4462" s="23" t="s">
        <v>1415</v>
      </c>
      <c r="B4462" s="23" t="s">
        <v>22</v>
      </c>
      <c r="C4462" s="23" t="s">
        <v>46</v>
      </c>
      <c r="D4462" s="23" t="s">
        <v>46</v>
      </c>
      <c r="E4462" s="23" t="s">
        <v>101</v>
      </c>
      <c r="F4462" s="15" t="s">
        <v>104</v>
      </c>
      <c r="G4462" s="15" t="s">
        <v>5173</v>
      </c>
      <c r="H4462" s="23" t="s">
        <v>58</v>
      </c>
    </row>
    <row r="4463" spans="1:8" ht="54.95" customHeight="1" x14ac:dyDescent="0.2">
      <c r="A4463" s="23" t="s">
        <v>1415</v>
      </c>
      <c r="B4463" s="23" t="s">
        <v>23</v>
      </c>
      <c r="C4463" s="23" t="s">
        <v>46</v>
      </c>
      <c r="D4463" s="23" t="s">
        <v>46</v>
      </c>
      <c r="E4463" s="23" t="s">
        <v>101</v>
      </c>
      <c r="F4463" s="15" t="s">
        <v>104</v>
      </c>
      <c r="G4463" s="15" t="s">
        <v>5173</v>
      </c>
      <c r="H4463" s="23" t="s">
        <v>58</v>
      </c>
    </row>
    <row r="4464" spans="1:8" ht="54.95" customHeight="1" x14ac:dyDescent="0.2">
      <c r="A4464" s="23" t="s">
        <v>1415</v>
      </c>
      <c r="B4464" s="23" t="s">
        <v>24</v>
      </c>
      <c r="C4464" s="23" t="s">
        <v>46</v>
      </c>
      <c r="D4464" s="23" t="s">
        <v>46</v>
      </c>
      <c r="E4464" s="23" t="s">
        <v>101</v>
      </c>
      <c r="F4464" s="15" t="s">
        <v>104</v>
      </c>
      <c r="G4464" s="15" t="s">
        <v>5173</v>
      </c>
      <c r="H4464" s="23" t="s">
        <v>58</v>
      </c>
    </row>
    <row r="4465" spans="1:8" ht="54.95" customHeight="1" x14ac:dyDescent="0.2">
      <c r="A4465" s="23" t="s">
        <v>1415</v>
      </c>
      <c r="B4465" s="23" t="s">
        <v>25</v>
      </c>
      <c r="C4465" s="23" t="s">
        <v>46</v>
      </c>
      <c r="D4465" s="23" t="s">
        <v>46</v>
      </c>
      <c r="E4465" s="23" t="s">
        <v>101</v>
      </c>
      <c r="F4465" s="15" t="s">
        <v>104</v>
      </c>
      <c r="G4465" s="15" t="s">
        <v>5173</v>
      </c>
      <c r="H4465" s="23" t="s">
        <v>58</v>
      </c>
    </row>
    <row r="4466" spans="1:8" ht="54.95" customHeight="1" x14ac:dyDescent="0.2">
      <c r="A4466" s="23" t="s">
        <v>1420</v>
      </c>
      <c r="B4466" s="23" t="s">
        <v>3</v>
      </c>
      <c r="C4466" s="23" t="s">
        <v>46</v>
      </c>
      <c r="D4466" s="23" t="s">
        <v>46</v>
      </c>
      <c r="E4466" s="23" t="s">
        <v>46</v>
      </c>
      <c r="F4466" s="15" t="s">
        <v>198</v>
      </c>
      <c r="G4466" s="15" t="s">
        <v>5173</v>
      </c>
      <c r="H4466" s="23" t="s">
        <v>58</v>
      </c>
    </row>
    <row r="4467" spans="1:8" ht="54.95" customHeight="1" x14ac:dyDescent="0.2">
      <c r="A4467" s="23" t="s">
        <v>1420</v>
      </c>
      <c r="B4467" s="23" t="s">
        <v>6</v>
      </c>
      <c r="C4467" s="23" t="s">
        <v>46</v>
      </c>
      <c r="D4467" s="23" t="s">
        <v>46</v>
      </c>
      <c r="E4467" s="23" t="s">
        <v>46</v>
      </c>
      <c r="F4467" s="15" t="s">
        <v>198</v>
      </c>
      <c r="G4467" s="15" t="s">
        <v>5173</v>
      </c>
      <c r="H4467" s="23" t="s">
        <v>58</v>
      </c>
    </row>
    <row r="4468" spans="1:8" ht="54.95" customHeight="1" x14ac:dyDescent="0.2">
      <c r="A4468" s="23" t="s">
        <v>1420</v>
      </c>
      <c r="B4468" s="23" t="s">
        <v>7</v>
      </c>
      <c r="C4468" s="23" t="s">
        <v>46</v>
      </c>
      <c r="D4468" s="23" t="s">
        <v>46</v>
      </c>
      <c r="E4468" s="23" t="s">
        <v>46</v>
      </c>
      <c r="F4468" s="15" t="s">
        <v>198</v>
      </c>
      <c r="G4468" s="15" t="s">
        <v>5173</v>
      </c>
      <c r="H4468" s="23" t="s">
        <v>58</v>
      </c>
    </row>
    <row r="4469" spans="1:8" ht="54.95" customHeight="1" x14ac:dyDescent="0.2">
      <c r="A4469" s="23" t="s">
        <v>1420</v>
      </c>
      <c r="B4469" s="23" t="s">
        <v>8</v>
      </c>
      <c r="C4469" s="23" t="s">
        <v>46</v>
      </c>
      <c r="D4469" s="23" t="s">
        <v>46</v>
      </c>
      <c r="E4469" s="23" t="s">
        <v>46</v>
      </c>
      <c r="F4469" s="15" t="s">
        <v>198</v>
      </c>
      <c r="G4469" s="15" t="s">
        <v>5173</v>
      </c>
      <c r="H4469" s="23" t="s">
        <v>58</v>
      </c>
    </row>
    <row r="4470" spans="1:8" ht="54.95" customHeight="1" x14ac:dyDescent="0.2">
      <c r="A4470" s="23" t="s">
        <v>1420</v>
      </c>
      <c r="B4470" s="23" t="s">
        <v>9</v>
      </c>
      <c r="C4470" s="23" t="s">
        <v>46</v>
      </c>
      <c r="D4470" s="23" t="s">
        <v>46</v>
      </c>
      <c r="E4470" s="23" t="s">
        <v>46</v>
      </c>
      <c r="F4470" s="15" t="s">
        <v>198</v>
      </c>
      <c r="G4470" s="15" t="s">
        <v>5173</v>
      </c>
      <c r="H4470" s="23" t="s">
        <v>58</v>
      </c>
    </row>
    <row r="4471" spans="1:8" ht="54.95" customHeight="1" x14ac:dyDescent="0.2">
      <c r="A4471" s="23" t="s">
        <v>1420</v>
      </c>
      <c r="B4471" s="23" t="s">
        <v>10</v>
      </c>
      <c r="C4471" s="23" t="s">
        <v>46</v>
      </c>
      <c r="D4471" s="23" t="s">
        <v>46</v>
      </c>
      <c r="E4471" s="23" t="s">
        <v>46</v>
      </c>
      <c r="F4471" s="15" t="s">
        <v>198</v>
      </c>
      <c r="G4471" s="15" t="s">
        <v>5173</v>
      </c>
      <c r="H4471" s="23" t="s">
        <v>58</v>
      </c>
    </row>
    <row r="4472" spans="1:8" ht="54.95" customHeight="1" x14ac:dyDescent="0.2">
      <c r="A4472" s="23" t="s">
        <v>1420</v>
      </c>
      <c r="B4472" s="23" t="s">
        <v>11</v>
      </c>
      <c r="C4472" s="23" t="s">
        <v>46</v>
      </c>
      <c r="D4472" s="23" t="s">
        <v>46</v>
      </c>
      <c r="E4472" s="23" t="s">
        <v>46</v>
      </c>
      <c r="F4472" s="15" t="s">
        <v>198</v>
      </c>
      <c r="G4472" s="15" t="s">
        <v>5173</v>
      </c>
      <c r="H4472" s="23" t="s">
        <v>58</v>
      </c>
    </row>
    <row r="4473" spans="1:8" ht="54.95" customHeight="1" x14ac:dyDescent="0.2">
      <c r="A4473" s="23" t="s">
        <v>1420</v>
      </c>
      <c r="B4473" s="23" t="s">
        <v>13</v>
      </c>
      <c r="C4473" s="23" t="s">
        <v>46</v>
      </c>
      <c r="D4473" s="23" t="s">
        <v>46</v>
      </c>
      <c r="E4473" s="23" t="s">
        <v>46</v>
      </c>
      <c r="F4473" s="15" t="s">
        <v>198</v>
      </c>
      <c r="G4473" s="15" t="s">
        <v>5173</v>
      </c>
      <c r="H4473" s="23" t="s">
        <v>58</v>
      </c>
    </row>
    <row r="4474" spans="1:8" ht="54.95" customHeight="1" x14ac:dyDescent="0.2">
      <c r="A4474" s="23" t="s">
        <v>1420</v>
      </c>
      <c r="B4474" s="23" t="s">
        <v>14</v>
      </c>
      <c r="C4474" s="23" t="s">
        <v>46</v>
      </c>
      <c r="D4474" s="23" t="s">
        <v>46</v>
      </c>
      <c r="E4474" s="23" t="s">
        <v>46</v>
      </c>
      <c r="F4474" s="15" t="s">
        <v>198</v>
      </c>
      <c r="G4474" s="15" t="s">
        <v>5173</v>
      </c>
      <c r="H4474" s="23" t="s">
        <v>58</v>
      </c>
    </row>
    <row r="4475" spans="1:8" ht="54.95" customHeight="1" x14ac:dyDescent="0.2">
      <c r="A4475" s="23" t="s">
        <v>1420</v>
      </c>
      <c r="B4475" s="23" t="s">
        <v>19</v>
      </c>
      <c r="C4475" s="23" t="s">
        <v>46</v>
      </c>
      <c r="D4475" s="23" t="s">
        <v>46</v>
      </c>
      <c r="E4475" s="23" t="s">
        <v>46</v>
      </c>
      <c r="F4475" s="15" t="s">
        <v>103</v>
      </c>
      <c r="G4475" s="15" t="s">
        <v>5173</v>
      </c>
      <c r="H4475" s="23" t="s">
        <v>58</v>
      </c>
    </row>
    <row r="4476" spans="1:8" ht="54.95" customHeight="1" x14ac:dyDescent="0.2">
      <c r="A4476" s="23" t="s">
        <v>1420</v>
      </c>
      <c r="B4476" s="23" t="s">
        <v>21</v>
      </c>
      <c r="C4476" s="23" t="s">
        <v>46</v>
      </c>
      <c r="D4476" s="23" t="s">
        <v>46</v>
      </c>
      <c r="E4476" s="23" t="s">
        <v>101</v>
      </c>
      <c r="F4476" s="15" t="s">
        <v>104</v>
      </c>
      <c r="G4476" s="15" t="s">
        <v>5173</v>
      </c>
      <c r="H4476" s="23" t="s">
        <v>58</v>
      </c>
    </row>
    <row r="4477" spans="1:8" ht="54.95" customHeight="1" x14ac:dyDescent="0.2">
      <c r="A4477" s="23" t="s">
        <v>1420</v>
      </c>
      <c r="B4477" s="23" t="s">
        <v>22</v>
      </c>
      <c r="C4477" s="23" t="s">
        <v>46</v>
      </c>
      <c r="D4477" s="23" t="s">
        <v>46</v>
      </c>
      <c r="E4477" s="23" t="s">
        <v>101</v>
      </c>
      <c r="F4477" s="15" t="s">
        <v>104</v>
      </c>
      <c r="G4477" s="15" t="s">
        <v>5173</v>
      </c>
      <c r="H4477" s="23" t="s">
        <v>58</v>
      </c>
    </row>
    <row r="4478" spans="1:8" ht="54.95" customHeight="1" x14ac:dyDescent="0.2">
      <c r="A4478" s="23" t="s">
        <v>1420</v>
      </c>
      <c r="B4478" s="23" t="s">
        <v>23</v>
      </c>
      <c r="C4478" s="23" t="s">
        <v>46</v>
      </c>
      <c r="D4478" s="23" t="s">
        <v>46</v>
      </c>
      <c r="E4478" s="23" t="s">
        <v>101</v>
      </c>
      <c r="F4478" s="15" t="s">
        <v>104</v>
      </c>
      <c r="G4478" s="15" t="s">
        <v>5173</v>
      </c>
      <c r="H4478" s="23" t="s">
        <v>58</v>
      </c>
    </row>
    <row r="4479" spans="1:8" ht="54.95" customHeight="1" x14ac:dyDescent="0.2">
      <c r="A4479" s="23" t="s">
        <v>1420</v>
      </c>
      <c r="B4479" s="23" t="s">
        <v>24</v>
      </c>
      <c r="C4479" s="23" t="s">
        <v>46</v>
      </c>
      <c r="D4479" s="23" t="s">
        <v>46</v>
      </c>
      <c r="E4479" s="23" t="s">
        <v>101</v>
      </c>
      <c r="F4479" s="15" t="s">
        <v>104</v>
      </c>
      <c r="G4479" s="15" t="s">
        <v>5173</v>
      </c>
      <c r="H4479" s="23" t="s">
        <v>58</v>
      </c>
    </row>
    <row r="4480" spans="1:8" ht="54.95" customHeight="1" x14ac:dyDescent="0.2">
      <c r="A4480" s="23" t="s">
        <v>1420</v>
      </c>
      <c r="B4480" s="23" t="s">
        <v>25</v>
      </c>
      <c r="C4480" s="23" t="s">
        <v>46</v>
      </c>
      <c r="D4480" s="23" t="s">
        <v>46</v>
      </c>
      <c r="E4480" s="23" t="s">
        <v>101</v>
      </c>
      <c r="F4480" s="15" t="s">
        <v>104</v>
      </c>
      <c r="G4480" s="15" t="s">
        <v>5173</v>
      </c>
      <c r="H4480" s="23" t="s">
        <v>58</v>
      </c>
    </row>
    <row r="4481" spans="1:8" ht="54.95" customHeight="1" x14ac:dyDescent="0.2">
      <c r="A4481" s="23" t="s">
        <v>1425</v>
      </c>
      <c r="B4481" s="23" t="s">
        <v>23</v>
      </c>
      <c r="C4481" s="23" t="s">
        <v>46</v>
      </c>
      <c r="D4481" s="23" t="s">
        <v>46</v>
      </c>
      <c r="E4481" s="23" t="s">
        <v>101</v>
      </c>
      <c r="F4481" s="15" t="s">
        <v>104</v>
      </c>
      <c r="G4481" s="15" t="s">
        <v>5173</v>
      </c>
      <c r="H4481" s="23" t="s">
        <v>58</v>
      </c>
    </row>
    <row r="4482" spans="1:8" ht="54.95" customHeight="1" x14ac:dyDescent="0.2">
      <c r="A4482" s="23" t="s">
        <v>1425</v>
      </c>
      <c r="B4482" s="23" t="s">
        <v>24</v>
      </c>
      <c r="C4482" s="23" t="s">
        <v>46</v>
      </c>
      <c r="D4482" s="23" t="s">
        <v>46</v>
      </c>
      <c r="E4482" s="23" t="s">
        <v>101</v>
      </c>
      <c r="F4482" s="15" t="s">
        <v>104</v>
      </c>
      <c r="G4482" s="15" t="s">
        <v>5173</v>
      </c>
      <c r="H4482" s="23" t="s">
        <v>58</v>
      </c>
    </row>
    <row r="4483" spans="1:8" ht="54.95" customHeight="1" x14ac:dyDescent="0.2">
      <c r="A4483" s="23" t="s">
        <v>1425</v>
      </c>
      <c r="B4483" s="23" t="s">
        <v>25</v>
      </c>
      <c r="C4483" s="23" t="s">
        <v>46</v>
      </c>
      <c r="D4483" s="23" t="s">
        <v>46</v>
      </c>
      <c r="E4483" s="23" t="s">
        <v>101</v>
      </c>
      <c r="F4483" s="15" t="s">
        <v>104</v>
      </c>
      <c r="G4483" s="15" t="s">
        <v>5173</v>
      </c>
      <c r="H4483" s="23" t="s">
        <v>58</v>
      </c>
    </row>
    <row r="4484" spans="1:8" ht="54.95" customHeight="1" x14ac:dyDescent="0.2">
      <c r="A4484" s="23" t="s">
        <v>1431</v>
      </c>
      <c r="B4484" s="23" t="s">
        <v>19</v>
      </c>
      <c r="C4484" s="23" t="s">
        <v>46</v>
      </c>
      <c r="D4484" s="23" t="s">
        <v>46</v>
      </c>
      <c r="E4484" s="23" t="s">
        <v>46</v>
      </c>
      <c r="F4484" s="15" t="s">
        <v>103</v>
      </c>
      <c r="G4484" s="15" t="s">
        <v>5173</v>
      </c>
      <c r="H4484" s="23" t="s">
        <v>58</v>
      </c>
    </row>
    <row r="4485" spans="1:8" ht="54.95" customHeight="1" x14ac:dyDescent="0.2">
      <c r="A4485" s="23" t="s">
        <v>1431</v>
      </c>
      <c r="B4485" s="23" t="s">
        <v>21</v>
      </c>
      <c r="C4485" s="23" t="s">
        <v>46</v>
      </c>
      <c r="D4485" s="23" t="s">
        <v>46</v>
      </c>
      <c r="E4485" s="23" t="s">
        <v>101</v>
      </c>
      <c r="F4485" s="15" t="s">
        <v>104</v>
      </c>
      <c r="G4485" s="15" t="s">
        <v>5173</v>
      </c>
      <c r="H4485" s="23" t="s">
        <v>58</v>
      </c>
    </row>
    <row r="4486" spans="1:8" ht="54.95" customHeight="1" x14ac:dyDescent="0.2">
      <c r="A4486" s="23" t="s">
        <v>1431</v>
      </c>
      <c r="B4486" s="23" t="s">
        <v>22</v>
      </c>
      <c r="C4486" s="23" t="s">
        <v>46</v>
      </c>
      <c r="D4486" s="23" t="s">
        <v>46</v>
      </c>
      <c r="E4486" s="23" t="s">
        <v>101</v>
      </c>
      <c r="F4486" s="15" t="s">
        <v>104</v>
      </c>
      <c r="G4486" s="15" t="s">
        <v>5173</v>
      </c>
      <c r="H4486" s="23" t="s">
        <v>58</v>
      </c>
    </row>
    <row r="4487" spans="1:8" ht="54.95" customHeight="1" x14ac:dyDescent="0.2">
      <c r="A4487" s="23" t="s">
        <v>1431</v>
      </c>
      <c r="B4487" s="23" t="s">
        <v>23</v>
      </c>
      <c r="C4487" s="23" t="s">
        <v>46</v>
      </c>
      <c r="D4487" s="23" t="s">
        <v>46</v>
      </c>
      <c r="E4487" s="23" t="s">
        <v>101</v>
      </c>
      <c r="F4487" s="15" t="s">
        <v>104</v>
      </c>
      <c r="G4487" s="15" t="s">
        <v>5173</v>
      </c>
      <c r="H4487" s="23" t="s">
        <v>58</v>
      </c>
    </row>
    <row r="4488" spans="1:8" ht="54.95" customHeight="1" x14ac:dyDescent="0.2">
      <c r="A4488" s="23" t="s">
        <v>1431</v>
      </c>
      <c r="B4488" s="23" t="s">
        <v>24</v>
      </c>
      <c r="C4488" s="23" t="s">
        <v>46</v>
      </c>
      <c r="D4488" s="23" t="s">
        <v>46</v>
      </c>
      <c r="E4488" s="23" t="s">
        <v>101</v>
      </c>
      <c r="F4488" s="15" t="s">
        <v>104</v>
      </c>
      <c r="G4488" s="15" t="s">
        <v>5173</v>
      </c>
      <c r="H4488" s="23" t="s">
        <v>58</v>
      </c>
    </row>
    <row r="4489" spans="1:8" ht="54.95" customHeight="1" x14ac:dyDescent="0.2">
      <c r="A4489" s="23" t="s">
        <v>1431</v>
      </c>
      <c r="B4489" s="23" t="s">
        <v>25</v>
      </c>
      <c r="C4489" s="23" t="s">
        <v>46</v>
      </c>
      <c r="D4489" s="23" t="s">
        <v>46</v>
      </c>
      <c r="E4489" s="23" t="s">
        <v>101</v>
      </c>
      <c r="F4489" s="15" t="s">
        <v>104</v>
      </c>
      <c r="G4489" s="15" t="s">
        <v>5173</v>
      </c>
      <c r="H4489" s="23" t="s">
        <v>58</v>
      </c>
    </row>
    <row r="4490" spans="1:8" ht="54.95" customHeight="1" x14ac:dyDescent="0.2">
      <c r="A4490" s="23" t="s">
        <v>1436</v>
      </c>
      <c r="B4490" s="23" t="s">
        <v>11</v>
      </c>
      <c r="C4490" s="23" t="s">
        <v>46</v>
      </c>
      <c r="D4490" s="23" t="s">
        <v>46</v>
      </c>
      <c r="E4490" s="23" t="s">
        <v>46</v>
      </c>
      <c r="F4490" s="15" t="s">
        <v>198</v>
      </c>
      <c r="G4490" s="15" t="s">
        <v>5173</v>
      </c>
      <c r="H4490" s="23" t="s">
        <v>58</v>
      </c>
    </row>
    <row r="4491" spans="1:8" ht="54.95" customHeight="1" x14ac:dyDescent="0.2">
      <c r="A4491" s="23" t="s">
        <v>1436</v>
      </c>
      <c r="B4491" s="23" t="s">
        <v>13</v>
      </c>
      <c r="C4491" s="23" t="s">
        <v>46</v>
      </c>
      <c r="D4491" s="23" t="s">
        <v>46</v>
      </c>
      <c r="E4491" s="23" t="s">
        <v>46</v>
      </c>
      <c r="F4491" s="15" t="s">
        <v>198</v>
      </c>
      <c r="G4491" s="15" t="s">
        <v>5173</v>
      </c>
      <c r="H4491" s="23" t="s">
        <v>58</v>
      </c>
    </row>
    <row r="4492" spans="1:8" ht="54.95" customHeight="1" x14ac:dyDescent="0.2">
      <c r="A4492" s="23" t="s">
        <v>1436</v>
      </c>
      <c r="B4492" s="23" t="s">
        <v>14</v>
      </c>
      <c r="C4492" s="23" t="s">
        <v>46</v>
      </c>
      <c r="D4492" s="23" t="s">
        <v>46</v>
      </c>
      <c r="E4492" s="23" t="s">
        <v>46</v>
      </c>
      <c r="F4492" s="15" t="s">
        <v>198</v>
      </c>
      <c r="G4492" s="15" t="s">
        <v>5173</v>
      </c>
      <c r="H4492" s="23" t="s">
        <v>58</v>
      </c>
    </row>
    <row r="4493" spans="1:8" ht="54.95" customHeight="1" x14ac:dyDescent="0.2">
      <c r="A4493" s="23" t="s">
        <v>1436</v>
      </c>
      <c r="B4493" s="23" t="s">
        <v>19</v>
      </c>
      <c r="C4493" s="23" t="s">
        <v>46</v>
      </c>
      <c r="D4493" s="23" t="s">
        <v>46</v>
      </c>
      <c r="E4493" s="23" t="s">
        <v>46</v>
      </c>
      <c r="F4493" s="15" t="s">
        <v>103</v>
      </c>
      <c r="G4493" s="15" t="s">
        <v>5173</v>
      </c>
      <c r="H4493" s="23" t="s">
        <v>58</v>
      </c>
    </row>
    <row r="4494" spans="1:8" ht="54.95" customHeight="1" x14ac:dyDescent="0.2">
      <c r="A4494" s="23" t="s">
        <v>1436</v>
      </c>
      <c r="B4494" s="23" t="s">
        <v>21</v>
      </c>
      <c r="C4494" s="23" t="s">
        <v>46</v>
      </c>
      <c r="D4494" s="23" t="s">
        <v>46</v>
      </c>
      <c r="E4494" s="23" t="s">
        <v>101</v>
      </c>
      <c r="F4494" s="15" t="s">
        <v>104</v>
      </c>
      <c r="G4494" s="15" t="s">
        <v>5173</v>
      </c>
      <c r="H4494" s="23" t="s">
        <v>58</v>
      </c>
    </row>
    <row r="4495" spans="1:8" ht="54.95" customHeight="1" x14ac:dyDescent="0.2">
      <c r="A4495" s="23" t="s">
        <v>1436</v>
      </c>
      <c r="B4495" s="23" t="s">
        <v>22</v>
      </c>
      <c r="C4495" s="23" t="s">
        <v>46</v>
      </c>
      <c r="D4495" s="23" t="s">
        <v>46</v>
      </c>
      <c r="E4495" s="23" t="s">
        <v>101</v>
      </c>
      <c r="F4495" s="15" t="s">
        <v>104</v>
      </c>
      <c r="G4495" s="15" t="s">
        <v>5173</v>
      </c>
      <c r="H4495" s="23" t="s">
        <v>58</v>
      </c>
    </row>
    <row r="4496" spans="1:8" ht="54.95" customHeight="1" x14ac:dyDescent="0.2">
      <c r="A4496" s="23" t="s">
        <v>1436</v>
      </c>
      <c r="B4496" s="23" t="s">
        <v>23</v>
      </c>
      <c r="C4496" s="23" t="s">
        <v>46</v>
      </c>
      <c r="D4496" s="23" t="s">
        <v>46</v>
      </c>
      <c r="E4496" s="23" t="s">
        <v>101</v>
      </c>
      <c r="F4496" s="15" t="s">
        <v>104</v>
      </c>
      <c r="G4496" s="15" t="s">
        <v>5173</v>
      </c>
      <c r="H4496" s="23" t="s">
        <v>58</v>
      </c>
    </row>
    <row r="4497" spans="1:8" ht="54.95" customHeight="1" x14ac:dyDescent="0.2">
      <c r="A4497" s="23" t="s">
        <v>1436</v>
      </c>
      <c r="B4497" s="23" t="s">
        <v>24</v>
      </c>
      <c r="C4497" s="23" t="s">
        <v>46</v>
      </c>
      <c r="D4497" s="23" t="s">
        <v>46</v>
      </c>
      <c r="E4497" s="23" t="s">
        <v>101</v>
      </c>
      <c r="F4497" s="15" t="s">
        <v>104</v>
      </c>
      <c r="G4497" s="15" t="s">
        <v>5173</v>
      </c>
      <c r="H4497" s="23" t="s">
        <v>58</v>
      </c>
    </row>
    <row r="4498" spans="1:8" ht="54.95" customHeight="1" x14ac:dyDescent="0.2">
      <c r="A4498" s="23" t="s">
        <v>1436</v>
      </c>
      <c r="B4498" s="23" t="s">
        <v>25</v>
      </c>
      <c r="C4498" s="23" t="s">
        <v>46</v>
      </c>
      <c r="D4498" s="23" t="s">
        <v>46</v>
      </c>
      <c r="E4498" s="23" t="s">
        <v>101</v>
      </c>
      <c r="F4498" s="15" t="s">
        <v>104</v>
      </c>
      <c r="G4498" s="15" t="s">
        <v>5173</v>
      </c>
      <c r="H4498" s="23" t="s">
        <v>58</v>
      </c>
    </row>
    <row r="4499" spans="1:8" ht="54.95" customHeight="1" x14ac:dyDescent="0.2">
      <c r="A4499" s="23" t="s">
        <v>1441</v>
      </c>
      <c r="B4499" s="23" t="s">
        <v>3</v>
      </c>
      <c r="C4499" s="23" t="s">
        <v>46</v>
      </c>
      <c r="D4499" s="23" t="s">
        <v>46</v>
      </c>
      <c r="E4499" s="23" t="s">
        <v>46</v>
      </c>
      <c r="F4499" s="15" t="s">
        <v>198</v>
      </c>
      <c r="G4499" s="15" t="s">
        <v>5173</v>
      </c>
      <c r="H4499" s="23" t="s">
        <v>58</v>
      </c>
    </row>
    <row r="4500" spans="1:8" ht="54.95" customHeight="1" x14ac:dyDescent="0.2">
      <c r="A4500" s="23" t="s">
        <v>1441</v>
      </c>
      <c r="B4500" s="23" t="s">
        <v>6</v>
      </c>
      <c r="C4500" s="23" t="s">
        <v>46</v>
      </c>
      <c r="D4500" s="23" t="s">
        <v>46</v>
      </c>
      <c r="E4500" s="23" t="s">
        <v>46</v>
      </c>
      <c r="F4500" s="15" t="s">
        <v>198</v>
      </c>
      <c r="G4500" s="15" t="s">
        <v>5173</v>
      </c>
      <c r="H4500" s="23" t="s">
        <v>58</v>
      </c>
    </row>
    <row r="4501" spans="1:8" ht="54.95" customHeight="1" x14ac:dyDescent="0.2">
      <c r="A4501" s="23" t="s">
        <v>1441</v>
      </c>
      <c r="B4501" s="23" t="s">
        <v>7</v>
      </c>
      <c r="C4501" s="23" t="s">
        <v>46</v>
      </c>
      <c r="D4501" s="23" t="s">
        <v>46</v>
      </c>
      <c r="E4501" s="23" t="s">
        <v>46</v>
      </c>
      <c r="F4501" s="15" t="s">
        <v>198</v>
      </c>
      <c r="G4501" s="15" t="s">
        <v>5173</v>
      </c>
      <c r="H4501" s="23" t="s">
        <v>58</v>
      </c>
    </row>
    <row r="4502" spans="1:8" ht="54.95" customHeight="1" x14ac:dyDescent="0.2">
      <c r="A4502" s="23" t="s">
        <v>1441</v>
      </c>
      <c r="B4502" s="23" t="s">
        <v>8</v>
      </c>
      <c r="C4502" s="23" t="s">
        <v>46</v>
      </c>
      <c r="D4502" s="23" t="s">
        <v>46</v>
      </c>
      <c r="E4502" s="23" t="s">
        <v>46</v>
      </c>
      <c r="F4502" s="15" t="s">
        <v>198</v>
      </c>
      <c r="G4502" s="15" t="s">
        <v>5173</v>
      </c>
      <c r="H4502" s="23" t="s">
        <v>58</v>
      </c>
    </row>
    <row r="4503" spans="1:8" ht="54.95" customHeight="1" x14ac:dyDescent="0.2">
      <c r="A4503" s="23" t="s">
        <v>1441</v>
      </c>
      <c r="B4503" s="23" t="s">
        <v>9</v>
      </c>
      <c r="C4503" s="23" t="s">
        <v>46</v>
      </c>
      <c r="D4503" s="23" t="s">
        <v>46</v>
      </c>
      <c r="E4503" s="23" t="s">
        <v>46</v>
      </c>
      <c r="F4503" s="15" t="s">
        <v>198</v>
      </c>
      <c r="G4503" s="15" t="s">
        <v>5173</v>
      </c>
      <c r="H4503" s="23" t="s">
        <v>58</v>
      </c>
    </row>
    <row r="4504" spans="1:8" ht="54.95" customHeight="1" x14ac:dyDescent="0.2">
      <c r="A4504" s="23" t="s">
        <v>1441</v>
      </c>
      <c r="B4504" s="23" t="s">
        <v>10</v>
      </c>
      <c r="C4504" s="23" t="s">
        <v>46</v>
      </c>
      <c r="D4504" s="23" t="s">
        <v>46</v>
      </c>
      <c r="E4504" s="23" t="s">
        <v>46</v>
      </c>
      <c r="F4504" s="15" t="s">
        <v>198</v>
      </c>
      <c r="G4504" s="15" t="s">
        <v>5173</v>
      </c>
      <c r="H4504" s="23" t="s">
        <v>58</v>
      </c>
    </row>
    <row r="4505" spans="1:8" ht="54.95" customHeight="1" x14ac:dyDescent="0.2">
      <c r="A4505" s="23" t="s">
        <v>1441</v>
      </c>
      <c r="B4505" s="23" t="s">
        <v>11</v>
      </c>
      <c r="C4505" s="23" t="s">
        <v>46</v>
      </c>
      <c r="D4505" s="23" t="s">
        <v>46</v>
      </c>
      <c r="E4505" s="23" t="s">
        <v>46</v>
      </c>
      <c r="F4505" s="15" t="s">
        <v>198</v>
      </c>
      <c r="G4505" s="15" t="s">
        <v>5173</v>
      </c>
      <c r="H4505" s="23" t="s">
        <v>58</v>
      </c>
    </row>
    <row r="4506" spans="1:8" ht="54.95" customHeight="1" x14ac:dyDescent="0.2">
      <c r="A4506" s="23" t="s">
        <v>1441</v>
      </c>
      <c r="B4506" s="23" t="s">
        <v>13</v>
      </c>
      <c r="C4506" s="23" t="s">
        <v>46</v>
      </c>
      <c r="D4506" s="23" t="s">
        <v>46</v>
      </c>
      <c r="E4506" s="23" t="s">
        <v>46</v>
      </c>
      <c r="F4506" s="15" t="s">
        <v>198</v>
      </c>
      <c r="G4506" s="15" t="s">
        <v>5173</v>
      </c>
      <c r="H4506" s="23" t="s">
        <v>58</v>
      </c>
    </row>
    <row r="4507" spans="1:8" ht="54.95" customHeight="1" x14ac:dyDescent="0.2">
      <c r="A4507" s="23" t="s">
        <v>1441</v>
      </c>
      <c r="B4507" s="23" t="s">
        <v>14</v>
      </c>
      <c r="C4507" s="23" t="s">
        <v>46</v>
      </c>
      <c r="D4507" s="23" t="s">
        <v>46</v>
      </c>
      <c r="E4507" s="23" t="s">
        <v>46</v>
      </c>
      <c r="F4507" s="15" t="s">
        <v>198</v>
      </c>
      <c r="G4507" s="15" t="s">
        <v>5173</v>
      </c>
      <c r="H4507" s="23" t="s">
        <v>58</v>
      </c>
    </row>
    <row r="4508" spans="1:8" ht="54.95" customHeight="1" x14ac:dyDescent="0.2">
      <c r="A4508" s="23" t="s">
        <v>1441</v>
      </c>
      <c r="B4508" s="23" t="s">
        <v>15</v>
      </c>
      <c r="C4508" s="23" t="s">
        <v>46</v>
      </c>
      <c r="D4508" s="23" t="s">
        <v>46</v>
      </c>
      <c r="E4508" s="23" t="s">
        <v>46</v>
      </c>
      <c r="F4508" s="15" t="s">
        <v>103</v>
      </c>
      <c r="G4508" s="15" t="s">
        <v>5173</v>
      </c>
      <c r="H4508" s="23" t="s">
        <v>58</v>
      </c>
    </row>
    <row r="4509" spans="1:8" ht="54.95" customHeight="1" x14ac:dyDescent="0.2">
      <c r="A4509" s="23" t="s">
        <v>1441</v>
      </c>
      <c r="B4509" s="23" t="s">
        <v>17</v>
      </c>
      <c r="C4509" s="23" t="s">
        <v>46</v>
      </c>
      <c r="D4509" s="23" t="s">
        <v>46</v>
      </c>
      <c r="E4509" s="23" t="s">
        <v>46</v>
      </c>
      <c r="F4509" s="15" t="s">
        <v>103</v>
      </c>
      <c r="G4509" s="15" t="s">
        <v>5173</v>
      </c>
      <c r="H4509" s="23" t="s">
        <v>58</v>
      </c>
    </row>
    <row r="4510" spans="1:8" ht="54.95" customHeight="1" x14ac:dyDescent="0.2">
      <c r="A4510" s="23" t="s">
        <v>1441</v>
      </c>
      <c r="B4510" s="23" t="s">
        <v>19</v>
      </c>
      <c r="C4510" s="23" t="s">
        <v>46</v>
      </c>
      <c r="D4510" s="23" t="s">
        <v>46</v>
      </c>
      <c r="E4510" s="23" t="s">
        <v>46</v>
      </c>
      <c r="F4510" s="15" t="s">
        <v>103</v>
      </c>
      <c r="G4510" s="15" t="s">
        <v>5173</v>
      </c>
      <c r="H4510" s="23" t="s">
        <v>58</v>
      </c>
    </row>
    <row r="4511" spans="1:8" ht="54.95" customHeight="1" x14ac:dyDescent="0.2">
      <c r="A4511" s="23" t="s">
        <v>1441</v>
      </c>
      <c r="B4511" s="23" t="s">
        <v>21</v>
      </c>
      <c r="C4511" s="23" t="s">
        <v>46</v>
      </c>
      <c r="D4511" s="23" t="s">
        <v>46</v>
      </c>
      <c r="E4511" s="23" t="s">
        <v>101</v>
      </c>
      <c r="F4511" s="15" t="s">
        <v>104</v>
      </c>
      <c r="G4511" s="15" t="s">
        <v>5173</v>
      </c>
      <c r="H4511" s="23" t="s">
        <v>58</v>
      </c>
    </row>
    <row r="4512" spans="1:8" ht="54.95" customHeight="1" x14ac:dyDescent="0.2">
      <c r="A4512" s="23" t="s">
        <v>1441</v>
      </c>
      <c r="B4512" s="23" t="s">
        <v>22</v>
      </c>
      <c r="C4512" s="23" t="s">
        <v>46</v>
      </c>
      <c r="D4512" s="23" t="s">
        <v>46</v>
      </c>
      <c r="E4512" s="23" t="s">
        <v>101</v>
      </c>
      <c r="F4512" s="15" t="s">
        <v>104</v>
      </c>
      <c r="G4512" s="15" t="s">
        <v>5173</v>
      </c>
      <c r="H4512" s="23" t="s">
        <v>58</v>
      </c>
    </row>
    <row r="4513" spans="1:8" ht="54.95" customHeight="1" x14ac:dyDescent="0.2">
      <c r="A4513" s="23" t="s">
        <v>1441</v>
      </c>
      <c r="B4513" s="23" t="s">
        <v>23</v>
      </c>
      <c r="C4513" s="23" t="s">
        <v>46</v>
      </c>
      <c r="D4513" s="23" t="s">
        <v>46</v>
      </c>
      <c r="E4513" s="23" t="s">
        <v>101</v>
      </c>
      <c r="F4513" s="15" t="s">
        <v>104</v>
      </c>
      <c r="G4513" s="15" t="s">
        <v>5173</v>
      </c>
      <c r="H4513" s="23" t="s">
        <v>58</v>
      </c>
    </row>
    <row r="4514" spans="1:8" ht="54.95" customHeight="1" x14ac:dyDescent="0.2">
      <c r="A4514" s="23" t="s">
        <v>1441</v>
      </c>
      <c r="B4514" s="23" t="s">
        <v>24</v>
      </c>
      <c r="C4514" s="23" t="s">
        <v>46</v>
      </c>
      <c r="D4514" s="23" t="s">
        <v>46</v>
      </c>
      <c r="E4514" s="23" t="s">
        <v>101</v>
      </c>
      <c r="F4514" s="15" t="s">
        <v>104</v>
      </c>
      <c r="G4514" s="15" t="s">
        <v>5173</v>
      </c>
      <c r="H4514" s="23" t="s">
        <v>58</v>
      </c>
    </row>
    <row r="4515" spans="1:8" ht="54.95" customHeight="1" x14ac:dyDescent="0.2">
      <c r="A4515" s="23" t="s">
        <v>1441</v>
      </c>
      <c r="B4515" s="23" t="s">
        <v>25</v>
      </c>
      <c r="C4515" s="23" t="s">
        <v>46</v>
      </c>
      <c r="D4515" s="23" t="s">
        <v>46</v>
      </c>
      <c r="E4515" s="23" t="s">
        <v>101</v>
      </c>
      <c r="F4515" s="15" t="s">
        <v>104</v>
      </c>
      <c r="G4515" s="15" t="s">
        <v>5173</v>
      </c>
      <c r="H4515" s="23" t="s">
        <v>58</v>
      </c>
    </row>
    <row r="4516" spans="1:8" ht="54.95" customHeight="1" x14ac:dyDescent="0.2">
      <c r="A4516" s="23" t="s">
        <v>1445</v>
      </c>
      <c r="B4516" s="23" t="s">
        <v>15</v>
      </c>
      <c r="C4516" s="23" t="s">
        <v>46</v>
      </c>
      <c r="D4516" s="23" t="s">
        <v>46</v>
      </c>
      <c r="E4516" s="23" t="s">
        <v>46</v>
      </c>
      <c r="F4516" s="15" t="s">
        <v>103</v>
      </c>
      <c r="G4516" s="15" t="s">
        <v>5173</v>
      </c>
      <c r="H4516" s="23" t="s">
        <v>58</v>
      </c>
    </row>
    <row r="4517" spans="1:8" ht="54.95" customHeight="1" x14ac:dyDescent="0.2">
      <c r="A4517" s="23" t="s">
        <v>1445</v>
      </c>
      <c r="B4517" s="23" t="s">
        <v>17</v>
      </c>
      <c r="C4517" s="23" t="s">
        <v>46</v>
      </c>
      <c r="D4517" s="23" t="s">
        <v>46</v>
      </c>
      <c r="E4517" s="23" t="s">
        <v>46</v>
      </c>
      <c r="F4517" s="15" t="s">
        <v>103</v>
      </c>
      <c r="G4517" s="15" t="s">
        <v>5173</v>
      </c>
      <c r="H4517" s="23" t="s">
        <v>58</v>
      </c>
    </row>
    <row r="4518" spans="1:8" ht="54.95" customHeight="1" x14ac:dyDescent="0.2">
      <c r="A4518" s="23" t="s">
        <v>1445</v>
      </c>
      <c r="B4518" s="23" t="s">
        <v>19</v>
      </c>
      <c r="C4518" s="23" t="s">
        <v>46</v>
      </c>
      <c r="D4518" s="23" t="s">
        <v>46</v>
      </c>
      <c r="E4518" s="23" t="s">
        <v>46</v>
      </c>
      <c r="F4518" s="15" t="s">
        <v>103</v>
      </c>
      <c r="G4518" s="15" t="s">
        <v>5173</v>
      </c>
      <c r="H4518" s="23" t="s">
        <v>58</v>
      </c>
    </row>
    <row r="4519" spans="1:8" ht="54.95" customHeight="1" x14ac:dyDescent="0.2">
      <c r="A4519" s="23" t="s">
        <v>1445</v>
      </c>
      <c r="B4519" s="23" t="s">
        <v>21</v>
      </c>
      <c r="C4519" s="23" t="s">
        <v>46</v>
      </c>
      <c r="D4519" s="23" t="s">
        <v>46</v>
      </c>
      <c r="E4519" s="23" t="s">
        <v>101</v>
      </c>
      <c r="F4519" s="15" t="s">
        <v>104</v>
      </c>
      <c r="G4519" s="15" t="s">
        <v>5173</v>
      </c>
      <c r="H4519" s="23" t="s">
        <v>58</v>
      </c>
    </row>
    <row r="4520" spans="1:8" ht="54.95" customHeight="1" x14ac:dyDescent="0.2">
      <c r="A4520" s="23" t="s">
        <v>1445</v>
      </c>
      <c r="B4520" s="23" t="s">
        <v>22</v>
      </c>
      <c r="C4520" s="23" t="s">
        <v>46</v>
      </c>
      <c r="D4520" s="23" t="s">
        <v>46</v>
      </c>
      <c r="E4520" s="23" t="s">
        <v>101</v>
      </c>
      <c r="F4520" s="15" t="s">
        <v>104</v>
      </c>
      <c r="G4520" s="15" t="s">
        <v>5173</v>
      </c>
      <c r="H4520" s="23" t="s">
        <v>58</v>
      </c>
    </row>
    <row r="4521" spans="1:8" ht="54.95" customHeight="1" x14ac:dyDescent="0.2">
      <c r="A4521" s="23" t="s">
        <v>1445</v>
      </c>
      <c r="B4521" s="23" t="s">
        <v>23</v>
      </c>
      <c r="C4521" s="23" t="s">
        <v>46</v>
      </c>
      <c r="D4521" s="23" t="s">
        <v>46</v>
      </c>
      <c r="E4521" s="23" t="s">
        <v>101</v>
      </c>
      <c r="F4521" s="15" t="s">
        <v>104</v>
      </c>
      <c r="G4521" s="15" t="s">
        <v>5173</v>
      </c>
      <c r="H4521" s="23" t="s">
        <v>58</v>
      </c>
    </row>
    <row r="4522" spans="1:8" ht="54.95" customHeight="1" x14ac:dyDescent="0.2">
      <c r="A4522" s="23" t="s">
        <v>1445</v>
      </c>
      <c r="B4522" s="23" t="s">
        <v>24</v>
      </c>
      <c r="C4522" s="23" t="s">
        <v>46</v>
      </c>
      <c r="D4522" s="23" t="s">
        <v>46</v>
      </c>
      <c r="E4522" s="23" t="s">
        <v>101</v>
      </c>
      <c r="F4522" s="15" t="s">
        <v>104</v>
      </c>
      <c r="G4522" s="15" t="s">
        <v>5173</v>
      </c>
      <c r="H4522" s="23" t="s">
        <v>58</v>
      </c>
    </row>
    <row r="4523" spans="1:8" ht="54.95" customHeight="1" x14ac:dyDescent="0.2">
      <c r="A4523" s="23" t="s">
        <v>1445</v>
      </c>
      <c r="B4523" s="23" t="s">
        <v>25</v>
      </c>
      <c r="C4523" s="23" t="s">
        <v>46</v>
      </c>
      <c r="D4523" s="23" t="s">
        <v>46</v>
      </c>
      <c r="E4523" s="23" t="s">
        <v>101</v>
      </c>
      <c r="F4523" s="15" t="s">
        <v>104</v>
      </c>
      <c r="G4523" s="15" t="s">
        <v>5173</v>
      </c>
      <c r="H4523" s="23" t="s">
        <v>58</v>
      </c>
    </row>
    <row r="4524" spans="1:8" ht="54.95" customHeight="1" x14ac:dyDescent="0.2">
      <c r="A4524" s="23" t="s">
        <v>1449</v>
      </c>
      <c r="B4524" s="23" t="s">
        <v>21</v>
      </c>
      <c r="C4524" s="23" t="s">
        <v>46</v>
      </c>
      <c r="D4524" s="23" t="s">
        <v>46</v>
      </c>
      <c r="E4524" s="23" t="s">
        <v>101</v>
      </c>
      <c r="F4524" s="15" t="s">
        <v>104</v>
      </c>
      <c r="G4524" s="15" t="s">
        <v>5173</v>
      </c>
      <c r="H4524" s="23" t="s">
        <v>58</v>
      </c>
    </row>
    <row r="4525" spans="1:8" ht="54.95" customHeight="1" x14ac:dyDescent="0.2">
      <c r="A4525" s="23" t="s">
        <v>1449</v>
      </c>
      <c r="B4525" s="23" t="s">
        <v>22</v>
      </c>
      <c r="C4525" s="23" t="s">
        <v>46</v>
      </c>
      <c r="D4525" s="23" t="s">
        <v>46</v>
      </c>
      <c r="E4525" s="23" t="s">
        <v>101</v>
      </c>
      <c r="F4525" s="15" t="s">
        <v>104</v>
      </c>
      <c r="G4525" s="15" t="s">
        <v>5173</v>
      </c>
      <c r="H4525" s="23" t="s">
        <v>58</v>
      </c>
    </row>
    <row r="4526" spans="1:8" ht="54.95" customHeight="1" x14ac:dyDescent="0.2">
      <c r="A4526" s="23" t="s">
        <v>1449</v>
      </c>
      <c r="B4526" s="23" t="s">
        <v>23</v>
      </c>
      <c r="C4526" s="23" t="s">
        <v>46</v>
      </c>
      <c r="D4526" s="23" t="s">
        <v>46</v>
      </c>
      <c r="E4526" s="23" t="s">
        <v>101</v>
      </c>
      <c r="F4526" s="15" t="s">
        <v>104</v>
      </c>
      <c r="G4526" s="15" t="s">
        <v>5173</v>
      </c>
      <c r="H4526" s="23" t="s">
        <v>58</v>
      </c>
    </row>
    <row r="4527" spans="1:8" ht="54.95" customHeight="1" x14ac:dyDescent="0.2">
      <c r="A4527" s="23" t="s">
        <v>1449</v>
      </c>
      <c r="B4527" s="23" t="s">
        <v>24</v>
      </c>
      <c r="C4527" s="23" t="s">
        <v>46</v>
      </c>
      <c r="D4527" s="23" t="s">
        <v>46</v>
      </c>
      <c r="E4527" s="23" t="s">
        <v>101</v>
      </c>
      <c r="F4527" s="15" t="s">
        <v>104</v>
      </c>
      <c r="G4527" s="15" t="s">
        <v>5173</v>
      </c>
      <c r="H4527" s="23" t="s">
        <v>58</v>
      </c>
    </row>
    <row r="4528" spans="1:8" ht="54.95" customHeight="1" x14ac:dyDescent="0.2">
      <c r="A4528" s="23" t="s">
        <v>1449</v>
      </c>
      <c r="B4528" s="23" t="s">
        <v>25</v>
      </c>
      <c r="C4528" s="23" t="s">
        <v>46</v>
      </c>
      <c r="D4528" s="23" t="s">
        <v>46</v>
      </c>
      <c r="E4528" s="23" t="s">
        <v>101</v>
      </c>
      <c r="F4528" s="15" t="s">
        <v>104</v>
      </c>
      <c r="G4528" s="15" t="s">
        <v>5173</v>
      </c>
      <c r="H4528" s="23" t="s">
        <v>58</v>
      </c>
    </row>
    <row r="4529" spans="1:8" ht="54.95" customHeight="1" x14ac:dyDescent="0.2">
      <c r="A4529" s="23" t="s">
        <v>1454</v>
      </c>
      <c r="B4529" s="23" t="s">
        <v>15</v>
      </c>
      <c r="C4529" s="23" t="s">
        <v>46</v>
      </c>
      <c r="D4529" s="23" t="s">
        <v>46</v>
      </c>
      <c r="E4529" s="23" t="s">
        <v>46</v>
      </c>
      <c r="F4529" s="15" t="s">
        <v>103</v>
      </c>
      <c r="G4529" s="15" t="s">
        <v>5173</v>
      </c>
      <c r="H4529" s="23" t="s">
        <v>58</v>
      </c>
    </row>
    <row r="4530" spans="1:8" ht="54.95" customHeight="1" x14ac:dyDescent="0.2">
      <c r="A4530" s="23" t="s">
        <v>1454</v>
      </c>
      <c r="B4530" s="23" t="s">
        <v>17</v>
      </c>
      <c r="C4530" s="23" t="s">
        <v>46</v>
      </c>
      <c r="D4530" s="23" t="s">
        <v>46</v>
      </c>
      <c r="E4530" s="23" t="s">
        <v>46</v>
      </c>
      <c r="F4530" s="15" t="s">
        <v>103</v>
      </c>
      <c r="G4530" s="15" t="s">
        <v>5173</v>
      </c>
      <c r="H4530" s="23" t="s">
        <v>58</v>
      </c>
    </row>
    <row r="4531" spans="1:8" ht="54.95" customHeight="1" x14ac:dyDescent="0.2">
      <c r="A4531" s="23" t="s">
        <v>1454</v>
      </c>
      <c r="B4531" s="23" t="s">
        <v>19</v>
      </c>
      <c r="C4531" s="23" t="s">
        <v>46</v>
      </c>
      <c r="D4531" s="23" t="s">
        <v>46</v>
      </c>
      <c r="E4531" s="23" t="s">
        <v>46</v>
      </c>
      <c r="F4531" s="15" t="s">
        <v>103</v>
      </c>
      <c r="G4531" s="15" t="s">
        <v>5173</v>
      </c>
      <c r="H4531" s="23" t="s">
        <v>58</v>
      </c>
    </row>
    <row r="4532" spans="1:8" ht="54.95" customHeight="1" x14ac:dyDescent="0.2">
      <c r="A4532" s="23" t="s">
        <v>1454</v>
      </c>
      <c r="B4532" s="23" t="s">
        <v>21</v>
      </c>
      <c r="C4532" s="23" t="s">
        <v>46</v>
      </c>
      <c r="D4532" s="23" t="s">
        <v>46</v>
      </c>
      <c r="E4532" s="23" t="s">
        <v>101</v>
      </c>
      <c r="F4532" s="15" t="s">
        <v>104</v>
      </c>
      <c r="G4532" s="15" t="s">
        <v>5173</v>
      </c>
      <c r="H4532" s="23" t="s">
        <v>58</v>
      </c>
    </row>
    <row r="4533" spans="1:8" ht="54.95" customHeight="1" x14ac:dyDescent="0.2">
      <c r="A4533" s="23" t="s">
        <v>1454</v>
      </c>
      <c r="B4533" s="23" t="s">
        <v>22</v>
      </c>
      <c r="C4533" s="23" t="s">
        <v>46</v>
      </c>
      <c r="D4533" s="23" t="s">
        <v>46</v>
      </c>
      <c r="E4533" s="23" t="s">
        <v>101</v>
      </c>
      <c r="F4533" s="15" t="s">
        <v>104</v>
      </c>
      <c r="G4533" s="15" t="s">
        <v>5173</v>
      </c>
      <c r="H4533" s="23" t="s">
        <v>58</v>
      </c>
    </row>
    <row r="4534" spans="1:8" ht="54.95" customHeight="1" x14ac:dyDescent="0.2">
      <c r="A4534" s="23" t="s">
        <v>1454</v>
      </c>
      <c r="B4534" s="23" t="s">
        <v>23</v>
      </c>
      <c r="C4534" s="23" t="s">
        <v>46</v>
      </c>
      <c r="D4534" s="23" t="s">
        <v>46</v>
      </c>
      <c r="E4534" s="23" t="s">
        <v>101</v>
      </c>
      <c r="F4534" s="15" t="s">
        <v>104</v>
      </c>
      <c r="G4534" s="15" t="s">
        <v>5173</v>
      </c>
      <c r="H4534" s="23" t="s">
        <v>58</v>
      </c>
    </row>
    <row r="4535" spans="1:8" ht="54.95" customHeight="1" x14ac:dyDescent="0.2">
      <c r="A4535" s="23" t="s">
        <v>1454</v>
      </c>
      <c r="B4535" s="23" t="s">
        <v>24</v>
      </c>
      <c r="C4535" s="23" t="s">
        <v>46</v>
      </c>
      <c r="D4535" s="23" t="s">
        <v>46</v>
      </c>
      <c r="E4535" s="23" t="s">
        <v>101</v>
      </c>
      <c r="F4535" s="15" t="s">
        <v>104</v>
      </c>
      <c r="G4535" s="15" t="s">
        <v>5173</v>
      </c>
      <c r="H4535" s="23" t="s">
        <v>58</v>
      </c>
    </row>
    <row r="4536" spans="1:8" ht="54.95" customHeight="1" x14ac:dyDescent="0.2">
      <c r="A4536" s="23" t="s">
        <v>1454</v>
      </c>
      <c r="B4536" s="23" t="s">
        <v>25</v>
      </c>
      <c r="C4536" s="23" t="s">
        <v>46</v>
      </c>
      <c r="D4536" s="23" t="s">
        <v>46</v>
      </c>
      <c r="E4536" s="23" t="s">
        <v>101</v>
      </c>
      <c r="F4536" s="15" t="s">
        <v>104</v>
      </c>
      <c r="G4536" s="15" t="s">
        <v>5173</v>
      </c>
      <c r="H4536" s="23" t="s">
        <v>58</v>
      </c>
    </row>
    <row r="4537" spans="1:8" ht="54.95" customHeight="1" x14ac:dyDescent="0.2">
      <c r="A4537" s="23" t="s">
        <v>1458</v>
      </c>
      <c r="B4537" s="23" t="s">
        <v>15</v>
      </c>
      <c r="C4537" s="23" t="s">
        <v>46</v>
      </c>
      <c r="D4537" s="23" t="s">
        <v>46</v>
      </c>
      <c r="E4537" s="23" t="s">
        <v>46</v>
      </c>
      <c r="F4537" s="15" t="s">
        <v>103</v>
      </c>
      <c r="G4537" s="15" t="s">
        <v>5173</v>
      </c>
      <c r="H4537" s="23" t="s">
        <v>58</v>
      </c>
    </row>
    <row r="4538" spans="1:8" ht="54.95" customHeight="1" x14ac:dyDescent="0.2">
      <c r="A4538" s="23" t="s">
        <v>1458</v>
      </c>
      <c r="B4538" s="23" t="s">
        <v>17</v>
      </c>
      <c r="C4538" s="23" t="s">
        <v>46</v>
      </c>
      <c r="D4538" s="23" t="s">
        <v>46</v>
      </c>
      <c r="E4538" s="23" t="s">
        <v>46</v>
      </c>
      <c r="F4538" s="15" t="s">
        <v>103</v>
      </c>
      <c r="G4538" s="15" t="s">
        <v>5173</v>
      </c>
      <c r="H4538" s="23" t="s">
        <v>58</v>
      </c>
    </row>
    <row r="4539" spans="1:8" ht="54.95" customHeight="1" x14ac:dyDescent="0.2">
      <c r="A4539" s="23" t="s">
        <v>1458</v>
      </c>
      <c r="B4539" s="23" t="s">
        <v>19</v>
      </c>
      <c r="C4539" s="23" t="s">
        <v>46</v>
      </c>
      <c r="D4539" s="23" t="s">
        <v>46</v>
      </c>
      <c r="E4539" s="23" t="s">
        <v>46</v>
      </c>
      <c r="F4539" s="15" t="s">
        <v>103</v>
      </c>
      <c r="G4539" s="15" t="s">
        <v>5173</v>
      </c>
      <c r="H4539" s="23" t="s">
        <v>58</v>
      </c>
    </row>
    <row r="4540" spans="1:8" ht="54.95" customHeight="1" x14ac:dyDescent="0.2">
      <c r="A4540" s="23" t="s">
        <v>1458</v>
      </c>
      <c r="B4540" s="23" t="s">
        <v>21</v>
      </c>
      <c r="C4540" s="23" t="s">
        <v>46</v>
      </c>
      <c r="D4540" s="23" t="s">
        <v>46</v>
      </c>
      <c r="E4540" s="23" t="s">
        <v>101</v>
      </c>
      <c r="F4540" s="15" t="s">
        <v>104</v>
      </c>
      <c r="G4540" s="15" t="s">
        <v>5173</v>
      </c>
      <c r="H4540" s="23" t="s">
        <v>58</v>
      </c>
    </row>
    <row r="4541" spans="1:8" ht="54.95" customHeight="1" x14ac:dyDescent="0.2">
      <c r="A4541" s="23" t="s">
        <v>1458</v>
      </c>
      <c r="B4541" s="23" t="s">
        <v>22</v>
      </c>
      <c r="C4541" s="23" t="s">
        <v>46</v>
      </c>
      <c r="D4541" s="23" t="s">
        <v>46</v>
      </c>
      <c r="E4541" s="23" t="s">
        <v>101</v>
      </c>
      <c r="F4541" s="15" t="s">
        <v>104</v>
      </c>
      <c r="G4541" s="15" t="s">
        <v>5173</v>
      </c>
      <c r="H4541" s="23" t="s">
        <v>58</v>
      </c>
    </row>
    <row r="4542" spans="1:8" ht="54.95" customHeight="1" x14ac:dyDescent="0.2">
      <c r="A4542" s="23" t="s">
        <v>1458</v>
      </c>
      <c r="B4542" s="23" t="s">
        <v>23</v>
      </c>
      <c r="C4542" s="23" t="s">
        <v>46</v>
      </c>
      <c r="D4542" s="23" t="s">
        <v>46</v>
      </c>
      <c r="E4542" s="23" t="s">
        <v>101</v>
      </c>
      <c r="F4542" s="15" t="s">
        <v>104</v>
      </c>
      <c r="G4542" s="15" t="s">
        <v>5173</v>
      </c>
      <c r="H4542" s="23" t="s">
        <v>58</v>
      </c>
    </row>
    <row r="4543" spans="1:8" ht="54.95" customHeight="1" x14ac:dyDescent="0.2">
      <c r="A4543" s="23" t="s">
        <v>1458</v>
      </c>
      <c r="B4543" s="23" t="s">
        <v>24</v>
      </c>
      <c r="C4543" s="23" t="s">
        <v>46</v>
      </c>
      <c r="D4543" s="23" t="s">
        <v>46</v>
      </c>
      <c r="E4543" s="23" t="s">
        <v>101</v>
      </c>
      <c r="F4543" s="15" t="s">
        <v>104</v>
      </c>
      <c r="G4543" s="15" t="s">
        <v>5173</v>
      </c>
      <c r="H4543" s="23" t="s">
        <v>58</v>
      </c>
    </row>
    <row r="4544" spans="1:8" ht="54.95" customHeight="1" x14ac:dyDescent="0.2">
      <c r="A4544" s="23" t="s">
        <v>1458</v>
      </c>
      <c r="B4544" s="23" t="s">
        <v>25</v>
      </c>
      <c r="C4544" s="23" t="s">
        <v>46</v>
      </c>
      <c r="D4544" s="23" t="s">
        <v>46</v>
      </c>
      <c r="E4544" s="23" t="s">
        <v>101</v>
      </c>
      <c r="F4544" s="15" t="s">
        <v>104</v>
      </c>
      <c r="G4544" s="15" t="s">
        <v>5173</v>
      </c>
      <c r="H4544" s="23" t="s">
        <v>58</v>
      </c>
    </row>
    <row r="4545" spans="1:8" ht="54.95" customHeight="1" x14ac:dyDescent="0.2">
      <c r="A4545" s="23" t="s">
        <v>1462</v>
      </c>
      <c r="B4545" s="23" t="s">
        <v>3</v>
      </c>
      <c r="C4545" s="23" t="s">
        <v>46</v>
      </c>
      <c r="D4545" s="23" t="s">
        <v>46</v>
      </c>
      <c r="E4545" s="23" t="s">
        <v>46</v>
      </c>
      <c r="F4545" s="15" t="s">
        <v>198</v>
      </c>
      <c r="G4545" s="15" t="s">
        <v>5173</v>
      </c>
      <c r="H4545" s="23" t="s">
        <v>58</v>
      </c>
    </row>
    <row r="4546" spans="1:8" ht="54.95" customHeight="1" x14ac:dyDescent="0.2">
      <c r="A4546" s="23" t="s">
        <v>1462</v>
      </c>
      <c r="B4546" s="23" t="s">
        <v>6</v>
      </c>
      <c r="C4546" s="23" t="s">
        <v>46</v>
      </c>
      <c r="D4546" s="23" t="s">
        <v>46</v>
      </c>
      <c r="E4546" s="23" t="s">
        <v>46</v>
      </c>
      <c r="F4546" s="15" t="s">
        <v>198</v>
      </c>
      <c r="G4546" s="15" t="s">
        <v>5173</v>
      </c>
      <c r="H4546" s="23" t="s">
        <v>58</v>
      </c>
    </row>
    <row r="4547" spans="1:8" ht="54.95" customHeight="1" x14ac:dyDescent="0.2">
      <c r="A4547" s="23" t="s">
        <v>1462</v>
      </c>
      <c r="B4547" s="23" t="s">
        <v>7</v>
      </c>
      <c r="C4547" s="23" t="s">
        <v>46</v>
      </c>
      <c r="D4547" s="23" t="s">
        <v>46</v>
      </c>
      <c r="E4547" s="23" t="s">
        <v>46</v>
      </c>
      <c r="F4547" s="15" t="s">
        <v>198</v>
      </c>
      <c r="G4547" s="15" t="s">
        <v>5173</v>
      </c>
      <c r="H4547" s="23" t="s">
        <v>58</v>
      </c>
    </row>
    <row r="4548" spans="1:8" ht="54.95" customHeight="1" x14ac:dyDescent="0.2">
      <c r="A4548" s="23" t="s">
        <v>1462</v>
      </c>
      <c r="B4548" s="23" t="s">
        <v>8</v>
      </c>
      <c r="C4548" s="23" t="s">
        <v>46</v>
      </c>
      <c r="D4548" s="23" t="s">
        <v>46</v>
      </c>
      <c r="E4548" s="23" t="s">
        <v>46</v>
      </c>
      <c r="F4548" s="15" t="s">
        <v>198</v>
      </c>
      <c r="G4548" s="15" t="s">
        <v>5173</v>
      </c>
      <c r="H4548" s="23" t="s">
        <v>58</v>
      </c>
    </row>
    <row r="4549" spans="1:8" ht="54.95" customHeight="1" x14ac:dyDescent="0.2">
      <c r="A4549" s="23" t="s">
        <v>1462</v>
      </c>
      <c r="B4549" s="23" t="s">
        <v>9</v>
      </c>
      <c r="C4549" s="23" t="s">
        <v>46</v>
      </c>
      <c r="D4549" s="23" t="s">
        <v>46</v>
      </c>
      <c r="E4549" s="23" t="s">
        <v>46</v>
      </c>
      <c r="F4549" s="15" t="s">
        <v>198</v>
      </c>
      <c r="G4549" s="15" t="s">
        <v>5173</v>
      </c>
      <c r="H4549" s="23" t="s">
        <v>58</v>
      </c>
    </row>
    <row r="4550" spans="1:8" ht="54.95" customHeight="1" x14ac:dyDescent="0.2">
      <c r="A4550" s="23" t="s">
        <v>1462</v>
      </c>
      <c r="B4550" s="23" t="s">
        <v>10</v>
      </c>
      <c r="C4550" s="23" t="s">
        <v>46</v>
      </c>
      <c r="D4550" s="23" t="s">
        <v>46</v>
      </c>
      <c r="E4550" s="23" t="s">
        <v>46</v>
      </c>
      <c r="F4550" s="15" t="s">
        <v>198</v>
      </c>
      <c r="G4550" s="15" t="s">
        <v>5173</v>
      </c>
      <c r="H4550" s="23" t="s">
        <v>58</v>
      </c>
    </row>
    <row r="4551" spans="1:8" ht="54.95" customHeight="1" x14ac:dyDescent="0.2">
      <c r="A4551" s="23" t="s">
        <v>1462</v>
      </c>
      <c r="B4551" s="23" t="s">
        <v>11</v>
      </c>
      <c r="C4551" s="23" t="s">
        <v>46</v>
      </c>
      <c r="D4551" s="23" t="s">
        <v>46</v>
      </c>
      <c r="E4551" s="23" t="s">
        <v>46</v>
      </c>
      <c r="F4551" s="15" t="s">
        <v>198</v>
      </c>
      <c r="G4551" s="15" t="s">
        <v>5173</v>
      </c>
      <c r="H4551" s="23" t="s">
        <v>58</v>
      </c>
    </row>
    <row r="4552" spans="1:8" ht="54.95" customHeight="1" x14ac:dyDescent="0.2">
      <c r="A4552" s="23" t="s">
        <v>1462</v>
      </c>
      <c r="B4552" s="23" t="s">
        <v>13</v>
      </c>
      <c r="C4552" s="23" t="s">
        <v>46</v>
      </c>
      <c r="D4552" s="23" t="s">
        <v>46</v>
      </c>
      <c r="E4552" s="23" t="s">
        <v>46</v>
      </c>
      <c r="F4552" s="15" t="s">
        <v>198</v>
      </c>
      <c r="G4552" s="15" t="s">
        <v>5173</v>
      </c>
      <c r="H4552" s="23" t="s">
        <v>58</v>
      </c>
    </row>
    <row r="4553" spans="1:8" ht="54.95" customHeight="1" x14ac:dyDescent="0.2">
      <c r="A4553" s="23" t="s">
        <v>1462</v>
      </c>
      <c r="B4553" s="23" t="s">
        <v>14</v>
      </c>
      <c r="C4553" s="23" t="s">
        <v>46</v>
      </c>
      <c r="D4553" s="23" t="s">
        <v>46</v>
      </c>
      <c r="E4553" s="23" t="s">
        <v>46</v>
      </c>
      <c r="F4553" s="15" t="s">
        <v>198</v>
      </c>
      <c r="G4553" s="15" t="s">
        <v>5173</v>
      </c>
      <c r="H4553" s="23" t="s">
        <v>58</v>
      </c>
    </row>
    <row r="4554" spans="1:8" ht="54.95" customHeight="1" x14ac:dyDescent="0.2">
      <c r="A4554" s="23" t="s">
        <v>1462</v>
      </c>
      <c r="B4554" s="23" t="s">
        <v>21</v>
      </c>
      <c r="C4554" s="23" t="s">
        <v>46</v>
      </c>
      <c r="D4554" s="23" t="s">
        <v>46</v>
      </c>
      <c r="E4554" s="23" t="s">
        <v>101</v>
      </c>
      <c r="F4554" s="15" t="s">
        <v>104</v>
      </c>
      <c r="G4554" s="15" t="s">
        <v>5173</v>
      </c>
      <c r="H4554" s="23" t="s">
        <v>58</v>
      </c>
    </row>
    <row r="4555" spans="1:8" ht="54.95" customHeight="1" x14ac:dyDescent="0.2">
      <c r="A4555" s="23" t="s">
        <v>1462</v>
      </c>
      <c r="B4555" s="23" t="s">
        <v>22</v>
      </c>
      <c r="C4555" s="23" t="s">
        <v>46</v>
      </c>
      <c r="D4555" s="23" t="s">
        <v>46</v>
      </c>
      <c r="E4555" s="23" t="s">
        <v>101</v>
      </c>
      <c r="F4555" s="15" t="s">
        <v>104</v>
      </c>
      <c r="G4555" s="15" t="s">
        <v>5173</v>
      </c>
      <c r="H4555" s="23" t="s">
        <v>58</v>
      </c>
    </row>
    <row r="4556" spans="1:8" ht="54.95" customHeight="1" x14ac:dyDescent="0.2">
      <c r="A4556" s="23" t="s">
        <v>1462</v>
      </c>
      <c r="B4556" s="23" t="s">
        <v>23</v>
      </c>
      <c r="C4556" s="23" t="s">
        <v>46</v>
      </c>
      <c r="D4556" s="23" t="s">
        <v>46</v>
      </c>
      <c r="E4556" s="23" t="s">
        <v>101</v>
      </c>
      <c r="F4556" s="15" t="s">
        <v>104</v>
      </c>
      <c r="G4556" s="15" t="s">
        <v>5173</v>
      </c>
      <c r="H4556" s="23" t="s">
        <v>58</v>
      </c>
    </row>
    <row r="4557" spans="1:8" ht="54.95" customHeight="1" x14ac:dyDescent="0.2">
      <c r="A4557" s="23" t="s">
        <v>1462</v>
      </c>
      <c r="B4557" s="23" t="s">
        <v>24</v>
      </c>
      <c r="C4557" s="23" t="s">
        <v>46</v>
      </c>
      <c r="D4557" s="23" t="s">
        <v>46</v>
      </c>
      <c r="E4557" s="23" t="s">
        <v>101</v>
      </c>
      <c r="F4557" s="15" t="s">
        <v>104</v>
      </c>
      <c r="G4557" s="15" t="s">
        <v>5173</v>
      </c>
      <c r="H4557" s="23" t="s">
        <v>58</v>
      </c>
    </row>
    <row r="4558" spans="1:8" ht="54.95" customHeight="1" x14ac:dyDescent="0.2">
      <c r="A4558" s="23" t="s">
        <v>1462</v>
      </c>
      <c r="B4558" s="23" t="s">
        <v>25</v>
      </c>
      <c r="C4558" s="23" t="s">
        <v>46</v>
      </c>
      <c r="D4558" s="23" t="s">
        <v>46</v>
      </c>
      <c r="E4558" s="23" t="s">
        <v>101</v>
      </c>
      <c r="F4558" s="15" t="s">
        <v>104</v>
      </c>
      <c r="G4558" s="15" t="s">
        <v>5173</v>
      </c>
      <c r="H4558" s="23" t="s">
        <v>58</v>
      </c>
    </row>
    <row r="4559" spans="1:8" ht="54.95" customHeight="1" x14ac:dyDescent="0.2">
      <c r="A4559" s="23" t="s">
        <v>1467</v>
      </c>
      <c r="B4559" s="23" t="s">
        <v>15</v>
      </c>
      <c r="C4559" s="23" t="s">
        <v>46</v>
      </c>
      <c r="D4559" s="23" t="s">
        <v>46</v>
      </c>
      <c r="E4559" s="23" t="s">
        <v>46</v>
      </c>
      <c r="F4559" s="15" t="s">
        <v>103</v>
      </c>
      <c r="G4559" s="15" t="s">
        <v>5173</v>
      </c>
      <c r="H4559" s="23" t="s">
        <v>58</v>
      </c>
    </row>
    <row r="4560" spans="1:8" ht="54.95" customHeight="1" x14ac:dyDescent="0.2">
      <c r="A4560" s="23" t="s">
        <v>1467</v>
      </c>
      <c r="B4560" s="23" t="s">
        <v>17</v>
      </c>
      <c r="C4560" s="23" t="s">
        <v>46</v>
      </c>
      <c r="D4560" s="23" t="s">
        <v>46</v>
      </c>
      <c r="E4560" s="23" t="s">
        <v>46</v>
      </c>
      <c r="F4560" s="15" t="s">
        <v>103</v>
      </c>
      <c r="G4560" s="15" t="s">
        <v>5173</v>
      </c>
      <c r="H4560" s="23" t="s">
        <v>58</v>
      </c>
    </row>
    <row r="4561" spans="1:8" ht="54.95" customHeight="1" x14ac:dyDescent="0.2">
      <c r="A4561" s="23" t="s">
        <v>1467</v>
      </c>
      <c r="B4561" s="23" t="s">
        <v>19</v>
      </c>
      <c r="C4561" s="23" t="s">
        <v>46</v>
      </c>
      <c r="D4561" s="23" t="s">
        <v>46</v>
      </c>
      <c r="E4561" s="23" t="s">
        <v>46</v>
      </c>
      <c r="F4561" s="15" t="s">
        <v>103</v>
      </c>
      <c r="G4561" s="15" t="s">
        <v>5173</v>
      </c>
      <c r="H4561" s="23" t="s">
        <v>58</v>
      </c>
    </row>
    <row r="4562" spans="1:8" ht="54.95" customHeight="1" x14ac:dyDescent="0.2">
      <c r="A4562" s="23" t="s">
        <v>1467</v>
      </c>
      <c r="B4562" s="23" t="s">
        <v>21</v>
      </c>
      <c r="C4562" s="23" t="s">
        <v>46</v>
      </c>
      <c r="D4562" s="23" t="s">
        <v>46</v>
      </c>
      <c r="E4562" s="23" t="s">
        <v>101</v>
      </c>
      <c r="F4562" s="15" t="s">
        <v>104</v>
      </c>
      <c r="G4562" s="15" t="s">
        <v>5173</v>
      </c>
      <c r="H4562" s="23" t="s">
        <v>58</v>
      </c>
    </row>
    <row r="4563" spans="1:8" ht="54.95" customHeight="1" x14ac:dyDescent="0.2">
      <c r="A4563" s="23" t="s">
        <v>1467</v>
      </c>
      <c r="B4563" s="23" t="s">
        <v>22</v>
      </c>
      <c r="C4563" s="23" t="s">
        <v>46</v>
      </c>
      <c r="D4563" s="23" t="s">
        <v>46</v>
      </c>
      <c r="E4563" s="23" t="s">
        <v>101</v>
      </c>
      <c r="F4563" s="15" t="s">
        <v>104</v>
      </c>
      <c r="G4563" s="15" t="s">
        <v>5173</v>
      </c>
      <c r="H4563" s="23" t="s">
        <v>58</v>
      </c>
    </row>
    <row r="4564" spans="1:8" ht="54.95" customHeight="1" x14ac:dyDescent="0.2">
      <c r="A4564" s="23" t="s">
        <v>1467</v>
      </c>
      <c r="B4564" s="23" t="s">
        <v>23</v>
      </c>
      <c r="C4564" s="23" t="s">
        <v>46</v>
      </c>
      <c r="D4564" s="23" t="s">
        <v>46</v>
      </c>
      <c r="E4564" s="23" t="s">
        <v>101</v>
      </c>
      <c r="F4564" s="15" t="s">
        <v>104</v>
      </c>
      <c r="G4564" s="15" t="s">
        <v>5173</v>
      </c>
      <c r="H4564" s="23" t="s">
        <v>58</v>
      </c>
    </row>
    <row r="4565" spans="1:8" ht="54.95" customHeight="1" x14ac:dyDescent="0.2">
      <c r="A4565" s="23" t="s">
        <v>1467</v>
      </c>
      <c r="B4565" s="23" t="s">
        <v>24</v>
      </c>
      <c r="C4565" s="23" t="s">
        <v>46</v>
      </c>
      <c r="D4565" s="23" t="s">
        <v>46</v>
      </c>
      <c r="E4565" s="23" t="s">
        <v>101</v>
      </c>
      <c r="F4565" s="15" t="s">
        <v>104</v>
      </c>
      <c r="G4565" s="15" t="s">
        <v>5173</v>
      </c>
      <c r="H4565" s="23" t="s">
        <v>58</v>
      </c>
    </row>
    <row r="4566" spans="1:8" ht="54.95" customHeight="1" x14ac:dyDescent="0.2">
      <c r="A4566" s="23" t="s">
        <v>1467</v>
      </c>
      <c r="B4566" s="23" t="s">
        <v>25</v>
      </c>
      <c r="C4566" s="23" t="s">
        <v>46</v>
      </c>
      <c r="D4566" s="23" t="s">
        <v>46</v>
      </c>
      <c r="E4566" s="23" t="s">
        <v>101</v>
      </c>
      <c r="F4566" s="15" t="s">
        <v>104</v>
      </c>
      <c r="G4566" s="15" t="s">
        <v>5173</v>
      </c>
      <c r="H4566" s="23" t="s">
        <v>58</v>
      </c>
    </row>
    <row r="4567" spans="1:8" ht="54.95" customHeight="1" x14ac:dyDescent="0.2">
      <c r="A4567" s="23" t="s">
        <v>1471</v>
      </c>
      <c r="B4567" s="23" t="s">
        <v>3</v>
      </c>
      <c r="C4567" s="23" t="s">
        <v>46</v>
      </c>
      <c r="D4567" s="23" t="s">
        <v>46</v>
      </c>
      <c r="E4567" s="23" t="s">
        <v>46</v>
      </c>
      <c r="F4567" s="15" t="s">
        <v>198</v>
      </c>
      <c r="G4567" s="15" t="s">
        <v>5173</v>
      </c>
      <c r="H4567" s="23" t="s">
        <v>58</v>
      </c>
    </row>
    <row r="4568" spans="1:8" ht="54.95" customHeight="1" x14ac:dyDescent="0.2">
      <c r="A4568" s="23" t="s">
        <v>1471</v>
      </c>
      <c r="B4568" s="23" t="s">
        <v>6</v>
      </c>
      <c r="C4568" s="23" t="s">
        <v>46</v>
      </c>
      <c r="D4568" s="23" t="s">
        <v>46</v>
      </c>
      <c r="E4568" s="23" t="s">
        <v>46</v>
      </c>
      <c r="F4568" s="15" t="s">
        <v>198</v>
      </c>
      <c r="G4568" s="15" t="s">
        <v>5173</v>
      </c>
      <c r="H4568" s="23" t="s">
        <v>58</v>
      </c>
    </row>
    <row r="4569" spans="1:8" ht="54.95" customHeight="1" x14ac:dyDescent="0.2">
      <c r="A4569" s="23" t="s">
        <v>1471</v>
      </c>
      <c r="B4569" s="23" t="s">
        <v>7</v>
      </c>
      <c r="C4569" s="23" t="s">
        <v>46</v>
      </c>
      <c r="D4569" s="23" t="s">
        <v>46</v>
      </c>
      <c r="E4569" s="23" t="s">
        <v>46</v>
      </c>
      <c r="F4569" s="15" t="s">
        <v>198</v>
      </c>
      <c r="G4569" s="15" t="s">
        <v>5173</v>
      </c>
      <c r="H4569" s="23" t="s">
        <v>58</v>
      </c>
    </row>
    <row r="4570" spans="1:8" ht="54.95" customHeight="1" x14ac:dyDescent="0.2">
      <c r="A4570" s="23" t="s">
        <v>1471</v>
      </c>
      <c r="B4570" s="23" t="s">
        <v>8</v>
      </c>
      <c r="C4570" s="23" t="s">
        <v>46</v>
      </c>
      <c r="D4570" s="23" t="s">
        <v>46</v>
      </c>
      <c r="E4570" s="23" t="s">
        <v>46</v>
      </c>
      <c r="F4570" s="15" t="s">
        <v>198</v>
      </c>
      <c r="G4570" s="15" t="s">
        <v>5173</v>
      </c>
      <c r="H4570" s="23" t="s">
        <v>58</v>
      </c>
    </row>
    <row r="4571" spans="1:8" ht="54.95" customHeight="1" x14ac:dyDescent="0.2">
      <c r="A4571" s="23" t="s">
        <v>1471</v>
      </c>
      <c r="B4571" s="23" t="s">
        <v>9</v>
      </c>
      <c r="C4571" s="23" t="s">
        <v>46</v>
      </c>
      <c r="D4571" s="23" t="s">
        <v>46</v>
      </c>
      <c r="E4571" s="23" t="s">
        <v>46</v>
      </c>
      <c r="F4571" s="15" t="s">
        <v>198</v>
      </c>
      <c r="G4571" s="15" t="s">
        <v>5173</v>
      </c>
      <c r="H4571" s="23" t="s">
        <v>58</v>
      </c>
    </row>
    <row r="4572" spans="1:8" ht="54.95" customHeight="1" x14ac:dyDescent="0.2">
      <c r="A4572" s="23" t="s">
        <v>1471</v>
      </c>
      <c r="B4572" s="23" t="s">
        <v>10</v>
      </c>
      <c r="C4572" s="23" t="s">
        <v>46</v>
      </c>
      <c r="D4572" s="23" t="s">
        <v>46</v>
      </c>
      <c r="E4572" s="23" t="s">
        <v>46</v>
      </c>
      <c r="F4572" s="15" t="s">
        <v>198</v>
      </c>
      <c r="G4572" s="15" t="s">
        <v>5173</v>
      </c>
      <c r="H4572" s="23" t="s">
        <v>58</v>
      </c>
    </row>
    <row r="4573" spans="1:8" ht="54.95" customHeight="1" x14ac:dyDescent="0.2">
      <c r="A4573" s="23" t="s">
        <v>1471</v>
      </c>
      <c r="B4573" s="23" t="s">
        <v>11</v>
      </c>
      <c r="C4573" s="23" t="s">
        <v>46</v>
      </c>
      <c r="D4573" s="23" t="s">
        <v>46</v>
      </c>
      <c r="E4573" s="23" t="s">
        <v>46</v>
      </c>
      <c r="F4573" s="15" t="s">
        <v>198</v>
      </c>
      <c r="G4573" s="15" t="s">
        <v>5173</v>
      </c>
      <c r="H4573" s="23" t="s">
        <v>58</v>
      </c>
    </row>
    <row r="4574" spans="1:8" ht="54.95" customHeight="1" x14ac:dyDescent="0.2">
      <c r="A4574" s="23" t="s">
        <v>1471</v>
      </c>
      <c r="B4574" s="23" t="s">
        <v>13</v>
      </c>
      <c r="C4574" s="23" t="s">
        <v>46</v>
      </c>
      <c r="D4574" s="23" t="s">
        <v>46</v>
      </c>
      <c r="E4574" s="23" t="s">
        <v>46</v>
      </c>
      <c r="F4574" s="15" t="s">
        <v>198</v>
      </c>
      <c r="G4574" s="15" t="s">
        <v>5173</v>
      </c>
      <c r="H4574" s="23" t="s">
        <v>58</v>
      </c>
    </row>
    <row r="4575" spans="1:8" ht="54.95" customHeight="1" x14ac:dyDescent="0.2">
      <c r="A4575" s="23" t="s">
        <v>1471</v>
      </c>
      <c r="B4575" s="23" t="s">
        <v>14</v>
      </c>
      <c r="C4575" s="23" t="s">
        <v>46</v>
      </c>
      <c r="D4575" s="23" t="s">
        <v>46</v>
      </c>
      <c r="E4575" s="23" t="s">
        <v>46</v>
      </c>
      <c r="F4575" s="15" t="s">
        <v>198</v>
      </c>
      <c r="G4575" s="15" t="s">
        <v>5173</v>
      </c>
      <c r="H4575" s="23" t="s">
        <v>58</v>
      </c>
    </row>
    <row r="4576" spans="1:8" ht="54.95" customHeight="1" x14ac:dyDescent="0.2">
      <c r="A4576" s="23" t="s">
        <v>1471</v>
      </c>
      <c r="B4576" s="23" t="s">
        <v>15</v>
      </c>
      <c r="C4576" s="23" t="s">
        <v>46</v>
      </c>
      <c r="D4576" s="23" t="s">
        <v>46</v>
      </c>
      <c r="E4576" s="23" t="s">
        <v>46</v>
      </c>
      <c r="F4576" s="15" t="s">
        <v>103</v>
      </c>
      <c r="G4576" s="15" t="s">
        <v>5173</v>
      </c>
      <c r="H4576" s="23" t="s">
        <v>58</v>
      </c>
    </row>
    <row r="4577" spans="1:8" ht="54.95" customHeight="1" x14ac:dyDescent="0.2">
      <c r="A4577" s="23" t="s">
        <v>1471</v>
      </c>
      <c r="B4577" s="23" t="s">
        <v>17</v>
      </c>
      <c r="C4577" s="23" t="s">
        <v>46</v>
      </c>
      <c r="D4577" s="23" t="s">
        <v>46</v>
      </c>
      <c r="E4577" s="23" t="s">
        <v>46</v>
      </c>
      <c r="F4577" s="15" t="s">
        <v>103</v>
      </c>
      <c r="G4577" s="15" t="s">
        <v>5173</v>
      </c>
      <c r="H4577" s="23" t="s">
        <v>58</v>
      </c>
    </row>
    <row r="4578" spans="1:8" ht="54.95" customHeight="1" x14ac:dyDescent="0.2">
      <c r="A4578" s="23" t="s">
        <v>1471</v>
      </c>
      <c r="B4578" s="23" t="s">
        <v>19</v>
      </c>
      <c r="C4578" s="23" t="s">
        <v>46</v>
      </c>
      <c r="D4578" s="23" t="s">
        <v>46</v>
      </c>
      <c r="E4578" s="23" t="s">
        <v>46</v>
      </c>
      <c r="F4578" s="15" t="s">
        <v>103</v>
      </c>
      <c r="G4578" s="15" t="s">
        <v>5173</v>
      </c>
      <c r="H4578" s="23" t="s">
        <v>58</v>
      </c>
    </row>
    <row r="4579" spans="1:8" ht="54.95" customHeight="1" x14ac:dyDescent="0.2">
      <c r="A4579" s="23" t="s">
        <v>1471</v>
      </c>
      <c r="B4579" s="23" t="s">
        <v>21</v>
      </c>
      <c r="C4579" s="23" t="s">
        <v>46</v>
      </c>
      <c r="D4579" s="23" t="s">
        <v>46</v>
      </c>
      <c r="E4579" s="23" t="s">
        <v>101</v>
      </c>
      <c r="F4579" s="15" t="s">
        <v>104</v>
      </c>
      <c r="G4579" s="15" t="s">
        <v>5173</v>
      </c>
      <c r="H4579" s="23" t="s">
        <v>58</v>
      </c>
    </row>
    <row r="4580" spans="1:8" ht="54.95" customHeight="1" x14ac:dyDescent="0.2">
      <c r="A4580" s="23" t="s">
        <v>1471</v>
      </c>
      <c r="B4580" s="23" t="s">
        <v>22</v>
      </c>
      <c r="C4580" s="23" t="s">
        <v>46</v>
      </c>
      <c r="D4580" s="23" t="s">
        <v>46</v>
      </c>
      <c r="E4580" s="23" t="s">
        <v>101</v>
      </c>
      <c r="F4580" s="15" t="s">
        <v>104</v>
      </c>
      <c r="G4580" s="15" t="s">
        <v>5173</v>
      </c>
      <c r="H4580" s="23" t="s">
        <v>58</v>
      </c>
    </row>
    <row r="4581" spans="1:8" ht="54.95" customHeight="1" x14ac:dyDescent="0.2">
      <c r="A4581" s="23" t="s">
        <v>1471</v>
      </c>
      <c r="B4581" s="23" t="s">
        <v>23</v>
      </c>
      <c r="C4581" s="23" t="s">
        <v>46</v>
      </c>
      <c r="D4581" s="23" t="s">
        <v>46</v>
      </c>
      <c r="E4581" s="23" t="s">
        <v>101</v>
      </c>
      <c r="F4581" s="15" t="s">
        <v>104</v>
      </c>
      <c r="G4581" s="15" t="s">
        <v>5173</v>
      </c>
      <c r="H4581" s="23" t="s">
        <v>58</v>
      </c>
    </row>
    <row r="4582" spans="1:8" ht="54.95" customHeight="1" x14ac:dyDescent="0.2">
      <c r="A4582" s="23" t="s">
        <v>1471</v>
      </c>
      <c r="B4582" s="23" t="s">
        <v>24</v>
      </c>
      <c r="C4582" s="23" t="s">
        <v>46</v>
      </c>
      <c r="D4582" s="23" t="s">
        <v>46</v>
      </c>
      <c r="E4582" s="23" t="s">
        <v>101</v>
      </c>
      <c r="F4582" s="15" t="s">
        <v>104</v>
      </c>
      <c r="G4582" s="15" t="s">
        <v>5173</v>
      </c>
      <c r="H4582" s="23" t="s">
        <v>58</v>
      </c>
    </row>
    <row r="4583" spans="1:8" ht="54.95" customHeight="1" x14ac:dyDescent="0.2">
      <c r="A4583" s="23" t="s">
        <v>1471</v>
      </c>
      <c r="B4583" s="23" t="s">
        <v>25</v>
      </c>
      <c r="C4583" s="23" t="s">
        <v>46</v>
      </c>
      <c r="D4583" s="23" t="s">
        <v>46</v>
      </c>
      <c r="E4583" s="23" t="s">
        <v>101</v>
      </c>
      <c r="F4583" s="15" t="s">
        <v>104</v>
      </c>
      <c r="G4583" s="15" t="s">
        <v>5173</v>
      </c>
      <c r="H4583" s="23" t="s">
        <v>58</v>
      </c>
    </row>
    <row r="4584" spans="1:8" ht="54.95" customHeight="1" x14ac:dyDescent="0.2">
      <c r="A4584" s="23" t="s">
        <v>1475</v>
      </c>
      <c r="B4584" s="23" t="s">
        <v>23</v>
      </c>
      <c r="C4584" s="23" t="s">
        <v>46</v>
      </c>
      <c r="D4584" s="23" t="s">
        <v>46</v>
      </c>
      <c r="E4584" s="23" t="s">
        <v>101</v>
      </c>
      <c r="F4584" s="15" t="s">
        <v>104</v>
      </c>
      <c r="G4584" s="15" t="s">
        <v>5173</v>
      </c>
      <c r="H4584" s="23" t="s">
        <v>58</v>
      </c>
    </row>
    <row r="4585" spans="1:8" ht="54.95" customHeight="1" x14ac:dyDescent="0.2">
      <c r="A4585" s="23" t="s">
        <v>1475</v>
      </c>
      <c r="B4585" s="23" t="s">
        <v>24</v>
      </c>
      <c r="C4585" s="23" t="s">
        <v>46</v>
      </c>
      <c r="D4585" s="23" t="s">
        <v>46</v>
      </c>
      <c r="E4585" s="23" t="s">
        <v>101</v>
      </c>
      <c r="F4585" s="15" t="s">
        <v>104</v>
      </c>
      <c r="G4585" s="15" t="s">
        <v>5173</v>
      </c>
      <c r="H4585" s="23" t="s">
        <v>58</v>
      </c>
    </row>
    <row r="4586" spans="1:8" ht="54.95" customHeight="1" x14ac:dyDescent="0.2">
      <c r="A4586" s="23" t="s">
        <v>1475</v>
      </c>
      <c r="B4586" s="23" t="s">
        <v>25</v>
      </c>
      <c r="C4586" s="23" t="s">
        <v>46</v>
      </c>
      <c r="D4586" s="23" t="s">
        <v>46</v>
      </c>
      <c r="E4586" s="23" t="s">
        <v>101</v>
      </c>
      <c r="F4586" s="15" t="s">
        <v>104</v>
      </c>
      <c r="G4586" s="15" t="s">
        <v>5173</v>
      </c>
      <c r="H4586" s="23" t="s">
        <v>58</v>
      </c>
    </row>
    <row r="4587" spans="1:8" ht="54.95" customHeight="1" x14ac:dyDescent="0.2">
      <c r="A4587" s="23" t="s">
        <v>1481</v>
      </c>
      <c r="B4587" s="23" t="s">
        <v>11</v>
      </c>
      <c r="C4587" s="23" t="s">
        <v>46</v>
      </c>
      <c r="D4587" s="23" t="s">
        <v>46</v>
      </c>
      <c r="E4587" s="23" t="s">
        <v>46</v>
      </c>
      <c r="F4587" s="15" t="s">
        <v>198</v>
      </c>
      <c r="G4587" s="15" t="s">
        <v>5173</v>
      </c>
      <c r="H4587" s="23" t="s">
        <v>58</v>
      </c>
    </row>
    <row r="4588" spans="1:8" ht="54.95" customHeight="1" x14ac:dyDescent="0.2">
      <c r="A4588" s="23" t="s">
        <v>1481</v>
      </c>
      <c r="B4588" s="23" t="s">
        <v>13</v>
      </c>
      <c r="C4588" s="23" t="s">
        <v>46</v>
      </c>
      <c r="D4588" s="23" t="s">
        <v>46</v>
      </c>
      <c r="E4588" s="23" t="s">
        <v>46</v>
      </c>
      <c r="F4588" s="15" t="s">
        <v>198</v>
      </c>
      <c r="G4588" s="15" t="s">
        <v>5173</v>
      </c>
      <c r="H4588" s="23" t="s">
        <v>58</v>
      </c>
    </row>
    <row r="4589" spans="1:8" ht="54.95" customHeight="1" x14ac:dyDescent="0.2">
      <c r="A4589" s="23" t="s">
        <v>1481</v>
      </c>
      <c r="B4589" s="23" t="s">
        <v>14</v>
      </c>
      <c r="C4589" s="23" t="s">
        <v>46</v>
      </c>
      <c r="D4589" s="23" t="s">
        <v>46</v>
      </c>
      <c r="E4589" s="23" t="s">
        <v>46</v>
      </c>
      <c r="F4589" s="15" t="s">
        <v>198</v>
      </c>
      <c r="G4589" s="15" t="s">
        <v>5173</v>
      </c>
      <c r="H4589" s="23" t="s">
        <v>58</v>
      </c>
    </row>
    <row r="4590" spans="1:8" ht="54.95" customHeight="1" x14ac:dyDescent="0.2">
      <c r="A4590" s="23" t="s">
        <v>1481</v>
      </c>
      <c r="B4590" s="23" t="s">
        <v>21</v>
      </c>
      <c r="C4590" s="23" t="s">
        <v>46</v>
      </c>
      <c r="D4590" s="23" t="s">
        <v>46</v>
      </c>
      <c r="E4590" s="23" t="s">
        <v>101</v>
      </c>
      <c r="F4590" s="15" t="s">
        <v>104</v>
      </c>
      <c r="G4590" s="15" t="s">
        <v>5173</v>
      </c>
      <c r="H4590" s="23" t="s">
        <v>58</v>
      </c>
    </row>
    <row r="4591" spans="1:8" ht="54.95" customHeight="1" x14ac:dyDescent="0.2">
      <c r="A4591" s="23" t="s">
        <v>1481</v>
      </c>
      <c r="B4591" s="23" t="s">
        <v>22</v>
      </c>
      <c r="C4591" s="23" t="s">
        <v>46</v>
      </c>
      <c r="D4591" s="23" t="s">
        <v>46</v>
      </c>
      <c r="E4591" s="23" t="s">
        <v>101</v>
      </c>
      <c r="F4591" s="15" t="s">
        <v>104</v>
      </c>
      <c r="G4591" s="15" t="s">
        <v>5173</v>
      </c>
      <c r="H4591" s="23" t="s">
        <v>58</v>
      </c>
    </row>
    <row r="4592" spans="1:8" ht="54.95" customHeight="1" x14ac:dyDescent="0.2">
      <c r="A4592" s="23" t="s">
        <v>1481</v>
      </c>
      <c r="B4592" s="23" t="s">
        <v>23</v>
      </c>
      <c r="C4592" s="23" t="s">
        <v>46</v>
      </c>
      <c r="D4592" s="23" t="s">
        <v>46</v>
      </c>
      <c r="E4592" s="23" t="s">
        <v>101</v>
      </c>
      <c r="F4592" s="15" t="s">
        <v>104</v>
      </c>
      <c r="G4592" s="15" t="s">
        <v>5173</v>
      </c>
      <c r="H4592" s="23" t="s">
        <v>58</v>
      </c>
    </row>
    <row r="4593" spans="1:8" ht="54.95" customHeight="1" x14ac:dyDescent="0.2">
      <c r="A4593" s="23" t="s">
        <v>1481</v>
      </c>
      <c r="B4593" s="23" t="s">
        <v>24</v>
      </c>
      <c r="C4593" s="23" t="s">
        <v>46</v>
      </c>
      <c r="D4593" s="23" t="s">
        <v>46</v>
      </c>
      <c r="E4593" s="23" t="s">
        <v>101</v>
      </c>
      <c r="F4593" s="15" t="s">
        <v>104</v>
      </c>
      <c r="G4593" s="15" t="s">
        <v>5173</v>
      </c>
      <c r="H4593" s="23" t="s">
        <v>58</v>
      </c>
    </row>
    <row r="4594" spans="1:8" ht="54.95" customHeight="1" x14ac:dyDescent="0.2">
      <c r="A4594" s="23" t="s">
        <v>1481</v>
      </c>
      <c r="B4594" s="23" t="s">
        <v>25</v>
      </c>
      <c r="C4594" s="23" t="s">
        <v>46</v>
      </c>
      <c r="D4594" s="23" t="s">
        <v>46</v>
      </c>
      <c r="E4594" s="23" t="s">
        <v>101</v>
      </c>
      <c r="F4594" s="15" t="s">
        <v>104</v>
      </c>
      <c r="G4594" s="15" t="s">
        <v>5173</v>
      </c>
      <c r="H4594" s="23" t="s">
        <v>58</v>
      </c>
    </row>
    <row r="4595" spans="1:8" ht="54.95" customHeight="1" x14ac:dyDescent="0.2">
      <c r="A4595" s="23" t="s">
        <v>1483</v>
      </c>
      <c r="B4595" s="23" t="s">
        <v>15</v>
      </c>
      <c r="C4595" s="23" t="s">
        <v>46</v>
      </c>
      <c r="D4595" s="23" t="s">
        <v>46</v>
      </c>
      <c r="E4595" s="23" t="s">
        <v>46</v>
      </c>
      <c r="F4595" s="15" t="s">
        <v>103</v>
      </c>
      <c r="G4595" s="15" t="s">
        <v>5173</v>
      </c>
      <c r="H4595" s="23" t="s">
        <v>58</v>
      </c>
    </row>
    <row r="4596" spans="1:8" ht="54.95" customHeight="1" x14ac:dyDescent="0.2">
      <c r="A4596" s="23" t="s">
        <v>1483</v>
      </c>
      <c r="B4596" s="23" t="s">
        <v>17</v>
      </c>
      <c r="C4596" s="23" t="s">
        <v>46</v>
      </c>
      <c r="D4596" s="23" t="s">
        <v>46</v>
      </c>
      <c r="E4596" s="23" t="s">
        <v>46</v>
      </c>
      <c r="F4596" s="15" t="s">
        <v>103</v>
      </c>
      <c r="G4596" s="15" t="s">
        <v>5173</v>
      </c>
      <c r="H4596" s="23" t="s">
        <v>58</v>
      </c>
    </row>
    <row r="4597" spans="1:8" ht="54.95" customHeight="1" x14ac:dyDescent="0.2">
      <c r="A4597" s="23" t="s">
        <v>1483</v>
      </c>
      <c r="B4597" s="23" t="s">
        <v>19</v>
      </c>
      <c r="C4597" s="23" t="s">
        <v>46</v>
      </c>
      <c r="D4597" s="23" t="s">
        <v>46</v>
      </c>
      <c r="E4597" s="23" t="s">
        <v>46</v>
      </c>
      <c r="F4597" s="15" t="s">
        <v>103</v>
      </c>
      <c r="G4597" s="15" t="s">
        <v>5173</v>
      </c>
      <c r="H4597" s="23" t="s">
        <v>58</v>
      </c>
    </row>
    <row r="4598" spans="1:8" ht="54.95" customHeight="1" x14ac:dyDescent="0.2">
      <c r="A4598" s="23" t="s">
        <v>1483</v>
      </c>
      <c r="B4598" s="23" t="s">
        <v>21</v>
      </c>
      <c r="C4598" s="23" t="s">
        <v>46</v>
      </c>
      <c r="D4598" s="23" t="s">
        <v>46</v>
      </c>
      <c r="E4598" s="23" t="s">
        <v>101</v>
      </c>
      <c r="F4598" s="15" t="s">
        <v>104</v>
      </c>
      <c r="G4598" s="15" t="s">
        <v>5173</v>
      </c>
      <c r="H4598" s="23" t="s">
        <v>58</v>
      </c>
    </row>
    <row r="4599" spans="1:8" ht="54.95" customHeight="1" x14ac:dyDescent="0.2">
      <c r="A4599" s="23" t="s">
        <v>1483</v>
      </c>
      <c r="B4599" s="23" t="s">
        <v>22</v>
      </c>
      <c r="C4599" s="23" t="s">
        <v>46</v>
      </c>
      <c r="D4599" s="23" t="s">
        <v>46</v>
      </c>
      <c r="E4599" s="23" t="s">
        <v>101</v>
      </c>
      <c r="F4599" s="15" t="s">
        <v>104</v>
      </c>
      <c r="G4599" s="15" t="s">
        <v>5173</v>
      </c>
      <c r="H4599" s="23" t="s">
        <v>58</v>
      </c>
    </row>
    <row r="4600" spans="1:8" ht="54.95" customHeight="1" x14ac:dyDescent="0.2">
      <c r="A4600" s="23" t="s">
        <v>1483</v>
      </c>
      <c r="B4600" s="23" t="s">
        <v>23</v>
      </c>
      <c r="C4600" s="23" t="s">
        <v>46</v>
      </c>
      <c r="D4600" s="23" t="s">
        <v>46</v>
      </c>
      <c r="E4600" s="23" t="s">
        <v>101</v>
      </c>
      <c r="F4600" s="15" t="s">
        <v>104</v>
      </c>
      <c r="G4600" s="15" t="s">
        <v>5173</v>
      </c>
      <c r="H4600" s="23" t="s">
        <v>58</v>
      </c>
    </row>
    <row r="4601" spans="1:8" ht="54.95" customHeight="1" x14ac:dyDescent="0.2">
      <c r="A4601" s="23" t="s">
        <v>1483</v>
      </c>
      <c r="B4601" s="23" t="s">
        <v>24</v>
      </c>
      <c r="C4601" s="23" t="s">
        <v>46</v>
      </c>
      <c r="D4601" s="23" t="s">
        <v>46</v>
      </c>
      <c r="E4601" s="23" t="s">
        <v>101</v>
      </c>
      <c r="F4601" s="15" t="s">
        <v>104</v>
      </c>
      <c r="G4601" s="15" t="s">
        <v>5173</v>
      </c>
      <c r="H4601" s="23" t="s">
        <v>58</v>
      </c>
    </row>
    <row r="4602" spans="1:8" ht="54.95" customHeight="1" x14ac:dyDescent="0.2">
      <c r="A4602" s="23" t="s">
        <v>1483</v>
      </c>
      <c r="B4602" s="23" t="s">
        <v>25</v>
      </c>
      <c r="C4602" s="23" t="s">
        <v>46</v>
      </c>
      <c r="D4602" s="23" t="s">
        <v>46</v>
      </c>
      <c r="E4602" s="23" t="s">
        <v>101</v>
      </c>
      <c r="F4602" s="15" t="s">
        <v>104</v>
      </c>
      <c r="G4602" s="15" t="s">
        <v>5173</v>
      </c>
      <c r="H4602" s="23" t="s">
        <v>58</v>
      </c>
    </row>
    <row r="4603" spans="1:8" ht="54.95" customHeight="1" x14ac:dyDescent="0.2">
      <c r="A4603" s="23" t="s">
        <v>1485</v>
      </c>
      <c r="B4603" s="23" t="s">
        <v>11</v>
      </c>
      <c r="C4603" s="23" t="s">
        <v>46</v>
      </c>
      <c r="D4603" s="23" t="s">
        <v>46</v>
      </c>
      <c r="E4603" s="23" t="s">
        <v>46</v>
      </c>
      <c r="F4603" s="15" t="s">
        <v>198</v>
      </c>
      <c r="G4603" s="15" t="s">
        <v>5173</v>
      </c>
      <c r="H4603" s="23" t="s">
        <v>58</v>
      </c>
    </row>
    <row r="4604" spans="1:8" ht="54.95" customHeight="1" x14ac:dyDescent="0.2">
      <c r="A4604" s="23" t="s">
        <v>1485</v>
      </c>
      <c r="B4604" s="23" t="s">
        <v>13</v>
      </c>
      <c r="C4604" s="23" t="s">
        <v>46</v>
      </c>
      <c r="D4604" s="23" t="s">
        <v>46</v>
      </c>
      <c r="E4604" s="23" t="s">
        <v>46</v>
      </c>
      <c r="F4604" s="15" t="s">
        <v>198</v>
      </c>
      <c r="G4604" s="15" t="s">
        <v>5173</v>
      </c>
      <c r="H4604" s="23" t="s">
        <v>58</v>
      </c>
    </row>
    <row r="4605" spans="1:8" ht="54.95" customHeight="1" x14ac:dyDescent="0.2">
      <c r="A4605" s="23" t="s">
        <v>1485</v>
      </c>
      <c r="B4605" s="23" t="s">
        <v>14</v>
      </c>
      <c r="C4605" s="23" t="s">
        <v>46</v>
      </c>
      <c r="D4605" s="23" t="s">
        <v>46</v>
      </c>
      <c r="E4605" s="23" t="s">
        <v>46</v>
      </c>
      <c r="F4605" s="15" t="s">
        <v>198</v>
      </c>
      <c r="G4605" s="15" t="s">
        <v>5173</v>
      </c>
      <c r="H4605" s="23" t="s">
        <v>58</v>
      </c>
    </row>
    <row r="4606" spans="1:8" ht="54.95" customHeight="1" x14ac:dyDescent="0.2">
      <c r="A4606" s="23" t="s">
        <v>1485</v>
      </c>
      <c r="B4606" s="23" t="s">
        <v>21</v>
      </c>
      <c r="C4606" s="23" t="s">
        <v>46</v>
      </c>
      <c r="D4606" s="23" t="s">
        <v>46</v>
      </c>
      <c r="E4606" s="23" t="s">
        <v>101</v>
      </c>
      <c r="F4606" s="15" t="s">
        <v>104</v>
      </c>
      <c r="G4606" s="15" t="s">
        <v>5173</v>
      </c>
      <c r="H4606" s="23" t="s">
        <v>58</v>
      </c>
    </row>
    <row r="4607" spans="1:8" ht="54.95" customHeight="1" x14ac:dyDescent="0.2">
      <c r="A4607" s="23" t="s">
        <v>1485</v>
      </c>
      <c r="B4607" s="23" t="s">
        <v>22</v>
      </c>
      <c r="C4607" s="23" t="s">
        <v>46</v>
      </c>
      <c r="D4607" s="23" t="s">
        <v>46</v>
      </c>
      <c r="E4607" s="23" t="s">
        <v>101</v>
      </c>
      <c r="F4607" s="15" t="s">
        <v>104</v>
      </c>
      <c r="G4607" s="15" t="s">
        <v>5173</v>
      </c>
      <c r="H4607" s="23" t="s">
        <v>58</v>
      </c>
    </row>
    <row r="4608" spans="1:8" ht="54.95" customHeight="1" x14ac:dyDescent="0.2">
      <c r="A4608" s="23" t="s">
        <v>1485</v>
      </c>
      <c r="B4608" s="23" t="s">
        <v>23</v>
      </c>
      <c r="C4608" s="23" t="s">
        <v>46</v>
      </c>
      <c r="D4608" s="23" t="s">
        <v>46</v>
      </c>
      <c r="E4608" s="23" t="s">
        <v>101</v>
      </c>
      <c r="F4608" s="15" t="s">
        <v>104</v>
      </c>
      <c r="G4608" s="15" t="s">
        <v>5173</v>
      </c>
      <c r="H4608" s="23" t="s">
        <v>58</v>
      </c>
    </row>
    <row r="4609" spans="1:8" ht="54.95" customHeight="1" x14ac:dyDescent="0.2">
      <c r="A4609" s="23" t="s">
        <v>1485</v>
      </c>
      <c r="B4609" s="23" t="s">
        <v>24</v>
      </c>
      <c r="C4609" s="23" t="s">
        <v>46</v>
      </c>
      <c r="D4609" s="23" t="s">
        <v>46</v>
      </c>
      <c r="E4609" s="23" t="s">
        <v>101</v>
      </c>
      <c r="F4609" s="15" t="s">
        <v>104</v>
      </c>
      <c r="G4609" s="15" t="s">
        <v>5173</v>
      </c>
      <c r="H4609" s="23" t="s">
        <v>58</v>
      </c>
    </row>
    <row r="4610" spans="1:8" ht="54.95" customHeight="1" x14ac:dyDescent="0.2">
      <c r="A4610" s="23" t="s">
        <v>1485</v>
      </c>
      <c r="B4610" s="23" t="s">
        <v>25</v>
      </c>
      <c r="C4610" s="23" t="s">
        <v>46</v>
      </c>
      <c r="D4610" s="23" t="s">
        <v>46</v>
      </c>
      <c r="E4610" s="23" t="s">
        <v>101</v>
      </c>
      <c r="F4610" s="15" t="s">
        <v>104</v>
      </c>
      <c r="G4610" s="15" t="s">
        <v>5173</v>
      </c>
      <c r="H4610" s="23" t="s">
        <v>58</v>
      </c>
    </row>
    <row r="4611" spans="1:8" ht="54.95" customHeight="1" x14ac:dyDescent="0.2">
      <c r="A4611" s="23" t="s">
        <v>1487</v>
      </c>
      <c r="B4611" s="23" t="s">
        <v>21</v>
      </c>
      <c r="C4611" s="23" t="s">
        <v>46</v>
      </c>
      <c r="D4611" s="23" t="s">
        <v>46</v>
      </c>
      <c r="E4611" s="23" t="s">
        <v>101</v>
      </c>
      <c r="F4611" s="15" t="s">
        <v>104</v>
      </c>
      <c r="G4611" s="15" t="s">
        <v>5173</v>
      </c>
      <c r="H4611" s="23" t="s">
        <v>58</v>
      </c>
    </row>
    <row r="4612" spans="1:8" ht="54.95" customHeight="1" x14ac:dyDescent="0.2">
      <c r="A4612" s="23" t="s">
        <v>1487</v>
      </c>
      <c r="B4612" s="23" t="s">
        <v>22</v>
      </c>
      <c r="C4612" s="23" t="s">
        <v>46</v>
      </c>
      <c r="D4612" s="23" t="s">
        <v>46</v>
      </c>
      <c r="E4612" s="23" t="s">
        <v>101</v>
      </c>
      <c r="F4612" s="15" t="s">
        <v>104</v>
      </c>
      <c r="G4612" s="15" t="s">
        <v>5173</v>
      </c>
      <c r="H4612" s="23" t="s">
        <v>58</v>
      </c>
    </row>
    <row r="4613" spans="1:8" ht="54.95" customHeight="1" x14ac:dyDescent="0.2">
      <c r="A4613" s="23" t="s">
        <v>1487</v>
      </c>
      <c r="B4613" s="23" t="s">
        <v>23</v>
      </c>
      <c r="C4613" s="23" t="s">
        <v>46</v>
      </c>
      <c r="D4613" s="23" t="s">
        <v>46</v>
      </c>
      <c r="E4613" s="23" t="s">
        <v>101</v>
      </c>
      <c r="F4613" s="15" t="s">
        <v>104</v>
      </c>
      <c r="G4613" s="15" t="s">
        <v>5173</v>
      </c>
      <c r="H4613" s="23" t="s">
        <v>58</v>
      </c>
    </row>
    <row r="4614" spans="1:8" ht="54.95" customHeight="1" x14ac:dyDescent="0.2">
      <c r="A4614" s="23" t="s">
        <v>1487</v>
      </c>
      <c r="B4614" s="23" t="s">
        <v>24</v>
      </c>
      <c r="C4614" s="23" t="s">
        <v>46</v>
      </c>
      <c r="D4614" s="23" t="s">
        <v>46</v>
      </c>
      <c r="E4614" s="23" t="s">
        <v>101</v>
      </c>
      <c r="F4614" s="15" t="s">
        <v>104</v>
      </c>
      <c r="G4614" s="15" t="s">
        <v>5173</v>
      </c>
      <c r="H4614" s="23" t="s">
        <v>58</v>
      </c>
    </row>
    <row r="4615" spans="1:8" ht="54.95" customHeight="1" x14ac:dyDescent="0.2">
      <c r="A4615" s="23" t="s">
        <v>1487</v>
      </c>
      <c r="B4615" s="23" t="s">
        <v>25</v>
      </c>
      <c r="C4615" s="23" t="s">
        <v>46</v>
      </c>
      <c r="D4615" s="23" t="s">
        <v>46</v>
      </c>
      <c r="E4615" s="23" t="s">
        <v>101</v>
      </c>
      <c r="F4615" s="15" t="s">
        <v>104</v>
      </c>
      <c r="G4615" s="15" t="s">
        <v>5173</v>
      </c>
      <c r="H4615" s="23" t="s">
        <v>58</v>
      </c>
    </row>
    <row r="4616" spans="1:8" ht="54.95" customHeight="1" x14ac:dyDescent="0.2">
      <c r="A4616" s="23" t="s">
        <v>1492</v>
      </c>
      <c r="B4616" s="23" t="s">
        <v>11</v>
      </c>
      <c r="C4616" s="23" t="s">
        <v>46</v>
      </c>
      <c r="D4616" s="23" t="s">
        <v>46</v>
      </c>
      <c r="E4616" s="23" t="s">
        <v>46</v>
      </c>
      <c r="F4616" s="15" t="s">
        <v>198</v>
      </c>
      <c r="G4616" s="15" t="s">
        <v>5173</v>
      </c>
      <c r="H4616" s="23" t="s">
        <v>58</v>
      </c>
    </row>
    <row r="4617" spans="1:8" ht="54.95" customHeight="1" x14ac:dyDescent="0.2">
      <c r="A4617" s="23" t="s">
        <v>1492</v>
      </c>
      <c r="B4617" s="23" t="s">
        <v>13</v>
      </c>
      <c r="C4617" s="23" t="s">
        <v>46</v>
      </c>
      <c r="D4617" s="23" t="s">
        <v>46</v>
      </c>
      <c r="E4617" s="23" t="s">
        <v>46</v>
      </c>
      <c r="F4617" s="15" t="s">
        <v>198</v>
      </c>
      <c r="G4617" s="15" t="s">
        <v>5173</v>
      </c>
      <c r="H4617" s="23" t="s">
        <v>58</v>
      </c>
    </row>
    <row r="4618" spans="1:8" ht="54.95" customHeight="1" x14ac:dyDescent="0.2">
      <c r="A4618" s="23" t="s">
        <v>1492</v>
      </c>
      <c r="B4618" s="23" t="s">
        <v>14</v>
      </c>
      <c r="C4618" s="23" t="s">
        <v>46</v>
      </c>
      <c r="D4618" s="23" t="s">
        <v>46</v>
      </c>
      <c r="E4618" s="23" t="s">
        <v>46</v>
      </c>
      <c r="F4618" s="15" t="s">
        <v>198</v>
      </c>
      <c r="G4618" s="15" t="s">
        <v>5173</v>
      </c>
      <c r="H4618" s="23" t="s">
        <v>58</v>
      </c>
    </row>
    <row r="4619" spans="1:8" ht="54.95" customHeight="1" x14ac:dyDescent="0.2">
      <c r="A4619" s="23" t="s">
        <v>1492</v>
      </c>
      <c r="B4619" s="23" t="s">
        <v>21</v>
      </c>
      <c r="C4619" s="23" t="s">
        <v>46</v>
      </c>
      <c r="D4619" s="23" t="s">
        <v>46</v>
      </c>
      <c r="E4619" s="23" t="s">
        <v>101</v>
      </c>
      <c r="F4619" s="15" t="s">
        <v>104</v>
      </c>
      <c r="G4619" s="15" t="s">
        <v>5173</v>
      </c>
      <c r="H4619" s="23" t="s">
        <v>58</v>
      </c>
    </row>
    <row r="4620" spans="1:8" ht="54.95" customHeight="1" x14ac:dyDescent="0.2">
      <c r="A4620" s="23" t="s">
        <v>1492</v>
      </c>
      <c r="B4620" s="23" t="s">
        <v>22</v>
      </c>
      <c r="C4620" s="23" t="s">
        <v>46</v>
      </c>
      <c r="D4620" s="23" t="s">
        <v>46</v>
      </c>
      <c r="E4620" s="23" t="s">
        <v>101</v>
      </c>
      <c r="F4620" s="15" t="s">
        <v>104</v>
      </c>
      <c r="G4620" s="15" t="s">
        <v>5173</v>
      </c>
      <c r="H4620" s="23" t="s">
        <v>58</v>
      </c>
    </row>
    <row r="4621" spans="1:8" ht="54.95" customHeight="1" x14ac:dyDescent="0.2">
      <c r="A4621" s="23" t="s">
        <v>1492</v>
      </c>
      <c r="B4621" s="23" t="s">
        <v>23</v>
      </c>
      <c r="C4621" s="23" t="s">
        <v>46</v>
      </c>
      <c r="D4621" s="23" t="s">
        <v>46</v>
      </c>
      <c r="E4621" s="23" t="s">
        <v>101</v>
      </c>
      <c r="F4621" s="15" t="s">
        <v>104</v>
      </c>
      <c r="G4621" s="15" t="s">
        <v>5173</v>
      </c>
      <c r="H4621" s="23" t="s">
        <v>58</v>
      </c>
    </row>
    <row r="4622" spans="1:8" ht="54.95" customHeight="1" x14ac:dyDescent="0.2">
      <c r="A4622" s="23" t="s">
        <v>1492</v>
      </c>
      <c r="B4622" s="23" t="s">
        <v>24</v>
      </c>
      <c r="C4622" s="23" t="s">
        <v>46</v>
      </c>
      <c r="D4622" s="23" t="s">
        <v>46</v>
      </c>
      <c r="E4622" s="23" t="s">
        <v>101</v>
      </c>
      <c r="F4622" s="15" t="s">
        <v>104</v>
      </c>
      <c r="G4622" s="15" t="s">
        <v>5173</v>
      </c>
      <c r="H4622" s="23" t="s">
        <v>58</v>
      </c>
    </row>
    <row r="4623" spans="1:8" ht="54.95" customHeight="1" x14ac:dyDescent="0.2">
      <c r="A4623" s="23" t="s">
        <v>1492</v>
      </c>
      <c r="B4623" s="23" t="s">
        <v>25</v>
      </c>
      <c r="C4623" s="23" t="s">
        <v>46</v>
      </c>
      <c r="D4623" s="23" t="s">
        <v>46</v>
      </c>
      <c r="E4623" s="23" t="s">
        <v>101</v>
      </c>
      <c r="F4623" s="15" t="s">
        <v>104</v>
      </c>
      <c r="G4623" s="15" t="s">
        <v>5173</v>
      </c>
      <c r="H4623" s="23" t="s">
        <v>58</v>
      </c>
    </row>
    <row r="4624" spans="1:8" ht="54.95" customHeight="1" x14ac:dyDescent="0.2">
      <c r="A4624" s="23" t="s">
        <v>1494</v>
      </c>
      <c r="B4624" s="23" t="s">
        <v>3</v>
      </c>
      <c r="C4624" s="23" t="s">
        <v>46</v>
      </c>
      <c r="D4624" s="23" t="s">
        <v>46</v>
      </c>
      <c r="E4624" s="23" t="s">
        <v>46</v>
      </c>
      <c r="F4624" s="15" t="s">
        <v>198</v>
      </c>
      <c r="G4624" s="15" t="s">
        <v>5173</v>
      </c>
      <c r="H4624" s="23" t="s">
        <v>58</v>
      </c>
    </row>
    <row r="4625" spans="1:8" ht="54.95" customHeight="1" x14ac:dyDescent="0.2">
      <c r="A4625" s="23" t="s">
        <v>1494</v>
      </c>
      <c r="B4625" s="23" t="s">
        <v>6</v>
      </c>
      <c r="C4625" s="23" t="s">
        <v>46</v>
      </c>
      <c r="D4625" s="23" t="s">
        <v>46</v>
      </c>
      <c r="E4625" s="23" t="s">
        <v>46</v>
      </c>
      <c r="F4625" s="15" t="s">
        <v>198</v>
      </c>
      <c r="G4625" s="15" t="s">
        <v>5173</v>
      </c>
      <c r="H4625" s="23" t="s">
        <v>58</v>
      </c>
    </row>
    <row r="4626" spans="1:8" ht="54.95" customHeight="1" x14ac:dyDescent="0.2">
      <c r="A4626" s="23" t="s">
        <v>1494</v>
      </c>
      <c r="B4626" s="23" t="s">
        <v>7</v>
      </c>
      <c r="C4626" s="23" t="s">
        <v>46</v>
      </c>
      <c r="D4626" s="23" t="s">
        <v>46</v>
      </c>
      <c r="E4626" s="23" t="s">
        <v>46</v>
      </c>
      <c r="F4626" s="15" t="s">
        <v>198</v>
      </c>
      <c r="G4626" s="15" t="s">
        <v>5173</v>
      </c>
      <c r="H4626" s="23" t="s">
        <v>58</v>
      </c>
    </row>
    <row r="4627" spans="1:8" ht="54.95" customHeight="1" x14ac:dyDescent="0.2">
      <c r="A4627" s="23" t="s">
        <v>1494</v>
      </c>
      <c r="B4627" s="23" t="s">
        <v>8</v>
      </c>
      <c r="C4627" s="23" t="s">
        <v>46</v>
      </c>
      <c r="D4627" s="23" t="s">
        <v>46</v>
      </c>
      <c r="E4627" s="23" t="s">
        <v>46</v>
      </c>
      <c r="F4627" s="15" t="s">
        <v>198</v>
      </c>
      <c r="G4627" s="15" t="s">
        <v>5173</v>
      </c>
      <c r="H4627" s="23" t="s">
        <v>58</v>
      </c>
    </row>
    <row r="4628" spans="1:8" ht="54.95" customHeight="1" x14ac:dyDescent="0.2">
      <c r="A4628" s="23" t="s">
        <v>1494</v>
      </c>
      <c r="B4628" s="23" t="s">
        <v>9</v>
      </c>
      <c r="C4628" s="23" t="s">
        <v>46</v>
      </c>
      <c r="D4628" s="23" t="s">
        <v>46</v>
      </c>
      <c r="E4628" s="23" t="s">
        <v>46</v>
      </c>
      <c r="F4628" s="15" t="s">
        <v>198</v>
      </c>
      <c r="G4628" s="15" t="s">
        <v>5173</v>
      </c>
      <c r="H4628" s="23" t="s">
        <v>58</v>
      </c>
    </row>
    <row r="4629" spans="1:8" ht="54.95" customHeight="1" x14ac:dyDescent="0.2">
      <c r="A4629" s="23" t="s">
        <v>1494</v>
      </c>
      <c r="B4629" s="23" t="s">
        <v>10</v>
      </c>
      <c r="C4629" s="23" t="s">
        <v>46</v>
      </c>
      <c r="D4629" s="23" t="s">
        <v>46</v>
      </c>
      <c r="E4629" s="23" t="s">
        <v>46</v>
      </c>
      <c r="F4629" s="15" t="s">
        <v>198</v>
      </c>
      <c r="G4629" s="15" t="s">
        <v>5173</v>
      </c>
      <c r="H4629" s="23" t="s">
        <v>58</v>
      </c>
    </row>
    <row r="4630" spans="1:8" ht="54.95" customHeight="1" x14ac:dyDescent="0.2">
      <c r="A4630" s="23" t="s">
        <v>1494</v>
      </c>
      <c r="B4630" s="23" t="s">
        <v>11</v>
      </c>
      <c r="C4630" s="23" t="s">
        <v>46</v>
      </c>
      <c r="D4630" s="23" t="s">
        <v>46</v>
      </c>
      <c r="E4630" s="23" t="s">
        <v>46</v>
      </c>
      <c r="F4630" s="15" t="s">
        <v>198</v>
      </c>
      <c r="G4630" s="15" t="s">
        <v>5173</v>
      </c>
      <c r="H4630" s="23" t="s">
        <v>58</v>
      </c>
    </row>
    <row r="4631" spans="1:8" ht="54.95" customHeight="1" x14ac:dyDescent="0.2">
      <c r="A4631" s="23" t="s">
        <v>1494</v>
      </c>
      <c r="B4631" s="23" t="s">
        <v>13</v>
      </c>
      <c r="C4631" s="23" t="s">
        <v>46</v>
      </c>
      <c r="D4631" s="23" t="s">
        <v>46</v>
      </c>
      <c r="E4631" s="23" t="s">
        <v>46</v>
      </c>
      <c r="F4631" s="15" t="s">
        <v>198</v>
      </c>
      <c r="G4631" s="15" t="s">
        <v>5173</v>
      </c>
      <c r="H4631" s="23" t="s">
        <v>58</v>
      </c>
    </row>
    <row r="4632" spans="1:8" ht="54.95" customHeight="1" x14ac:dyDescent="0.2">
      <c r="A4632" s="23" t="s">
        <v>1494</v>
      </c>
      <c r="B4632" s="23" t="s">
        <v>14</v>
      </c>
      <c r="C4632" s="23" t="s">
        <v>46</v>
      </c>
      <c r="D4632" s="23" t="s">
        <v>46</v>
      </c>
      <c r="E4632" s="23" t="s">
        <v>46</v>
      </c>
      <c r="F4632" s="15" t="s">
        <v>198</v>
      </c>
      <c r="G4632" s="15" t="s">
        <v>5173</v>
      </c>
      <c r="H4632" s="23" t="s">
        <v>58</v>
      </c>
    </row>
    <row r="4633" spans="1:8" ht="54.95" customHeight="1" x14ac:dyDescent="0.2">
      <c r="A4633" s="23" t="s">
        <v>1494</v>
      </c>
      <c r="B4633" s="23" t="s">
        <v>15</v>
      </c>
      <c r="C4633" s="23" t="s">
        <v>46</v>
      </c>
      <c r="D4633" s="23" t="s">
        <v>46</v>
      </c>
      <c r="E4633" s="23" t="s">
        <v>46</v>
      </c>
      <c r="F4633" s="15" t="s">
        <v>103</v>
      </c>
      <c r="G4633" s="15" t="s">
        <v>5173</v>
      </c>
      <c r="H4633" s="23" t="s">
        <v>58</v>
      </c>
    </row>
    <row r="4634" spans="1:8" ht="54.95" customHeight="1" x14ac:dyDescent="0.2">
      <c r="A4634" s="23" t="s">
        <v>1494</v>
      </c>
      <c r="B4634" s="23" t="s">
        <v>17</v>
      </c>
      <c r="C4634" s="23" t="s">
        <v>46</v>
      </c>
      <c r="D4634" s="23" t="s">
        <v>46</v>
      </c>
      <c r="E4634" s="23" t="s">
        <v>46</v>
      </c>
      <c r="F4634" s="15" t="s">
        <v>103</v>
      </c>
      <c r="G4634" s="15" t="s">
        <v>5173</v>
      </c>
      <c r="H4634" s="23" t="s">
        <v>58</v>
      </c>
    </row>
    <row r="4635" spans="1:8" ht="54.95" customHeight="1" x14ac:dyDescent="0.2">
      <c r="A4635" s="23" t="s">
        <v>1494</v>
      </c>
      <c r="B4635" s="23" t="s">
        <v>19</v>
      </c>
      <c r="C4635" s="23" t="s">
        <v>46</v>
      </c>
      <c r="D4635" s="23" t="s">
        <v>46</v>
      </c>
      <c r="E4635" s="23" t="s">
        <v>46</v>
      </c>
      <c r="F4635" s="15" t="s">
        <v>103</v>
      </c>
      <c r="G4635" s="15" t="s">
        <v>5173</v>
      </c>
      <c r="H4635" s="23" t="s">
        <v>58</v>
      </c>
    </row>
    <row r="4636" spans="1:8" ht="54.95" customHeight="1" x14ac:dyDescent="0.2">
      <c r="A4636" s="23" t="s">
        <v>1494</v>
      </c>
      <c r="B4636" s="23" t="s">
        <v>21</v>
      </c>
      <c r="C4636" s="23" t="s">
        <v>46</v>
      </c>
      <c r="D4636" s="23" t="s">
        <v>46</v>
      </c>
      <c r="E4636" s="23" t="s">
        <v>101</v>
      </c>
      <c r="F4636" s="15" t="s">
        <v>104</v>
      </c>
      <c r="G4636" s="15" t="s">
        <v>5173</v>
      </c>
      <c r="H4636" s="23" t="s">
        <v>58</v>
      </c>
    </row>
    <row r="4637" spans="1:8" ht="54.95" customHeight="1" x14ac:dyDescent="0.2">
      <c r="A4637" s="23" t="s">
        <v>1494</v>
      </c>
      <c r="B4637" s="23" t="s">
        <v>22</v>
      </c>
      <c r="C4637" s="23" t="s">
        <v>46</v>
      </c>
      <c r="D4637" s="23" t="s">
        <v>46</v>
      </c>
      <c r="E4637" s="23" t="s">
        <v>101</v>
      </c>
      <c r="F4637" s="15" t="s">
        <v>104</v>
      </c>
      <c r="G4637" s="15" t="s">
        <v>5173</v>
      </c>
      <c r="H4637" s="23" t="s">
        <v>58</v>
      </c>
    </row>
    <row r="4638" spans="1:8" ht="54.95" customHeight="1" x14ac:dyDescent="0.2">
      <c r="A4638" s="23" t="s">
        <v>1494</v>
      </c>
      <c r="B4638" s="23" t="s">
        <v>23</v>
      </c>
      <c r="C4638" s="23" t="s">
        <v>46</v>
      </c>
      <c r="D4638" s="23" t="s">
        <v>46</v>
      </c>
      <c r="E4638" s="23" t="s">
        <v>101</v>
      </c>
      <c r="F4638" s="15" t="s">
        <v>104</v>
      </c>
      <c r="G4638" s="15" t="s">
        <v>5173</v>
      </c>
      <c r="H4638" s="23" t="s">
        <v>58</v>
      </c>
    </row>
    <row r="4639" spans="1:8" ht="54.95" customHeight="1" x14ac:dyDescent="0.2">
      <c r="A4639" s="23" t="s">
        <v>1494</v>
      </c>
      <c r="B4639" s="23" t="s">
        <v>24</v>
      </c>
      <c r="C4639" s="23" t="s">
        <v>46</v>
      </c>
      <c r="D4639" s="23" t="s">
        <v>46</v>
      </c>
      <c r="E4639" s="23" t="s">
        <v>101</v>
      </c>
      <c r="F4639" s="15" t="s">
        <v>104</v>
      </c>
      <c r="G4639" s="15" t="s">
        <v>5173</v>
      </c>
      <c r="H4639" s="23" t="s">
        <v>58</v>
      </c>
    </row>
    <row r="4640" spans="1:8" ht="54.95" customHeight="1" x14ac:dyDescent="0.2">
      <c r="A4640" s="23" t="s">
        <v>1494</v>
      </c>
      <c r="B4640" s="23" t="s">
        <v>25</v>
      </c>
      <c r="C4640" s="23" t="s">
        <v>46</v>
      </c>
      <c r="D4640" s="23" t="s">
        <v>46</v>
      </c>
      <c r="E4640" s="23" t="s">
        <v>101</v>
      </c>
      <c r="F4640" s="15" t="s">
        <v>104</v>
      </c>
      <c r="G4640" s="15" t="s">
        <v>5173</v>
      </c>
      <c r="H4640" s="23" t="s">
        <v>58</v>
      </c>
    </row>
    <row r="4641" spans="1:8" ht="54.95" customHeight="1" x14ac:dyDescent="0.2">
      <c r="A4641" s="23" t="s">
        <v>1496</v>
      </c>
      <c r="B4641" s="23" t="s">
        <v>3</v>
      </c>
      <c r="C4641" s="23" t="s">
        <v>46</v>
      </c>
      <c r="D4641" s="23" t="s">
        <v>46</v>
      </c>
      <c r="E4641" s="23" t="s">
        <v>46</v>
      </c>
      <c r="F4641" s="15" t="s">
        <v>198</v>
      </c>
      <c r="G4641" s="15" t="s">
        <v>5173</v>
      </c>
      <c r="H4641" s="23" t="s">
        <v>58</v>
      </c>
    </row>
    <row r="4642" spans="1:8" ht="54.95" customHeight="1" x14ac:dyDescent="0.2">
      <c r="A4642" s="23" t="s">
        <v>1496</v>
      </c>
      <c r="B4642" s="23" t="s">
        <v>6</v>
      </c>
      <c r="C4642" s="23" t="s">
        <v>46</v>
      </c>
      <c r="D4642" s="23" t="s">
        <v>46</v>
      </c>
      <c r="E4642" s="23" t="s">
        <v>46</v>
      </c>
      <c r="F4642" s="15" t="s">
        <v>198</v>
      </c>
      <c r="G4642" s="15" t="s">
        <v>5173</v>
      </c>
      <c r="H4642" s="23" t="s">
        <v>58</v>
      </c>
    </row>
    <row r="4643" spans="1:8" ht="54.95" customHeight="1" x14ac:dyDescent="0.2">
      <c r="A4643" s="23" t="s">
        <v>1496</v>
      </c>
      <c r="B4643" s="23" t="s">
        <v>7</v>
      </c>
      <c r="C4643" s="23" t="s">
        <v>46</v>
      </c>
      <c r="D4643" s="23" t="s">
        <v>46</v>
      </c>
      <c r="E4643" s="23" t="s">
        <v>46</v>
      </c>
      <c r="F4643" s="15" t="s">
        <v>198</v>
      </c>
      <c r="G4643" s="15" t="s">
        <v>5173</v>
      </c>
      <c r="H4643" s="23" t="s">
        <v>58</v>
      </c>
    </row>
    <row r="4644" spans="1:8" ht="54.95" customHeight="1" x14ac:dyDescent="0.2">
      <c r="A4644" s="23" t="s">
        <v>1496</v>
      </c>
      <c r="B4644" s="23" t="s">
        <v>8</v>
      </c>
      <c r="C4644" s="23" t="s">
        <v>46</v>
      </c>
      <c r="D4644" s="23" t="s">
        <v>46</v>
      </c>
      <c r="E4644" s="23" t="s">
        <v>46</v>
      </c>
      <c r="F4644" s="15" t="s">
        <v>198</v>
      </c>
      <c r="G4644" s="15" t="s">
        <v>5173</v>
      </c>
      <c r="H4644" s="23" t="s">
        <v>58</v>
      </c>
    </row>
    <row r="4645" spans="1:8" ht="54.95" customHeight="1" x14ac:dyDescent="0.2">
      <c r="A4645" s="23" t="s">
        <v>1496</v>
      </c>
      <c r="B4645" s="23" t="s">
        <v>9</v>
      </c>
      <c r="C4645" s="23" t="s">
        <v>46</v>
      </c>
      <c r="D4645" s="23" t="s">
        <v>46</v>
      </c>
      <c r="E4645" s="23" t="s">
        <v>46</v>
      </c>
      <c r="F4645" s="15" t="s">
        <v>198</v>
      </c>
      <c r="G4645" s="15" t="s">
        <v>5173</v>
      </c>
      <c r="H4645" s="23" t="s">
        <v>58</v>
      </c>
    </row>
    <row r="4646" spans="1:8" ht="54.95" customHeight="1" x14ac:dyDescent="0.2">
      <c r="A4646" s="23" t="s">
        <v>1496</v>
      </c>
      <c r="B4646" s="23" t="s">
        <v>10</v>
      </c>
      <c r="C4646" s="23" t="s">
        <v>46</v>
      </c>
      <c r="D4646" s="23" t="s">
        <v>46</v>
      </c>
      <c r="E4646" s="23" t="s">
        <v>46</v>
      </c>
      <c r="F4646" s="15" t="s">
        <v>198</v>
      </c>
      <c r="G4646" s="15" t="s">
        <v>5173</v>
      </c>
      <c r="H4646" s="23" t="s">
        <v>58</v>
      </c>
    </row>
    <row r="4647" spans="1:8" ht="54.95" customHeight="1" x14ac:dyDescent="0.2">
      <c r="A4647" s="23" t="s">
        <v>1496</v>
      </c>
      <c r="B4647" s="23" t="s">
        <v>11</v>
      </c>
      <c r="C4647" s="23" t="s">
        <v>46</v>
      </c>
      <c r="D4647" s="23" t="s">
        <v>46</v>
      </c>
      <c r="E4647" s="23" t="s">
        <v>46</v>
      </c>
      <c r="F4647" s="15" t="s">
        <v>198</v>
      </c>
      <c r="G4647" s="15" t="s">
        <v>5173</v>
      </c>
      <c r="H4647" s="23" t="s">
        <v>58</v>
      </c>
    </row>
    <row r="4648" spans="1:8" ht="54.95" customHeight="1" x14ac:dyDescent="0.2">
      <c r="A4648" s="23" t="s">
        <v>1496</v>
      </c>
      <c r="B4648" s="23" t="s">
        <v>13</v>
      </c>
      <c r="C4648" s="23" t="s">
        <v>46</v>
      </c>
      <c r="D4648" s="23" t="s">
        <v>46</v>
      </c>
      <c r="E4648" s="23" t="s">
        <v>46</v>
      </c>
      <c r="F4648" s="15" t="s">
        <v>198</v>
      </c>
      <c r="G4648" s="15" t="s">
        <v>5173</v>
      </c>
      <c r="H4648" s="23" t="s">
        <v>58</v>
      </c>
    </row>
    <row r="4649" spans="1:8" ht="54.95" customHeight="1" x14ac:dyDescent="0.2">
      <c r="A4649" s="23" t="s">
        <v>1496</v>
      </c>
      <c r="B4649" s="23" t="s">
        <v>14</v>
      </c>
      <c r="C4649" s="23" t="s">
        <v>46</v>
      </c>
      <c r="D4649" s="23" t="s">
        <v>46</v>
      </c>
      <c r="E4649" s="23" t="s">
        <v>46</v>
      </c>
      <c r="F4649" s="15" t="s">
        <v>198</v>
      </c>
      <c r="G4649" s="15" t="s">
        <v>5173</v>
      </c>
      <c r="H4649" s="23" t="s">
        <v>58</v>
      </c>
    </row>
    <row r="4650" spans="1:8" ht="54.95" customHeight="1" x14ac:dyDescent="0.2">
      <c r="A4650" s="23" t="s">
        <v>1496</v>
      </c>
      <c r="B4650" s="23" t="s">
        <v>15</v>
      </c>
      <c r="C4650" s="23" t="s">
        <v>46</v>
      </c>
      <c r="D4650" s="23" t="s">
        <v>46</v>
      </c>
      <c r="E4650" s="23" t="s">
        <v>46</v>
      </c>
      <c r="F4650" s="15" t="s">
        <v>103</v>
      </c>
      <c r="G4650" s="15" t="s">
        <v>5173</v>
      </c>
      <c r="H4650" s="23" t="s">
        <v>58</v>
      </c>
    </row>
    <row r="4651" spans="1:8" ht="54.95" customHeight="1" x14ac:dyDescent="0.2">
      <c r="A4651" s="23" t="s">
        <v>1496</v>
      </c>
      <c r="B4651" s="23" t="s">
        <v>17</v>
      </c>
      <c r="C4651" s="23" t="s">
        <v>46</v>
      </c>
      <c r="D4651" s="23" t="s">
        <v>46</v>
      </c>
      <c r="E4651" s="23" t="s">
        <v>46</v>
      </c>
      <c r="F4651" s="15" t="s">
        <v>103</v>
      </c>
      <c r="G4651" s="15" t="s">
        <v>5173</v>
      </c>
      <c r="H4651" s="23" t="s">
        <v>58</v>
      </c>
    </row>
    <row r="4652" spans="1:8" ht="54.95" customHeight="1" x14ac:dyDescent="0.2">
      <c r="A4652" s="23" t="s">
        <v>1496</v>
      </c>
      <c r="B4652" s="23" t="s">
        <v>19</v>
      </c>
      <c r="C4652" s="23" t="s">
        <v>46</v>
      </c>
      <c r="D4652" s="23" t="s">
        <v>46</v>
      </c>
      <c r="E4652" s="23" t="s">
        <v>46</v>
      </c>
      <c r="F4652" s="15" t="s">
        <v>103</v>
      </c>
      <c r="G4652" s="15" t="s">
        <v>5173</v>
      </c>
      <c r="H4652" s="23" t="s">
        <v>58</v>
      </c>
    </row>
    <row r="4653" spans="1:8" ht="54.95" customHeight="1" x14ac:dyDescent="0.2">
      <c r="A4653" s="23" t="s">
        <v>1496</v>
      </c>
      <c r="B4653" s="23" t="s">
        <v>21</v>
      </c>
      <c r="C4653" s="23" t="s">
        <v>46</v>
      </c>
      <c r="D4653" s="23" t="s">
        <v>46</v>
      </c>
      <c r="E4653" s="23" t="s">
        <v>101</v>
      </c>
      <c r="F4653" s="15" t="s">
        <v>104</v>
      </c>
      <c r="G4653" s="15" t="s">
        <v>5173</v>
      </c>
      <c r="H4653" s="23" t="s">
        <v>58</v>
      </c>
    </row>
    <row r="4654" spans="1:8" ht="54.95" customHeight="1" x14ac:dyDescent="0.2">
      <c r="A4654" s="23" t="s">
        <v>1496</v>
      </c>
      <c r="B4654" s="23" t="s">
        <v>22</v>
      </c>
      <c r="C4654" s="23" t="s">
        <v>46</v>
      </c>
      <c r="D4654" s="23" t="s">
        <v>46</v>
      </c>
      <c r="E4654" s="23" t="s">
        <v>101</v>
      </c>
      <c r="F4654" s="15" t="s">
        <v>104</v>
      </c>
      <c r="G4654" s="15" t="s">
        <v>5173</v>
      </c>
      <c r="H4654" s="23" t="s">
        <v>58</v>
      </c>
    </row>
    <row r="4655" spans="1:8" ht="54.95" customHeight="1" x14ac:dyDescent="0.2">
      <c r="A4655" s="23" t="s">
        <v>1496</v>
      </c>
      <c r="B4655" s="23" t="s">
        <v>23</v>
      </c>
      <c r="C4655" s="23" t="s">
        <v>46</v>
      </c>
      <c r="D4655" s="23" t="s">
        <v>46</v>
      </c>
      <c r="E4655" s="23" t="s">
        <v>101</v>
      </c>
      <c r="F4655" s="15" t="s">
        <v>104</v>
      </c>
      <c r="G4655" s="15" t="s">
        <v>5173</v>
      </c>
      <c r="H4655" s="23" t="s">
        <v>58</v>
      </c>
    </row>
    <row r="4656" spans="1:8" ht="54.95" customHeight="1" x14ac:dyDescent="0.2">
      <c r="A4656" s="23" t="s">
        <v>1496</v>
      </c>
      <c r="B4656" s="23" t="s">
        <v>24</v>
      </c>
      <c r="C4656" s="23" t="s">
        <v>46</v>
      </c>
      <c r="D4656" s="23" t="s">
        <v>46</v>
      </c>
      <c r="E4656" s="23" t="s">
        <v>101</v>
      </c>
      <c r="F4656" s="15" t="s">
        <v>104</v>
      </c>
      <c r="G4656" s="15" t="s">
        <v>5173</v>
      </c>
      <c r="H4656" s="23" t="s">
        <v>58</v>
      </c>
    </row>
    <row r="4657" spans="1:8" ht="54.95" customHeight="1" x14ac:dyDescent="0.2">
      <c r="A4657" s="23" t="s">
        <v>1496</v>
      </c>
      <c r="B4657" s="23" t="s">
        <v>25</v>
      </c>
      <c r="C4657" s="23" t="s">
        <v>46</v>
      </c>
      <c r="D4657" s="23" t="s">
        <v>46</v>
      </c>
      <c r="E4657" s="23" t="s">
        <v>101</v>
      </c>
      <c r="F4657" s="15" t="s">
        <v>104</v>
      </c>
      <c r="G4657" s="15" t="s">
        <v>5173</v>
      </c>
      <c r="H4657" s="23" t="s">
        <v>58</v>
      </c>
    </row>
    <row r="4658" spans="1:8" ht="54.95" customHeight="1" x14ac:dyDescent="0.2">
      <c r="A4658" s="23" t="s">
        <v>1498</v>
      </c>
      <c r="B4658" s="23" t="s">
        <v>3</v>
      </c>
      <c r="C4658" s="23" t="s">
        <v>46</v>
      </c>
      <c r="D4658" s="23" t="s">
        <v>46</v>
      </c>
      <c r="E4658" s="23" t="s">
        <v>46</v>
      </c>
      <c r="F4658" s="15" t="s">
        <v>198</v>
      </c>
      <c r="G4658" s="15" t="s">
        <v>5173</v>
      </c>
      <c r="H4658" s="23" t="s">
        <v>58</v>
      </c>
    </row>
    <row r="4659" spans="1:8" ht="54.95" customHeight="1" x14ac:dyDescent="0.2">
      <c r="A4659" s="23" t="s">
        <v>1498</v>
      </c>
      <c r="B4659" s="23" t="s">
        <v>6</v>
      </c>
      <c r="C4659" s="23" t="s">
        <v>46</v>
      </c>
      <c r="D4659" s="23" t="s">
        <v>46</v>
      </c>
      <c r="E4659" s="23" t="s">
        <v>46</v>
      </c>
      <c r="F4659" s="15" t="s">
        <v>198</v>
      </c>
      <c r="G4659" s="15" t="s">
        <v>5173</v>
      </c>
      <c r="H4659" s="23" t="s">
        <v>58</v>
      </c>
    </row>
    <row r="4660" spans="1:8" ht="54.95" customHeight="1" x14ac:dyDescent="0.2">
      <c r="A4660" s="23" t="s">
        <v>1498</v>
      </c>
      <c r="B4660" s="23" t="s">
        <v>7</v>
      </c>
      <c r="C4660" s="23" t="s">
        <v>46</v>
      </c>
      <c r="D4660" s="23" t="s">
        <v>46</v>
      </c>
      <c r="E4660" s="23" t="s">
        <v>46</v>
      </c>
      <c r="F4660" s="15" t="s">
        <v>198</v>
      </c>
      <c r="G4660" s="15" t="s">
        <v>5173</v>
      </c>
      <c r="H4660" s="23" t="s">
        <v>58</v>
      </c>
    </row>
    <row r="4661" spans="1:8" ht="54.95" customHeight="1" x14ac:dyDescent="0.2">
      <c r="A4661" s="23" t="s">
        <v>1498</v>
      </c>
      <c r="B4661" s="23" t="s">
        <v>8</v>
      </c>
      <c r="C4661" s="23" t="s">
        <v>46</v>
      </c>
      <c r="D4661" s="23" t="s">
        <v>46</v>
      </c>
      <c r="E4661" s="23" t="s">
        <v>46</v>
      </c>
      <c r="F4661" s="15" t="s">
        <v>198</v>
      </c>
      <c r="G4661" s="15" t="s">
        <v>5173</v>
      </c>
      <c r="H4661" s="23" t="s">
        <v>58</v>
      </c>
    </row>
    <row r="4662" spans="1:8" ht="54.95" customHeight="1" x14ac:dyDescent="0.2">
      <c r="A4662" s="23" t="s">
        <v>1498</v>
      </c>
      <c r="B4662" s="23" t="s">
        <v>9</v>
      </c>
      <c r="C4662" s="23" t="s">
        <v>46</v>
      </c>
      <c r="D4662" s="23" t="s">
        <v>46</v>
      </c>
      <c r="E4662" s="23" t="s">
        <v>46</v>
      </c>
      <c r="F4662" s="15" t="s">
        <v>198</v>
      </c>
      <c r="G4662" s="15" t="s">
        <v>5173</v>
      </c>
      <c r="H4662" s="23" t="s">
        <v>58</v>
      </c>
    </row>
    <row r="4663" spans="1:8" ht="54.95" customHeight="1" x14ac:dyDescent="0.2">
      <c r="A4663" s="23" t="s">
        <v>1498</v>
      </c>
      <c r="B4663" s="23" t="s">
        <v>10</v>
      </c>
      <c r="C4663" s="23" t="s">
        <v>46</v>
      </c>
      <c r="D4663" s="23" t="s">
        <v>46</v>
      </c>
      <c r="E4663" s="23" t="s">
        <v>46</v>
      </c>
      <c r="F4663" s="15" t="s">
        <v>198</v>
      </c>
      <c r="G4663" s="15" t="s">
        <v>5173</v>
      </c>
      <c r="H4663" s="23" t="s">
        <v>58</v>
      </c>
    </row>
    <row r="4664" spans="1:8" ht="54.95" customHeight="1" x14ac:dyDescent="0.2">
      <c r="A4664" s="23" t="s">
        <v>1498</v>
      </c>
      <c r="B4664" s="23" t="s">
        <v>11</v>
      </c>
      <c r="C4664" s="23" t="s">
        <v>46</v>
      </c>
      <c r="D4664" s="23" t="s">
        <v>46</v>
      </c>
      <c r="E4664" s="23" t="s">
        <v>46</v>
      </c>
      <c r="F4664" s="15" t="s">
        <v>198</v>
      </c>
      <c r="G4664" s="15" t="s">
        <v>5173</v>
      </c>
      <c r="H4664" s="23" t="s">
        <v>58</v>
      </c>
    </row>
    <row r="4665" spans="1:8" ht="54.95" customHeight="1" x14ac:dyDescent="0.2">
      <c r="A4665" s="23" t="s">
        <v>1498</v>
      </c>
      <c r="B4665" s="23" t="s">
        <v>13</v>
      </c>
      <c r="C4665" s="23" t="s">
        <v>46</v>
      </c>
      <c r="D4665" s="23" t="s">
        <v>46</v>
      </c>
      <c r="E4665" s="23" t="s">
        <v>46</v>
      </c>
      <c r="F4665" s="15" t="s">
        <v>198</v>
      </c>
      <c r="G4665" s="15" t="s">
        <v>5173</v>
      </c>
      <c r="H4665" s="23" t="s">
        <v>58</v>
      </c>
    </row>
    <row r="4666" spans="1:8" ht="54.95" customHeight="1" x14ac:dyDescent="0.2">
      <c r="A4666" s="23" t="s">
        <v>1498</v>
      </c>
      <c r="B4666" s="23" t="s">
        <v>14</v>
      </c>
      <c r="C4666" s="23" t="s">
        <v>46</v>
      </c>
      <c r="D4666" s="23" t="s">
        <v>46</v>
      </c>
      <c r="E4666" s="23" t="s">
        <v>46</v>
      </c>
      <c r="F4666" s="15" t="s">
        <v>198</v>
      </c>
      <c r="G4666" s="15" t="s">
        <v>5173</v>
      </c>
      <c r="H4666" s="23" t="s">
        <v>58</v>
      </c>
    </row>
    <row r="4667" spans="1:8" ht="54.95" customHeight="1" x14ac:dyDescent="0.2">
      <c r="A4667" s="23" t="s">
        <v>1498</v>
      </c>
      <c r="B4667" s="23" t="s">
        <v>15</v>
      </c>
      <c r="C4667" s="23" t="s">
        <v>46</v>
      </c>
      <c r="D4667" s="23" t="s">
        <v>46</v>
      </c>
      <c r="E4667" s="23" t="s">
        <v>46</v>
      </c>
      <c r="F4667" s="15" t="s">
        <v>103</v>
      </c>
      <c r="G4667" s="15" t="s">
        <v>5173</v>
      </c>
      <c r="H4667" s="23" t="s">
        <v>58</v>
      </c>
    </row>
    <row r="4668" spans="1:8" ht="54.95" customHeight="1" x14ac:dyDescent="0.2">
      <c r="A4668" s="23" t="s">
        <v>1498</v>
      </c>
      <c r="B4668" s="23" t="s">
        <v>17</v>
      </c>
      <c r="C4668" s="23" t="s">
        <v>46</v>
      </c>
      <c r="D4668" s="23" t="s">
        <v>46</v>
      </c>
      <c r="E4668" s="23" t="s">
        <v>46</v>
      </c>
      <c r="F4668" s="15" t="s">
        <v>103</v>
      </c>
      <c r="G4668" s="15" t="s">
        <v>5173</v>
      </c>
      <c r="H4668" s="23" t="s">
        <v>58</v>
      </c>
    </row>
    <row r="4669" spans="1:8" ht="54.95" customHeight="1" x14ac:dyDescent="0.2">
      <c r="A4669" s="23" t="s">
        <v>1498</v>
      </c>
      <c r="B4669" s="23" t="s">
        <v>19</v>
      </c>
      <c r="C4669" s="23" t="s">
        <v>46</v>
      </c>
      <c r="D4669" s="23" t="s">
        <v>46</v>
      </c>
      <c r="E4669" s="23" t="s">
        <v>46</v>
      </c>
      <c r="F4669" s="15" t="s">
        <v>103</v>
      </c>
      <c r="G4669" s="15" t="s">
        <v>5173</v>
      </c>
      <c r="H4669" s="23" t="s">
        <v>58</v>
      </c>
    </row>
    <row r="4670" spans="1:8" ht="54.95" customHeight="1" x14ac:dyDescent="0.2">
      <c r="A4670" s="23" t="s">
        <v>1498</v>
      </c>
      <c r="B4670" s="23" t="s">
        <v>21</v>
      </c>
      <c r="C4670" s="23" t="s">
        <v>46</v>
      </c>
      <c r="D4670" s="23" t="s">
        <v>46</v>
      </c>
      <c r="E4670" s="23" t="s">
        <v>101</v>
      </c>
      <c r="F4670" s="15" t="s">
        <v>104</v>
      </c>
      <c r="G4670" s="15" t="s">
        <v>5173</v>
      </c>
      <c r="H4670" s="23" t="s">
        <v>58</v>
      </c>
    </row>
    <row r="4671" spans="1:8" ht="54.95" customHeight="1" x14ac:dyDescent="0.2">
      <c r="A4671" s="23" t="s">
        <v>1498</v>
      </c>
      <c r="B4671" s="23" t="s">
        <v>22</v>
      </c>
      <c r="C4671" s="23" t="s">
        <v>46</v>
      </c>
      <c r="D4671" s="23" t="s">
        <v>46</v>
      </c>
      <c r="E4671" s="23" t="s">
        <v>101</v>
      </c>
      <c r="F4671" s="15" t="s">
        <v>104</v>
      </c>
      <c r="G4671" s="15" t="s">
        <v>5173</v>
      </c>
      <c r="H4671" s="23" t="s">
        <v>58</v>
      </c>
    </row>
    <row r="4672" spans="1:8" ht="54.95" customHeight="1" x14ac:dyDescent="0.2">
      <c r="A4672" s="23" t="s">
        <v>1498</v>
      </c>
      <c r="B4672" s="23" t="s">
        <v>23</v>
      </c>
      <c r="C4672" s="23" t="s">
        <v>46</v>
      </c>
      <c r="D4672" s="23" t="s">
        <v>46</v>
      </c>
      <c r="E4672" s="23" t="s">
        <v>101</v>
      </c>
      <c r="F4672" s="15" t="s">
        <v>104</v>
      </c>
      <c r="G4672" s="15" t="s">
        <v>5173</v>
      </c>
      <c r="H4672" s="23" t="s">
        <v>58</v>
      </c>
    </row>
    <row r="4673" spans="1:8" ht="54.95" customHeight="1" x14ac:dyDescent="0.2">
      <c r="A4673" s="23" t="s">
        <v>1498</v>
      </c>
      <c r="B4673" s="23" t="s">
        <v>24</v>
      </c>
      <c r="C4673" s="23" t="s">
        <v>46</v>
      </c>
      <c r="D4673" s="23" t="s">
        <v>46</v>
      </c>
      <c r="E4673" s="23" t="s">
        <v>101</v>
      </c>
      <c r="F4673" s="15" t="s">
        <v>104</v>
      </c>
      <c r="G4673" s="15" t="s">
        <v>5173</v>
      </c>
      <c r="H4673" s="23" t="s">
        <v>58</v>
      </c>
    </row>
    <row r="4674" spans="1:8" ht="54.95" customHeight="1" x14ac:dyDescent="0.2">
      <c r="A4674" s="23" t="s">
        <v>1498</v>
      </c>
      <c r="B4674" s="23" t="s">
        <v>25</v>
      </c>
      <c r="C4674" s="23" t="s">
        <v>46</v>
      </c>
      <c r="D4674" s="23" t="s">
        <v>46</v>
      </c>
      <c r="E4674" s="23" t="s">
        <v>101</v>
      </c>
      <c r="F4674" s="15" t="s">
        <v>104</v>
      </c>
      <c r="G4674" s="15" t="s">
        <v>5173</v>
      </c>
      <c r="H4674" s="23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country_world_globalpetrolprice</vt:lpstr>
      <vt:lpstr>Аудит</vt:lpstr>
      <vt:lpstr>Сводка НПЗ</vt:lpstr>
      <vt:lpstr>НПЗ Oilmap</vt:lpstr>
      <vt:lpstr>НПЗ свежие реестры</vt:lpstr>
      <vt:lpstr>Обновление 2026-09-16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2026-09-16T10:24:21Z</dcterms:created>
  <dcterms:modified xsi:type="dcterms:W3CDTF">2026-09-16T10:24:21Z</dcterms:modified>
</cp:coreProperties>
</file>